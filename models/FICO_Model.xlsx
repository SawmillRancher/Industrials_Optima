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8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color rgb="FF0000FF"/>
      <sz val="11"/>
    </font>
    <font>
      <name val="Calibri"/>
      <b val="1"/>
      <i val="1"/>
      <color rgb="FFC00000"/>
      <sz val="10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4" fontId="46" fillId="0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7" fontId="46" fillId="0" borderId="0" pivotButton="0" quotePrefix="0" xfId="0"/>
    <xf numFmtId="168" fontId="46" fillId="0" borderId="0" pivotButton="0" quotePrefix="0" xfId="0"/>
    <xf numFmtId="164" fontId="48" fillId="0" borderId="2" applyAlignment="1" pivotButton="0" quotePrefix="0" xfId="0">
      <alignment horizontal="right"/>
    </xf>
    <xf numFmtId="164" fontId="48" fillId="2" borderId="2" applyAlignment="1" pivotButton="0" quotePrefix="0" xfId="0">
      <alignment horizontal="right"/>
    </xf>
    <xf numFmtId="164" fontId="46" fillId="0" borderId="0" pivotButton="0" quotePrefix="0" xfId="0"/>
    <xf numFmtId="164" fontId="45" fillId="0" borderId="0" applyAlignment="1" pivotButton="0" quotePrefix="0" xfId="0">
      <alignment horizontal="right"/>
    </xf>
    <xf numFmtId="166" fontId="46" fillId="0" borderId="0" pivotButton="0" quotePrefix="0" xfId="0"/>
    <xf numFmtId="176" fontId="17" fillId="0" borderId="0" pivotButton="0" quotePrefix="0" xfId="0"/>
    <xf numFmtId="166" fontId="51" fillId="2" borderId="0" applyAlignment="1" pivotButton="0" quotePrefix="0" xfId="0">
      <alignment horizontal="right"/>
    </xf>
    <xf numFmtId="166" fontId="41" fillId="2" borderId="0" pivotButton="0" quotePrefix="0" xfId="0"/>
    <xf numFmtId="167" fontId="51" fillId="2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73" fontId="51" fillId="2" borderId="0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0" fontId="51" fillId="2" borderId="0" applyAlignment="1" pivotButton="0" quotePrefix="0" xfId="0">
      <alignment horizontal="right"/>
    </xf>
    <xf numFmtId="164" fontId="48" fillId="6" borderId="2" applyAlignment="1" pivotButton="0" quotePrefix="0" xfId="0">
      <alignment horizontal="right"/>
    </xf>
    <xf numFmtId="164" fontId="41" fillId="2" borderId="0" pivotButton="0" quotePrefix="0" xfId="0"/>
    <xf numFmtId="168" fontId="41" fillId="2" borderId="0" pivotButton="0" quotePrefix="0" xfId="0"/>
    <xf numFmtId="168" fontId="45" fillId="2" borderId="0" applyAlignment="1" pivotButton="0" quotePrefix="0" xfId="0">
      <alignment horizontal="right"/>
    </xf>
    <xf numFmtId="164" fontId="51" fillId="2" borderId="0" applyAlignment="1" pivotButton="0" quotePrefix="0" xfId="0">
      <alignment horizontal="right"/>
    </xf>
    <xf numFmtId="164" fontId="51" fillId="6" borderId="2" applyAlignment="1" pivotButton="0" quotePrefix="0" xfId="0">
      <alignment horizontal="right"/>
    </xf>
    <xf numFmtId="0" fontId="56" fillId="0" borderId="0" pivotButton="0" quotePrefix="0" xfId="0"/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0" fontId="57" fillId="0" borderId="0" pivotButton="0" quotePrefix="0" xfId="0"/>
    <xf numFmtId="164" fontId="51" fillId="0" borderId="2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Revenue Growth: Scores vs. Software Contribution, 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FICO model</author>
  </authors>
  <commentList>
    <comment ref="CG2" authorId="0" shapeId="0">
      <text>
        <t>Scenario toggle. Choose Bull / Base / Bear. Drives: Q4/26E buybacks, 2027E–2031E revenue-stream growth (B2B / B2C Scores, platform / non-platform software, professional services), segment margins, M&amp;A spend and the leverage target for 2027E+ buybacks (scenario table CO:CS). FY26 guidance is a point estimate in all cases.</t>
      </text>
    </comment>
    <comment ref="B11" authorId="0" shapeId="0">
      <text>
        <t>Source: Fair Isaac Forms 10-Q / 10-K — MD&amp;A tables "business-to-business / business-to-consumer Scores" and "platform / non-platform software" revenue (first published in the FY2021 10-K for FY2019–21; FY2021 quarters from the FY2022 10-Q prior-year columns; Q4 = fiscal year − nine months).</t>
      </text>
    </comment>
    <comment ref="B21" authorId="0" shapeId="0">
      <text>
        <t>Source: Fair Isaac Forms 10-Q / 10-K — segment note and MD&amp;A segment summaries (each period as first reported; Q4 = fiscal year − nine months; FY2021 Q4 nine months from the FY2022 Q3 10-Q re-presented column).</t>
      </text>
    </comment>
    <comment ref="C21" authorId="0" shapeId="0">
      <text>
        <t>FY2006: "Scoring Solutions" product-line segment (as originally reported; not the later Scores segment definition).</t>
      </text>
    </comment>
    <comment ref="D21" authorId="0" shapeId="0">
      <text>
        <t>FY2007: "Scoring Solutions" product-line segment (as originally reported; not the later Scores segment definition).</t>
      </text>
    </comment>
    <comment ref="E21" authorId="0" shapeId="0">
      <text>
        <t>FY2008: "Scoring Solutions" product-line segment (as originally reported; not the later Scores segment definition).</t>
      </text>
    </comment>
    <comment ref="F21" authorId="0" shapeId="0">
      <text>
        <t>FY2009: "Scoring Solutions" product-line segment (as originally reported; not the later Scores segment definition).</t>
      </text>
    </comment>
    <comment ref="B23" authorId="0" shapeId="0">
      <text>
        <t>Source: Fair Isaac Forms 10-Q / 10-K — MD&amp;A "segment operating income" summary (segments, unallocated corporate expenses, share-based compensation, amortization, restructuring, gains → operating income).</t>
      </text>
    </comment>
    <comment ref="BB23" authorId="0" shapeId="0">
      <text>
        <t>FY2021 as reported in the FY2021 10-K on the new Scores / Software basis (FY2021 quarters on the Applications / Scores / DMS basis; Q4/21 = FY − 9M re-presented).</t>
      </text>
    </comment>
    <comment ref="B42" authorId="0" shapeId="0">
      <text>
        <t>Consolidated revenue (release) − Scores segment revenue (10-Q / 10-K).</t>
      </text>
    </comment>
    <comment ref="B49" authorId="0" shapeId="0">
      <text>
        <t>Source: Fair Isaac Forms 10-Q / 10-K — segment note / MD&amp;A; product-line segments to FY2009 (Strategy Machine Solutions, Scoring Solutions, Professional Services, Analytic Software Tools), Applications / Scores / Tools FY2010–15, Applications / Scores / Decision Management Software FY2016–Q3/21, Scores / Software from the FY2021 10-K.</t>
      </text>
    </comment>
    <comment ref="B62" authorId="0" shapeId="0">
      <text>
        <t>Source: Fair Isaac Forms 10-Q / 10-K — MD&amp;A segment summary ("unallocated corporate expenses"; none before FY2010 — corporate costs were allocated to the segments).</t>
      </text>
    </comment>
    <comment ref="B94" authorId="0" shapeId="0">
      <text>
        <t>Source: Q3 FY26 release (8-K Ex. 99.1, 29-Jul-2026), outlook and "Reconciliation of Non-GAAP Guidance".</t>
      </text>
    </comment>
    <comment ref="B112" authorId="0" shapeId="0">
      <text>
        <t>Source: Fair Isaac earnings releases (Form 8-K Item 2.02, Ex. 99.1) — condensed statements of cash flows (year to date; discrete quarters derived).</t>
      </text>
    </comment>
    <comment ref="B122" authorId="0" shapeId="0">
      <text>
        <t>Source: 8-K Item 2.05 dated 1-Oct-2026 (filed 6-Oct-2026).</t>
      </text>
    </comment>
    <comment ref="B127" authorId="0" shapeId="0">
      <text>
        <t>Source: Fair Isaac earnings releases (Form 8-K Item 2.02, Ex. 99.1) — condensed consolidated statements of income, as originally reported (three-month columns; FY2006–12 from the 10-K, FY2013+ from the Q4 release twelve-month column).</t>
      </text>
    </comment>
    <comment ref="D134" authorId="0" shapeId="0">
      <text>
        <t>Company items (2007): Gain on sale of product line assets -1.5</t>
      </text>
    </comment>
    <comment ref="F134" authorId="0" shapeId="0">
      <text>
        <t>Company items (2009): (Gain) loss on sale of product line assets 3.0</t>
      </text>
    </comment>
    <comment ref="AX134" authorId="0" shapeId="0">
      <text>
        <t>Company items (Q1-21): Gain on sale of product line assets -7.3</t>
      </text>
    </comment>
    <comment ref="AZ134" authorId="0" shapeId="0">
      <text>
        <t>Company items (Q3-21): Gains on product line asset sales and business divestiture -92.8</t>
      </text>
    </comment>
    <comment ref="BB134" authorId="0" shapeId="0">
      <text>
        <t>Company items (2021): Gains on product line asset sales and business divestiture -100.1</t>
      </text>
    </comment>
    <comment ref="BH134" authorId="0" shapeId="0">
      <text>
        <t>Company items (Q1-23): Gain on product line asset sale -1.9</t>
      </text>
    </comment>
    <comment ref="BL134" authorId="0" shapeId="0">
      <text>
        <t>Company items (2023): Gain on product line asset sale -1.9</t>
      </text>
    </comment>
    <comment ref="B139" authorId="0" shapeId="0">
      <text>
        <t>Source: Fair Isaac Forms 10-Q / 10-K — segment note ("unallocated interest expense, net"; FY2006–13 interest expense − interest income); the releases show interest inside "other expense, net".</t>
      </text>
    </comment>
    <comment ref="D145" authorId="0" shapeId="0">
      <text>
        <t>Discontinued operations (business units sold in FY2008), as reported in the FY2007 10-K.</t>
      </text>
    </comment>
    <comment ref="B152" authorId="0" shapeId="0">
      <text>
        <t>Source: Fair Isaac earnings releases (Form 8-K Item 2.02, Ex. 99.1) — statements of income (weighted-average shares, thousands). No stock splits in the history.</t>
      </text>
    </comment>
    <comment ref="C171" authorId="0" shapeId="0">
      <text>
        <t>FY2006–09 10-K MD&amp;A: segment operating income for Strategy Machine Solutions, Scoring Solutions, Professional Services and Analytic Software Tools; only share-based compensation, restructuring / acquisition-related and product-line sale results were unallocated.</t>
      </text>
    </comment>
    <comment ref="G171" authorId="0" shapeId="0">
      <text>
        <t>FY2010 10-K. Earlier years are not recast in the model.</t>
      </text>
    </comment>
    <comment ref="AC171" authorId="0" shapeId="0">
      <text>
        <t>FY2016 10-K (FY2016 annual column); quarters from Q1/17.</t>
      </text>
    </comment>
    <comment ref="BB171" authorId="0" shapeId="0">
      <text>
        <t>Software = Applications + Decision Management Software, with re-allocated costs.</t>
      </text>
    </comment>
    <comment ref="J197" authorId="0" shapeId="0">
      <text>
        <t>FY2013–Q2/16: the company showed items net of tax; the tax effect is derived (published non-GAAP NI − GAAP NI − pre-tax items).</t>
      </text>
    </comment>
    <comment ref="B202" authorId="0" shapeId="0">
      <text>
        <t>Source: Fair Isaac earnings releases (Form 8-K Item 2.02, Ex. 99.1) — "Non-GAAP Results" table (published from Q1 FY2013).</t>
      </text>
    </comment>
    <comment ref="B232" authorId="0" shapeId="0">
      <text>
        <t>Source: Fair Isaac earnings releases (Form 8-K Item 2.02, Ex. 99.1) — condensed statements of cash flows (year to date; discrete quarters derived, Q4 = FY − 9M); FY2006–12 from the 10-K.</t>
      </text>
    </comment>
    <comment ref="B259" authorId="0" shapeId="0">
      <text>
        <t>Source: Fair Isaac earnings releases (Form 8-K Item 2.02, Ex. 99.1) — "Free cash flow" table (published from Q1 FY2013; FY2013–Q2/17 the company also deducted dividends paid).</t>
      </text>
    </comment>
    <comment ref="J260" authorId="0" shapeId="0">
      <text>
        <t>FY2013–Q2/17 the published free cash flow = CFO − capex − dividends paid; the check adds the dividends back.</t>
      </text>
    </comment>
    <comment ref="B278" authorId="0" shapeId="0">
      <text>
        <t>Source: Q3 FY26 10-Q Note 7 and Part II Item 2 (ASR agreement with Wells Fargo Securities, 5-Jun-2026).</t>
      </text>
    </comment>
    <comment ref="B287" authorId="0" shapeId="0">
      <text>
        <t>Source: Fair Isaac earnings releases (Form 8-K Item 2.02, Ex. 99.1) — condensed balance sheets (period ends; FY2006–12 from the 10-K); shares outstanding from XBRL (CommonStockSharesOutstanding, as first filed).</t>
      </text>
    </comment>
    <comment ref="B328" authorId="0" shapeId="0">
      <text>
        <t>Source: release balance sheets; Q3 FY26 10-Q Note 6 (debt); 8-Ks of 11-Mar-2026 (2026 Senior Notes) and 5-Jun-2026 (term loan).</t>
      </text>
    </comment>
  </commentList>
</comments>
</file>

<file path=xl/comments/comment2.xml><?xml version="1.0" encoding="utf-8"?>
<comments xmlns="http://schemas.openxmlformats.org/spreadsheetml/2006/main">
  <authors>
    <author>FICO model</author>
  </authors>
  <commentList>
    <comment ref="N26" authorId="0" shapeId="0">
      <text>
        <t>P/E on non-GAAP EPS (company definition). At the $740 input price FICO trades at ~17x FY2026E non-GAAP EPS ($42.43 guided). Exit multiples are assumptions: Base 30x, Bull 38x, Bear 20x, below FICO's FY2021–25 range given pricing and regulatory risk on mortgage scores.</t>
      </text>
    </comment>
    <comment ref="P40" authorId="0" shapeId="0">
      <text>
        <t>Snapshot (values) of Model rows 276, 275 and 277 (Share Buyback Schedule) with Model!CG2 = Bull / Bear.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S403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width="13" customWidth="1" style="251" min="6" max="6"/>
    <col width="13" customWidth="1" style="251" min="7" max="7"/>
    <col width="13" customWidth="1" style="251" min="8" max="8"/>
    <col width="13" customWidth="1" style="251" min="9" max="9"/>
    <col hidden="1" outlineLevel="1" width="9.5703125" customWidth="1" style="251" min="10" max="10"/>
    <col hidden="1" outlineLevel="1" width="9.5703125" customWidth="1" style="251" min="11" max="11"/>
    <col hidden="1" outlineLevel="1" width="9.5703125" customWidth="1" style="251" min="12" max="12"/>
    <col hidden="1" outlineLevel="1" width="9.5703125" customWidth="1" style="251" min="13" max="13"/>
    <col width="13" customWidth="1" style="251" min="14" max="14"/>
    <col hidden="1" outlineLevel="1" width="9.5703125" customWidth="1" style="251" min="15" max="15"/>
    <col hidden="1" outlineLevel="1" width="9.5703125" customWidth="1" style="251" min="16" max="16"/>
    <col hidden="1" outlineLevel="1" width="9.5703125" customWidth="1" style="251" min="17" max="17"/>
    <col hidden="1" outlineLevel="1" width="9.5703125" customWidth="1" style="251" min="18" max="18"/>
    <col width="13" customWidth="1" style="251" min="19" max="19"/>
    <col hidden="1" outlineLevel="1" width="9.5703125" customWidth="1" style="251" min="20" max="20"/>
    <col hidden="1" outlineLevel="1" width="9.5703125" customWidth="1" style="251" min="21" max="21"/>
    <col hidden="1" outlineLevel="1" width="9.5703125" customWidth="1" style="251" min="22" max="22"/>
    <col hidden="1" outlineLevel="1" width="9.5703125" customWidth="1" style="251" min="23" max="23"/>
    <col width="13" customWidth="1" style="251" min="24" max="24"/>
    <col hidden="1" outlineLevel="1" width="9.5703125" customWidth="1" style="251" min="25" max="25"/>
    <col hidden="1" outlineLevel="1" width="9.5703125" customWidth="1" style="251" min="26" max="26"/>
    <col hidden="1" outlineLevel="1" width="9.5703125" customWidth="1" style="251" min="27" max="27"/>
    <col hidden="1" outlineLevel="1" width="9.5703125" customWidth="1" style="251" min="28" max="28"/>
    <col width="13" customWidth="1" style="251" min="29" max="29"/>
    <col hidden="1" outlineLevel="1" width="9.5703125" customWidth="1" style="251" min="30" max="30"/>
    <col hidden="1" outlineLevel="1" width="9.5703125" customWidth="1" style="251" min="31" max="31"/>
    <col hidden="1" outlineLevel="1" width="9.5703125" customWidth="1" style="251" min="32" max="32"/>
    <col hidden="1" outlineLevel="1" width="9.5703125" customWidth="1" style="251" min="33" max="33"/>
    <col width="13" customWidth="1" style="251" min="34" max="34"/>
    <col hidden="1" outlineLevel="1" width="9.5703125" customWidth="1" style="251" min="35" max="35"/>
    <col hidden="1" outlineLevel="1" width="9.5703125" customWidth="1" style="251" min="36" max="36"/>
    <col hidden="1" outlineLevel="1" width="9.5703125" customWidth="1" style="251" min="37" max="37"/>
    <col hidden="1" outlineLevel="1" width="9.5703125" customWidth="1" style="251" min="38" max="38"/>
    <col width="13" customWidth="1" style="251" min="39" max="39"/>
    <col hidden="1" outlineLevel="1" width="9.5703125" customWidth="1" style="251" min="40" max="40"/>
    <col hidden="1" outlineLevel="1" width="9.5703125" customWidth="1" style="251" min="41" max="41"/>
    <col hidden="1" outlineLevel="1" width="9.5703125" customWidth="1" style="251" min="42" max="42"/>
    <col hidden="1" outlineLevel="1" width="9.5703125" customWidth="1" style="251" min="43" max="43"/>
    <col width="13" customWidth="1" style="251" min="44" max="44"/>
    <col hidden="1" outlineLevel="1" width="9.5703125" customWidth="1" style="251" min="45" max="45"/>
    <col hidden="1" outlineLevel="1" width="9.5703125" customWidth="1" style="251" min="46" max="46"/>
    <col hidden="1" outlineLevel="1" width="9.5703125" customWidth="1" style="251" min="47" max="47"/>
    <col hidden="1" outlineLevel="1" width="9.5703125" customWidth="1" style="251" min="48" max="48"/>
    <col width="13" customWidth="1" style="251" min="49" max="49"/>
    <col hidden="1" outlineLevel="1" width="9.5703125" customWidth="1" style="251" min="50" max="50"/>
    <col hidden="1" outlineLevel="1" width="9.5703125" customWidth="1" style="251" min="51" max="51"/>
    <col hidden="1" outlineLevel="1" width="9.5703125" customWidth="1" style="251" min="52" max="52"/>
    <col hidden="1" outlineLevel="1" width="9.5703125" customWidth="1" style="251" min="53" max="53"/>
    <col width="13" customWidth="1" style="251" min="54" max="54"/>
    <col hidden="1" outlineLevel="1" width="9.5703125" customWidth="1" style="251" min="55" max="55"/>
    <col hidden="1" outlineLevel="1" width="9.5703125" customWidth="1" style="251" min="56" max="56"/>
    <col hidden="1" outlineLevel="1" width="9.5703125" customWidth="1" style="251" min="57" max="57"/>
    <col hidden="1" outlineLevel="1" width="9.5703125" customWidth="1" style="251" min="58" max="58"/>
    <col width="13" customWidth="1" style="251" min="59" max="59"/>
    <col hidden="1" outlineLevel="1" width="9.5703125" customWidth="1" style="251" min="60" max="60"/>
    <col hidden="1" outlineLevel="1" width="9.5703125" customWidth="1" style="251" min="61" max="61"/>
    <col hidden="1" outlineLevel="1" width="9.5703125" customWidth="1" style="251" min="62" max="62"/>
    <col hidden="1" outlineLevel="1" width="9.5703125" customWidth="1" style="251" min="63" max="63"/>
    <col width="13" customWidth="1" style="251" min="64" max="64"/>
    <col hidden="1" outlineLevel="1" width="9.5703125" customWidth="1" style="251" min="65" max="65"/>
    <col hidden="1" outlineLevel="1" width="9.5703125" customWidth="1" style="251" min="66" max="66"/>
    <col hidden="1" outlineLevel="1" width="9.5703125" customWidth="1" style="251" min="67" max="67"/>
    <col hidden="1" outlineLevel="1" width="9.5703125" customWidth="1" style="251" min="68" max="68"/>
    <col width="13" customWidth="1" style="251" min="69" max="69"/>
    <col hidden="1" outlineLevel="1" width="9.5703125" customWidth="1" style="251" min="70" max="70"/>
    <col hidden="1" outlineLevel="1" width="9.5703125" customWidth="1" style="251" min="71" max="71"/>
    <col hidden="1" outlineLevel="1" width="9.5703125" customWidth="1" style="251" min="72" max="72"/>
    <col hidden="1" outlineLevel="1" width="9.5703125" customWidth="1" style="251" min="73" max="73"/>
    <col width="13" customWidth="1" style="251" min="74" max="74"/>
    <col hidden="1" outlineLevel="1" width="9.5703125" customWidth="1" style="251" min="75" max="75"/>
    <col hidden="1" outlineLevel="1" width="9.5703125" customWidth="1" style="251" min="76" max="76"/>
    <col hidden="1" outlineLevel="1" width="9.5703125" customWidth="1" style="251" min="77" max="77"/>
    <col hidden="1" outlineLevel="1" width="11.42578125" customWidth="1" style="251" min="78" max="78"/>
    <col width="14.140625" customWidth="1" style="251" min="79" max="79"/>
    <col width="13" customWidth="1" style="251" min="80" max="80"/>
    <col width="13" customWidth="1" style="251" min="81" max="81"/>
    <col width="13" customWidth="1" style="251" min="82" max="82"/>
    <col width="13" customWidth="1" style="251" min="83" max="83"/>
    <col width="13" customWidth="1" style="251" min="84" max="84"/>
    <col width="86.85546875" customWidth="1" style="251" min="85" max="85"/>
    <col width="2" customWidth="1" style="251" min="86" max="86"/>
    <col width="14.140625" customWidth="1" style="251" min="87" max="87"/>
    <col width="12.42578125" customWidth="1" style="251" min="88" max="88"/>
    <col width="13.42578125" customWidth="1" style="251" min="89" max="89"/>
    <col width="13" customWidth="1" style="251" min="90" max="90"/>
    <col width="2" customWidth="1" style="251" min="91" max="91"/>
    <col width="6" customWidth="1" style="251" min="92" max="92"/>
    <col width="46" customWidth="1" style="251" min="93" max="93"/>
    <col width="11.5703125" customWidth="1" style="251" min="94" max="94"/>
    <col width="13" customWidth="1" style="251" min="95" max="95"/>
    <col width="13" customWidth="1" style="251" min="96" max="96"/>
    <col width="60" customWidth="1" style="251" min="97" max="97"/>
  </cols>
  <sheetData>
    <row r="1" ht="15" customHeight="1" s="251">
      <c r="CG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Fair Isaac Corporation (NYSE: FICO) — 3-Statement Financial Model</t>
        </is>
      </c>
      <c r="CG2" s="3" t="inlineStr">
        <is>
          <t>Base</t>
        </is>
      </c>
    </row>
    <row r="3" ht="15" customHeight="1" s="251">
      <c r="B3" s="4" t="inlineStr">
        <is>
          <t>US GAAP as reported · USD millions (per-share data in USD; shares in millions) · Fiscal years ended 30 September (2026 = Oct-2025 – Sep-2026) · Source: Fair Isaac Forms 10-K / 10-Q, Form 8-K earnings releases (Ex. 99.1) and financing / restructuring 8-Ks, SEC EDGAR (CIK 814547); XBRL company facts; investor-relations releases at fico.com are the same documents as filed on EDGAR</t>
        </is>
      </c>
    </row>
    <row r="4" ht="15" customHeight="1" s="251">
      <c r="B4" s="5" t="inlineStr">
        <is>
          <t>Basis notes: as originally reported. Segments: Strategy Machine Solutions / Scoring Solutions / Professional Services / Analytic Software Tools (FY2006–09), Applications / Scores / Tools (FY2010–15), Applications / Scores / DMS (FY2016–Q3/21), Scores / Software (FY2021 10-K on). Disc ops FY2007–09. Non-GAAP published from Q1 FY13. Q4/26E calibrated to FY26 revenue and non-GAAP EPS guidance (29-Jul-2026) plus the Oct-2026 restructuring; $1.5bn ASR (Jun-2026) settles in Q4 FY26.</t>
        </is>
      </c>
    </row>
    <row r="5" ht="15" customHeight="1" s="251">
      <c r="BZ5" s="153" t="n"/>
      <c r="CA5" s="153" t="n"/>
      <c r="CB5" s="153" t="n"/>
      <c r="CC5" s="153" t="n"/>
      <c r="CD5" s="153" t="n"/>
      <c r="CE5" s="153" t="n"/>
      <c r="CF5" s="153" t="n"/>
      <c r="CI5" s="6" t="inlineStr">
        <is>
          <t>Forecast</t>
        </is>
      </c>
      <c r="CJ5" s="6" t="inlineStr">
        <is>
          <t>Historical</t>
        </is>
      </c>
      <c r="CK5" s="6" t="inlineStr">
        <is>
          <t>Historical</t>
        </is>
      </c>
      <c r="CL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2006</v>
      </c>
      <c r="D6" s="8" t="n">
        <v>2007</v>
      </c>
      <c r="E6" s="8" t="n">
        <v>2008</v>
      </c>
      <c r="F6" s="8" t="n">
        <v>2009</v>
      </c>
      <c r="G6" s="8" t="n">
        <v>2010</v>
      </c>
      <c r="H6" s="8" t="n">
        <v>2011</v>
      </c>
      <c r="I6" s="8" t="n">
        <v>2012</v>
      </c>
      <c r="J6" s="8" t="inlineStr">
        <is>
          <t>Q1/13</t>
        </is>
      </c>
      <c r="K6" s="8" t="inlineStr">
        <is>
          <t>Q2/13</t>
        </is>
      </c>
      <c r="L6" s="8" t="inlineStr">
        <is>
          <t>Q3/13</t>
        </is>
      </c>
      <c r="M6" s="8" t="inlineStr">
        <is>
          <t>Q4/13</t>
        </is>
      </c>
      <c r="N6" s="8" t="n">
        <v>2013</v>
      </c>
      <c r="O6" s="8" t="inlineStr">
        <is>
          <t>Q1/14</t>
        </is>
      </c>
      <c r="P6" s="8" t="inlineStr">
        <is>
          <t>Q2/14</t>
        </is>
      </c>
      <c r="Q6" s="8" t="inlineStr">
        <is>
          <t>Q3/14</t>
        </is>
      </c>
      <c r="R6" s="8" t="inlineStr">
        <is>
          <t>Q4/14</t>
        </is>
      </c>
      <c r="S6" s="8" t="n">
        <v>2014</v>
      </c>
      <c r="T6" s="8" t="inlineStr">
        <is>
          <t>Q1/15</t>
        </is>
      </c>
      <c r="U6" s="8" t="inlineStr">
        <is>
          <t>Q2/15</t>
        </is>
      </c>
      <c r="V6" s="8" t="inlineStr">
        <is>
          <t>Q3/15</t>
        </is>
      </c>
      <c r="W6" s="8" t="inlineStr">
        <is>
          <t>Q4/15</t>
        </is>
      </c>
      <c r="X6" s="8" t="n">
        <v>2015</v>
      </c>
      <c r="Y6" s="8" t="inlineStr">
        <is>
          <t>Q1/16</t>
        </is>
      </c>
      <c r="Z6" s="8" t="inlineStr">
        <is>
          <t>Q2/16</t>
        </is>
      </c>
      <c r="AA6" s="8" t="inlineStr">
        <is>
          <t>Q3/16</t>
        </is>
      </c>
      <c r="AB6" s="8" t="inlineStr">
        <is>
          <t>Q4/16</t>
        </is>
      </c>
      <c r="AC6" s="8" t="n">
        <v>2016</v>
      </c>
      <c r="AD6" s="8" t="inlineStr">
        <is>
          <t>Q1/17</t>
        </is>
      </c>
      <c r="AE6" s="8" t="inlineStr">
        <is>
          <t>Q2/17</t>
        </is>
      </c>
      <c r="AF6" s="8" t="inlineStr">
        <is>
          <t>Q3/17</t>
        </is>
      </c>
      <c r="AG6" s="8" t="inlineStr">
        <is>
          <t>Q4/17</t>
        </is>
      </c>
      <c r="AH6" s="8" t="n">
        <v>2017</v>
      </c>
      <c r="AI6" s="8" t="inlineStr">
        <is>
          <t>Q1/18</t>
        </is>
      </c>
      <c r="AJ6" s="8" t="inlineStr">
        <is>
          <t>Q2/18</t>
        </is>
      </c>
      <c r="AK6" s="8" t="inlineStr">
        <is>
          <t>Q3/18</t>
        </is>
      </c>
      <c r="AL6" s="8" t="inlineStr">
        <is>
          <t>Q4/18</t>
        </is>
      </c>
      <c r="AM6" s="8" t="n">
        <v>2018</v>
      </c>
      <c r="AN6" s="8" t="inlineStr">
        <is>
          <t>Q1/19</t>
        </is>
      </c>
      <c r="AO6" s="8" t="inlineStr">
        <is>
          <t>Q2/19</t>
        </is>
      </c>
      <c r="AP6" s="8" t="inlineStr">
        <is>
          <t>Q3/19</t>
        </is>
      </c>
      <c r="AQ6" s="8" t="inlineStr">
        <is>
          <t>Q4/19</t>
        </is>
      </c>
      <c r="AR6" s="8" t="n">
        <v>2019</v>
      </c>
      <c r="AS6" s="8" t="inlineStr">
        <is>
          <t>Q1/20</t>
        </is>
      </c>
      <c r="AT6" s="8" t="inlineStr">
        <is>
          <t>Q2/20</t>
        </is>
      </c>
      <c r="AU6" s="8" t="inlineStr">
        <is>
          <t>Q3/20</t>
        </is>
      </c>
      <c r="AV6" s="8" t="inlineStr">
        <is>
          <t>Q4/20</t>
        </is>
      </c>
      <c r="AW6" s="8" t="n">
        <v>2020</v>
      </c>
      <c r="AX6" s="8" t="inlineStr">
        <is>
          <t>Q1/21</t>
        </is>
      </c>
      <c r="AY6" s="8" t="inlineStr">
        <is>
          <t>Q2/21</t>
        </is>
      </c>
      <c r="AZ6" s="8" t="inlineStr">
        <is>
          <t>Q3/21</t>
        </is>
      </c>
      <c r="BA6" s="8" t="inlineStr">
        <is>
          <t>Q4/21</t>
        </is>
      </c>
      <c r="BB6" s="8" t="n">
        <v>2021</v>
      </c>
      <c r="BC6" s="8" t="inlineStr">
        <is>
          <t>Q1/22</t>
        </is>
      </c>
      <c r="BD6" s="8" t="inlineStr">
        <is>
          <t>Q2/22</t>
        </is>
      </c>
      <c r="BE6" s="8" t="inlineStr">
        <is>
          <t>Q3/22</t>
        </is>
      </c>
      <c r="BF6" s="8" t="inlineStr">
        <is>
          <t>Q4/22</t>
        </is>
      </c>
      <c r="BG6" s="8" t="n">
        <v>2022</v>
      </c>
      <c r="BH6" s="8" t="inlineStr">
        <is>
          <t>Q1/23</t>
        </is>
      </c>
      <c r="BI6" s="8" t="inlineStr">
        <is>
          <t>Q2/23</t>
        </is>
      </c>
      <c r="BJ6" s="8" t="inlineStr">
        <is>
          <t>Q3/23</t>
        </is>
      </c>
      <c r="BK6" s="8" t="inlineStr">
        <is>
          <t>Q4/23</t>
        </is>
      </c>
      <c r="BL6" s="8" t="n">
        <v>2023</v>
      </c>
      <c r="BM6" s="8" t="inlineStr">
        <is>
          <t>Q1/24</t>
        </is>
      </c>
      <c r="BN6" s="8" t="inlineStr">
        <is>
          <t>Q2/24</t>
        </is>
      </c>
      <c r="BO6" s="8" t="inlineStr">
        <is>
          <t>Q3/24</t>
        </is>
      </c>
      <c r="BP6" s="8" t="inlineStr">
        <is>
          <t>Q4/24</t>
        </is>
      </c>
      <c r="BQ6" s="8" t="n">
        <v>2024</v>
      </c>
      <c r="BR6" s="8" t="inlineStr">
        <is>
          <t>Q1/25</t>
        </is>
      </c>
      <c r="BS6" s="8" t="inlineStr">
        <is>
          <t>Q2/25</t>
        </is>
      </c>
      <c r="BT6" s="8" t="inlineStr">
        <is>
          <t>Q3/25</t>
        </is>
      </c>
      <c r="BU6" s="8" t="inlineStr">
        <is>
          <t>Q4/25</t>
        </is>
      </c>
      <c r="BV6" s="8" t="n">
        <v>2025</v>
      </c>
      <c r="BW6" s="8" t="inlineStr">
        <is>
          <t>Q1/26</t>
        </is>
      </c>
      <c r="BX6" s="8" t="inlineStr">
        <is>
          <t>Q2/26</t>
        </is>
      </c>
      <c r="BY6" s="8" t="inlineStr">
        <is>
          <t>Q3/26</t>
        </is>
      </c>
      <c r="BZ6" s="8" t="inlineStr">
        <is>
          <t>Q4/26E</t>
        </is>
      </c>
      <c r="CA6" s="8" t="inlineStr">
        <is>
          <t>2026E</t>
        </is>
      </c>
      <c r="CB6" s="8" t="inlineStr">
        <is>
          <t>2027E</t>
        </is>
      </c>
      <c r="CC6" s="8" t="inlineStr">
        <is>
          <t>2028E</t>
        </is>
      </c>
      <c r="CD6" s="8" t="inlineStr">
        <is>
          <t>2029E</t>
        </is>
      </c>
      <c r="CE6" s="8" t="inlineStr">
        <is>
          <t>2030E</t>
        </is>
      </c>
      <c r="CF6" s="8" t="inlineStr">
        <is>
          <t>2031E</t>
        </is>
      </c>
      <c r="CG6" s="8" t="inlineStr">
        <is>
          <t>Modelling Notes</t>
        </is>
      </c>
      <c r="CI6" s="6" t="inlineStr">
        <is>
          <t>5Y CAGR</t>
        </is>
      </c>
      <c r="CJ6" s="6" t="inlineStr">
        <is>
          <t>5Y CAGR</t>
        </is>
      </c>
      <c r="CK6" s="6" t="inlineStr">
        <is>
          <t>10Y CAGR</t>
        </is>
      </c>
      <c r="CL6" s="6" t="inlineStr">
        <is>
          <t>19Y CAGR</t>
        </is>
      </c>
    </row>
    <row r="7" ht="15" customHeight="1" s="251">
      <c r="CI7" s="9" t="inlineStr">
        <is>
          <t>26-'31</t>
        </is>
      </c>
      <c r="CJ7" s="9" t="inlineStr">
        <is>
          <t>20-'25</t>
        </is>
      </c>
      <c r="CK7" s="9" t="inlineStr">
        <is>
          <t>15-'25</t>
        </is>
      </c>
      <c r="CL7" s="9" t="inlineStr">
        <is>
          <t>06-'25</t>
        </is>
      </c>
    </row>
    <row r="8" ht="15" customHeight="1" s="251">
      <c r="B8" s="10" t="inlineStr">
        <is>
          <t>SEGMENT P&amp;L — SCORES · SOFTWARE (revenue streams × segment operating margin)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inlineStr">
        <is>
          <t>SEGMENT BUILD — modelling logic (revenue streams → segment revenue → segment operating income at the segment margin → + unallocated corporate expenses = non-GAAP operating income → GAAP P&amp;L)</t>
        </is>
      </c>
    </row>
    <row r="9" ht="15" customHeight="1" s="251">
      <c r="CO9" s="11" t="inlineStr">
        <is>
          <t>SCENARIO INPUT TABLE — driver assumptions per Bull / Base / Bear</t>
        </is>
      </c>
      <c r="CP9" s="12" t="inlineStr">
        <is>
          <t>Bull</t>
        </is>
      </c>
      <c r="CQ9" s="12" t="inlineStr">
        <is>
          <t>Base</t>
        </is>
      </c>
      <c r="CR9" s="12" t="inlineStr">
        <is>
          <t>Bear</t>
        </is>
      </c>
      <c r="CS9" s="13" t="inlineStr">
        <is>
          <t>Bull / Bear = Base + Δ (Δ inputs on each block header). Outlook block = FY26 guidance (point guidance: high = mid = low).</t>
        </is>
      </c>
    </row>
    <row r="10" ht="15" customHeight="1" s="251">
      <c r="B10" s="14" t="inlineStr">
        <is>
          <t>Scores (B2B and B2C scoring; "Scoring Solutions" product-line segment in FY2006–09)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5" t="inlineStr">
        <is>
          <t>SCORES — modelling logic</t>
        </is>
      </c>
    </row>
    <row r="11" ht="15" customHeight="1" s="251">
      <c r="B11" s="25" t="inlineStr">
        <is>
          <t xml:space="preserve">  B2B scores (FICO Scores sold to lenders through the credit bureaus; mortgage, auto, card, personal loans)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253" t="n">
        <v>302.103</v>
      </c>
      <c r="AS11" s="34" t="n"/>
      <c r="AT11" s="34" t="n"/>
      <c r="AU11" s="34" t="n"/>
      <c r="AV11" s="34" t="n"/>
      <c r="AW11" s="253" t="n">
        <v>381.929</v>
      </c>
      <c r="AX11" s="253" t="n">
        <v>100.144</v>
      </c>
      <c r="AY11" s="253" t="n">
        <v>119.319</v>
      </c>
      <c r="AZ11" s="253" t="n">
        <v>115.862</v>
      </c>
      <c r="BA11" s="253" t="n">
        <v>111.213</v>
      </c>
      <c r="BB11" s="253" t="n">
        <v>446.538</v>
      </c>
      <c r="BC11" s="253" t="n">
        <v>112.968</v>
      </c>
      <c r="BD11" s="253" t="n">
        <v>125.243</v>
      </c>
      <c r="BE11" s="253" t="n">
        <v>119.01</v>
      </c>
      <c r="BF11" s="253" t="n">
        <v>118.221</v>
      </c>
      <c r="BG11" s="253" t="n">
        <v>475.442</v>
      </c>
      <c r="BH11" s="253" t="n">
        <v>124.905</v>
      </c>
      <c r="BI11" s="253" t="n">
        <v>144.874</v>
      </c>
      <c r="BJ11" s="253" t="n">
        <v>148.128</v>
      </c>
      <c r="BK11" s="253" t="n">
        <v>143.088</v>
      </c>
      <c r="BL11" s="253" t="n">
        <v>560.995</v>
      </c>
      <c r="BM11" s="253" t="n">
        <v>140.442</v>
      </c>
      <c r="BN11" s="253" t="n">
        <v>185.508</v>
      </c>
      <c r="BO11" s="253" t="n">
        <v>188.754</v>
      </c>
      <c r="BP11" s="253" t="n">
        <v>197.139</v>
      </c>
      <c r="BQ11" s="253" t="n">
        <v>711.843</v>
      </c>
      <c r="BR11" s="253" t="n">
        <v>182.391</v>
      </c>
      <c r="BS11" s="253" t="n">
        <v>242.494</v>
      </c>
      <c r="BT11" s="253" t="n">
        <v>268.479</v>
      </c>
      <c r="BU11" s="253" t="n">
        <v>255.231</v>
      </c>
      <c r="BV11" s="253" t="n">
        <v>948.595</v>
      </c>
      <c r="BW11" s="253" t="n">
        <v>248.613</v>
      </c>
      <c r="BX11" s="253" t="n">
        <v>417.629</v>
      </c>
      <c r="BY11" s="253" t="n">
        <v>400.043</v>
      </c>
      <c r="BZ11" s="254">
        <f>BU11*(1+BZ12)</f>
        <v>384.144051480769</v>
      </c>
      <c r="CA11" s="254">
        <f>SUM(BW11:BZ11)</f>
        <v>1450.42905148077</v>
      </c>
      <c r="CB11" s="254">
        <f>CA11*(1+CB12)</f>
        <v>1667.99340920288</v>
      </c>
      <c r="CC11" s="254">
        <f>CB11*(1+CC12)</f>
        <v>1868.15261830723</v>
      </c>
      <c r="CD11" s="254">
        <f>CC11*(1+CD12)</f>
        <v>2054.96788013795</v>
      </c>
      <c r="CE11" s="254">
        <f>CD11*(1+CE12)</f>
        <v>2239.91498935037</v>
      </c>
      <c r="CF11" s="254">
        <f>CE11*(1+CF12)</f>
        <v>2419.1081884984</v>
      </c>
      <c r="CG11" s="19" t="inlineStr">
        <is>
          <t>Revenue streams from the 10-Q / 10-K MD&amp;A tables (first published in the FY2021 10-K: FY2019–21 annual; FY2021 quarters from the FY2022 10-Q comparatives; Q4 = fiscal year − nine months). Q4/26E: prior-year quarter × (1 + growth). 2027E+: prior year × (1 + scenario lever).</t>
        </is>
      </c>
      <c r="CI11" s="20">
        <f>IFERROR((CF11/CA11)^(1/5)-1,"n/m")</f>
        <v>0.107724497534894</v>
      </c>
      <c r="CJ11" s="20">
        <f>IFERROR((BV11/AW11)^(1/5)-1,"n/m")</f>
        <v>0.199553546529339</v>
      </c>
      <c r="CK11" s="20" t="str">
        <f>IFERROR((BV11/X11)^(1/10)-1,"n/m")</f>
        <v>n/m</v>
      </c>
      <c r="CL11" s="20" t="str">
        <f>IFERROR((BV11/C11)^(1/19)-1,"n/m")</f>
        <v>n/m</v>
      </c>
      <c r="CO11" s="15" t="inlineStr">
        <is>
          <t>FY26 guidance — Q3 FY26 release (29-Jul-2026; point guidance)</t>
        </is>
      </c>
      <c r="CP11" s="21" t="inlineStr">
        <is>
          <t>High</t>
        </is>
      </c>
      <c r="CQ11" s="21" t="inlineStr">
        <is>
          <t>Mid</t>
        </is>
      </c>
      <c r="CR11" s="21" t="inlineStr">
        <is>
          <t>Low</t>
        </is>
      </c>
      <c r="CS11" s="13" t="inlineStr">
        <is>
          <t>Revenue $2.53bn (raised from $2.45bn), GAAP net income $850m / EPS $36.86, non-GAAP net income $979m / EPS $42.43 (raised from $40.45); reconciliation: SBC $188m, income tax adjustments −$46m, excess tax benefit −$13m. No segment, margin, tax, interest or cash-flow guidance. Point guidance, so high = mid = low.</t>
        </is>
      </c>
    </row>
    <row r="12" ht="15" customHeight="1" s="251">
      <c r="B12" s="22" t="inlineStr">
        <is>
          <t xml:space="preserve">    y/y %</t>
        </is>
      </c>
      <c r="C12" s="23" t="n"/>
      <c r="D12" s="255">
        <f>IF(AND(ISNUMBER(D11),ISNUMBER(C11)),IFERROR(D11/C11-1,""),"")</f>
      </c>
      <c r="E12" s="255">
        <f>IF(AND(ISNUMBER(E11),ISNUMBER(D11)),IFERROR(E11/D11-1,""),"")</f>
      </c>
      <c r="F12" s="255">
        <f>IF(AND(ISNUMBER(F11),ISNUMBER(E11)),IFERROR(F11/E11-1,""),"")</f>
      </c>
      <c r="G12" s="255">
        <f>IF(AND(ISNUMBER(G11),ISNUMBER(F11)),IFERROR(G11/F11-1,""),"")</f>
      </c>
      <c r="H12" s="255">
        <f>IF(AND(ISNUMBER(H11),ISNUMBER(G11)),IFERROR(H11/G11-1,""),"")</f>
      </c>
      <c r="I12" s="255">
        <f>IF(AND(ISNUMBER(I11),ISNUMBER(H11)),IFERROR(I11/H11-1,""),"")</f>
      </c>
      <c r="J12" s="23" t="n"/>
      <c r="K12" s="23" t="n"/>
      <c r="L12" s="23" t="n"/>
      <c r="M12" s="23" t="n"/>
      <c r="N12" s="255">
        <f>IF(AND(ISNUMBER(N11),ISNUMBER(I11)),IFERROR(N11/I11-1,""),"")</f>
      </c>
      <c r="O12" s="255">
        <f>IF(AND(ISNUMBER(O11),ISNUMBER(J11)),IFERROR(O11/J11-1,""),"")</f>
      </c>
      <c r="P12" s="255">
        <f>IF(AND(ISNUMBER(P11),ISNUMBER(K11)),IFERROR(P11/K11-1,""),"")</f>
      </c>
      <c r="Q12" s="255">
        <f>IF(AND(ISNUMBER(Q11),ISNUMBER(L11)),IFERROR(Q11/L11-1,""),"")</f>
      </c>
      <c r="R12" s="255">
        <f>IF(AND(ISNUMBER(R11),ISNUMBER(M11)),IFERROR(R11/M11-1,""),"")</f>
      </c>
      <c r="S12" s="255">
        <f>IF(AND(ISNUMBER(S11),ISNUMBER(N11)),IFERROR(S11/N11-1,""),"")</f>
      </c>
      <c r="T12" s="255">
        <f>IF(AND(ISNUMBER(T11),ISNUMBER(O11)),IFERROR(T11/O11-1,""),"")</f>
      </c>
      <c r="U12" s="255">
        <f>IF(AND(ISNUMBER(U11),ISNUMBER(P11)),IFERROR(U11/P11-1,""),"")</f>
      </c>
      <c r="V12" s="255">
        <f>IF(AND(ISNUMBER(V11),ISNUMBER(Q11)),IFERROR(V11/Q11-1,""),"")</f>
      </c>
      <c r="W12" s="255">
        <f>IF(AND(ISNUMBER(W11),ISNUMBER(R11)),IFERROR(W11/R11-1,""),"")</f>
      </c>
      <c r="X12" s="255">
        <f>IF(AND(ISNUMBER(X11),ISNUMBER(S11)),IFERROR(X11/S11-1,""),"")</f>
      </c>
      <c r="Y12" s="255">
        <f>IF(AND(ISNUMBER(Y11),ISNUMBER(T11)),IFERROR(Y11/T11-1,""),"")</f>
      </c>
      <c r="Z12" s="255">
        <f>IF(AND(ISNUMBER(Z11),ISNUMBER(U11)),IFERROR(Z11/U11-1,""),"")</f>
      </c>
      <c r="AA12" s="255">
        <f>IF(AND(ISNUMBER(AA11),ISNUMBER(V11)),IFERROR(AA11/V11-1,""),"")</f>
      </c>
      <c r="AB12" s="255">
        <f>IF(AND(ISNUMBER(AB11),ISNUMBER(W11)),IFERROR(AB11/W11-1,""),"")</f>
      </c>
      <c r="AC12" s="255">
        <f>IF(AND(ISNUMBER(AC11),ISNUMBER(X11)),IFERROR(AC11/X11-1,""),"")</f>
      </c>
      <c r="AD12" s="255">
        <f>IF(AND(ISNUMBER(AD11),ISNUMBER(Y11)),IFERROR(AD11/Y11-1,""),"")</f>
      </c>
      <c r="AE12" s="255">
        <f>IF(AND(ISNUMBER(AE11),ISNUMBER(Z11)),IFERROR(AE11/Z11-1,""),"")</f>
      </c>
      <c r="AF12" s="255">
        <f>IF(AND(ISNUMBER(AF11),ISNUMBER(AA11)),IFERROR(AF11/AA11-1,""),"")</f>
      </c>
      <c r="AG12" s="255">
        <f>IF(AND(ISNUMBER(AG11),ISNUMBER(AB11)),IFERROR(AG11/AB11-1,""),"")</f>
      </c>
      <c r="AH12" s="255">
        <f>IF(AND(ISNUMBER(AH11),ISNUMBER(AC11)),IFERROR(AH11/AC11-1,""),"")</f>
      </c>
      <c r="AI12" s="255">
        <f>IF(AND(ISNUMBER(AI11),ISNUMBER(AD11)),IFERROR(AI11/AD11-1,""),"")</f>
      </c>
      <c r="AJ12" s="255">
        <f>IF(AND(ISNUMBER(AJ11),ISNUMBER(AE11)),IFERROR(AJ11/AE11-1,""),"")</f>
      </c>
      <c r="AK12" s="255">
        <f>IF(AND(ISNUMBER(AK11),ISNUMBER(AF11)),IFERROR(AK11/AF11-1,""),"")</f>
      </c>
      <c r="AL12" s="255">
        <f>IF(AND(ISNUMBER(AL11),ISNUMBER(AG11)),IFERROR(AL11/AG11-1,""),"")</f>
      </c>
      <c r="AM12" s="255">
        <f>IF(AND(ISNUMBER(AM11),ISNUMBER(AH11)),IFERROR(AM11/AH11-1,""),"")</f>
      </c>
      <c r="AN12" s="255">
        <f>IF(AND(ISNUMBER(AN11),ISNUMBER(AI11)),IFERROR(AN11/AI11-1,""),"")</f>
      </c>
      <c r="AO12" s="255">
        <f>IF(AND(ISNUMBER(AO11),ISNUMBER(AJ11)),IFERROR(AO11/AJ11-1,""),"")</f>
      </c>
      <c r="AP12" s="255">
        <f>IF(AND(ISNUMBER(AP11),ISNUMBER(AK11)),IFERROR(AP11/AK11-1,""),"")</f>
      </c>
      <c r="AQ12" s="255">
        <f>IF(AND(ISNUMBER(AQ11),ISNUMBER(AL11)),IFERROR(AQ11/AL11-1,""),"")</f>
      </c>
      <c r="AR12" s="255">
        <f>IF(AND(ISNUMBER(AR11),ISNUMBER(AM11)),IFERROR(AR11/AM11-1,""),"")</f>
      </c>
      <c r="AS12" s="255">
        <f>IF(AND(ISNUMBER(AS11),ISNUMBER(AN11)),IFERROR(AS11/AN11-1,""),"")</f>
      </c>
      <c r="AT12" s="255">
        <f>IF(AND(ISNUMBER(AT11),ISNUMBER(AO11)),IFERROR(AT11/AO11-1,""),"")</f>
      </c>
      <c r="AU12" s="255">
        <f>IF(AND(ISNUMBER(AU11),ISNUMBER(AP11)),IFERROR(AU11/AP11-1,""),"")</f>
      </c>
      <c r="AV12" s="255">
        <f>IF(AND(ISNUMBER(AV11),ISNUMBER(AQ11)),IFERROR(AV11/AQ11-1,""),"")</f>
      </c>
      <c r="AW12" s="255">
        <f>IF(AND(ISNUMBER(AW11),ISNUMBER(AR11)),IFERROR(AW11/AR11-1,""),"")</f>
        <v>0.264234383637369</v>
      </c>
      <c r="AX12" s="255">
        <f>IF(AND(ISNUMBER(AX11),ISNUMBER(AS11)),IFERROR(AX11/AS11-1,""),"")</f>
      </c>
      <c r="AY12" s="255">
        <f>IF(AND(ISNUMBER(AY11),ISNUMBER(AT11)),IFERROR(AY11/AT11-1,""),"")</f>
      </c>
      <c r="AZ12" s="255">
        <f>IF(AND(ISNUMBER(AZ11),ISNUMBER(AU11)),IFERROR(AZ11/AU11-1,""),"")</f>
      </c>
      <c r="BA12" s="255">
        <f>IF(AND(ISNUMBER(BA11),ISNUMBER(AV11)),IFERROR(BA11/AV11-1,""),"")</f>
      </c>
      <c r="BB12" s="255">
        <f>IF(AND(ISNUMBER(BB11),ISNUMBER(AW11)),IFERROR(BB11/AW11-1,""),"")</f>
        <v>0.169164949506322</v>
      </c>
      <c r="BC12" s="255">
        <f>IF(AND(ISNUMBER(BC11),ISNUMBER(AX11)),IFERROR(BC11/AX11-1,""),"")</f>
        <v>0.128055599936092</v>
      </c>
      <c r="BD12" s="255">
        <f>IF(AND(ISNUMBER(BD11),ISNUMBER(AY11)),IFERROR(BD11/AY11-1,""),"")</f>
        <v>0.0496484214584432</v>
      </c>
      <c r="BE12" s="255">
        <f>IF(AND(ISNUMBER(BE11),ISNUMBER(AZ11)),IFERROR(BE11/AZ11-1,""),"")</f>
        <v>0.0271702542680086</v>
      </c>
      <c r="BF12" s="255">
        <f>IF(AND(ISNUMBER(BF11),ISNUMBER(BA11)),IFERROR(BF11/BA11-1,""),"")</f>
        <v>0.0630142159639611</v>
      </c>
      <c r="BG12" s="255">
        <f>IF(AND(ISNUMBER(BG11),ISNUMBER(BB11)),IFERROR(BG11/BB11-1,""),"")</f>
        <v>0.0647290936045757</v>
      </c>
      <c r="BH12" s="255">
        <f>IF(AND(ISNUMBER(BH11),ISNUMBER(BC11)),IFERROR(BH11/BC11-1,""),"")</f>
        <v>0.105667091565753</v>
      </c>
      <c r="BI12" s="255">
        <f>IF(AND(ISNUMBER(BI11),ISNUMBER(BD11)),IFERROR(BI11/BD11-1,""),"")</f>
        <v>0.156743291042214</v>
      </c>
      <c r="BJ12" s="255">
        <f>IF(AND(ISNUMBER(BJ11),ISNUMBER(BE11)),IFERROR(BJ11/BE11-1,""),"")</f>
        <v>0.244668515250819</v>
      </c>
      <c r="BK12" s="255">
        <f>IF(AND(ISNUMBER(BK11),ISNUMBER(BF11)),IFERROR(BK11/BF11-1,""),"")</f>
        <v>0.210343340015733</v>
      </c>
      <c r="BL12" s="255">
        <f>IF(AND(ISNUMBER(BL11),ISNUMBER(BG11)),IFERROR(BL11/BG11-1,""),"")</f>
        <v>0.179944136193269</v>
      </c>
      <c r="BM12" s="255">
        <f>IF(AND(ISNUMBER(BM11),ISNUMBER(BH11)),IFERROR(BM11/BH11-1,""),"")</f>
        <v>0.124390536807974</v>
      </c>
      <c r="BN12" s="255">
        <f>IF(AND(ISNUMBER(BN11),ISNUMBER(BI11)),IFERROR(BN11/BI11-1,""),"")</f>
        <v>0.280478208650276</v>
      </c>
      <c r="BO12" s="255">
        <f>IF(AND(ISNUMBER(BO11),ISNUMBER(BJ11)),IFERROR(BO11/BJ11-1,""),"")</f>
        <v>0.274262799740765</v>
      </c>
      <c r="BP12" s="255">
        <f>IF(AND(ISNUMBER(BP11),ISNUMBER(BK11)),IFERROR(BP11/BK11-1,""),"")</f>
        <v>0.377746561556525</v>
      </c>
      <c r="BQ12" s="255">
        <f>IF(AND(ISNUMBER(BQ11),ISNUMBER(BL11)),IFERROR(BQ11/BL11-1,""),"")</f>
        <v>0.268893662153852</v>
      </c>
      <c r="BR12" s="255">
        <f>IF(AND(ISNUMBER(BR11),ISNUMBER(BM11)),IFERROR(BR11/BM11-1,""),"")</f>
        <v>0.298692698765326</v>
      </c>
      <c r="BS12" s="255">
        <f>IF(AND(ISNUMBER(BS11),ISNUMBER(BN11)),IFERROR(BS11/BN11-1,""),"")</f>
        <v>0.30718890829506</v>
      </c>
      <c r="BT12" s="255">
        <f>IF(AND(ISNUMBER(BT11),ISNUMBER(BO11)),IFERROR(BT11/BO11-1,""),"")</f>
        <v>0.422375154963603</v>
      </c>
      <c r="BU12" s="255">
        <f>IF(AND(ISNUMBER(BU11),ISNUMBER(BP11)),IFERROR(BU11/BP11-1,""),"")</f>
        <v>0.294675330604294</v>
      </c>
      <c r="BV12" s="255">
        <f>IF(AND(ISNUMBER(BV11),ISNUMBER(BQ11)),IFERROR(BV11/BQ11-1,""),"")</f>
        <v>0.332590191938391</v>
      </c>
      <c r="BW12" s="255">
        <f>IF(AND(ISNUMBER(BW11),ISNUMBER(BR11)),IFERROR(BW11/BR11-1,""),"")</f>
        <v>0.363077125516062</v>
      </c>
      <c r="BX12" s="255">
        <f>IF(AND(ISNUMBER(BX11),ISNUMBER(BS11)),IFERROR(BX11/BS11-1,""),"")</f>
        <v>0.722224055028166</v>
      </c>
      <c r="BY12" s="255">
        <f>IF(AND(ISNUMBER(BY11),ISNUMBER(BT11)),IFERROR(BY11/BT11-1,""),"")</f>
        <v>0.490034602333888</v>
      </c>
      <c r="BZ12" s="256">
        <f>BZ13+$BZ$97</f>
        <v>0.50508383182595</v>
      </c>
      <c r="CA12" s="256">
        <f>IF(AND(ISNUMBER(CA11),ISNUMBER(BV11)),IFERROR(CA11/BV11-1,""),"")</f>
        <v>0.529028775695391</v>
      </c>
      <c r="CB12" s="256">
        <f>CHOOSE(MATCH($CG$2,{"Bull","Base","Bear"},0),$CP$33,$CQ$33,$CR$33)</f>
        <v>0.15</v>
      </c>
      <c r="CC12" s="256">
        <f>CHOOSE(MATCH($CG$2,{"Bull","Base","Bear"},0),$CP$34,$CQ$34,$CR$34)</f>
        <v>0.12</v>
      </c>
      <c r="CD12" s="256">
        <f>CHOOSE(MATCH($CG$2,{"Bull","Base","Bear"},0),$CP$35,$CQ$35,$CR$35)</f>
        <v>0.1</v>
      </c>
      <c r="CE12" s="256">
        <f>CHOOSE(MATCH($CG$2,{"Bull","Base","Bear"},0),$CP$36,$CQ$36,$CR$36)</f>
        <v>0.09</v>
      </c>
      <c r="CF12" s="256">
        <f>CHOOSE(MATCH($CG$2,{"Bull","Base","Bear"},0),$CP$37,$CQ$37,$CR$37)</f>
        <v>0.08</v>
      </c>
      <c r="CG12" s="153" t="inlineStr">
        <is>
          <t>Q4/26E: 9M FY26 y/y growth of the stream + revenue-guidance calibration Δ (Group block). 2027E–2031E: scenario lever (Bull/Base/Bear table →).</t>
        </is>
      </c>
      <c r="CO12" s="25" t="inlineStr">
        <is>
          <t xml:space="preserve">  FY26 revenue ($m)</t>
        </is>
      </c>
      <c r="CP12" s="257" t="n">
        <v>2530</v>
      </c>
      <c r="CQ12" s="257" t="n">
        <v>2530</v>
      </c>
      <c r="CR12" s="257" t="n">
        <v>2530</v>
      </c>
      <c r="CS12" s="13" t="inlineStr">
        <is>
          <t>Guided $2.53bn. Drives the Q4/26E revenue calibration.</t>
        </is>
      </c>
    </row>
    <row r="13" ht="15" customHeight="1" s="251">
      <c r="B13" s="25" t="inlineStr">
        <is>
          <t xml:space="preserve">    Q4/26E growth before revenue calibration (9M FY26 y/y)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36" t="n"/>
      <c r="BZ13" s="256">
        <f>IFERROR(SUM(BW11:BY11)/SUM(BR11:BT11)-1,0)</f>
        <v>0.537843037711793</v>
      </c>
      <c r="CA13" s="24" t="n"/>
      <c r="CB13" s="46" t="n"/>
      <c r="CC13" s="46" t="n"/>
      <c r="CD13" s="46" t="n"/>
      <c r="CE13" s="46" t="n"/>
      <c r="CF13" s="46" t="n"/>
      <c r="CG13" s="19" t="n"/>
      <c r="CO13" s="25" t="inlineStr">
        <is>
          <t xml:space="preserve">  FY26 non-GAAP EPS ($)</t>
        </is>
      </c>
      <c r="CP13" s="258" t="n">
        <v>42.43</v>
      </c>
      <c r="CQ13" s="258" t="n">
        <v>42.43</v>
      </c>
      <c r="CR13" s="258" t="n">
        <v>42.43</v>
      </c>
      <c r="CS13" s="13" t="inlineStr">
        <is>
          <t>Guided $42.43. Drives the Q4/26E segment-margin calibration.</t>
        </is>
      </c>
    </row>
    <row r="14" ht="15" customHeight="1" s="251">
      <c r="B14" s="25" t="inlineStr">
        <is>
          <t xml:space="preserve">  B2C scores (myFICO.com subscriptions; royalties on scores sold to consumers through the bureaus)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253" t="n">
        <v>119.074</v>
      </c>
      <c r="AS14" s="34" t="n"/>
      <c r="AT14" s="34" t="n"/>
      <c r="AU14" s="34" t="n"/>
      <c r="AV14" s="34" t="n"/>
      <c r="AW14" s="253" t="n">
        <v>146.618</v>
      </c>
      <c r="AX14" s="253" t="n">
        <v>44.507</v>
      </c>
      <c r="AY14" s="253" t="n">
        <v>49.4</v>
      </c>
      <c r="AZ14" s="253" t="n">
        <v>56.34</v>
      </c>
      <c r="BA14" s="253" t="n">
        <v>57.362</v>
      </c>
      <c r="BB14" s="253" t="n">
        <v>207.609</v>
      </c>
      <c r="BC14" s="253" t="n">
        <v>56.519</v>
      </c>
      <c r="BD14" s="253" t="n">
        <v>58.499</v>
      </c>
      <c r="BE14" s="253" t="n">
        <v>60.345</v>
      </c>
      <c r="BF14" s="253" t="n">
        <v>55.838</v>
      </c>
      <c r="BG14" s="253" t="n">
        <v>231.201</v>
      </c>
      <c r="BH14" s="253" t="n">
        <v>53.083</v>
      </c>
      <c r="BI14" s="253" t="n">
        <v>53.633</v>
      </c>
      <c r="BJ14" s="253" t="n">
        <v>53.65</v>
      </c>
      <c r="BK14" s="253" t="n">
        <v>52.467</v>
      </c>
      <c r="BL14" s="253" t="n">
        <v>212.833</v>
      </c>
      <c r="BM14" s="253" t="n">
        <v>51.67</v>
      </c>
      <c r="BN14" s="253" t="n">
        <v>51.377</v>
      </c>
      <c r="BO14" s="253" t="n">
        <v>52.696</v>
      </c>
      <c r="BP14" s="253" t="n">
        <v>52.064</v>
      </c>
      <c r="BQ14" s="253" t="n">
        <v>207.807</v>
      </c>
      <c r="BR14" s="253" t="n">
        <v>53.284</v>
      </c>
      <c r="BS14" s="253" t="n">
        <v>54.545</v>
      </c>
      <c r="BT14" s="253" t="n">
        <v>55.83</v>
      </c>
      <c r="BU14" s="253" t="n">
        <v>56.321</v>
      </c>
      <c r="BV14" s="253" t="n">
        <v>219.98</v>
      </c>
      <c r="BW14" s="253" t="n">
        <v>55.921</v>
      </c>
      <c r="BX14" s="253" t="n">
        <v>57.344</v>
      </c>
      <c r="BY14" s="253" t="n">
        <v>58.854</v>
      </c>
      <c r="BZ14" s="254">
        <f>BU14*(1+BZ15)</f>
        <v>57.387361722611</v>
      </c>
      <c r="CA14" s="254">
        <f>SUM(BW14:BZ14)</f>
        <v>229.506361722611</v>
      </c>
      <c r="CB14" s="254">
        <f>CA14*(1+CB15)</f>
        <v>238.686616191515</v>
      </c>
      <c r="CC14" s="254">
        <f>CB14*(1+CC15)</f>
        <v>248.234080839176</v>
      </c>
      <c r="CD14" s="254">
        <f>CC14*(1+CD15)</f>
        <v>258.163444072743</v>
      </c>
      <c r="CE14" s="254">
        <f>CD14*(1+CE15)</f>
        <v>265.908347394925</v>
      </c>
      <c r="CF14" s="254">
        <f>CE14*(1+CF15)</f>
        <v>273.885597816773</v>
      </c>
      <c r="CG14" s="19" t="n"/>
      <c r="CI14" s="20">
        <f>IFERROR((CF14/CA14)^(1/5)-1,"n/m")</f>
        <v>0.0359884019944621</v>
      </c>
      <c r="CJ14" s="20">
        <f>IFERROR((BV14/AW14)^(1/5)-1,"n/m")</f>
        <v>0.084524035325471</v>
      </c>
      <c r="CK14" s="20" t="str">
        <f>IFERROR((BV14/X14)^(1/10)-1,"n/m")</f>
        <v>n/m</v>
      </c>
      <c r="CL14" s="20" t="str">
        <f>IFERROR((BV14/C14)^(1/19)-1,"n/m")</f>
        <v>n/m</v>
      </c>
      <c r="CO14" s="25" t="inlineStr">
        <is>
          <t xml:space="preserve">  FY26 GAAP net income ($m) — memo</t>
        </is>
      </c>
      <c r="CP14" s="257" t="n">
        <v>850</v>
      </c>
      <c r="CQ14" s="257" t="n">
        <v>850</v>
      </c>
      <c r="CR14" s="257" t="n">
        <v>850</v>
      </c>
      <c r="CS14" s="13" t="inlineStr">
        <is>
          <t>Guided $850m (information row; excludes the $27m Q4 restructuring announced 6-Oct-2026).</t>
        </is>
      </c>
    </row>
    <row r="15" ht="15" customHeight="1" s="251">
      <c r="B15" s="22" t="inlineStr">
        <is>
          <t xml:space="preserve">    y/y %</t>
        </is>
      </c>
      <c r="C15" s="23" t="n"/>
      <c r="D15" s="255">
        <f>IF(AND(ISNUMBER(D14),ISNUMBER(C14)),IFERROR(D14/C14-1,""),"")</f>
      </c>
      <c r="E15" s="255">
        <f>IF(AND(ISNUMBER(E14),ISNUMBER(D14)),IFERROR(E14/D14-1,""),"")</f>
      </c>
      <c r="F15" s="255">
        <f>IF(AND(ISNUMBER(F14),ISNUMBER(E14)),IFERROR(F14/E14-1,""),"")</f>
      </c>
      <c r="G15" s="255">
        <f>IF(AND(ISNUMBER(G14),ISNUMBER(F14)),IFERROR(G14/F14-1,""),"")</f>
      </c>
      <c r="H15" s="255">
        <f>IF(AND(ISNUMBER(H14),ISNUMBER(G14)),IFERROR(H14/G14-1,""),"")</f>
      </c>
      <c r="I15" s="255">
        <f>IF(AND(ISNUMBER(I14),ISNUMBER(H14)),IFERROR(I14/H14-1,""),"")</f>
      </c>
      <c r="J15" s="23" t="n"/>
      <c r="K15" s="23" t="n"/>
      <c r="L15" s="23" t="n"/>
      <c r="M15" s="23" t="n"/>
      <c r="N15" s="255">
        <f>IF(AND(ISNUMBER(N14),ISNUMBER(I14)),IFERROR(N14/I14-1,""),"")</f>
      </c>
      <c r="O15" s="255">
        <f>IF(AND(ISNUMBER(O14),ISNUMBER(J14)),IFERROR(O14/J14-1,""),"")</f>
      </c>
      <c r="P15" s="255">
        <f>IF(AND(ISNUMBER(P14),ISNUMBER(K14)),IFERROR(P14/K14-1,""),"")</f>
      </c>
      <c r="Q15" s="255">
        <f>IF(AND(ISNUMBER(Q14),ISNUMBER(L14)),IFERROR(Q14/L14-1,""),"")</f>
      </c>
      <c r="R15" s="255">
        <f>IF(AND(ISNUMBER(R14),ISNUMBER(M14)),IFERROR(R14/M14-1,""),"")</f>
      </c>
      <c r="S15" s="255">
        <f>IF(AND(ISNUMBER(S14),ISNUMBER(N14)),IFERROR(S14/N14-1,""),"")</f>
      </c>
      <c r="T15" s="255">
        <f>IF(AND(ISNUMBER(T14),ISNUMBER(O14)),IFERROR(T14/O14-1,""),"")</f>
      </c>
      <c r="U15" s="255">
        <f>IF(AND(ISNUMBER(U14),ISNUMBER(P14)),IFERROR(U14/P14-1,""),"")</f>
      </c>
      <c r="V15" s="255">
        <f>IF(AND(ISNUMBER(V14),ISNUMBER(Q14)),IFERROR(V14/Q14-1,""),"")</f>
      </c>
      <c r="W15" s="255">
        <f>IF(AND(ISNUMBER(W14),ISNUMBER(R14)),IFERROR(W14/R14-1,""),"")</f>
      </c>
      <c r="X15" s="255">
        <f>IF(AND(ISNUMBER(X14),ISNUMBER(S14)),IFERROR(X14/S14-1,""),"")</f>
      </c>
      <c r="Y15" s="255">
        <f>IF(AND(ISNUMBER(Y14),ISNUMBER(T14)),IFERROR(Y14/T14-1,""),"")</f>
      </c>
      <c r="Z15" s="255">
        <f>IF(AND(ISNUMBER(Z14),ISNUMBER(U14)),IFERROR(Z14/U14-1,""),"")</f>
      </c>
      <c r="AA15" s="255">
        <f>IF(AND(ISNUMBER(AA14),ISNUMBER(V14)),IFERROR(AA14/V14-1,""),"")</f>
      </c>
      <c r="AB15" s="255">
        <f>IF(AND(ISNUMBER(AB14),ISNUMBER(W14)),IFERROR(AB14/W14-1,""),"")</f>
      </c>
      <c r="AC15" s="255">
        <f>IF(AND(ISNUMBER(AC14),ISNUMBER(X14)),IFERROR(AC14/X14-1,""),"")</f>
      </c>
      <c r="AD15" s="255">
        <f>IF(AND(ISNUMBER(AD14),ISNUMBER(Y14)),IFERROR(AD14/Y14-1,""),"")</f>
      </c>
      <c r="AE15" s="255">
        <f>IF(AND(ISNUMBER(AE14),ISNUMBER(Z14)),IFERROR(AE14/Z14-1,""),"")</f>
      </c>
      <c r="AF15" s="255">
        <f>IF(AND(ISNUMBER(AF14),ISNUMBER(AA14)),IFERROR(AF14/AA14-1,""),"")</f>
      </c>
      <c r="AG15" s="255">
        <f>IF(AND(ISNUMBER(AG14),ISNUMBER(AB14)),IFERROR(AG14/AB14-1,""),"")</f>
      </c>
      <c r="AH15" s="255">
        <f>IF(AND(ISNUMBER(AH14),ISNUMBER(AC14)),IFERROR(AH14/AC14-1,""),"")</f>
      </c>
      <c r="AI15" s="255">
        <f>IF(AND(ISNUMBER(AI14),ISNUMBER(AD14)),IFERROR(AI14/AD14-1,""),"")</f>
      </c>
      <c r="AJ15" s="255">
        <f>IF(AND(ISNUMBER(AJ14),ISNUMBER(AE14)),IFERROR(AJ14/AE14-1,""),"")</f>
      </c>
      <c r="AK15" s="255">
        <f>IF(AND(ISNUMBER(AK14),ISNUMBER(AF14)),IFERROR(AK14/AF14-1,""),"")</f>
      </c>
      <c r="AL15" s="255">
        <f>IF(AND(ISNUMBER(AL14),ISNUMBER(AG14)),IFERROR(AL14/AG14-1,""),"")</f>
      </c>
      <c r="AM15" s="255">
        <f>IF(AND(ISNUMBER(AM14),ISNUMBER(AH14)),IFERROR(AM14/AH14-1,""),"")</f>
      </c>
      <c r="AN15" s="255">
        <f>IF(AND(ISNUMBER(AN14),ISNUMBER(AI14)),IFERROR(AN14/AI14-1,""),"")</f>
      </c>
      <c r="AO15" s="255">
        <f>IF(AND(ISNUMBER(AO14),ISNUMBER(AJ14)),IFERROR(AO14/AJ14-1,""),"")</f>
      </c>
      <c r="AP15" s="255">
        <f>IF(AND(ISNUMBER(AP14),ISNUMBER(AK14)),IFERROR(AP14/AK14-1,""),"")</f>
      </c>
      <c r="AQ15" s="255">
        <f>IF(AND(ISNUMBER(AQ14),ISNUMBER(AL14)),IFERROR(AQ14/AL14-1,""),"")</f>
      </c>
      <c r="AR15" s="255">
        <f>IF(AND(ISNUMBER(AR14),ISNUMBER(AM14)),IFERROR(AR14/AM14-1,""),"")</f>
      </c>
      <c r="AS15" s="255">
        <f>IF(AND(ISNUMBER(AS14),ISNUMBER(AN14)),IFERROR(AS14/AN14-1,""),"")</f>
      </c>
      <c r="AT15" s="255">
        <f>IF(AND(ISNUMBER(AT14),ISNUMBER(AO14)),IFERROR(AT14/AO14-1,""),"")</f>
      </c>
      <c r="AU15" s="255">
        <f>IF(AND(ISNUMBER(AU14),ISNUMBER(AP14)),IFERROR(AU14/AP14-1,""),"")</f>
      </c>
      <c r="AV15" s="255">
        <f>IF(AND(ISNUMBER(AV14),ISNUMBER(AQ14)),IFERROR(AV14/AQ14-1,""),"")</f>
      </c>
      <c r="AW15" s="255">
        <f>IF(AND(ISNUMBER(AW14),ISNUMBER(AR14)),IFERROR(AW14/AR14-1,""),"")</f>
        <v>0.231318339855888</v>
      </c>
      <c r="AX15" s="255">
        <f>IF(AND(ISNUMBER(AX14),ISNUMBER(AS14)),IFERROR(AX14/AS14-1,""),"")</f>
      </c>
      <c r="AY15" s="255">
        <f>IF(AND(ISNUMBER(AY14),ISNUMBER(AT14)),IFERROR(AY14/AT14-1,""),"")</f>
      </c>
      <c r="AZ15" s="255">
        <f>IF(AND(ISNUMBER(AZ14),ISNUMBER(AU14)),IFERROR(AZ14/AU14-1,""),"")</f>
      </c>
      <c r="BA15" s="255">
        <f>IF(AND(ISNUMBER(BA14),ISNUMBER(AV14)),IFERROR(BA14/AV14-1,""),"")</f>
      </c>
      <c r="BB15" s="255">
        <f>IF(AND(ISNUMBER(BB14),ISNUMBER(AW14)),IFERROR(BB14/AW14-1,""),"")</f>
        <v>0.415985758910912</v>
      </c>
      <c r="BC15" s="255">
        <f>IF(AND(ISNUMBER(BC14),ISNUMBER(AX14)),IFERROR(BC14/AX14-1,""),"")</f>
        <v>0.269890129642528</v>
      </c>
      <c r="BD15" s="255">
        <f>IF(AND(ISNUMBER(BD14),ISNUMBER(AY14)),IFERROR(BD14/AY14-1,""),"")</f>
        <v>0.18419028340081</v>
      </c>
      <c r="BE15" s="255">
        <f>IF(AND(ISNUMBER(BE14),ISNUMBER(AZ14)),IFERROR(BE14/AZ14-1,""),"")</f>
        <v>0.0710862619808306</v>
      </c>
      <c r="BF15" s="255">
        <f>IF(AND(ISNUMBER(BF14),ISNUMBER(BA14)),IFERROR(BF14/BA14-1,""),"")</f>
        <v>-0.0265681112931906</v>
      </c>
      <c r="BG15" s="255">
        <f>IF(AND(ISNUMBER(BG14),ISNUMBER(BB14)),IFERROR(BG14/BB14-1,""),"")</f>
        <v>0.113636692050923</v>
      </c>
      <c r="BH15" s="255">
        <f>IF(AND(ISNUMBER(BH14),ISNUMBER(BC14)),IFERROR(BH14/BC14-1,""),"")</f>
        <v>-0.0607937153877457</v>
      </c>
      <c r="BI15" s="255">
        <f>IF(AND(ISNUMBER(BI14),ISNUMBER(BD14)),IFERROR(BI14/BD14-1,""),"")</f>
        <v>-0.0831809090753688</v>
      </c>
      <c r="BJ15" s="255">
        <f>IF(AND(ISNUMBER(BJ14),ISNUMBER(BE14)),IFERROR(BJ14/BE14-1,""),"")</f>
        <v>-0.110945397298865</v>
      </c>
      <c r="BK15" s="255">
        <f>IF(AND(ISNUMBER(BK14),ISNUMBER(BF14)),IFERROR(BK14/BF14-1,""),"")</f>
        <v>-0.0603710734625166</v>
      </c>
      <c r="BL15" s="255">
        <f>IF(AND(ISNUMBER(BL14),ISNUMBER(BG14)),IFERROR(BL14/BG14-1,""),"")</f>
        <v>-0.0794460231573393</v>
      </c>
      <c r="BM15" s="255">
        <f>IF(AND(ISNUMBER(BM14),ISNUMBER(BH14)),IFERROR(BM14/BH14-1,""),"")</f>
        <v>-0.026618691483149</v>
      </c>
      <c r="BN15" s="255">
        <f>IF(AND(ISNUMBER(BN14),ISNUMBER(BI14)),IFERROR(BN14/BI14-1,""),"")</f>
        <v>-0.0420636548393712</v>
      </c>
      <c r="BO15" s="255">
        <f>IF(AND(ISNUMBER(BO14),ISNUMBER(BJ14)),IFERROR(BO14/BJ14-1,""),"")</f>
        <v>-0.0177819198508854</v>
      </c>
      <c r="BP15" s="255">
        <f>IF(AND(ISNUMBER(BP14),ISNUMBER(BK14)),IFERROR(BP14/BK14-1,""),"")</f>
        <v>-0.00768101854499015</v>
      </c>
      <c r="BQ15" s="255">
        <f>IF(AND(ISNUMBER(BQ14),ISNUMBER(BL14)),IFERROR(BQ14/BL14-1,""),"")</f>
        <v>-0.0236147589894424</v>
      </c>
      <c r="BR15" s="255">
        <f>IF(AND(ISNUMBER(BR14),ISNUMBER(BM14)),IFERROR(BR14/BM14-1,""),"")</f>
        <v>0.0312366944068123</v>
      </c>
      <c r="BS15" s="255">
        <f>IF(AND(ISNUMBER(BS14),ISNUMBER(BN14)),IFERROR(BS14/BN14-1,""),"")</f>
        <v>0.0616618331159857</v>
      </c>
      <c r="BT15" s="255">
        <f>IF(AND(ISNUMBER(BT14),ISNUMBER(BO14)),IFERROR(BT14/BO14-1,""),"")</f>
        <v>0.0594732047973281</v>
      </c>
      <c r="BU15" s="255">
        <f>IF(AND(ISNUMBER(BU14),ISNUMBER(BP14)),IFERROR(BU14/BP14-1,""),"")</f>
        <v>0.0817647510755992</v>
      </c>
      <c r="BV15" s="255">
        <f>IF(AND(ISNUMBER(BV14),ISNUMBER(BQ14)),IFERROR(BV14/BQ14-1,""),"")</f>
        <v>0.0585783924506875</v>
      </c>
      <c r="BW15" s="255">
        <f>IF(AND(ISNUMBER(BW14),ISNUMBER(BR14)),IFERROR(BW14/BR14-1,""),"")</f>
        <v>0.0494895278132272</v>
      </c>
      <c r="BX15" s="255">
        <f>IF(AND(ISNUMBER(BX14),ISNUMBER(BS14)),IFERROR(BX14/BS14-1,""),"")</f>
        <v>0.0513154276285637</v>
      </c>
      <c r="BY15" s="255">
        <f>IF(AND(ISNUMBER(BY14),ISNUMBER(BT14)),IFERROR(BY14/BT14-1,""),"")</f>
        <v>0.0541644277270286</v>
      </c>
      <c r="BZ15" s="256">
        <f>BZ16+$BZ$97</f>
        <v>0.0189336432700236</v>
      </c>
      <c r="CA15" s="256">
        <f>IF(AND(ISNUMBER(CA14),ISNUMBER(BV14)),IFERROR(CA14/BV14-1,""),"")</f>
        <v>0.0433055810646923</v>
      </c>
      <c r="CB15" s="256">
        <f>CHOOSE(MATCH($CG$2,{"Bull","Base","Bear"},0),$CP$39,$CQ$39,$CR$39)</f>
        <v>0.04</v>
      </c>
      <c r="CC15" s="256">
        <f>CHOOSE(MATCH($CG$2,{"Bull","Base","Bear"},0),$CP$40,$CQ$40,$CR$40)</f>
        <v>0.04</v>
      </c>
      <c r="CD15" s="256">
        <f>CHOOSE(MATCH($CG$2,{"Bull","Base","Bear"},0),$CP$41,$CQ$41,$CR$41)</f>
        <v>0.04</v>
      </c>
      <c r="CE15" s="256">
        <f>CHOOSE(MATCH($CG$2,{"Bull","Base","Bear"},0),$CP$42,$CQ$42,$CR$42)</f>
        <v>0.03</v>
      </c>
      <c r="CF15" s="256">
        <f>CHOOSE(MATCH($CG$2,{"Bull","Base","Bear"},0),$CP$43,$CQ$43,$CR$43)</f>
        <v>0.03</v>
      </c>
      <c r="CG15" s="153" t="n"/>
      <c r="CO15" s="25" t="inlineStr">
        <is>
          <t xml:space="preserve">  FY26 GAAP EPS ($) — memo</t>
        </is>
      </c>
      <c r="CP15" s="258" t="n">
        <v>36.86</v>
      </c>
      <c r="CQ15" s="258" t="n">
        <v>36.86</v>
      </c>
      <c r="CR15" s="258" t="n">
        <v>36.86</v>
      </c>
      <c r="CS15" s="13" t="inlineStr">
        <is>
          <t>Guided $36.86 (information row).</t>
        </is>
      </c>
    </row>
    <row r="16" ht="15" customHeight="1" s="251">
      <c r="B16" s="25" t="inlineStr">
        <is>
          <t xml:space="preserve">    Q4/26E growth before revenue calibration (9M FY26 y/y)</t>
        </is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6" t="n"/>
      <c r="BL16" s="36" t="n"/>
      <c r="BM16" s="36" t="n"/>
      <c r="BN16" s="36" t="n"/>
      <c r="BO16" s="36" t="n"/>
      <c r="BP16" s="36" t="n"/>
      <c r="BQ16" s="36" t="n"/>
      <c r="BR16" s="36" t="n"/>
      <c r="BS16" s="36" t="n"/>
      <c r="BT16" s="36" t="n"/>
      <c r="BU16" s="36" t="n"/>
      <c r="BV16" s="36" t="n"/>
      <c r="BW16" s="36" t="n"/>
      <c r="BX16" s="36" t="n"/>
      <c r="BY16" s="36" t="n"/>
      <c r="BZ16" s="256">
        <f>IFERROR(SUM(BW14:BY14)/SUM(BR14:BT14)-1,0)</f>
        <v>0.0516928491558668</v>
      </c>
      <c r="CA16" s="24" t="n"/>
      <c r="CB16" s="46" t="n"/>
      <c r="CC16" s="46" t="n"/>
      <c r="CD16" s="46" t="n"/>
      <c r="CE16" s="46" t="n"/>
      <c r="CF16" s="46" t="n"/>
      <c r="CG16" s="19" t="n"/>
      <c r="CO16" s="25" t="inlineStr">
        <is>
          <t xml:space="preserve">  Q4/26E share repurchases ($m; cash)</t>
        </is>
      </c>
      <c r="CP16" s="257" t="n">
        <v>500</v>
      </c>
      <c r="CQ16" s="257" t="n">
        <v>300</v>
      </c>
      <c r="CR16" s="257" t="n">
        <v>100</v>
      </c>
      <c r="CS16" s="13" t="inlineStr">
        <is>
          <t>Assumption. $800m left on the June 2026 program at 30-Jun-2026, of which $300m is the ASR prepayment (settles in Q4 with no further cash) → $500m available; 9M FY26 $3,046m.</t>
        </is>
      </c>
    </row>
    <row r="17" ht="15" customHeight="1" s="251">
      <c r="B17" s="16" t="inlineStr">
        <is>
          <t xml:space="preserve">  Scores — segment revenue</t>
        </is>
      </c>
      <c r="C17" s="259">
        <f>IF(AND(ISNUMBER(C11),ISNUMBER(C14)),C11+C14,C21)</f>
        <v>177.152</v>
      </c>
      <c r="D17" s="259">
        <f>IF(AND(ISNUMBER(D11),ISNUMBER(D14)),D11+D14,D21)</f>
        <v>180.444</v>
      </c>
      <c r="E17" s="259">
        <f>IF(AND(ISNUMBER(E11),ISNUMBER(E14)),E11+E14,E21)</f>
        <v>156.816</v>
      </c>
      <c r="F17" s="259">
        <f>IF(AND(ISNUMBER(F11),ISNUMBER(F14)),F11+F14,F21)</f>
        <v>131.621</v>
      </c>
      <c r="G17" s="259">
        <f>IF(AND(ISNUMBER(G11),ISNUMBER(G14)),G11+G14,G21)</f>
        <v>172.339</v>
      </c>
      <c r="H17" s="259">
        <f>IF(AND(ISNUMBER(H11),ISNUMBER(H14)),H11+H14,H21)</f>
        <v>168.567</v>
      </c>
      <c r="I17" s="259">
        <f>IF(AND(ISNUMBER(I11),ISNUMBER(I14)),I11+I14,I21)</f>
        <v>175.623</v>
      </c>
      <c r="J17" s="259">
        <f>IF(AND(ISNUMBER(J11),ISNUMBER(J14)),J11+J14,J21)</f>
        <v>43.447</v>
      </c>
      <c r="K17" s="259">
        <f>IF(AND(ISNUMBER(K11),ISNUMBER(K14)),K11+K14,K21)</f>
        <v>44.062</v>
      </c>
      <c r="L17" s="259">
        <f>IF(AND(ISNUMBER(L11),ISNUMBER(L14)),L11+L14,L21)</f>
        <v>47.152</v>
      </c>
      <c r="M17" s="259">
        <f>IF(AND(ISNUMBER(M11),ISNUMBER(M14)),M11+M14,M21)</f>
        <v>46.152</v>
      </c>
      <c r="N17" s="259">
        <f>IF(AND(ISNUMBER(N11),ISNUMBER(N14)),N11+N14,N21)</f>
        <v>180.813</v>
      </c>
      <c r="O17" s="259">
        <f>IF(AND(ISNUMBER(O11),ISNUMBER(O14)),O11+O14,O21)</f>
        <v>47.18</v>
      </c>
      <c r="P17" s="259">
        <f>IF(AND(ISNUMBER(P11),ISNUMBER(P14)),P11+P14,P21)</f>
        <v>47.858</v>
      </c>
      <c r="Q17" s="259">
        <f>IF(AND(ISNUMBER(Q11),ISNUMBER(Q14)),Q11+Q14,Q21)</f>
        <v>45.33</v>
      </c>
      <c r="R17" s="259">
        <f>IF(AND(ISNUMBER(R11),ISNUMBER(R14)),R11+R14,R21)</f>
        <v>46.101</v>
      </c>
      <c r="S17" s="259">
        <f>IF(AND(ISNUMBER(S11),ISNUMBER(S14)),S11+S14,S21)</f>
        <v>186.469</v>
      </c>
      <c r="T17" s="259">
        <f>IF(AND(ISNUMBER(T11),ISNUMBER(T14)),T11+T14,T21)</f>
        <v>43.941</v>
      </c>
      <c r="U17" s="259">
        <f>IF(AND(ISNUMBER(U11),ISNUMBER(U14)),U11+U14,U21)</f>
        <v>49.937</v>
      </c>
      <c r="V17" s="259">
        <f>IF(AND(ISNUMBER(V11),ISNUMBER(V14)),V11+V14,V21)</f>
        <v>55.754</v>
      </c>
      <c r="W17" s="259">
        <f>IF(AND(ISNUMBER(W11),ISNUMBER(W14)),W11+W14,W21)</f>
        <v>57.375</v>
      </c>
      <c r="X17" s="259">
        <f>IF(AND(ISNUMBER(X11),ISNUMBER(X14)),X11+X14,X21)</f>
        <v>207.007</v>
      </c>
      <c r="Y17" s="259">
        <f>IF(AND(ISNUMBER(Y11),ISNUMBER(Y14)),Y11+Y14,Y21)</f>
        <v>56.002</v>
      </c>
      <c r="Z17" s="259">
        <f>IF(AND(ISNUMBER(Z11),ISNUMBER(Z14)),Z11+Z14,Z21)</f>
        <v>61.116</v>
      </c>
      <c r="AA17" s="259">
        <f>IF(AND(ISNUMBER(AA11),ISNUMBER(AA14)),AA11+AA14,AA21)</f>
        <v>61.13</v>
      </c>
      <c r="AB17" s="259">
        <f>IF(AND(ISNUMBER(AB11),ISNUMBER(AB14)),AB11+AB14,AB21)</f>
        <v>62.811</v>
      </c>
      <c r="AC17" s="259">
        <f>IF(AND(ISNUMBER(AC11),ISNUMBER(AC14)),AC11+AC14,AC21)</f>
        <v>241.059</v>
      </c>
      <c r="AD17" s="259">
        <f>IF(AND(ISNUMBER(AD11),ISNUMBER(AD14)),AD11+AD14,AD21)</f>
        <v>59.382</v>
      </c>
      <c r="AE17" s="259">
        <f>IF(AND(ISNUMBER(AE11),ISNUMBER(AE14)),AE11+AE14,AE21)</f>
        <v>65.433</v>
      </c>
      <c r="AF17" s="259">
        <f>IF(AND(ISNUMBER(AF11),ISNUMBER(AF14)),AF11+AF14,AF21)</f>
        <v>69.514</v>
      </c>
      <c r="AG17" s="259">
        <f>IF(AND(ISNUMBER(AG11),ISNUMBER(AG14)),AG11+AG14,AG21)</f>
        <v>72.025</v>
      </c>
      <c r="AH17" s="259">
        <f>IF(AND(ISNUMBER(AH11),ISNUMBER(AH14)),AH11+AH14,AH21)</f>
        <v>266.354</v>
      </c>
      <c r="AI17" s="259">
        <f>IF(AND(ISNUMBER(AI11),ISNUMBER(AI14)),AI11+AI14,AI21)</f>
        <v>69.915</v>
      </c>
      <c r="AJ17" s="259">
        <f>IF(AND(ISNUMBER(AJ11),ISNUMBER(AJ14)),AJ11+AJ14,AJ21)</f>
        <v>87.91</v>
      </c>
      <c r="AK17" s="259">
        <f>IF(AND(ISNUMBER(AK11),ISNUMBER(AK14)),AK11+AK14,AK21)</f>
        <v>92.105</v>
      </c>
      <c r="AL17" s="259">
        <f>IF(AND(ISNUMBER(AL11),ISNUMBER(AL14)),AL11+AL14,AL21)</f>
        <v>92.718</v>
      </c>
      <c r="AM17" s="259">
        <f>IF(AND(ISNUMBER(AM11),ISNUMBER(AM14)),AM11+AM14,AM21)</f>
        <v>342.648</v>
      </c>
      <c r="AN17" s="259">
        <f>IF(AND(ISNUMBER(AN11),ISNUMBER(AN14)),AN11+AN14,AN21)</f>
        <v>85.683</v>
      </c>
      <c r="AO17" s="259">
        <f>IF(AND(ISNUMBER(AO11),ISNUMBER(AO14)),AO11+AO14,AO21)</f>
        <v>104.403</v>
      </c>
      <c r="AP17" s="259">
        <f>IF(AND(ISNUMBER(AP11),ISNUMBER(AP14)),AP11+AP14,AP21)</f>
        <v>115.146</v>
      </c>
      <c r="AQ17" s="259">
        <f>IF(AND(ISNUMBER(AQ11),ISNUMBER(AQ14)),AQ11+AQ14,AQ21)</f>
        <v>115.945</v>
      </c>
      <c r="AR17" s="259">
        <f>IF(AND(ISNUMBER(AR11),ISNUMBER(AR14)),AR11+AR14,AR21)</f>
        <v>421.177</v>
      </c>
      <c r="AS17" s="259">
        <f>IF(AND(ISNUMBER(AS11),ISNUMBER(AS14)),AS11+AS14,AS21)</f>
        <v>115.138</v>
      </c>
      <c r="AT17" s="259">
        <f>IF(AND(ISNUMBER(AT11),ISNUMBER(AT14)),AT11+AT14,AT21)</f>
        <v>129.148</v>
      </c>
      <c r="AU17" s="259">
        <f>IF(AND(ISNUMBER(AU11),ISNUMBER(AU14)),AU11+AU14,AU21)</f>
        <v>131.55</v>
      </c>
      <c r="AV17" s="259">
        <f>IF(AND(ISNUMBER(AV11),ISNUMBER(AV14)),AV11+AV14,AV21)</f>
        <v>152.711</v>
      </c>
      <c r="AW17" s="259">
        <f>IF(AND(ISNUMBER(AW11),ISNUMBER(AW14)),AW11+AW14,AW21)</f>
        <v>528.547</v>
      </c>
      <c r="AX17" s="259">
        <f>IF(AND(ISNUMBER(AX11),ISNUMBER(AX14)),AX11+AX14,AX21)</f>
        <v>144.651</v>
      </c>
      <c r="AY17" s="259">
        <f>IF(AND(ISNUMBER(AY11),ISNUMBER(AY14)),AY11+AY14,AY21)</f>
        <v>168.719</v>
      </c>
      <c r="AZ17" s="259">
        <f>IF(AND(ISNUMBER(AZ11),ISNUMBER(AZ14)),AZ11+AZ14,AZ21)</f>
        <v>172.202</v>
      </c>
      <c r="BA17" s="259">
        <f>IF(AND(ISNUMBER(BA11),ISNUMBER(BA14)),BA11+BA14,BA21)</f>
        <v>168.575</v>
      </c>
      <c r="BB17" s="259">
        <f>IF(AND(ISNUMBER(BB11),ISNUMBER(BB14)),BB11+BB14,BB21)</f>
        <v>654.147</v>
      </c>
      <c r="BC17" s="259">
        <f>IF(AND(ISNUMBER(BC11),ISNUMBER(BC14)),BC11+BC14,BC21)</f>
        <v>169.487</v>
      </c>
      <c r="BD17" s="259">
        <f>IF(AND(ISNUMBER(BD11),ISNUMBER(BD14)),BD11+BD14,BD21)</f>
        <v>183.742</v>
      </c>
      <c r="BE17" s="259">
        <f>IF(AND(ISNUMBER(BE11),ISNUMBER(BE14)),BE11+BE14,BE21)</f>
        <v>179.355</v>
      </c>
      <c r="BF17" s="259">
        <f>IF(AND(ISNUMBER(BF11),ISNUMBER(BF14)),BF11+BF14,BF21)</f>
        <v>174.059</v>
      </c>
      <c r="BG17" s="259">
        <f>IF(AND(ISNUMBER(BG11),ISNUMBER(BG14)),BG11+BG14,BG21)</f>
        <v>706.643</v>
      </c>
      <c r="BH17" s="259">
        <f>IF(AND(ISNUMBER(BH11),ISNUMBER(BH14)),BH11+BH14,BH21)</f>
        <v>177.988</v>
      </c>
      <c r="BI17" s="259">
        <f>IF(AND(ISNUMBER(BI11),ISNUMBER(BI14)),BI11+BI14,BI21)</f>
        <v>198.507</v>
      </c>
      <c r="BJ17" s="259">
        <f>IF(AND(ISNUMBER(BJ11),ISNUMBER(BJ14)),BJ11+BJ14,BJ21)</f>
        <v>201.778</v>
      </c>
      <c r="BK17" s="259">
        <f>IF(AND(ISNUMBER(BK11),ISNUMBER(BK14)),BK11+BK14,BK21)</f>
        <v>195.555</v>
      </c>
      <c r="BL17" s="259">
        <f>IF(AND(ISNUMBER(BL11),ISNUMBER(BL14)),BL11+BL14,BL21)</f>
        <v>773.828</v>
      </c>
      <c r="BM17" s="259">
        <f>IF(AND(ISNUMBER(BM11),ISNUMBER(BM14)),BM11+BM14,BM21)</f>
        <v>192.112</v>
      </c>
      <c r="BN17" s="259">
        <f>IF(AND(ISNUMBER(BN11),ISNUMBER(BN14)),BN11+BN14,BN21)</f>
        <v>236.885</v>
      </c>
      <c r="BO17" s="259">
        <f>IF(AND(ISNUMBER(BO11),ISNUMBER(BO14)),BO11+BO14,BO21)</f>
        <v>241.45</v>
      </c>
      <c r="BP17" s="259">
        <f>IF(AND(ISNUMBER(BP11),ISNUMBER(BP14)),BP11+BP14,BP21)</f>
        <v>249.203</v>
      </c>
      <c r="BQ17" s="259">
        <f>IF(AND(ISNUMBER(BQ11),ISNUMBER(BQ14)),BQ11+BQ14,BQ21)</f>
        <v>919.65</v>
      </c>
      <c r="BR17" s="259">
        <f>IF(AND(ISNUMBER(BR11),ISNUMBER(BR14)),BR11+BR14,BR21)</f>
        <v>235.675</v>
      </c>
      <c r="BS17" s="259">
        <f>IF(AND(ISNUMBER(BS11),ISNUMBER(BS14)),BS11+BS14,BS21)</f>
        <v>297.039</v>
      </c>
      <c r="BT17" s="259">
        <f>IF(AND(ISNUMBER(BT11),ISNUMBER(BT14)),BT11+BT14,BT21)</f>
        <v>324.309</v>
      </c>
      <c r="BU17" s="259">
        <f>IF(AND(ISNUMBER(BU11),ISNUMBER(BU14)),BU11+BU14,BU21)</f>
        <v>311.552</v>
      </c>
      <c r="BV17" s="259">
        <f>IF(AND(ISNUMBER(BV11),ISNUMBER(BV14)),BV11+BV14,BV21)</f>
        <v>1168.575</v>
      </c>
      <c r="BW17" s="259">
        <f>IF(AND(ISNUMBER(BW11),ISNUMBER(BW14)),BW11+BW14,BW21)</f>
        <v>304.534</v>
      </c>
      <c r="BX17" s="259">
        <f>IF(AND(ISNUMBER(BX11),ISNUMBER(BX14)),BX11+BX14,BX21)</f>
        <v>474.973</v>
      </c>
      <c r="BY17" s="259">
        <f>IF(AND(ISNUMBER(BY11),ISNUMBER(BY14)),BY11+BY14,BY21)</f>
        <v>458.897</v>
      </c>
      <c r="BZ17" s="260">
        <f>BZ11+BZ14</f>
        <v>441.53141320338</v>
      </c>
      <c r="CA17" s="260">
        <f>CA11+CA14</f>
        <v>1679.93541320338</v>
      </c>
      <c r="CB17" s="260">
        <f>CB11+CB14</f>
        <v>1906.6800253944</v>
      </c>
      <c r="CC17" s="260">
        <f>CC11+CC14</f>
        <v>2116.38669914641</v>
      </c>
      <c r="CD17" s="260">
        <f>CD11+CD14</f>
        <v>2313.1313242107</v>
      </c>
      <c r="CE17" s="260">
        <f>CE11+CE14</f>
        <v>2505.8233367453</v>
      </c>
      <c r="CF17" s="260">
        <f>CF11+CF14</f>
        <v>2692.99378631517</v>
      </c>
      <c r="CG17" s="153" t="inlineStr">
        <is>
          <t>History: Σ revenue streams where all are published, otherwise segment revenue as reported.</t>
        </is>
      </c>
      <c r="CI17" s="20">
        <f>IFERROR((CF17/CA17)^(1/5)-1,"n/m")</f>
        <v>0.0989768731551115</v>
      </c>
      <c r="CJ17" s="20">
        <f>IFERROR((BV17/AW17)^(1/5)-1,"n/m")</f>
        <v>0.171964875382717</v>
      </c>
      <c r="CK17" s="20">
        <f>IFERROR((BV17/X17)^(1/10)-1,"n/m")</f>
        <v>0.18895975904332</v>
      </c>
      <c r="CL17" s="20">
        <f>IFERROR((BV17/C17)^(1/19)-1,"n/m")</f>
        <v>0.104387816515491</v>
      </c>
    </row>
    <row r="18" ht="15" customHeight="1" s="251">
      <c r="B18" s="22" t="inlineStr">
        <is>
          <t xml:space="preserve">  Segment revenue y/y %</t>
        </is>
      </c>
      <c r="C18" s="23" t="n"/>
      <c r="D18" s="255">
        <f>IF(AND(ISNUMBER(D17),ISNUMBER(C17)),IFERROR(D17/C17-1,""),"")</f>
        <v>0.0185829118497109</v>
      </c>
      <c r="E18" s="255">
        <f>IF(AND(ISNUMBER(E17),ISNUMBER(D17)),IFERROR(E17/D17-1,""),"")</f>
        <v>-0.130943672275055</v>
      </c>
      <c r="F18" s="255">
        <f>IF(AND(ISNUMBER(F17),ISNUMBER(E17)),IFERROR(F17/E17-1,""),"")</f>
        <v>-0.160666003469034</v>
      </c>
      <c r="G18" s="255">
        <f>IF(AND(ISNUMBER(G17),ISNUMBER(F17)),IFERROR(G17/F17-1,""),"")</f>
        <v>0.309357929205826</v>
      </c>
      <c r="H18" s="255">
        <f>IF(AND(ISNUMBER(H17),ISNUMBER(G17)),IFERROR(H17/G17-1,""),"")</f>
        <v>-0.0218870946216468</v>
      </c>
      <c r="I18" s="255">
        <f>IF(AND(ISNUMBER(I17),ISNUMBER(H17)),IFERROR(I17/H17-1,""),"")</f>
        <v>0.0418587267970598</v>
      </c>
      <c r="J18" s="23" t="n"/>
      <c r="K18" s="23" t="n"/>
      <c r="L18" s="23" t="n"/>
      <c r="M18" s="23" t="n"/>
      <c r="N18" s="255">
        <f>IF(AND(ISNUMBER(N17),ISNUMBER(I17)),IFERROR(N17/I17-1,""),"")</f>
        <v>0.0295519379580123</v>
      </c>
      <c r="O18" s="255">
        <f>IF(AND(ISNUMBER(O17),ISNUMBER(J17)),IFERROR(O17/J17-1,""),"")</f>
        <v>0.0859207770386907</v>
      </c>
      <c r="P18" s="255">
        <f>IF(AND(ISNUMBER(P17),ISNUMBER(K17)),IFERROR(P17/K17-1,""),"")</f>
        <v>0.0861513322136989</v>
      </c>
      <c r="Q18" s="255">
        <f>IF(AND(ISNUMBER(Q17),ISNUMBER(L17)),IFERROR(Q17/L17-1,""),"")</f>
        <v>-0.0386409908381405</v>
      </c>
      <c r="R18" s="255">
        <f>IF(AND(ISNUMBER(R17),ISNUMBER(M17)),IFERROR(R17/M17-1,""),"")</f>
        <v>-0.00110504420176816</v>
      </c>
      <c r="S18" s="255">
        <f>IF(AND(ISNUMBER(S17),ISNUMBER(N17)),IFERROR(S17/N17-1,""),"")</f>
        <v>0.0312809366583156</v>
      </c>
      <c r="T18" s="255">
        <f>IF(AND(ISNUMBER(T17),ISNUMBER(O17)),IFERROR(T17/O17-1,""),"")</f>
        <v>-0.0686519711742263</v>
      </c>
      <c r="U18" s="255">
        <f>IF(AND(ISNUMBER(U17),ISNUMBER(P17)),IFERROR(U17/P17-1,""),"")</f>
        <v>0.0434410129967822</v>
      </c>
      <c r="V18" s="255">
        <f>IF(AND(ISNUMBER(V17),ISNUMBER(Q17)),IFERROR(V17/Q17-1,""),"")</f>
        <v>0.22995808515332</v>
      </c>
      <c r="W18" s="255">
        <f>IF(AND(ISNUMBER(W17),ISNUMBER(R17)),IFERROR(W17/R17-1,""),"")</f>
        <v>0.244550009761177</v>
      </c>
      <c r="X18" s="255">
        <f>IF(AND(ISNUMBER(X17),ISNUMBER(S17)),IFERROR(X17/S17-1,""),"")</f>
        <v>0.110141632121157</v>
      </c>
      <c r="Y18" s="255">
        <f>IF(AND(ISNUMBER(Y17),ISNUMBER(T17)),IFERROR(Y17/T17-1,""),"")</f>
        <v>0.274481691358867</v>
      </c>
      <c r="Z18" s="255">
        <f>IF(AND(ISNUMBER(Z17),ISNUMBER(U17)),IFERROR(Z17/U17-1,""),"")</f>
        <v>0.223862066203416</v>
      </c>
      <c r="AA18" s="255">
        <f>IF(AND(ISNUMBER(AA17),ISNUMBER(V17)),IFERROR(AA17/V17-1,""),"")</f>
        <v>0.0964235749901354</v>
      </c>
      <c r="AB18" s="255">
        <f>IF(AND(ISNUMBER(AB17),ISNUMBER(W17)),IFERROR(AB17/W17-1,""),"")</f>
        <v>0.0947450980392157</v>
      </c>
      <c r="AC18" s="255">
        <f>IF(AND(ISNUMBER(AC17),ISNUMBER(X17)),IFERROR(AC17/X17-1,""),"")</f>
        <v>0.164496852763433</v>
      </c>
      <c r="AD18" s="255">
        <f>IF(AND(ISNUMBER(AD17),ISNUMBER(Y17)),IFERROR(AD17/Y17-1,""),"")</f>
        <v>0.0603549873218814</v>
      </c>
      <c r="AE18" s="255">
        <f>IF(AND(ISNUMBER(AE17),ISNUMBER(Z17)),IFERROR(AE17/Z17-1,""),"")</f>
        <v>0.0706361672884353</v>
      </c>
      <c r="AF18" s="255">
        <f>IF(AND(ISNUMBER(AF17),ISNUMBER(AA17)),IFERROR(AF17/AA17-1,""),"")</f>
        <v>0.137150335350891</v>
      </c>
      <c r="AG18" s="255">
        <f>IF(AND(ISNUMBER(AG17),ISNUMBER(AB17)),IFERROR(AG17/AB17-1,""),"")</f>
        <v>0.146694050405184</v>
      </c>
      <c r="AH18" s="255">
        <f>IF(AND(ISNUMBER(AH17),ISNUMBER(AC17)),IFERROR(AH17/AC17-1,""),"")</f>
        <v>0.104932817277098</v>
      </c>
      <c r="AI18" s="255">
        <f>IF(AND(ISNUMBER(AI17),ISNUMBER(AD17)),IFERROR(AI17/AD17-1,""),"")</f>
        <v>0.177376982924119</v>
      </c>
      <c r="AJ18" s="255">
        <f>IF(AND(ISNUMBER(AJ17),ISNUMBER(AE17)),IFERROR(AJ17/AE17-1,""),"")</f>
        <v>0.343511683706998</v>
      </c>
      <c r="AK18" s="255">
        <f>IF(AND(ISNUMBER(AK17),ISNUMBER(AF17)),IFERROR(AK17/AF17-1,""),"")</f>
        <v>0.324984895129039</v>
      </c>
      <c r="AL18" s="255">
        <f>IF(AND(ISNUMBER(AL17),ISNUMBER(AG17)),IFERROR(AL17/AG17-1,""),"")</f>
        <v>0.287303019784797</v>
      </c>
      <c r="AM18" s="255">
        <f>IF(AND(ISNUMBER(AM17),ISNUMBER(AH17)),IFERROR(AM17/AH17-1,""),"")</f>
        <v>0.286438348964161</v>
      </c>
      <c r="AN18" s="255">
        <f>IF(AND(ISNUMBER(AN17),ISNUMBER(AI17)),IFERROR(AN17/AI17-1,""),"")</f>
        <v>0.225531001930916</v>
      </c>
      <c r="AO18" s="255">
        <f>IF(AND(ISNUMBER(AO17),ISNUMBER(AJ17)),IFERROR(AO17/AJ17-1,""),"")</f>
        <v>0.187612330792857</v>
      </c>
      <c r="AP18" s="255">
        <f>IF(AND(ISNUMBER(AP17),ISNUMBER(AK17)),IFERROR(AP17/AK17-1,""),"")</f>
        <v>0.250160143314695</v>
      </c>
      <c r="AQ18" s="255">
        <f>IF(AND(ISNUMBER(AQ17),ISNUMBER(AL17)),IFERROR(AQ17/AL17-1,""),"")</f>
        <v>0.250512306132574</v>
      </c>
      <c r="AR18" s="255">
        <f>IF(AND(ISNUMBER(AR17),ISNUMBER(AM17)),IFERROR(AR17/AM17-1,""),"")</f>
        <v>0.229182718124723</v>
      </c>
      <c r="AS18" s="255">
        <f>IF(AND(ISNUMBER(AS17),ISNUMBER(AN17)),IFERROR(AS17/AN17-1,""),"")</f>
        <v>0.343767141673377</v>
      </c>
      <c r="AT18" s="255">
        <f>IF(AND(ISNUMBER(AT17),ISNUMBER(AO17)),IFERROR(AT17/AO17-1,""),"")</f>
        <v>0.237014262042278</v>
      </c>
      <c r="AU18" s="255">
        <f>IF(AND(ISNUMBER(AU17),ISNUMBER(AP17)),IFERROR(AU17/AP17-1,""),"")</f>
        <v>0.142462612683029</v>
      </c>
      <c r="AV18" s="255">
        <f>IF(AND(ISNUMBER(AV17),ISNUMBER(AQ17)),IFERROR(AV17/AQ17-1,""),"")</f>
        <v>0.317098624347751</v>
      </c>
      <c r="AW18" s="255">
        <f>IF(AND(ISNUMBER(AW17),ISNUMBER(AR17)),IFERROR(AW17/AR17-1,""),"")</f>
        <v>0.254928450508931</v>
      </c>
      <c r="AX18" s="255">
        <f>IF(AND(ISNUMBER(AX17),ISNUMBER(AS17)),IFERROR(AX17/AS17-1,""),"")</f>
        <v>0.256327189980719</v>
      </c>
      <c r="AY18" s="255">
        <f>IF(AND(ISNUMBER(AY17),ISNUMBER(AT17)),IFERROR(AY17/AT17-1,""),"")</f>
        <v>0.306400408833277</v>
      </c>
      <c r="AZ18" s="255">
        <f>IF(AND(ISNUMBER(AZ17),ISNUMBER(AU17)),IFERROR(AZ17/AU17-1,""),"")</f>
        <v>0.309023185100722</v>
      </c>
      <c r="BA18" s="255">
        <f>IF(AND(ISNUMBER(BA17),ISNUMBER(AV17)),IFERROR(BA17/AV17-1,""),"")</f>
        <v>0.103882497004145</v>
      </c>
      <c r="BB18" s="255">
        <f>IF(AND(ISNUMBER(BB17),ISNUMBER(AW17)),IFERROR(BB17/AW17-1,""),"")</f>
        <v>0.237632604101433</v>
      </c>
      <c r="BC18" s="255">
        <f>IF(AND(ISNUMBER(BC17),ISNUMBER(AX17)),IFERROR(BC17/AX17-1,""),"")</f>
        <v>0.171696013162716</v>
      </c>
      <c r="BD18" s="255">
        <f>IF(AND(ISNUMBER(BD17),ISNUMBER(AY17)),IFERROR(BD17/AY17-1,""),"")</f>
        <v>0.089041542446316</v>
      </c>
      <c r="BE18" s="255">
        <f>IF(AND(ISNUMBER(BE17),ISNUMBER(AZ17)),IFERROR(BE17/AZ17-1,""),"")</f>
        <v>0.0415384258022555</v>
      </c>
      <c r="BF18" s="255">
        <f>IF(AND(ISNUMBER(BF17),ISNUMBER(BA17)),IFERROR(BF17/BA17-1,""),"")</f>
        <v>0.0325315141628355</v>
      </c>
      <c r="BG18" s="255">
        <f>IF(AND(ISNUMBER(BG17),ISNUMBER(BB17)),IFERROR(BG17/BB17-1,""),"")</f>
        <v>0.0802510750641674</v>
      </c>
      <c r="BH18" s="255">
        <f>IF(AND(ISNUMBER(BH17),ISNUMBER(BC17)),IFERROR(BH17/BC17-1,""),"")</f>
        <v>0.0501572391982865</v>
      </c>
      <c r="BI18" s="255">
        <f>IF(AND(ISNUMBER(BI17),ISNUMBER(BD17)),IFERROR(BI17/BD17-1,""),"")</f>
        <v>0.0803572400431041</v>
      </c>
      <c r="BJ18" s="255">
        <f>IF(AND(ISNUMBER(BJ17),ISNUMBER(BE17)),IFERROR(BJ17/BE17-1,""),"")</f>
        <v>0.125020211312759</v>
      </c>
      <c r="BK18" s="255">
        <f>IF(AND(ISNUMBER(BK17),ISNUMBER(BF17)),IFERROR(BK17/BF17-1,""),"")</f>
        <v>0.1234983540064</v>
      </c>
      <c r="BL18" s="255">
        <f>IF(AND(ISNUMBER(BL17),ISNUMBER(BG17)),IFERROR(BL17/BG17-1,""),"")</f>
        <v>0.0950762973665627</v>
      </c>
      <c r="BM18" s="255">
        <f>IF(AND(ISNUMBER(BM17),ISNUMBER(BH17)),IFERROR(BM17/BH17-1,""),"")</f>
        <v>0.0793536642919748</v>
      </c>
      <c r="BN18" s="255">
        <f>IF(AND(ISNUMBER(BN17),ISNUMBER(BI17)),IFERROR(BN17/BI17-1,""),"")</f>
        <v>0.193333232581219</v>
      </c>
      <c r="BO18" s="255">
        <f>IF(AND(ISNUMBER(BO17),ISNUMBER(BJ17)),IFERROR(BO17/BJ17-1,""),"")</f>
        <v>0.196612118268592</v>
      </c>
      <c r="BP18" s="255">
        <f>IF(AND(ISNUMBER(BP17),ISNUMBER(BK17)),IFERROR(BP17/BK17-1,""),"")</f>
        <v>0.274337143003247</v>
      </c>
      <c r="BQ18" s="255">
        <f>IF(AND(ISNUMBER(BQ17),ISNUMBER(BL17)),IFERROR(BQ17/BL17-1,""),"")</f>
        <v>0.188442392883173</v>
      </c>
      <c r="BR18" s="255">
        <f>IF(AND(ISNUMBER(BR17),ISNUMBER(BM17)),IFERROR(BR17/BM17-1,""),"")</f>
        <v>0.226758349296244</v>
      </c>
      <c r="BS18" s="255">
        <f>IF(AND(ISNUMBER(BS17),ISNUMBER(BN17)),IFERROR(BS17/BN17-1,""),"")</f>
        <v>0.25393756464107</v>
      </c>
      <c r="BT18" s="255">
        <f>IF(AND(ISNUMBER(BT17),ISNUMBER(BO17)),IFERROR(BT17/BO17-1,""),"")</f>
        <v>0.343172499482294</v>
      </c>
      <c r="BU18" s="255">
        <f>IF(AND(ISNUMBER(BU17),ISNUMBER(BP17)),IFERROR(BU17/BP17-1,""),"")</f>
        <v>0.250193617251799</v>
      </c>
      <c r="BV18" s="255">
        <f>IF(AND(ISNUMBER(BV17),ISNUMBER(BQ17)),IFERROR(BV17/BQ17-1,""),"")</f>
        <v>0.270673625835916</v>
      </c>
      <c r="BW18" s="255">
        <f>IF(AND(ISNUMBER(BW17),ISNUMBER(BR17)),IFERROR(BW17/BR17-1,""),"")</f>
        <v>0.292177787206959</v>
      </c>
      <c r="BX18" s="255">
        <f>IF(AND(ISNUMBER(BX17),ISNUMBER(BS17)),IFERROR(BX17/BS17-1,""),"")</f>
        <v>0.59902571716172</v>
      </c>
      <c r="BY18" s="255">
        <f>IF(AND(ISNUMBER(BY17),ISNUMBER(BT17)),IFERROR(BY17/BT17-1,""),"")</f>
        <v>0.414999275382429</v>
      </c>
      <c r="BZ18" s="256">
        <f>IF(AND(ISNUMBER(BZ17),ISNUMBER(BU17)),IFERROR(BZ17/BU17-1,""),"")</f>
        <v>0.4171997393802</v>
      </c>
      <c r="CA18" s="256">
        <f>IF(AND(ISNUMBER(CA17),ISNUMBER(BV17)),IFERROR(CA17/BV17-1,""),"")</f>
        <v>0.437593148238992</v>
      </c>
      <c r="CB18" s="256">
        <f>IF(AND(ISNUMBER(CB17),ISNUMBER(CA17)),IFERROR(CB17/CA17-1,""),"")</f>
        <v>0.134972220008537</v>
      </c>
      <c r="CC18" s="256">
        <f>IF(AND(ISNUMBER(CC17),ISNUMBER(CB17)),IFERROR(CC17/CB17-1,""),"")</f>
        <v>0.109985247109634</v>
      </c>
      <c r="CD18" s="256">
        <f>IF(AND(ISNUMBER(CD17),ISNUMBER(CC17)),IFERROR(CD17/CC17-1,""),"")</f>
        <v>0.0929625125425531</v>
      </c>
      <c r="CE18" s="256">
        <f>IF(AND(ISNUMBER(CE17),ISNUMBER(CD17)),IFERROR(CE17/CD17-1,""),"")</f>
        <v>0.0833035334041616</v>
      </c>
      <c r="CF18" s="256">
        <f>IF(AND(ISNUMBER(CF17),ISNUMBER(CE17)),IFERROR(CF17/CE17-1,""),"")</f>
        <v>0.0746941920546502</v>
      </c>
      <c r="CG18" s="153" t="n"/>
      <c r="CO18" s="15" t="inlineStr">
        <is>
          <t>Q4/26E and FY26 point estimates (all cases)</t>
        </is>
      </c>
      <c r="CP18" s="21" t="n"/>
      <c r="CQ18" s="21" t="n"/>
      <c r="CR18" s="21" t="n"/>
    </row>
    <row r="19" ht="15" customHeight="1" s="251">
      <c r="B19" s="25" t="inlineStr">
        <is>
          <t xml:space="preserve">  % of total revenue</t>
        </is>
      </c>
      <c r="C19" s="215">
        <f>IF(AND(ISNUMBER(C17),ISNUMBER(C87)),IFERROR(C17/C87,""),"")</f>
        <v>0.214634737358623</v>
      </c>
      <c r="D19" s="215">
        <f>IF(AND(ISNUMBER(D17),ISNUMBER(D87)),IFERROR(D17/D87,""),"")</f>
        <v>0.219455241560817</v>
      </c>
      <c r="E19" s="215">
        <f>IF(AND(ISNUMBER(E17),ISNUMBER(E87)),IFERROR(E17/E87,""),"")</f>
        <v>0.210535925739956</v>
      </c>
      <c r="F19" s="215">
        <f>IF(AND(ISNUMBER(F17),ISNUMBER(F87)),IFERROR(F17/F87,""),"")</f>
        <v>0.208678763664614</v>
      </c>
      <c r="G19" s="215">
        <f>IF(AND(ISNUMBER(G17),ISNUMBER(G87)),IFERROR(G17/G87,""),"")</f>
        <v>0.284555422914159</v>
      </c>
      <c r="H19" s="215">
        <f>IF(AND(ISNUMBER(H17),ISNUMBER(H87)),IFERROR(H17/H87,""),"")</f>
        <v>0.272021339943165</v>
      </c>
      <c r="I19" s="215">
        <f>IF(AND(ISNUMBER(I17),ISNUMBER(I87)),IFERROR(I17/I87,""),"")</f>
        <v>0.259634873444575</v>
      </c>
      <c r="J19" s="215">
        <f>IF(AND(ISNUMBER(J17),ISNUMBER(J87)),IFERROR(J17/J87,""),"")</f>
        <v>0.228644353225976</v>
      </c>
      <c r="K19" s="215">
        <f>IF(AND(ISNUMBER(K17),ISNUMBER(K87)),IFERROR(K17/K87,""),"")</f>
        <v>0.245710302523351</v>
      </c>
      <c r="L19" s="215">
        <f>IF(AND(ISNUMBER(L17),ISNUMBER(L87)),IFERROR(L17/L87,""),"")</f>
        <v>0.256578804170385</v>
      </c>
      <c r="M19" s="215">
        <f>IF(AND(ISNUMBER(M17),ISNUMBER(M87)),IFERROR(M17/M87,""),"")</f>
        <v>0.242487928670131</v>
      </c>
      <c r="N19" s="215">
        <f>IF(AND(ISNUMBER(N17),ISNUMBER(N87)),IFERROR(N17/N87,""),"")</f>
        <v>0.24320997950081</v>
      </c>
      <c r="O19" s="215">
        <f>IF(AND(ISNUMBER(O17),ISNUMBER(O87)),IFERROR(O17/O87,""),"")</f>
        <v>0.255935945492913</v>
      </c>
      <c r="P19" s="215">
        <f>IF(AND(ISNUMBER(P17),ISNUMBER(P87)),IFERROR(P17/P87,""),"")</f>
        <v>0.258047470640886</v>
      </c>
      <c r="Q19" s="215">
        <f>IF(AND(ISNUMBER(Q17),ISNUMBER(Q87)),IFERROR(Q17/Q87,""),"")</f>
        <v>0.229391225140428</v>
      </c>
      <c r="R19" s="215">
        <f>IF(AND(ISNUMBER(R17),ISNUMBER(R87)),IFERROR(R17/R87,""),"")</f>
        <v>0.2080651712777</v>
      </c>
      <c r="S19" s="215">
        <f>IF(AND(ISNUMBER(S17),ISNUMBER(S87)),IFERROR(S17/S87,""),"")</f>
        <v>0.236340361350343</v>
      </c>
      <c r="T19" s="215">
        <f>IF(AND(ISNUMBER(T17),ISNUMBER(T87)),IFERROR(T17/T87,""),"")</f>
        <v>0.231817462410973</v>
      </c>
      <c r="U19" s="215">
        <f>IF(AND(ISNUMBER(U17),ISNUMBER(U87)),IFERROR(U17/U87,""),"")</f>
        <v>0.241114582176535</v>
      </c>
      <c r="V19" s="215">
        <f>IF(AND(ISNUMBER(V17),ISNUMBER(V87)),IFERROR(V17/V87,""),"")</f>
        <v>0.266299208085363</v>
      </c>
      <c r="W19" s="215">
        <f>IF(AND(ISNUMBER(W17),ISNUMBER(W87)),IFERROR(W17/W87,""),"")</f>
        <v>0.246502775438657</v>
      </c>
      <c r="X19" s="215">
        <f>IF(AND(ISNUMBER(X17),ISNUMBER(X87)),IFERROR(X17/X87,""),"")</f>
        <v>0.246795051390053</v>
      </c>
      <c r="Y19" s="215">
        <f>IF(AND(ISNUMBER(Y17),ISNUMBER(Y87)),IFERROR(Y17/Y87,""),"")</f>
        <v>0.279903636618085</v>
      </c>
      <c r="Z19" s="215">
        <f>IF(AND(ISNUMBER(Z17),ISNUMBER(Z87)),IFERROR(Z17/Z87,""),"")</f>
        <v>0.295706364489689</v>
      </c>
      <c r="AA19" s="215">
        <f>IF(AND(ISNUMBER(AA17),ISNUMBER(AA87)),IFERROR(AA17/AA87,""),"")</f>
        <v>0.256011860389148</v>
      </c>
      <c r="AB19" s="215">
        <f>IF(AND(ISNUMBER(AB17),ISNUMBER(AB87)),IFERROR(AB17/AB87,""),"")</f>
        <v>0.266346936698555</v>
      </c>
      <c r="AC19" s="215">
        <f>IF(AND(ISNUMBER(AC17),ISNUMBER(AC87)),IFERROR(AC17/AC87,""),"")</f>
        <v>0.273509228960829</v>
      </c>
      <c r="AD19" s="215">
        <f>IF(AND(ISNUMBER(AD17),ISNUMBER(AD87)),IFERROR(AD17/AD87,""),"")</f>
        <v>0.270409836065574</v>
      </c>
      <c r="AE19" s="215">
        <f>IF(AND(ISNUMBER(AE17),ISNUMBER(AE87)),IFERROR(AE17/AE87,""),"")</f>
        <v>0.286511835640911</v>
      </c>
      <c r="AF19" s="215">
        <f>IF(AND(ISNUMBER(AF17),ISNUMBER(AF87)),IFERROR(AF17/AF87,""),"")</f>
        <v>0.300944645995861</v>
      </c>
      <c r="AG19" s="215">
        <f>IF(AND(ISNUMBER(AG17),ISNUMBER(AG87)),IFERROR(AG17/AG87,""),"")</f>
        <v>0.284453308583954</v>
      </c>
      <c r="AH19" s="215">
        <f>IF(AND(ISNUMBER(AH17),ISNUMBER(AH87)),IFERROR(AH17/AH87,""),"")</f>
        <v>0.285735741051247</v>
      </c>
      <c r="AI19" s="215">
        <f>IF(AND(ISNUMBER(AI17),ISNUMBER(AI87)),IFERROR(AI17/AI87,""),"")</f>
        <v>0.29710480577594</v>
      </c>
      <c r="AJ19" s="215">
        <f>IF(AND(ISNUMBER(AJ17),ISNUMBER(AJ87)),IFERROR(AJ17/AJ87,""),"")</f>
        <v>0.340924074490611</v>
      </c>
      <c r="AK19" s="215">
        <f>IF(AND(ISNUMBER(AK17),ISNUMBER(AK87)),IFERROR(AK17/AK87,""),"")</f>
        <v>0.35492572397449</v>
      </c>
      <c r="AL19" s="215">
        <f>IF(AND(ISNUMBER(AL17),ISNUMBER(AL87)),IFERROR(AL17/AL87,""),"")</f>
        <v>0.331383068075814</v>
      </c>
      <c r="AM19" s="215">
        <f>IF(AND(ISNUMBER(AM17),ISNUMBER(AM87)),IFERROR(AM17/AM87,""),"")</f>
        <v>0.331870505339112</v>
      </c>
      <c r="AN19" s="215">
        <f>IF(AND(ISNUMBER(AN17),ISNUMBER(AN87)),IFERROR(AN17/AN87,""),"")</f>
        <v>0.32671511805259</v>
      </c>
      <c r="AO19" s="215">
        <f>IF(AND(ISNUMBER(AO17),ISNUMBER(AO87)),IFERROR(AO17/AO87,""),"")</f>
        <v>0.375234514832839</v>
      </c>
      <c r="AP19" s="215">
        <f>IF(AND(ISNUMBER(AP17),ISNUMBER(AP87)),IFERROR(AP17/AP87,""),"")</f>
        <v>0.366416440466</v>
      </c>
      <c r="AQ19" s="215">
        <f>IF(AND(ISNUMBER(AQ17),ISNUMBER(AQ87)),IFERROR(AQ17/AQ87,""),"")</f>
        <v>0.379719267449172</v>
      </c>
      <c r="AR19" s="215">
        <f>IF(AND(ISNUMBER(AR17),ISNUMBER(AR87)),IFERROR(AR17/AR87,""),"")</f>
        <v>0.363057643289316</v>
      </c>
      <c r="AS19" s="215">
        <f>IF(AND(ISNUMBER(AS17),ISNUMBER(AS87)),IFERROR(AS17/AS87,""),"")</f>
        <v>0.385716774314582</v>
      </c>
      <c r="AT19" s="215">
        <f>IF(AND(ISNUMBER(AT17),ISNUMBER(AT87)),IFERROR(AT17/AT87,""),"")</f>
        <v>0.419351172675349</v>
      </c>
      <c r="AU19" s="215">
        <f>IF(AND(ISNUMBER(AU17),ISNUMBER(AU87)),IFERROR(AU17/AU87,""),"")</f>
        <v>0.419308260898668</v>
      </c>
      <c r="AV19" s="215">
        <f>IF(AND(ISNUMBER(AV17),ISNUMBER(AV87)),IFERROR(AV17/AV87,""),"")</f>
        <v>0.407929884922373</v>
      </c>
      <c r="AW19" s="215">
        <f>IF(AND(ISNUMBER(AW17),ISNUMBER(AW87)),IFERROR(AW17/AW87,""),"")</f>
        <v>0.408282492456908</v>
      </c>
      <c r="AX19" s="215">
        <f>IF(AND(ISNUMBER(AX17),ISNUMBER(AX87)),IFERROR(AX17/AX87,""),"")</f>
        <v>0.463010620522768</v>
      </c>
      <c r="AY19" s="215">
        <f>IF(AND(ISNUMBER(AY17),ISNUMBER(AY87)),IFERROR(AY17/AY87,""),"")</f>
        <v>0.50916975745486</v>
      </c>
      <c r="AZ19" s="215">
        <f>IF(AND(ISNUMBER(AZ17),ISNUMBER(AZ87)),IFERROR(AZ17/AZ87,""),"")</f>
        <v>0.509196177228964</v>
      </c>
      <c r="BA19" s="215">
        <f>IF(AND(ISNUMBER(BA17),ISNUMBER(BA87)),IFERROR(BA17/BA87,""),"")</f>
        <v>0.503845153731428</v>
      </c>
      <c r="BB19" s="215">
        <f>IF(AND(ISNUMBER(BB17),ISNUMBER(BB87)),IFERROR(BB17/BB87,""),"")</f>
        <v>0.496869815941228</v>
      </c>
      <c r="BC19" s="215">
        <f>IF(AND(ISNUMBER(BC17),ISNUMBER(BC87)),IFERROR(BC17/BC87,""),"")</f>
        <v>0.525767695223678</v>
      </c>
      <c r="BD19" s="215">
        <f>IF(AND(ISNUMBER(BD17),ISNUMBER(BD87)),IFERROR(BD17/BD87,""),"")</f>
        <v>0.514402497235404</v>
      </c>
      <c r="BE19" s="215">
        <f>IF(AND(ISNUMBER(BE17),ISNUMBER(BE87)),IFERROR(BE17/BE87,""),"")</f>
        <v>0.513961245508159</v>
      </c>
      <c r="BF19" s="215">
        <f>IF(AND(ISNUMBER(BF17),ISNUMBER(BF87)),IFERROR(BF17/BF87,""),"")</f>
        <v>0.499096769013729</v>
      </c>
      <c r="BG19" s="215">
        <f>IF(AND(ISNUMBER(BG17),ISNUMBER(BG87)),IFERROR(BG17/BG87,""),"")</f>
        <v>0.51307514140292</v>
      </c>
      <c r="BH19" s="215">
        <f>IF(AND(ISNUMBER(BH17),ISNUMBER(BH87)),IFERROR(BH17/BH87,""),"")</f>
        <v>0.516101719488503</v>
      </c>
      <c r="BI19" s="215">
        <f>IF(AND(ISNUMBER(BI17),ISNUMBER(BI87)),IFERROR(BI17/BI87,""),"")</f>
        <v>0.522021427106289</v>
      </c>
      <c r="BJ19" s="215">
        <f>IF(AND(ISNUMBER(BJ17),ISNUMBER(BJ87)),IFERROR(BJ17/BJ87,""),"")</f>
        <v>0.506105024480295</v>
      </c>
      <c r="BK19" s="215">
        <f>IF(AND(ISNUMBER(BK17),ISNUMBER(BK87)),IFERROR(BK17/BK87,""),"")</f>
        <v>0.501766594052852</v>
      </c>
      <c r="BL19" s="215">
        <f>IF(AND(ISNUMBER(BL17),ISNUMBER(BL87)),IFERROR(BL17/BL87,""),"")</f>
        <v>0.511264524560357</v>
      </c>
      <c r="BM19" s="215">
        <f>IF(AND(ISNUMBER(BM17),ISNUMBER(BM87)),IFERROR(BM17/BM87,""),"")</f>
        <v>0.502833332024635</v>
      </c>
      <c r="BN19" s="215">
        <f>IF(AND(ISNUMBER(BN17),ISNUMBER(BN87)),IFERROR(BN17/BN87,""),"")</f>
        <v>0.546058288325046</v>
      </c>
      <c r="BO19" s="215">
        <f>IF(AND(ISNUMBER(BO17),ISNUMBER(BO87)),IFERROR(BO17/BO87,""),"")</f>
        <v>0.539132609428624</v>
      </c>
      <c r="BP19" s="215">
        <f>IF(AND(ISNUMBER(BP17),ISNUMBER(BP87)),IFERROR(BP17/BP87,""),"")</f>
        <v>0.549136310650516</v>
      </c>
      <c r="BQ19" s="215">
        <f>IF(AND(ISNUMBER(BQ17),ISNUMBER(BQ87)),IFERROR(BQ17/BQ87,""),"")</f>
        <v>0.53545040948434</v>
      </c>
      <c r="BR19" s="215">
        <f>IF(AND(ISNUMBER(BR17),ISNUMBER(BR87)),IFERROR(BR17/BR87,""),"")</f>
        <v>0.535663957378718</v>
      </c>
      <c r="BS19" s="215">
        <f>IF(AND(ISNUMBER(BS17),ISNUMBER(BS87)),IFERROR(BS17/BS87,""),"")</f>
        <v>0.595584829618936</v>
      </c>
      <c r="BT19" s="215">
        <f>IF(AND(ISNUMBER(BT17),ISNUMBER(BT87)),IFERROR(BT17/BT87,""),"")</f>
        <v>0.604586001510025</v>
      </c>
      <c r="BU19" s="215">
        <f>IF(AND(ISNUMBER(BU17),ISNUMBER(BU87)),IFERROR(BU17/BU87,""),"")</f>
        <v>0.604074446777612</v>
      </c>
      <c r="BV19" s="215">
        <f>IF(AND(ISNUMBER(BV17),ISNUMBER(BV87)),IFERROR(BV17/BV87,""),"")</f>
        <v>0.586967299204518</v>
      </c>
      <c r="BW19" s="215">
        <f>IF(AND(ISNUMBER(BW17),ISNUMBER(BW87)),IFERROR(BW17/BW87,""),"")</f>
        <v>0.59484060247012</v>
      </c>
      <c r="BX19" s="215">
        <f>IF(AND(ISNUMBER(BX17),ISNUMBER(BX87)),IFERROR(BX17/BX87,""),"")</f>
        <v>0.686697692709169</v>
      </c>
      <c r="BY19" s="215">
        <f>IF(AND(ISNUMBER(BY17),ISNUMBER(BY87)),IFERROR(BY17/BY87,""),"")</f>
        <v>0.680666223664616</v>
      </c>
      <c r="BZ19" s="256">
        <f>IF(AND(ISNUMBER(BZ17),ISNUMBER(BZ87)),IFERROR(BZ17/BZ87,""),"")</f>
        <v>0.677012667137981</v>
      </c>
      <c r="CA19" s="256">
        <f>IF(AND(ISNUMBER(CA17),ISNUMBER(CA87)),IFERROR(CA17/CA87,""),"")</f>
        <v>0.664006092175249</v>
      </c>
      <c r="CB19" s="256">
        <f>IF(AND(ISNUMBER(CB17),ISNUMBER(CB87)),IFERROR(CB17/CB87,""),"")</f>
        <v>0.681244901889434</v>
      </c>
      <c r="CC19" s="256">
        <f>IF(AND(ISNUMBER(CC17),ISNUMBER(CC87)),IFERROR(CC17/CC87,""),"")</f>
        <v>0.68531174863873</v>
      </c>
      <c r="CD19" s="256">
        <f>IF(AND(ISNUMBER(CD17),ISNUMBER(CD87)),IFERROR(CD17/CD87,""),"")</f>
        <v>0.684394205217817</v>
      </c>
      <c r="CE19" s="256">
        <f>IF(AND(ISNUMBER(CE17),ISNUMBER(CE87)),IFERROR(CE17/CE87,""),"")</f>
        <v>0.681449477257703</v>
      </c>
      <c r="CF19" s="256">
        <f>IF(AND(ISNUMBER(CF17),ISNUMBER(CF87)),IFERROR(CF17/CF87,""),"")</f>
        <v>0.677233959125198</v>
      </c>
      <c r="CG19" s="153" t="n"/>
      <c r="CI19" s="37">
        <f>IFERROR(AVERAGE(CB19,CC19,CD19,CE19,CF19),"n/m")</f>
        <v>0.681926858425776</v>
      </c>
      <c r="CJ19" s="37">
        <f>IFERROR(AVERAGE(BB19,BG19,BL19,BQ19,BV19),"n/m")</f>
        <v>0.528725438118673</v>
      </c>
      <c r="CK19" s="37">
        <f>IFERROR(AVERAGE(AC19,AH19,AM19,AR19,AW19,BB19,BG19,BL19,BQ19,BV19),"n/m")</f>
        <v>0.430608280169078</v>
      </c>
      <c r="CL19" s="37">
        <f>IFERROR(AVERAGE(C19,D19,E19,F19,G19,H19,I19,N19,S19,X19,AC19,AH19,AM19,AR19,AW19,BB19,BG19,BL19,BQ19,BV19),"n/m")</f>
        <v>0.335097224927894</v>
      </c>
      <c r="CO19" s="25" t="inlineStr">
        <is>
          <t xml:space="preserve">  Q4/26E interest expense, net ($m)</t>
        </is>
      </c>
      <c r="CQ19" s="261" t="n">
        <v>78</v>
      </c>
      <c r="CS19" s="13" t="inlineStr">
        <is>
          <t>Not guided. Full quarter on ~$5.6bn debt: notes $3.4bn at ~5.5%, term loan $1.5bn at 5.86%, revolver ~$0.7bn at 5.64% (Q3 $59.9m incl. 25 days of the term loan).</t>
        </is>
      </c>
    </row>
    <row r="20" ht="15" customHeight="1" s="251">
      <c r="B20" s="25" t="inlineStr">
        <is>
          <t xml:space="preserve">  B2B % of Scores revenue</t>
        </is>
      </c>
      <c r="C20" s="215">
        <f>IF(ISNUMBER(C11),IFERROR(C11/C17,""),"")</f>
      </c>
      <c r="D20" s="215">
        <f>IF(ISNUMBER(D11),IFERROR(D11/D17,""),"")</f>
      </c>
      <c r="E20" s="215">
        <f>IF(ISNUMBER(E11),IFERROR(E11/E17,""),"")</f>
      </c>
      <c r="F20" s="215">
        <f>IF(ISNUMBER(F11),IFERROR(F11/F17,""),"")</f>
      </c>
      <c r="G20" s="215">
        <f>IF(ISNUMBER(G11),IFERROR(G11/G17,""),"")</f>
      </c>
      <c r="H20" s="215">
        <f>IF(ISNUMBER(H11),IFERROR(H11/H17,""),"")</f>
      </c>
      <c r="I20" s="215">
        <f>IF(ISNUMBER(I11),IFERROR(I11/I17,""),"")</f>
      </c>
      <c r="J20" s="215">
        <f>IF(ISNUMBER(J11),IFERROR(J11/J17,""),"")</f>
      </c>
      <c r="K20" s="215">
        <f>IF(ISNUMBER(K11),IFERROR(K11/K17,""),"")</f>
      </c>
      <c r="L20" s="215">
        <f>IF(ISNUMBER(L11),IFERROR(L11/L17,""),"")</f>
      </c>
      <c r="M20" s="215">
        <f>IF(ISNUMBER(M11),IFERROR(M11/M17,""),"")</f>
      </c>
      <c r="N20" s="215">
        <f>IF(ISNUMBER(N11),IFERROR(N11/N17,""),"")</f>
      </c>
      <c r="O20" s="215">
        <f>IF(ISNUMBER(O11),IFERROR(O11/O17,""),"")</f>
      </c>
      <c r="P20" s="215">
        <f>IF(ISNUMBER(P11),IFERROR(P11/P17,""),"")</f>
      </c>
      <c r="Q20" s="215">
        <f>IF(ISNUMBER(Q11),IFERROR(Q11/Q17,""),"")</f>
      </c>
      <c r="R20" s="215">
        <f>IF(ISNUMBER(R11),IFERROR(R11/R17,""),"")</f>
      </c>
      <c r="S20" s="215">
        <f>IF(ISNUMBER(S11),IFERROR(S11/S17,""),"")</f>
      </c>
      <c r="T20" s="215">
        <f>IF(ISNUMBER(T11),IFERROR(T11/T17,""),"")</f>
      </c>
      <c r="U20" s="215">
        <f>IF(ISNUMBER(U11),IFERROR(U11/U17,""),"")</f>
      </c>
      <c r="V20" s="215">
        <f>IF(ISNUMBER(V11),IFERROR(V11/V17,""),"")</f>
      </c>
      <c r="W20" s="215">
        <f>IF(ISNUMBER(W11),IFERROR(W11/W17,""),"")</f>
      </c>
      <c r="X20" s="215">
        <f>IF(ISNUMBER(X11),IFERROR(X11/X17,""),"")</f>
      </c>
      <c r="Y20" s="215">
        <f>IF(ISNUMBER(Y11),IFERROR(Y11/Y17,""),"")</f>
      </c>
      <c r="Z20" s="215">
        <f>IF(ISNUMBER(Z11),IFERROR(Z11/Z17,""),"")</f>
      </c>
      <c r="AA20" s="215">
        <f>IF(ISNUMBER(AA11),IFERROR(AA11/AA17,""),"")</f>
      </c>
      <c r="AB20" s="215">
        <f>IF(ISNUMBER(AB11),IFERROR(AB11/AB17,""),"")</f>
      </c>
      <c r="AC20" s="215">
        <f>IF(ISNUMBER(AC11),IFERROR(AC11/AC17,""),"")</f>
      </c>
      <c r="AD20" s="215">
        <f>IF(ISNUMBER(AD11),IFERROR(AD11/AD17,""),"")</f>
      </c>
      <c r="AE20" s="215">
        <f>IF(ISNUMBER(AE11),IFERROR(AE11/AE17,""),"")</f>
      </c>
      <c r="AF20" s="215">
        <f>IF(ISNUMBER(AF11),IFERROR(AF11/AF17,""),"")</f>
      </c>
      <c r="AG20" s="215">
        <f>IF(ISNUMBER(AG11),IFERROR(AG11/AG17,""),"")</f>
      </c>
      <c r="AH20" s="215">
        <f>IF(ISNUMBER(AH11),IFERROR(AH11/AH17,""),"")</f>
      </c>
      <c r="AI20" s="215">
        <f>IF(ISNUMBER(AI11),IFERROR(AI11/AI17,""),"")</f>
      </c>
      <c r="AJ20" s="215">
        <f>IF(ISNUMBER(AJ11),IFERROR(AJ11/AJ17,""),"")</f>
      </c>
      <c r="AK20" s="215">
        <f>IF(ISNUMBER(AK11),IFERROR(AK11/AK17,""),"")</f>
      </c>
      <c r="AL20" s="215">
        <f>IF(ISNUMBER(AL11),IFERROR(AL11/AL17,""),"")</f>
      </c>
      <c r="AM20" s="215">
        <f>IF(ISNUMBER(AM11),IFERROR(AM11/AM17,""),"")</f>
      </c>
      <c r="AN20" s="215">
        <f>IF(ISNUMBER(AN11),IFERROR(AN11/AN17,""),"")</f>
      </c>
      <c r="AO20" s="215">
        <f>IF(ISNUMBER(AO11),IFERROR(AO11/AO17,""),"")</f>
      </c>
      <c r="AP20" s="215">
        <f>IF(ISNUMBER(AP11),IFERROR(AP11/AP17,""),"")</f>
      </c>
      <c r="AQ20" s="215">
        <f>IF(ISNUMBER(AQ11),IFERROR(AQ11/AQ17,""),"")</f>
      </c>
      <c r="AR20" s="215">
        <f>IF(ISNUMBER(AR11),IFERROR(AR11/AR17,""),"")</f>
        <v>0.717282757605472</v>
      </c>
      <c r="AS20" s="215">
        <f>IF(ISNUMBER(AS11),IFERROR(AS11/AS17,""),"")</f>
      </c>
      <c r="AT20" s="215">
        <f>IF(ISNUMBER(AT11),IFERROR(AT11/AT17,""),"")</f>
      </c>
      <c r="AU20" s="215">
        <f>IF(ISNUMBER(AU11),IFERROR(AU11/AU17,""),"")</f>
      </c>
      <c r="AV20" s="215">
        <f>IF(ISNUMBER(AV11),IFERROR(AV11/AV17,""),"")</f>
      </c>
      <c r="AW20" s="215">
        <f>IF(ISNUMBER(AW11),IFERROR(AW11/AW17,""),"")</f>
        <v>0.722601774298218</v>
      </c>
      <c r="AX20" s="215">
        <f>IF(ISNUMBER(AX11),IFERROR(AX11/AX17,""),"")</f>
        <v>0.692314605498752</v>
      </c>
      <c r="AY20" s="215">
        <f>IF(ISNUMBER(AY11),IFERROR(AY11/AY17,""),"")</f>
        <v>0.707205471820009</v>
      </c>
      <c r="AZ20" s="215">
        <f>IF(ISNUMBER(AZ11),IFERROR(AZ11/AZ17,""),"")</f>
        <v>0.672826099580725</v>
      </c>
      <c r="BA20" s="215">
        <f>IF(ISNUMBER(BA11),IFERROR(BA11/BA17,""),"")</f>
        <v>0.659724158386475</v>
      </c>
      <c r="BB20" s="215">
        <f>IF(ISNUMBER(BB11),IFERROR(BB11/BB17,""),"")</f>
        <v>0.682626382143463</v>
      </c>
      <c r="BC20" s="215">
        <f>IF(ISNUMBER(BC11),IFERROR(BC11/BC17,""),"")</f>
        <v>0.666528996324202</v>
      </c>
      <c r="BD20" s="215">
        <f>IF(ISNUMBER(BD11),IFERROR(BD11/BD17,""),"")</f>
        <v>0.681624233980255</v>
      </c>
      <c r="BE20" s="215">
        <f>IF(ISNUMBER(BE11),IFERROR(BE11/BE17,""),"")</f>
        <v>0.663544367316216</v>
      </c>
      <c r="BF20" s="215">
        <f>IF(ISNUMBER(BF11),IFERROR(BF11/BF17,""),"")</f>
        <v>0.679200730786687</v>
      </c>
      <c r="BG20" s="215">
        <f>IF(ISNUMBER(BG11),IFERROR(BG11/BG17,""),"")</f>
        <v>0.672817816068368</v>
      </c>
      <c r="BH20" s="215">
        <f>IF(ISNUMBER(BH11),IFERROR(BH11/BH17,""),"")</f>
        <v>0.70176079286244</v>
      </c>
      <c r="BI20" s="215">
        <f>IF(ISNUMBER(BI11),IFERROR(BI11/BI17,""),"")</f>
        <v>0.729818092057207</v>
      </c>
      <c r="BJ20" s="215">
        <f>IF(ISNUMBER(BJ11),IFERROR(BJ11/BJ17,""),"")</f>
        <v>0.734113728949638</v>
      </c>
      <c r="BK20" s="215">
        <f>IF(ISNUMBER(BK11),IFERROR(BK11/BK17,""),"")</f>
        <v>0.731702078699087</v>
      </c>
      <c r="BL20" s="215">
        <f>IF(ISNUMBER(BL11),IFERROR(BL11/BL17,""),"")</f>
        <v>0.724960844011848</v>
      </c>
      <c r="BM20" s="215">
        <f>IF(ISNUMBER(BM11),IFERROR(BM11/BM17,""),"")</f>
        <v>0.731042308653286</v>
      </c>
      <c r="BN20" s="215">
        <f>IF(ISNUMBER(BN11),IFERROR(BN11/BN17,""),"")</f>
        <v>0.783114169322667</v>
      </c>
      <c r="BO20" s="215">
        <f>IF(ISNUMBER(BO11),IFERROR(BO11/BO17,""),"")</f>
        <v>0.781751915510458</v>
      </c>
      <c r="BP20" s="215">
        <f>IF(ISNUMBER(BP11),IFERROR(BP11/BP17,""),"")</f>
        <v>0.791077956525403</v>
      </c>
      <c r="BQ20" s="215">
        <f>IF(ISNUMBER(BQ11),IFERROR(BQ11/BQ17,""),"")</f>
        <v>0.774036861849617</v>
      </c>
      <c r="BR20" s="215">
        <f>IF(ISNUMBER(BR11),IFERROR(BR11/BR17,""),"")</f>
        <v>0.773908984830805</v>
      </c>
      <c r="BS20" s="215">
        <f>IF(ISNUMBER(BS11),IFERROR(BS11/BS17,""),"")</f>
        <v>0.81637091425705</v>
      </c>
      <c r="BT20" s="215">
        <f>IF(ISNUMBER(BT11),IFERROR(BT11/BT17,""),"")</f>
        <v>0.827849365882538</v>
      </c>
      <c r="BU20" s="215">
        <f>IF(ISNUMBER(BU11),IFERROR(BU11/BU17,""),"")</f>
        <v>0.819224399137223</v>
      </c>
      <c r="BV20" s="215">
        <f>IF(ISNUMBER(BV11),IFERROR(BV11/BV17,""),"")</f>
        <v>0.811753631559806</v>
      </c>
      <c r="BW20" s="215">
        <f>IF(ISNUMBER(BW11),IFERROR(BW11/BW17,""),"")</f>
        <v>0.816371899360991</v>
      </c>
      <c r="BX20" s="215">
        <f>IF(ISNUMBER(BX11),IFERROR(BX11/BX17,""),"")</f>
        <v>0.879268926865317</v>
      </c>
      <c r="BY20" s="215">
        <f>IF(ISNUMBER(BY11),IFERROR(BY11/BY17,""),"")</f>
        <v>0.871748998141195</v>
      </c>
      <c r="BZ20" s="256">
        <f>IF(ISNUMBER(BZ11),IFERROR(BZ11/BZ17,""),"")</f>
        <v>0.870026548493443</v>
      </c>
      <c r="CA20" s="256">
        <f>IF(ISNUMBER(CA11),IFERROR(CA11/CA17,""),"")</f>
        <v>0.863383818259431</v>
      </c>
      <c r="CB20" s="256">
        <f>IF(ISNUMBER(CB11),IFERROR(CB11/CB17,""),"")</f>
        <v>0.874815588870428</v>
      </c>
      <c r="CC20" s="256">
        <f>IF(ISNUMBER(CC11),IFERROR(CC11/CC17,""),"")</f>
        <v>0.882708542375883</v>
      </c>
      <c r="CD20" s="256">
        <f>IF(ISNUMBER(CD11),IFERROR(CD11/CD17,""),"")</f>
        <v>0.888392223402692</v>
      </c>
      <c r="CE20" s="256">
        <f>IF(ISNUMBER(CE11),IFERROR(CE11/CE17,""),"")</f>
        <v>0.893883841093003</v>
      </c>
      <c r="CF20" s="256">
        <f>IF(ISNUMBER(CF11),IFERROR(CF11/CF17,""),"")</f>
        <v>0.89829698114843</v>
      </c>
      <c r="CG20" s="153" t="n"/>
      <c r="CI20" s="37">
        <f>IFERROR(AVERAGE(CB20,CC20,CD20,CE20,CF20),"n/m")</f>
        <v>0.887619435378087</v>
      </c>
      <c r="CJ20" s="37">
        <f>IFERROR(AVERAGE(BB20,BG20,BL20,BQ20,BV20),"n/m")</f>
        <v>0.73323910712662</v>
      </c>
      <c r="CK20" s="37">
        <f>IFERROR(AVERAGE(AC20,AH20,AM20,AR20,AW20,BB20,BG20,BL20,BQ20,BV20),"n/m")</f>
        <v>0.729440009648113</v>
      </c>
      <c r="CL20" s="37">
        <f>IFERROR(AVERAGE(C20,D20,E20,F20,G20,H20,I20,N20,S20,X20,AC20,AH20,AM20,AR20,AW20,BB20,BG20,BL20,BQ20,BV20),"n/m")</f>
        <v>0.729440009648113</v>
      </c>
      <c r="CO20" s="25" t="inlineStr">
        <is>
          <t xml:space="preserve">  Q4/26E other income (expense), net ($m)</t>
        </is>
      </c>
      <c r="CQ20" s="261" t="n">
        <v>3</v>
      </c>
      <c r="CS20" s="13" t="inlineStr">
        <is>
          <t>9M FY26 $9.9m (Q3 $11.9m incl. investment gains).</t>
        </is>
      </c>
    </row>
    <row r="21" ht="15" customHeight="1" s="251">
      <c r="B21" s="156" t="inlineStr">
        <is>
          <t xml:space="preserve">  Memo: Scores segment revenue as reported (segment note)</t>
        </is>
      </c>
      <c r="C21" s="253" t="n">
        <v>177.152</v>
      </c>
      <c r="D21" s="253" t="n">
        <v>180.444</v>
      </c>
      <c r="E21" s="253" t="n">
        <v>156.816</v>
      </c>
      <c r="F21" s="253" t="n">
        <v>131.621</v>
      </c>
      <c r="G21" s="253" t="n">
        <v>172.339</v>
      </c>
      <c r="H21" s="253" t="n">
        <v>168.567</v>
      </c>
      <c r="I21" s="253" t="n">
        <v>175.623</v>
      </c>
      <c r="J21" s="253" t="n">
        <v>43.447</v>
      </c>
      <c r="K21" s="253" t="n">
        <v>44.062</v>
      </c>
      <c r="L21" s="253" t="n">
        <v>47.152</v>
      </c>
      <c r="M21" s="253" t="n">
        <v>46.152</v>
      </c>
      <c r="N21" s="253" t="n">
        <v>180.813</v>
      </c>
      <c r="O21" s="253" t="n">
        <v>47.18</v>
      </c>
      <c r="P21" s="253" t="n">
        <v>47.858</v>
      </c>
      <c r="Q21" s="253" t="n">
        <v>45.33</v>
      </c>
      <c r="R21" s="253" t="n">
        <v>46.101</v>
      </c>
      <c r="S21" s="253" t="n">
        <v>186.469</v>
      </c>
      <c r="T21" s="253" t="n">
        <v>43.941</v>
      </c>
      <c r="U21" s="253" t="n">
        <v>49.937</v>
      </c>
      <c r="V21" s="253" t="n">
        <v>55.754</v>
      </c>
      <c r="W21" s="253" t="n">
        <v>57.375</v>
      </c>
      <c r="X21" s="253" t="n">
        <v>207.007</v>
      </c>
      <c r="Y21" s="253" t="n">
        <v>56.002</v>
      </c>
      <c r="Z21" s="253" t="n">
        <v>61.116</v>
      </c>
      <c r="AA21" s="253" t="n">
        <v>61.13</v>
      </c>
      <c r="AB21" s="253" t="n">
        <v>62.811</v>
      </c>
      <c r="AC21" s="253" t="n">
        <v>241.059</v>
      </c>
      <c r="AD21" s="253" t="n">
        <v>59.382</v>
      </c>
      <c r="AE21" s="253" t="n">
        <v>65.43300000000001</v>
      </c>
      <c r="AF21" s="253" t="n">
        <v>69.514</v>
      </c>
      <c r="AG21" s="253" t="n">
        <v>72.02500000000001</v>
      </c>
      <c r="AH21" s="253" t="n">
        <v>266.354</v>
      </c>
      <c r="AI21" s="253" t="n">
        <v>69.91500000000001</v>
      </c>
      <c r="AJ21" s="253" t="n">
        <v>87.91</v>
      </c>
      <c r="AK21" s="253" t="n">
        <v>92.105</v>
      </c>
      <c r="AL21" s="253" t="n">
        <v>92.718</v>
      </c>
      <c r="AM21" s="253" t="n">
        <v>342.648</v>
      </c>
      <c r="AN21" s="253" t="n">
        <v>85.68300000000001</v>
      </c>
      <c r="AO21" s="253" t="n">
        <v>104.403</v>
      </c>
      <c r="AP21" s="253" t="n">
        <v>115.146</v>
      </c>
      <c r="AQ21" s="253" t="n">
        <v>115.945</v>
      </c>
      <c r="AR21" s="253" t="n">
        <v>421.177</v>
      </c>
      <c r="AS21" s="253" t="n">
        <v>115.138</v>
      </c>
      <c r="AT21" s="253" t="n">
        <v>129.148</v>
      </c>
      <c r="AU21" s="253" t="n">
        <v>131.55</v>
      </c>
      <c r="AV21" s="253" t="n">
        <v>152.711</v>
      </c>
      <c r="AW21" s="253" t="n">
        <v>528.547</v>
      </c>
      <c r="AX21" s="253" t="n">
        <v>144.651</v>
      </c>
      <c r="AY21" s="253" t="n">
        <v>168.719</v>
      </c>
      <c r="AZ21" s="253" t="n">
        <v>172.202</v>
      </c>
      <c r="BA21" s="253" t="n">
        <v>168.575</v>
      </c>
      <c r="BB21" s="253" t="n">
        <v>654.147</v>
      </c>
      <c r="BC21" s="253" t="n">
        <v>169.487</v>
      </c>
      <c r="BD21" s="253" t="n">
        <v>183.742</v>
      </c>
      <c r="BE21" s="253" t="n">
        <v>179.355</v>
      </c>
      <c r="BF21" s="253" t="n">
        <v>174.059</v>
      </c>
      <c r="BG21" s="253" t="n">
        <v>706.643</v>
      </c>
      <c r="BH21" s="253" t="n">
        <v>177.988</v>
      </c>
      <c r="BI21" s="253" t="n">
        <v>198.507</v>
      </c>
      <c r="BJ21" s="253" t="n">
        <v>201.778</v>
      </c>
      <c r="BK21" s="253" t="n">
        <v>195.555</v>
      </c>
      <c r="BL21" s="253" t="n">
        <v>773.828</v>
      </c>
      <c r="BM21" s="253" t="n">
        <v>192.112</v>
      </c>
      <c r="BN21" s="253" t="n">
        <v>236.885</v>
      </c>
      <c r="BO21" s="253" t="n">
        <v>241.45</v>
      </c>
      <c r="BP21" s="253" t="n">
        <v>249.203</v>
      </c>
      <c r="BQ21" s="253" t="n">
        <v>919.65</v>
      </c>
      <c r="BR21" s="253" t="n">
        <v>235.675</v>
      </c>
      <c r="BS21" s="253" t="n">
        <v>297.039</v>
      </c>
      <c r="BT21" s="253" t="n">
        <v>324.309</v>
      </c>
      <c r="BU21" s="253" t="n">
        <v>311.552</v>
      </c>
      <c r="BV21" s="253" t="n">
        <v>1168.575</v>
      </c>
      <c r="BW21" s="253" t="n">
        <v>304.534</v>
      </c>
      <c r="BX21" s="253" t="n">
        <v>474.973</v>
      </c>
      <c r="BY21" s="253" t="n">
        <v>458.897</v>
      </c>
      <c r="BZ21" s="153" t="n"/>
      <c r="CA21" s="153" t="n"/>
      <c r="CB21" s="153" t="n"/>
      <c r="CC21" s="153" t="n"/>
      <c r="CD21" s="153" t="n"/>
      <c r="CE21" s="153" t="n"/>
      <c r="CF21" s="153" t="n"/>
      <c r="CG21" s="153" t="n"/>
      <c r="CO21" s="25" t="inlineStr">
        <is>
          <t xml:space="preserve">  Q4/26E depreciation &amp; amortization ($m)</t>
        </is>
      </c>
      <c r="CQ21" s="261" t="n">
        <v>4.3</v>
      </c>
      <c r="CS21" s="13" t="inlineStr">
        <is>
          <t>Q3 $4.2m; rising with capitalized software.</t>
        </is>
      </c>
    </row>
    <row r="22" ht="15" customHeight="1" s="251">
      <c r="B22" s="57" t="inlineStr">
        <is>
          <t xml:space="preserve">  Check: revenue streams vs segment revenue (should be 0)</t>
        </is>
      </c>
      <c r="C22" s="262">
        <f>IF(AND(ISNUMBER(C11),ISNUMBER(C14),ISNUMBER(C21)),IF(ABS(C17-C21)&lt;=0.15,0,ROUND(C17-C21,1)),"")</f>
      </c>
      <c r="D22" s="262">
        <f>IF(AND(ISNUMBER(D11),ISNUMBER(D14),ISNUMBER(D21)),IF(ABS(D17-D21)&lt;=0.15,0,ROUND(D17-D21,1)),"")</f>
      </c>
      <c r="E22" s="262">
        <f>IF(AND(ISNUMBER(E11),ISNUMBER(E14),ISNUMBER(E21)),IF(ABS(E17-E21)&lt;=0.15,0,ROUND(E17-E21,1)),"")</f>
      </c>
      <c r="F22" s="262">
        <f>IF(AND(ISNUMBER(F11),ISNUMBER(F14),ISNUMBER(F21)),IF(ABS(F17-F21)&lt;=0.15,0,ROUND(F17-F21,1)),"")</f>
      </c>
      <c r="G22" s="262">
        <f>IF(AND(ISNUMBER(G11),ISNUMBER(G14),ISNUMBER(G21)),IF(ABS(G17-G21)&lt;=0.15,0,ROUND(G17-G21,1)),"")</f>
      </c>
      <c r="H22" s="262">
        <f>IF(AND(ISNUMBER(H11),ISNUMBER(H14),ISNUMBER(H21)),IF(ABS(H17-H21)&lt;=0.15,0,ROUND(H17-H21,1)),"")</f>
      </c>
      <c r="I22" s="262">
        <f>IF(AND(ISNUMBER(I11),ISNUMBER(I14),ISNUMBER(I21)),IF(ABS(I17-I21)&lt;=0.15,0,ROUND(I17-I21,1)),"")</f>
      </c>
      <c r="J22" s="262">
        <f>IF(AND(ISNUMBER(J11),ISNUMBER(J14),ISNUMBER(J21)),IF(ABS(J17-J21)&lt;=0.15,0,ROUND(J17-J21,1)),"")</f>
      </c>
      <c r="K22" s="262">
        <f>IF(AND(ISNUMBER(K11),ISNUMBER(K14),ISNUMBER(K21)),IF(ABS(K17-K21)&lt;=0.15,0,ROUND(K17-K21,1)),"")</f>
      </c>
      <c r="L22" s="262">
        <f>IF(AND(ISNUMBER(L11),ISNUMBER(L14),ISNUMBER(L21)),IF(ABS(L17-L21)&lt;=0.15,0,ROUND(L17-L21,1)),"")</f>
      </c>
      <c r="M22" s="262">
        <f>IF(AND(ISNUMBER(M11),ISNUMBER(M14),ISNUMBER(M21)),IF(ABS(M17-M21)&lt;=0.15,0,ROUND(M17-M21,1)),"")</f>
      </c>
      <c r="N22" s="262">
        <f>IF(AND(ISNUMBER(N11),ISNUMBER(N14),ISNUMBER(N21)),IF(ABS(N17-N21)&lt;=0.15,0,ROUND(N17-N21,1)),"")</f>
      </c>
      <c r="O22" s="262">
        <f>IF(AND(ISNUMBER(O11),ISNUMBER(O14),ISNUMBER(O21)),IF(ABS(O17-O21)&lt;=0.15,0,ROUND(O17-O21,1)),"")</f>
      </c>
      <c r="P22" s="262">
        <f>IF(AND(ISNUMBER(P11),ISNUMBER(P14),ISNUMBER(P21)),IF(ABS(P17-P21)&lt;=0.15,0,ROUND(P17-P21,1)),"")</f>
      </c>
      <c r="Q22" s="262">
        <f>IF(AND(ISNUMBER(Q11),ISNUMBER(Q14),ISNUMBER(Q21)),IF(ABS(Q17-Q21)&lt;=0.15,0,ROUND(Q17-Q21,1)),"")</f>
      </c>
      <c r="R22" s="262">
        <f>IF(AND(ISNUMBER(R11),ISNUMBER(R14),ISNUMBER(R21)),IF(ABS(R17-R21)&lt;=0.15,0,ROUND(R17-R21,1)),"")</f>
      </c>
      <c r="S22" s="262">
        <f>IF(AND(ISNUMBER(S11),ISNUMBER(S14),ISNUMBER(S21)),IF(ABS(S17-S21)&lt;=0.15,0,ROUND(S17-S21,1)),"")</f>
      </c>
      <c r="T22" s="262">
        <f>IF(AND(ISNUMBER(T11),ISNUMBER(T14),ISNUMBER(T21)),IF(ABS(T17-T21)&lt;=0.15,0,ROUND(T17-T21,1)),"")</f>
      </c>
      <c r="U22" s="262">
        <f>IF(AND(ISNUMBER(U11),ISNUMBER(U14),ISNUMBER(U21)),IF(ABS(U17-U21)&lt;=0.15,0,ROUND(U17-U21,1)),"")</f>
      </c>
      <c r="V22" s="262">
        <f>IF(AND(ISNUMBER(V11),ISNUMBER(V14),ISNUMBER(V21)),IF(ABS(V17-V21)&lt;=0.15,0,ROUND(V17-V21,1)),"")</f>
      </c>
      <c r="W22" s="262">
        <f>IF(AND(ISNUMBER(W11),ISNUMBER(W14),ISNUMBER(W21)),IF(ABS(W17-W21)&lt;=0.15,0,ROUND(W17-W21,1)),"")</f>
      </c>
      <c r="X22" s="262">
        <f>IF(AND(ISNUMBER(X11),ISNUMBER(X14),ISNUMBER(X21)),IF(ABS(X17-X21)&lt;=0.15,0,ROUND(X17-X21,1)),"")</f>
      </c>
      <c r="Y22" s="262">
        <f>IF(AND(ISNUMBER(Y11),ISNUMBER(Y14),ISNUMBER(Y21)),IF(ABS(Y17-Y21)&lt;=0.15,0,ROUND(Y17-Y21,1)),"")</f>
      </c>
      <c r="Z22" s="262">
        <f>IF(AND(ISNUMBER(Z11),ISNUMBER(Z14),ISNUMBER(Z21)),IF(ABS(Z17-Z21)&lt;=0.15,0,ROUND(Z17-Z21,1)),"")</f>
      </c>
      <c r="AA22" s="262">
        <f>IF(AND(ISNUMBER(AA11),ISNUMBER(AA14),ISNUMBER(AA21)),IF(ABS(AA17-AA21)&lt;=0.15,0,ROUND(AA17-AA21,1)),"")</f>
      </c>
      <c r="AB22" s="262">
        <f>IF(AND(ISNUMBER(AB11),ISNUMBER(AB14),ISNUMBER(AB21)),IF(ABS(AB17-AB21)&lt;=0.15,0,ROUND(AB17-AB21,1)),"")</f>
      </c>
      <c r="AC22" s="262">
        <f>IF(AND(ISNUMBER(AC11),ISNUMBER(AC14),ISNUMBER(AC21)),IF(ABS(AC17-AC21)&lt;=0.15,0,ROUND(AC17-AC21,1)),"")</f>
      </c>
      <c r="AD22" s="262">
        <f>IF(AND(ISNUMBER(AD11),ISNUMBER(AD14),ISNUMBER(AD21)),IF(ABS(AD17-AD21)&lt;=0.15,0,ROUND(AD17-AD21,1)),"")</f>
      </c>
      <c r="AE22" s="262">
        <f>IF(AND(ISNUMBER(AE11),ISNUMBER(AE14),ISNUMBER(AE21)),IF(ABS(AE17-AE21)&lt;=0.15,0,ROUND(AE17-AE21,1)),"")</f>
      </c>
      <c r="AF22" s="262">
        <f>IF(AND(ISNUMBER(AF11),ISNUMBER(AF14),ISNUMBER(AF21)),IF(ABS(AF17-AF21)&lt;=0.15,0,ROUND(AF17-AF21,1)),"")</f>
      </c>
      <c r="AG22" s="262">
        <f>IF(AND(ISNUMBER(AG11),ISNUMBER(AG14),ISNUMBER(AG21)),IF(ABS(AG17-AG21)&lt;=0.15,0,ROUND(AG17-AG21,1)),"")</f>
      </c>
      <c r="AH22" s="262">
        <f>IF(AND(ISNUMBER(AH11),ISNUMBER(AH14),ISNUMBER(AH21)),IF(ABS(AH17-AH21)&lt;=0.15,0,ROUND(AH17-AH21,1)),"")</f>
      </c>
      <c r="AI22" s="262">
        <f>IF(AND(ISNUMBER(AI11),ISNUMBER(AI14),ISNUMBER(AI21)),IF(ABS(AI17-AI21)&lt;=0.15,0,ROUND(AI17-AI21,1)),"")</f>
      </c>
      <c r="AJ22" s="262">
        <f>IF(AND(ISNUMBER(AJ11),ISNUMBER(AJ14),ISNUMBER(AJ21)),IF(ABS(AJ17-AJ21)&lt;=0.15,0,ROUND(AJ17-AJ21,1)),"")</f>
      </c>
      <c r="AK22" s="262">
        <f>IF(AND(ISNUMBER(AK11),ISNUMBER(AK14),ISNUMBER(AK21)),IF(ABS(AK17-AK21)&lt;=0.15,0,ROUND(AK17-AK21,1)),"")</f>
      </c>
      <c r="AL22" s="262">
        <f>IF(AND(ISNUMBER(AL11),ISNUMBER(AL14),ISNUMBER(AL21)),IF(ABS(AL17-AL21)&lt;=0.15,0,ROUND(AL17-AL21,1)),"")</f>
      </c>
      <c r="AM22" s="262">
        <f>IF(AND(ISNUMBER(AM11),ISNUMBER(AM14),ISNUMBER(AM21)),IF(ABS(AM17-AM21)&lt;=0.15,0,ROUND(AM17-AM21,1)),"")</f>
      </c>
      <c r="AN22" s="262">
        <f>IF(AND(ISNUMBER(AN11),ISNUMBER(AN14),ISNUMBER(AN21)),IF(ABS(AN17-AN21)&lt;=0.15,0,ROUND(AN17-AN21,1)),"")</f>
      </c>
      <c r="AO22" s="262">
        <f>IF(AND(ISNUMBER(AO11),ISNUMBER(AO14),ISNUMBER(AO21)),IF(ABS(AO17-AO21)&lt;=0.15,0,ROUND(AO17-AO21,1)),"")</f>
      </c>
      <c r="AP22" s="262">
        <f>IF(AND(ISNUMBER(AP11),ISNUMBER(AP14),ISNUMBER(AP21)),IF(ABS(AP17-AP21)&lt;=0.15,0,ROUND(AP17-AP21,1)),"")</f>
      </c>
      <c r="AQ22" s="262">
        <f>IF(AND(ISNUMBER(AQ11),ISNUMBER(AQ14),ISNUMBER(AQ21)),IF(ABS(AQ17-AQ21)&lt;=0.15,0,ROUND(AQ17-AQ21,1)),"")</f>
      </c>
      <c r="AR22" s="262">
        <f>IF(AND(ISNUMBER(AR11),ISNUMBER(AR14),ISNUMBER(AR21)),IF(ABS(AR17-AR21)&lt;=0.15,0,ROUND(AR17-AR21,1)),"")</f>
        <v>0</v>
      </c>
      <c r="AS22" s="262">
        <f>IF(AND(ISNUMBER(AS11),ISNUMBER(AS14),ISNUMBER(AS21)),IF(ABS(AS17-AS21)&lt;=0.15,0,ROUND(AS17-AS21,1)),"")</f>
      </c>
      <c r="AT22" s="262">
        <f>IF(AND(ISNUMBER(AT11),ISNUMBER(AT14),ISNUMBER(AT21)),IF(ABS(AT17-AT21)&lt;=0.15,0,ROUND(AT17-AT21,1)),"")</f>
      </c>
      <c r="AU22" s="262">
        <f>IF(AND(ISNUMBER(AU11),ISNUMBER(AU14),ISNUMBER(AU21)),IF(ABS(AU17-AU21)&lt;=0.15,0,ROUND(AU17-AU21,1)),"")</f>
      </c>
      <c r="AV22" s="262">
        <f>IF(AND(ISNUMBER(AV11),ISNUMBER(AV14),ISNUMBER(AV21)),IF(ABS(AV17-AV21)&lt;=0.15,0,ROUND(AV17-AV21,1)),"")</f>
      </c>
      <c r="AW22" s="262">
        <f>IF(AND(ISNUMBER(AW11),ISNUMBER(AW14),ISNUMBER(AW21)),IF(ABS(AW17-AW21)&lt;=0.15,0,ROUND(AW17-AW21,1)),"")</f>
        <v>0</v>
      </c>
      <c r="AX22" s="262">
        <f>IF(AND(ISNUMBER(AX11),ISNUMBER(AX14),ISNUMBER(AX21)),IF(ABS(AX17-AX21)&lt;=0.15,0,ROUND(AX17-AX21,1)),"")</f>
        <v>0</v>
      </c>
      <c r="AY22" s="262">
        <f>IF(AND(ISNUMBER(AY11),ISNUMBER(AY14),ISNUMBER(AY21)),IF(ABS(AY17-AY21)&lt;=0.15,0,ROUND(AY17-AY21,1)),"")</f>
        <v>0</v>
      </c>
      <c r="AZ22" s="262">
        <f>IF(AND(ISNUMBER(AZ11),ISNUMBER(AZ14),ISNUMBER(AZ21)),IF(ABS(AZ17-AZ21)&lt;=0.15,0,ROUND(AZ17-AZ21,1)),"")</f>
        <v>0</v>
      </c>
      <c r="BA22" s="262">
        <f>IF(AND(ISNUMBER(BA11),ISNUMBER(BA14),ISNUMBER(BA21)),IF(ABS(BA17-BA21)&lt;=0.15,0,ROUND(BA17-BA21,1)),"")</f>
        <v>0</v>
      </c>
      <c r="BB22" s="262">
        <f>IF(AND(ISNUMBER(BB11),ISNUMBER(BB14),ISNUMBER(BB21)),IF(ABS(BB17-BB21)&lt;=0.15,0,ROUND(BB17-BB21,1)),"")</f>
        <v>0</v>
      </c>
      <c r="BC22" s="262">
        <f>IF(AND(ISNUMBER(BC11),ISNUMBER(BC14),ISNUMBER(BC21)),IF(ABS(BC17-BC21)&lt;=0.15,0,ROUND(BC17-BC21,1)),"")</f>
        <v>0</v>
      </c>
      <c r="BD22" s="262">
        <f>IF(AND(ISNUMBER(BD11),ISNUMBER(BD14),ISNUMBER(BD21)),IF(ABS(BD17-BD21)&lt;=0.15,0,ROUND(BD17-BD21,1)),"")</f>
        <v>0</v>
      </c>
      <c r="BE22" s="262">
        <f>IF(AND(ISNUMBER(BE11),ISNUMBER(BE14),ISNUMBER(BE21)),IF(ABS(BE17-BE21)&lt;=0.15,0,ROUND(BE17-BE21,1)),"")</f>
        <v>0</v>
      </c>
      <c r="BF22" s="262">
        <f>IF(AND(ISNUMBER(BF11),ISNUMBER(BF14),ISNUMBER(BF21)),IF(ABS(BF17-BF21)&lt;=0.15,0,ROUND(BF17-BF21,1)),"")</f>
        <v>0</v>
      </c>
      <c r="BG22" s="262">
        <f>IF(AND(ISNUMBER(BG11),ISNUMBER(BG14),ISNUMBER(BG21)),IF(ABS(BG17-BG21)&lt;=0.15,0,ROUND(BG17-BG21,1)),"")</f>
        <v>0</v>
      </c>
      <c r="BH22" s="262">
        <f>IF(AND(ISNUMBER(BH11),ISNUMBER(BH14),ISNUMBER(BH21)),IF(ABS(BH17-BH21)&lt;=0.15,0,ROUND(BH17-BH21,1)),"")</f>
        <v>0</v>
      </c>
      <c r="BI22" s="262">
        <f>IF(AND(ISNUMBER(BI11),ISNUMBER(BI14),ISNUMBER(BI21)),IF(ABS(BI17-BI21)&lt;=0.15,0,ROUND(BI17-BI21,1)),"")</f>
        <v>0</v>
      </c>
      <c r="BJ22" s="262">
        <f>IF(AND(ISNUMBER(BJ11),ISNUMBER(BJ14),ISNUMBER(BJ21)),IF(ABS(BJ17-BJ21)&lt;=0.15,0,ROUND(BJ17-BJ21,1)),"")</f>
        <v>0</v>
      </c>
      <c r="BK22" s="262">
        <f>IF(AND(ISNUMBER(BK11),ISNUMBER(BK14),ISNUMBER(BK21)),IF(ABS(BK17-BK21)&lt;=0.15,0,ROUND(BK17-BK21,1)),"")</f>
        <v>0</v>
      </c>
      <c r="BL22" s="262">
        <f>IF(AND(ISNUMBER(BL11),ISNUMBER(BL14),ISNUMBER(BL21)),IF(ABS(BL17-BL21)&lt;=0.15,0,ROUND(BL17-BL21,1)),"")</f>
        <v>0</v>
      </c>
      <c r="BM22" s="262">
        <f>IF(AND(ISNUMBER(BM11),ISNUMBER(BM14),ISNUMBER(BM21)),IF(ABS(BM17-BM21)&lt;=0.15,0,ROUND(BM17-BM21,1)),"")</f>
        <v>0</v>
      </c>
      <c r="BN22" s="262">
        <f>IF(AND(ISNUMBER(BN11),ISNUMBER(BN14),ISNUMBER(BN21)),IF(ABS(BN17-BN21)&lt;=0.15,0,ROUND(BN17-BN21,1)),"")</f>
        <v>0</v>
      </c>
      <c r="BO22" s="262">
        <f>IF(AND(ISNUMBER(BO11),ISNUMBER(BO14),ISNUMBER(BO21)),IF(ABS(BO17-BO21)&lt;=0.15,0,ROUND(BO17-BO21,1)),"")</f>
        <v>0</v>
      </c>
      <c r="BP22" s="262">
        <f>IF(AND(ISNUMBER(BP11),ISNUMBER(BP14),ISNUMBER(BP21)),IF(ABS(BP17-BP21)&lt;=0.15,0,ROUND(BP17-BP21,1)),"")</f>
        <v>0</v>
      </c>
      <c r="BQ22" s="262">
        <f>IF(AND(ISNUMBER(BQ11),ISNUMBER(BQ14),ISNUMBER(BQ21)),IF(ABS(BQ17-BQ21)&lt;=0.15,0,ROUND(BQ17-BQ21,1)),"")</f>
        <v>0</v>
      </c>
      <c r="BR22" s="262">
        <f>IF(AND(ISNUMBER(BR11),ISNUMBER(BR14),ISNUMBER(BR21)),IF(ABS(BR17-BR21)&lt;=0.15,0,ROUND(BR17-BR21,1)),"")</f>
        <v>0</v>
      </c>
      <c r="BS22" s="262">
        <f>IF(AND(ISNUMBER(BS11),ISNUMBER(BS14),ISNUMBER(BS21)),IF(ABS(BS17-BS21)&lt;=0.15,0,ROUND(BS17-BS21,1)),"")</f>
        <v>0</v>
      </c>
      <c r="BT22" s="262">
        <f>IF(AND(ISNUMBER(BT11),ISNUMBER(BT14),ISNUMBER(BT21)),IF(ABS(BT17-BT21)&lt;=0.15,0,ROUND(BT17-BT21,1)),"")</f>
        <v>0</v>
      </c>
      <c r="BU22" s="262">
        <f>IF(AND(ISNUMBER(BU11),ISNUMBER(BU14),ISNUMBER(BU21)),IF(ABS(BU17-BU21)&lt;=0.15,0,ROUND(BU17-BU21,1)),"")</f>
        <v>0</v>
      </c>
      <c r="BV22" s="262">
        <f>IF(AND(ISNUMBER(BV11),ISNUMBER(BV14),ISNUMBER(BV21)),IF(ABS(BV17-BV21)&lt;=0.15,0,ROUND(BV17-BV21,1)),"")</f>
        <v>0</v>
      </c>
      <c r="BW22" s="262">
        <f>IF(AND(ISNUMBER(BW11),ISNUMBER(BW14),ISNUMBER(BW21)),IF(ABS(BW17-BW21)&lt;=0.15,0,ROUND(BW17-BW21,1)),"")</f>
        <v>0</v>
      </c>
      <c r="BX22" s="262">
        <f>IF(AND(ISNUMBER(BX11),ISNUMBER(BX14),ISNUMBER(BX21)),IF(ABS(BX17-BX21)&lt;=0.15,0,ROUND(BX17-BX21,1)),"")</f>
        <v>0</v>
      </c>
      <c r="BY22" s="262">
        <f>IF(AND(ISNUMBER(BY11),ISNUMBER(BY14),ISNUMBER(BY21)),IF(ABS(BY17-BY21)&lt;=0.15,0,ROUND(BY17-BY21,1)),"")</f>
        <v>0</v>
      </c>
      <c r="BZ22" s="153" t="n"/>
      <c r="CA22" s="153" t="n"/>
      <c r="CB22" s="153" t="n"/>
      <c r="CC22" s="153" t="n"/>
      <c r="CD22" s="153" t="n"/>
      <c r="CE22" s="153" t="n"/>
      <c r="CF22" s="153" t="n"/>
      <c r="CG22" s="153" t="n"/>
      <c r="CO22" s="25" t="inlineStr">
        <is>
          <t xml:space="preserve">  Q4/26E share-based compensation ($m)</t>
        </is>
      </c>
      <c r="CQ22" s="261" t="n">
        <v>46.1</v>
      </c>
      <c r="CS22" s="13" t="inlineStr">
        <is>
          <t>FY26 guidance $188m − 9M actual $141.9m.</t>
        </is>
      </c>
    </row>
    <row r="23" ht="15" customHeight="1" s="251">
      <c r="B23" s="25" t="inlineStr">
        <is>
          <t xml:space="preserve">  Scores segment operating income</t>
        </is>
      </c>
      <c r="C23" s="253" t="n">
        <v>112.413</v>
      </c>
      <c r="D23" s="253" t="n">
        <v>115.317</v>
      </c>
      <c r="E23" s="253" t="n">
        <v>90.458</v>
      </c>
      <c r="F23" s="253" t="n">
        <v>75.88800000000001</v>
      </c>
      <c r="G23" s="253" t="n">
        <v>110.651</v>
      </c>
      <c r="H23" s="253" t="n">
        <v>113.398</v>
      </c>
      <c r="I23" s="253" t="n">
        <v>122.936</v>
      </c>
      <c r="J23" s="253" t="n">
        <v>29.666</v>
      </c>
      <c r="K23" s="253" t="n">
        <v>31.128</v>
      </c>
      <c r="L23" s="253" t="n">
        <v>34.175</v>
      </c>
      <c r="M23" s="253" t="n">
        <v>34.063</v>
      </c>
      <c r="N23" s="253" t="n">
        <v>129.032</v>
      </c>
      <c r="O23" s="253" t="n">
        <v>36.805</v>
      </c>
      <c r="P23" s="253" t="n">
        <v>36.919</v>
      </c>
      <c r="Q23" s="253" t="n">
        <v>33.886</v>
      </c>
      <c r="R23" s="253" t="n">
        <v>34.672</v>
      </c>
      <c r="S23" s="253" t="n">
        <v>142.282</v>
      </c>
      <c r="T23" s="253" t="n">
        <v>31.049</v>
      </c>
      <c r="U23" s="253" t="n">
        <v>35.319</v>
      </c>
      <c r="V23" s="253" t="n">
        <v>41.018</v>
      </c>
      <c r="W23" s="253" t="n">
        <v>43.828</v>
      </c>
      <c r="X23" s="253" t="n">
        <v>151.214</v>
      </c>
      <c r="Y23" s="253" t="n">
        <v>41.833</v>
      </c>
      <c r="Z23" s="253" t="n">
        <v>47.026</v>
      </c>
      <c r="AA23" s="253" t="n">
        <v>46.809</v>
      </c>
      <c r="AB23" s="253" t="n">
        <v>49.416</v>
      </c>
      <c r="AC23" s="253" t="n">
        <v>185.084</v>
      </c>
      <c r="AD23" s="253" t="n">
        <v>46.063</v>
      </c>
      <c r="AE23" s="253" t="n">
        <v>50.949</v>
      </c>
      <c r="AF23" s="253" t="n">
        <v>55.501</v>
      </c>
      <c r="AG23" s="253" t="n">
        <v>59.405</v>
      </c>
      <c r="AH23" s="253" t="n">
        <v>211.918</v>
      </c>
      <c r="AI23" s="253" t="n">
        <v>54.028</v>
      </c>
      <c r="AJ23" s="253" t="n">
        <v>71.499</v>
      </c>
      <c r="AK23" s="253" t="n">
        <v>75.73099999999999</v>
      </c>
      <c r="AL23" s="253" t="n">
        <v>77.914</v>
      </c>
      <c r="AM23" s="253" t="n">
        <v>279.171</v>
      </c>
      <c r="AN23" s="253" t="n">
        <v>72.20099999999999</v>
      </c>
      <c r="AO23" s="253" t="n">
        <v>88.236</v>
      </c>
      <c r="AP23" s="253" t="n">
        <v>99.29600000000001</v>
      </c>
      <c r="AQ23" s="253" t="n">
        <v>101.623</v>
      </c>
      <c r="AR23" s="253" t="n">
        <v>361.356</v>
      </c>
      <c r="AS23" s="253" t="n">
        <v>97.426</v>
      </c>
      <c r="AT23" s="253" t="n">
        <v>113.488</v>
      </c>
      <c r="AU23" s="253" t="n">
        <v>110.217</v>
      </c>
      <c r="AV23" s="253" t="n">
        <v>133.179</v>
      </c>
      <c r="AW23" s="253" t="n">
        <v>454.31</v>
      </c>
      <c r="AX23" s="253" t="n">
        <v>123.025</v>
      </c>
      <c r="AY23" s="253" t="n">
        <v>146.542</v>
      </c>
      <c r="AZ23" s="253" t="n">
        <v>146.784</v>
      </c>
      <c r="BA23" s="253" t="n">
        <v>144.333</v>
      </c>
      <c r="BB23" s="253" t="n">
        <v>560.684</v>
      </c>
      <c r="BC23" s="253" t="n">
        <v>147.503</v>
      </c>
      <c r="BD23" s="253" t="n">
        <v>162.716</v>
      </c>
      <c r="BE23" s="253" t="n">
        <v>160.148</v>
      </c>
      <c r="BF23" s="253" t="n">
        <v>152.439</v>
      </c>
      <c r="BG23" s="253" t="n">
        <v>622.806</v>
      </c>
      <c r="BH23" s="253" t="n">
        <v>156.692</v>
      </c>
      <c r="BI23" s="253" t="n">
        <v>175.405</v>
      </c>
      <c r="BJ23" s="253" t="n">
        <v>176.999</v>
      </c>
      <c r="BK23" s="253" t="n">
        <v>171.975</v>
      </c>
      <c r="BL23" s="253" t="n">
        <v>681.071</v>
      </c>
      <c r="BM23" s="253" t="n">
        <v>168.654</v>
      </c>
      <c r="BN23" s="253" t="n">
        <v>212.208</v>
      </c>
      <c r="BO23" s="253" t="n">
        <v>212.989</v>
      </c>
      <c r="BP23" s="253" t="n">
        <v>219.503</v>
      </c>
      <c r="BQ23" s="253" t="n">
        <v>813.354</v>
      </c>
      <c r="BR23" s="253" t="n">
        <v>203.771</v>
      </c>
      <c r="BS23" s="253" t="n">
        <v>264.97</v>
      </c>
      <c r="BT23" s="253" t="n">
        <v>284.711</v>
      </c>
      <c r="BU23" s="253" t="n">
        <v>272.791</v>
      </c>
      <c r="BV23" s="253" t="n">
        <v>1026.243</v>
      </c>
      <c r="BW23" s="253" t="n">
        <v>267.853</v>
      </c>
      <c r="BX23" s="253" t="n">
        <v>432.476</v>
      </c>
      <c r="BY23" s="253" t="n">
        <v>416.886</v>
      </c>
      <c r="BZ23" s="254">
        <f>BZ17*BZ24</f>
        <v>385.557308636272</v>
      </c>
      <c r="CA23" s="254">
        <f>SUM(BW23:BZ23)</f>
        <v>1502.77230863627</v>
      </c>
      <c r="CB23" s="254">
        <f>CB17*CB24</f>
        <v>1725.54542298193</v>
      </c>
      <c r="CC23" s="254">
        <f>CC17*CC24</f>
        <v>1915.3299627275</v>
      </c>
      <c r="CD23" s="254">
        <f>CD17*CD24</f>
        <v>2093.38384841068</v>
      </c>
      <c r="CE23" s="254">
        <f>CE17*CE24</f>
        <v>2267.77011975449</v>
      </c>
      <c r="CF23" s="254">
        <f>CF17*CF24</f>
        <v>2437.15937661523</v>
      </c>
      <c r="CG23" s="19" t="inlineStr">
        <is>
          <t>Segment operating income as reported (company measure: excludes share-based compensation, amortization, restructuring &amp; acquisition costs and unallocated corporate expenses; FY2006–09 segment results were after amortization and corporate costs). Forecast = segment revenue × segment margin.</t>
        </is>
      </c>
      <c r="CI23" s="20">
        <f>IFERROR((CF23/CA23)^(1/5)-1,"n/m")</f>
        <v>0.101534615591514</v>
      </c>
      <c r="CJ23" s="20">
        <f>IFERROR((BV23/AW23)^(1/5)-1,"n/m")</f>
        <v>0.177008454184338</v>
      </c>
      <c r="CK23" s="20">
        <f>IFERROR((BV23/X23)^(1/10)-1,"n/m")</f>
        <v>0.21106044760868</v>
      </c>
      <c r="CL23" s="20">
        <f>IFERROR((BV23/C23)^(1/19)-1,"n/m")</f>
        <v>0.123438079734071</v>
      </c>
      <c r="CO23" s="25" t="inlineStr">
        <is>
          <t xml:space="preserve">  Q4/26E restructuring charges ($m)</t>
        </is>
      </c>
      <c r="CQ23" s="261" t="n">
        <v>27</v>
      </c>
      <c r="CS23" s="13" t="inlineStr">
        <is>
          <t>8-K Item 2.05 (1-Oct-2026): ~$27.0m pre-tax in Q4 FY26 (15% workforce reduction).</t>
        </is>
      </c>
    </row>
    <row r="24" ht="15" customHeight="1" s="251">
      <c r="B24" s="25" t="inlineStr">
        <is>
          <t xml:space="preserve">  Segment operating margin %</t>
        </is>
      </c>
      <c r="C24" s="215">
        <f>IF(AND(ISNUMBER(C23),ISNUMBER(C17)),IFERROR(C23/C17,""),"")</f>
        <v>0.634556764812139</v>
      </c>
      <c r="D24" s="215">
        <f>IF(AND(ISNUMBER(D23),ISNUMBER(D17)),IFERROR(D23/D17,""),"")</f>
        <v>0.639073618407927</v>
      </c>
      <c r="E24" s="215">
        <f>IF(AND(ISNUMBER(E23),ISNUMBER(E17)),IFERROR(E23/E17,""),"")</f>
        <v>0.576841648811346</v>
      </c>
      <c r="F24" s="215">
        <f>IF(AND(ISNUMBER(F23),ISNUMBER(F17)),IFERROR(F23/F17,""),"")</f>
        <v>0.57656452997622</v>
      </c>
      <c r="G24" s="215">
        <f>IF(AND(ISNUMBER(G23),ISNUMBER(G17)),IFERROR(G23/G17,""),"")</f>
        <v>0.642054323165389</v>
      </c>
      <c r="H24" s="215">
        <f>IF(AND(ISNUMBER(H23),ISNUMBER(H17)),IFERROR(H23/H17,""),"")</f>
        <v>0.672717673091412</v>
      </c>
      <c r="I24" s="215">
        <f>IF(AND(ISNUMBER(I23),ISNUMBER(I17)),IFERROR(I23/I17,""),"")</f>
        <v>0.699999430598498</v>
      </c>
      <c r="J24" s="215">
        <f>IF(AND(ISNUMBER(J23),ISNUMBER(J17)),IFERROR(J23/J17,""),"")</f>
        <v>0.682808939627592</v>
      </c>
      <c r="K24" s="215">
        <f>IF(AND(ISNUMBER(K23),ISNUMBER(K17)),IFERROR(K23/K17,""),"")</f>
        <v>0.706459080386728</v>
      </c>
      <c r="L24" s="215">
        <f>IF(AND(ISNUMBER(L23),ISNUMBER(L17)),IFERROR(L23/L17,""),"")</f>
        <v>0.724783678316932</v>
      </c>
      <c r="M24" s="215">
        <f>IF(AND(ISNUMBER(M23),ISNUMBER(M17)),IFERROR(M23/M17,""),"")</f>
        <v>0.738061189114231</v>
      </c>
      <c r="N24" s="215">
        <f>IF(AND(ISNUMBER(N23),ISNUMBER(N17)),IFERROR(N23/N17,""),"")</f>
        <v>0.71362125510887</v>
      </c>
      <c r="O24" s="215">
        <f>IF(AND(ISNUMBER(O23),ISNUMBER(O17)),IFERROR(O23/O17,""),"")</f>
        <v>0.780097498940229</v>
      </c>
      <c r="P24" s="215">
        <f>IF(AND(ISNUMBER(P23),ISNUMBER(P17)),IFERROR(P23/P17,""),"")</f>
        <v>0.771427974424339</v>
      </c>
      <c r="Q24" s="215">
        <f>IF(AND(ISNUMBER(Q23),ISNUMBER(Q17)),IFERROR(Q23/Q17,""),"")</f>
        <v>0.747540260313258</v>
      </c>
      <c r="R24" s="215">
        <f>IF(AND(ISNUMBER(R23),ISNUMBER(R17)),IFERROR(R23/R17,""),"")</f>
        <v>0.752087807205917</v>
      </c>
      <c r="S24" s="215">
        <f>IF(AND(ISNUMBER(S23),ISNUMBER(S17)),IFERROR(S23/S17,""),"")</f>
        <v>0.763032997441934</v>
      </c>
      <c r="T24" s="215">
        <f>IF(AND(ISNUMBER(T23),ISNUMBER(T17)),IFERROR(T23/T17,""),"")</f>
        <v>0.706606586104094</v>
      </c>
      <c r="U24" s="215">
        <f>IF(AND(ISNUMBER(U23),ISNUMBER(U17)),IFERROR(U23/U17,""),"")</f>
        <v>0.707271161663696</v>
      </c>
      <c r="V24" s="215">
        <f>IF(AND(ISNUMBER(V23),ISNUMBER(V17)),IFERROR(V23/V17,""),"")</f>
        <v>0.735696093553826</v>
      </c>
      <c r="W24" s="215">
        <f>IF(AND(ISNUMBER(W23),ISNUMBER(W17)),IFERROR(W23/W17,""),"")</f>
        <v>0.763886710239652</v>
      </c>
      <c r="X24" s="215">
        <f>IF(AND(ISNUMBER(X23),ISNUMBER(X17)),IFERROR(X23/X17,""),"")</f>
        <v>0.730477713314043</v>
      </c>
      <c r="Y24" s="215">
        <f>IF(AND(ISNUMBER(Y23),ISNUMBER(Y17)),IFERROR(Y23/Y17,""),"")</f>
        <v>0.746991178886468</v>
      </c>
      <c r="Z24" s="215">
        <f>IF(AND(ISNUMBER(Z23),ISNUMBER(Z17)),IFERROR(Z23/Z17,""),"")</f>
        <v>0.769454807251784</v>
      </c>
      <c r="AA24" s="215">
        <f>IF(AND(ISNUMBER(AA23),ISNUMBER(AA17)),IFERROR(AA23/AA17,""),"")</f>
        <v>0.765728774742352</v>
      </c>
      <c r="AB24" s="215">
        <f>IF(AND(ISNUMBER(AB23),ISNUMBER(AB17)),IFERROR(AB23/AB17,""),"")</f>
        <v>0.786741175908678</v>
      </c>
      <c r="AC24" s="215">
        <f>IF(AND(ISNUMBER(AC23),ISNUMBER(AC17)),IFERROR(AC23/AC17,""),"")</f>
        <v>0.767795435972106</v>
      </c>
      <c r="AD24" s="215">
        <f>IF(AND(ISNUMBER(AD23),ISNUMBER(AD17)),IFERROR(AD23/AD17,""),"")</f>
        <v>0.775706443029875</v>
      </c>
      <c r="AE24" s="215">
        <f>IF(AND(ISNUMBER(AE23),ISNUMBER(AE17)),IFERROR(AE23/AE17,""),"")</f>
        <v>0.778643803585347</v>
      </c>
      <c r="AF24" s="215">
        <f>IF(AND(ISNUMBER(AF23),ISNUMBER(AF17)),IFERROR(AF23/AF17,""),"")</f>
        <v>0.798414707828639</v>
      </c>
      <c r="AG24" s="215">
        <f>IF(AND(ISNUMBER(AG23),ISNUMBER(AG17)),IFERROR(AG23/AG17,""),"")</f>
        <v>0.824783061437001</v>
      </c>
      <c r="AH24" s="215">
        <f>IF(AND(ISNUMBER(AH23),ISNUMBER(AH17)),IFERROR(AH23/AH17,""),"")</f>
        <v>0.795625370747201</v>
      </c>
      <c r="AI24" s="215">
        <f>IF(AND(ISNUMBER(AI23),ISNUMBER(AI17)),IFERROR(AI23/AI17,""),"")</f>
        <v>0.772766931273689</v>
      </c>
      <c r="AJ24" s="215">
        <f>IF(AND(ISNUMBER(AJ23),ISNUMBER(AJ17)),IFERROR(AJ23/AJ17,""),"")</f>
        <v>0.813320441360482</v>
      </c>
      <c r="AK24" s="215">
        <f>IF(AND(ISNUMBER(AK23),ISNUMBER(AK17)),IFERROR(AK23/AK17,""),"")</f>
        <v>0.822224634927528</v>
      </c>
      <c r="AL24" s="215">
        <f>IF(AND(ISNUMBER(AL23),ISNUMBER(AL17)),IFERROR(AL23/AL17,""),"")</f>
        <v>0.840333052913134</v>
      </c>
      <c r="AM24" s="215">
        <f>IF(AND(ISNUMBER(AM23),ISNUMBER(AM17)),IFERROR(AM23/AM17,""),"")</f>
        <v>0.814745744904392</v>
      </c>
      <c r="AN24" s="215">
        <f>IF(AND(ISNUMBER(AN23),ISNUMBER(AN17)),IFERROR(AN23/AN17,""),"")</f>
        <v>0.842652568187388</v>
      </c>
      <c r="AO24" s="215">
        <f>IF(AND(ISNUMBER(AO23),ISNUMBER(AO17)),IFERROR(AO23/AO17,""),"")</f>
        <v>0.845148127927358</v>
      </c>
      <c r="AP24" s="215">
        <f>IF(AND(ISNUMBER(AP23),ISNUMBER(AP17)),IFERROR(AP23/AP17,""),"")</f>
        <v>0.862348670383687</v>
      </c>
      <c r="AQ24" s="215">
        <f>IF(AND(ISNUMBER(AQ23),ISNUMBER(AQ17)),IFERROR(AQ23/AQ17,""),"")</f>
        <v>0.87647591530467</v>
      </c>
      <c r="AR24" s="215">
        <f>IF(AND(ISNUMBER(AR23),ISNUMBER(AR17)),IFERROR(AR23/AR17,""),"")</f>
        <v>0.857967077974343</v>
      </c>
      <c r="AS24" s="215">
        <f>IF(AND(ISNUMBER(AS23),ISNUMBER(AS17)),IFERROR(AS23/AS17,""),"")</f>
        <v>0.846167208045997</v>
      </c>
      <c r="AT24" s="215">
        <f>IF(AND(ISNUMBER(AT23),ISNUMBER(AT17)),IFERROR(AT23/AT17,""),"")</f>
        <v>0.878743766841144</v>
      </c>
      <c r="AU24" s="215">
        <f>IF(AND(ISNUMBER(AU23),ISNUMBER(AU17)),IFERROR(AU23/AU17,""),"")</f>
        <v>0.837833523375143</v>
      </c>
      <c r="AV24" s="215">
        <f>IF(AND(ISNUMBER(AV23),ISNUMBER(AV17)),IFERROR(AV23/AV17,""),"")</f>
        <v>0.872098277137862</v>
      </c>
      <c r="AW24" s="215">
        <f>IF(AND(ISNUMBER(AW23),ISNUMBER(AW17)),IFERROR(AW23/AW17,""),"")</f>
        <v>0.859545130328996</v>
      </c>
      <c r="AX24" s="215">
        <f>IF(AND(ISNUMBER(AX23),ISNUMBER(AX17)),IFERROR(AX23/AX17,""),"")</f>
        <v>0.850495330139439</v>
      </c>
      <c r="AY24" s="215">
        <f>IF(AND(ISNUMBER(AY23),ISNUMBER(AY17)),IFERROR(AY23/AY17,""),"")</f>
        <v>0.86855659410025</v>
      </c>
      <c r="AZ24" s="215">
        <f>IF(AND(ISNUMBER(AZ23),ISNUMBER(AZ17)),IFERROR(AZ23/AZ17,""),"")</f>
        <v>0.852394281134946</v>
      </c>
      <c r="BA24" s="215">
        <f>IF(AND(ISNUMBER(BA23),ISNUMBER(BA17)),IFERROR(BA23/BA17,""),"")</f>
        <v>0.856194572148895</v>
      </c>
      <c r="BB24" s="215">
        <f>IF(AND(ISNUMBER(BB23),ISNUMBER(BB17)),IFERROR(BB23/BB17,""),"")</f>
        <v>0.857122328773196</v>
      </c>
      <c r="BC24" s="215">
        <f>IF(AND(ISNUMBER(BC23),ISNUMBER(BC17)),IFERROR(BC23/BC17,""),"")</f>
        <v>0.870290936768012</v>
      </c>
      <c r="BD24" s="215">
        <f>IF(AND(ISNUMBER(BD23),ISNUMBER(BD17)),IFERROR(BD23/BD17,""),"")</f>
        <v>0.885567807033776</v>
      </c>
      <c r="BE24" s="215">
        <f>IF(AND(ISNUMBER(BE23),ISNUMBER(BE17)),IFERROR(BE23/BE17,""),"")</f>
        <v>0.892910707814112</v>
      </c>
      <c r="BF24" s="215">
        <f>IF(AND(ISNUMBER(BF23),ISNUMBER(BF17)),IFERROR(BF23/BF17,""),"")</f>
        <v>0.875789243877076</v>
      </c>
      <c r="BG24" s="215">
        <f>IF(AND(ISNUMBER(BG23),ISNUMBER(BG17)),IFERROR(BG23/BG17,""),"")</f>
        <v>0.881358762486857</v>
      </c>
      <c r="BH24" s="215">
        <f>IF(AND(ISNUMBER(BH23),ISNUMBER(BH17)),IFERROR(BH23/BH17,""),"")</f>
        <v>0.880351484369733</v>
      </c>
      <c r="BI24" s="215">
        <f>IF(AND(ISNUMBER(BI23),ISNUMBER(BI17)),IFERROR(BI23/BI17,""),"")</f>
        <v>0.883621232500617</v>
      </c>
      <c r="BJ24" s="215">
        <f>IF(AND(ISNUMBER(BJ23),ISNUMBER(BJ17)),IFERROR(BJ23/BJ17,""),"")</f>
        <v>0.877196721148986</v>
      </c>
      <c r="BK24" s="215">
        <f>IF(AND(ISNUMBER(BK23),ISNUMBER(BK17)),IFERROR(BK23/BK17,""),"")</f>
        <v>0.879420111988954</v>
      </c>
      <c r="BL24" s="215">
        <f>IF(AND(ISNUMBER(BL23),ISNUMBER(BL17)),IFERROR(BL23/BL17,""),"")</f>
        <v>0.880132277457006</v>
      </c>
      <c r="BM24" s="215">
        <f>IF(AND(ISNUMBER(BM23),ISNUMBER(BM17)),IFERROR(BM23/BM17,""),"")</f>
        <v>0.877894145082035</v>
      </c>
      <c r="BN24" s="215">
        <f>IF(AND(ISNUMBER(BN23),ISNUMBER(BN17)),IFERROR(BN23/BN17,""),"")</f>
        <v>0.895827089093864</v>
      </c>
      <c r="BO24" s="215">
        <f>IF(AND(ISNUMBER(BO23),ISNUMBER(BO17)),IFERROR(BO23/BO17,""),"")</f>
        <v>0.882124663491406</v>
      </c>
      <c r="BP24" s="215">
        <f>IF(AND(ISNUMBER(BP23),ISNUMBER(BP17)),IFERROR(BP23/BP17,""),"")</f>
        <v>0.880820054333214</v>
      </c>
      <c r="BQ24" s="215">
        <f>IF(AND(ISNUMBER(BQ23),ISNUMBER(BQ17)),IFERROR(BQ23/BQ17,""),"")</f>
        <v>0.884416897732833</v>
      </c>
      <c r="BR24" s="215">
        <f>IF(AND(ISNUMBER(BR23),ISNUMBER(BR17)),IFERROR(BR23/BR17,""),"")</f>
        <v>0.864627134825501</v>
      </c>
      <c r="BS24" s="215">
        <f>IF(AND(ISNUMBER(BS23),ISNUMBER(BS17)),IFERROR(BS23/BS17,""),"")</f>
        <v>0.892037745885221</v>
      </c>
      <c r="BT24" s="215">
        <f>IF(AND(ISNUMBER(BT23),ISNUMBER(BT17)),IFERROR(BT23/BT17,""),"")</f>
        <v>0.877900397460447</v>
      </c>
      <c r="BU24" s="215">
        <f>IF(AND(ISNUMBER(BU23),ISNUMBER(BU17)),IFERROR(BU23/BU17,""),"")</f>
        <v>0.875587381881676</v>
      </c>
      <c r="BV24" s="215">
        <f>IF(AND(ISNUMBER(BV23),ISNUMBER(BV17)),IFERROR(BV23/BV17,""),"")</f>
        <v>0.878200372248251</v>
      </c>
      <c r="BW24" s="215">
        <f>IF(AND(ISNUMBER(BW23),ISNUMBER(BW17)),IFERROR(BW23/BW17,""),"")</f>
        <v>0.879550395029783</v>
      </c>
      <c r="BX24" s="215">
        <f>IF(AND(ISNUMBER(BX23),ISNUMBER(BX17)),IFERROR(BX23/BX17,""),"")</f>
        <v>0.910527545776286</v>
      </c>
      <c r="BY24" s="215">
        <f>IF(AND(ISNUMBER(BY23),ISNUMBER(BY17)),IFERROR(BY23/BY17,""),"")</f>
        <v>0.908452223483701</v>
      </c>
      <c r="BZ24" s="256">
        <f>BZ25+$BZ$104</f>
        <v>0.873227356212308</v>
      </c>
      <c r="CA24" s="256">
        <f>IF(AND(ISNUMBER(CA23),ISNUMBER(CA17)),IFERROR(CA23/CA17,""),"")</f>
        <v>0.89454171679774</v>
      </c>
      <c r="CB24" s="256">
        <f>CHOOSE(MATCH($CG$2,{"Bull","Base","Bear"},0),$CP$63,$CQ$63,$CR$63)</f>
        <v>0.905</v>
      </c>
      <c r="CC24" s="256">
        <f>CHOOSE(MATCH($CG$2,{"Bull","Base","Bear"},0),$CP$64,$CQ$64,$CR$64)</f>
        <v>0.905</v>
      </c>
      <c r="CD24" s="256">
        <f>CHOOSE(MATCH($CG$2,{"Bull","Base","Bear"},0),$CP$65,$CQ$65,$CR$65)</f>
        <v>0.905</v>
      </c>
      <c r="CE24" s="256">
        <f>CHOOSE(MATCH($CG$2,{"Bull","Base","Bear"},0),$CP$66,$CQ$66,$CR$66)</f>
        <v>0.905</v>
      </c>
      <c r="CF24" s="256">
        <f>CHOOSE(MATCH($CG$2,{"Bull","Base","Bear"},0),$CP$67,$CQ$67,$CR$67)</f>
        <v>0.905</v>
      </c>
      <c r="CG24" s="153" t="inlineStr">
        <is>
          <t>Q4/26E: margin before calibration + non-GAAP-EPS-guidance calibration Δ (Group block). 2027E+: scenario lever.</t>
        </is>
      </c>
      <c r="CI24" s="37">
        <f>IFERROR(AVERAGE(CB24,CC24,CD24,CE24,CF24),"n/m")</f>
        <v>0.905</v>
      </c>
      <c r="CJ24" s="37">
        <f>IFERROR(AVERAGE(BB24,BG24,BL24,BQ24,BV24),"n/m")</f>
        <v>0.876246127739629</v>
      </c>
      <c r="CK24" s="37">
        <f>IFERROR(AVERAGE(AC24,AH24,AM24,AR24,AW24,BB24,BG24,BL24,BQ24,BV24),"n/m")</f>
        <v>0.847690939862518</v>
      </c>
      <c r="CL24" s="37">
        <f>IFERROR(AVERAGE(C24,D24,E24,F24,G24,H24,I24,N24,S24,X24,AC24,AH24,AM24,AR24,AW24,BB24,BG24,BL24,BQ24,BV24),"n/m")</f>
        <v>0.756292467667648</v>
      </c>
      <c r="CO24" s="25" t="inlineStr">
        <is>
          <t xml:space="preserve">  Q4/26E purchases of property and equipment ($m)</t>
        </is>
      </c>
      <c r="CQ24" s="261" t="n">
        <v>0.6</v>
      </c>
      <c r="CS24" s="13" t="inlineStr">
        <is>
          <t>9M FY26 $1.4m.</t>
        </is>
      </c>
    </row>
    <row r="25" ht="15" customHeight="1" s="251">
      <c r="B25" s="25" t="inlineStr">
        <is>
          <t xml:space="preserve">  Q4/26E margin before EPS calibration (prior-year quarter + 9M FY26 y/y drift)</t>
        </is>
      </c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  <c r="BI25" s="36" t="n"/>
      <c r="BJ25" s="36" t="n"/>
      <c r="BK25" s="36" t="n"/>
      <c r="BL25" s="36" t="n"/>
      <c r="BM25" s="36" t="n"/>
      <c r="BN25" s="36" t="n"/>
      <c r="BO25" s="36" t="n"/>
      <c r="BP25" s="36" t="n"/>
      <c r="BQ25" s="36" t="n"/>
      <c r="BR25" s="36" t="n"/>
      <c r="BS25" s="36" t="n"/>
      <c r="BT25" s="36" t="n"/>
      <c r="BU25" s="36" t="n"/>
      <c r="BV25" s="36" t="n"/>
      <c r="BW25" s="36" t="n"/>
      <c r="BX25" s="36" t="n"/>
      <c r="BY25" s="36" t="n"/>
      <c r="BZ25" s="256">
        <f>BU24+IFERROR(SUM(BW23:BY23)/SUM(BW17:BY17)-SUM(BR23:BT23)/SUM(BR17:BT17),0)</f>
        <v>0.898578095492667</v>
      </c>
      <c r="CA25" s="24" t="n"/>
      <c r="CB25" s="46" t="n"/>
      <c r="CC25" s="46" t="n"/>
      <c r="CD25" s="46" t="n"/>
      <c r="CE25" s="46" t="n"/>
      <c r="CF25" s="46" t="n"/>
      <c r="CG25" s="19" t="n"/>
      <c r="CO25" s="25" t="inlineStr">
        <is>
          <t xml:space="preserve">  Q4/26E capitalized internal-use software ($m)</t>
        </is>
      </c>
      <c r="CQ25" s="261" t="n">
        <v>9.5</v>
      </c>
      <c r="CS25" s="13" t="inlineStr">
        <is>
          <t>9M FY26 $26.5m (Q3 $9.2m).</t>
        </is>
      </c>
    </row>
    <row r="26" ht="15" customHeight="1" s="251">
      <c r="B26" s="25" t="inlineStr">
        <is>
          <t xml:space="preserve">  Incremental segment margin (Δ operating income / Δ revenue)</t>
        </is>
      </c>
      <c r="C26" s="36" t="n"/>
      <c r="D26" s="215">
        <f>IFERROR((D23-C23)/(D17-C17),"")</f>
        <v>0.882138517618468</v>
      </c>
      <c r="E26" s="215">
        <f>IFERROR((E23-D23)/(E17-D17),"")</f>
        <v>1.05209920433384</v>
      </c>
      <c r="F26" s="215">
        <f>IFERROR((F23-E23)/(F17-E17),"")</f>
        <v>0.578289343123636</v>
      </c>
      <c r="G26" s="215">
        <f>IFERROR((G23-F23)/(G17-F17),"")</f>
        <v>0.853750184193723</v>
      </c>
      <c r="H26" s="215">
        <f>IFERROR((H23-G23)/(H17-G17),"")</f>
        <v>-0.728260869565219</v>
      </c>
      <c r="I26" s="215">
        <f>IFERROR((I23-H23)/(I17-H17),"")</f>
        <v>1.35175736961452</v>
      </c>
      <c r="J26" s="36" t="n"/>
      <c r="K26" s="36" t="n"/>
      <c r="L26" s="36" t="n"/>
      <c r="M26" s="36" t="n"/>
      <c r="N26" s="215">
        <f>IFERROR((N23-I23)/(N17-I17),"")</f>
        <v>1.17456647398844</v>
      </c>
      <c r="O26" s="215">
        <f>IFERROR((O23-J23)/(O17-J17),"")</f>
        <v>1.91240289311546</v>
      </c>
      <c r="P26" s="215">
        <f>IFERROR((P23-K23)/(P17-K17),"")</f>
        <v>1.52555321390938</v>
      </c>
      <c r="Q26" s="215">
        <f>IFERROR((Q23-L23)/(Q17-L17),"")</f>
        <v>0.158616904500546</v>
      </c>
      <c r="R26" s="215">
        <f>IFERROR((R23-M23)/(R17-M17),"")</f>
        <v>-11.9411764705877</v>
      </c>
      <c r="S26" s="215">
        <f>IFERROR((S23-N23)/(S17-N17),"")</f>
        <v>2.34264497878359</v>
      </c>
      <c r="T26" s="215">
        <f>IFERROR((T23-O23)/(T17-O17),"")</f>
        <v>1.77709169496758</v>
      </c>
      <c r="U26" s="215">
        <f>IFERROR((U23-P23)/(U17-P17),"")</f>
        <v>-0.769600769600767</v>
      </c>
      <c r="V26" s="215">
        <f>IFERROR((V23-Q23)/(V17-Q17),"")</f>
        <v>0.684190330007674</v>
      </c>
      <c r="W26" s="215">
        <f>IFERROR((W23-R23)/(W17-R17),"")</f>
        <v>0.812134113890368</v>
      </c>
      <c r="X26" s="215">
        <f>IFERROR((X23-S23)/(X17-S17),"")</f>
        <v>0.434901158827538</v>
      </c>
      <c r="Y26" s="215">
        <f>IFERROR((Y23-T23)/(Y17-T17),"")</f>
        <v>0.894121548793632</v>
      </c>
      <c r="Z26" s="215">
        <f>IFERROR((Z23-U23)/(Z17-U17),"")</f>
        <v>1.04723141604795</v>
      </c>
      <c r="AA26" s="215">
        <f>IFERROR((AA23-V23)/(AA17-V17),"")</f>
        <v>1.07719494047619</v>
      </c>
      <c r="AB26" s="215">
        <f>IFERROR((AB23-W23)/(AB17-W17),"")</f>
        <v>1.02796173657101</v>
      </c>
      <c r="AC26" s="215">
        <f>IFERROR((AC23-X23)/(AC17-X17),"")</f>
        <v>0.994655233172795</v>
      </c>
      <c r="AD26" s="215">
        <f>IFERROR((AD23-Y23)/(AD17-Y17),"")</f>
        <v>1.25147928994083</v>
      </c>
      <c r="AE26" s="215">
        <f>IFERROR((AE23-Z23)/(AE17-Z17),"")</f>
        <v>0.908732916377111</v>
      </c>
      <c r="AF26" s="215">
        <f>IFERROR((AF23-AA23)/(AF17-AA17),"")</f>
        <v>1.03673664122138</v>
      </c>
      <c r="AG26" s="215">
        <f>IFERROR((AG23-AB23)/(AG17-AB17),"")</f>
        <v>1.084111135229</v>
      </c>
      <c r="AH26" s="215">
        <f>IFERROR((AH23-AC23)/(AH17-AC17),"")</f>
        <v>1.06084206364894</v>
      </c>
      <c r="AI26" s="215">
        <f>IFERROR((AI23-AD23)/(AI17-AD17),"")</f>
        <v>0.756194816291654</v>
      </c>
      <c r="AJ26" s="215">
        <f>IFERROR((AJ23-AE23)/(AJ17-AE17),"")</f>
        <v>0.914267918316502</v>
      </c>
      <c r="AK26" s="215">
        <f>IFERROR((AK23-AF23)/(AK17-AF17),"")</f>
        <v>0.895489354167588</v>
      </c>
      <c r="AL26" s="215">
        <f>IFERROR((AL23-AG23)/(AL17-AG17),"")</f>
        <v>0.894457062774852</v>
      </c>
      <c r="AM26" s="215">
        <f>IFERROR((AM23-AH23)/(AM17-AH17),"")</f>
        <v>0.881497889742312</v>
      </c>
      <c r="AN26" s="215">
        <f>IFERROR((AN23-AI23)/(AN17-AI17),"")</f>
        <v>1.15252409944191</v>
      </c>
      <c r="AO26" s="215">
        <f>IFERROR((AO23-AJ23)/(AO17-AJ17),"")</f>
        <v>1.0147941550961</v>
      </c>
      <c r="AP26" s="215">
        <f>IFERROR((AP23-AK23)/(AP17-AK17),"")</f>
        <v>1.02274206848661</v>
      </c>
      <c r="AQ26" s="215">
        <f>IFERROR((AQ23-AL23)/(AQ17-AL17),"")</f>
        <v>1.02075171137039</v>
      </c>
      <c r="AR26" s="215">
        <f>IFERROR((AR23-AM23)/(AR17-AM17),"")</f>
        <v>1.04655604935756</v>
      </c>
      <c r="AS26" s="215">
        <f>IFERROR((AS23-AN23)/(AS17-AN17),"")</f>
        <v>0.856391105075539</v>
      </c>
      <c r="AT26" s="215">
        <f>IFERROR((AT23-AO23)/(AT17-AO17),"")</f>
        <v>1.02048898767428</v>
      </c>
      <c r="AU26" s="215">
        <f>IFERROR((AU23-AP23)/(AU17-AP17),"")</f>
        <v>0.665752255547427</v>
      </c>
      <c r="AV26" s="215">
        <f>IFERROR((AV23-AQ23)/(AV17-AQ17),"")</f>
        <v>0.858292988086819</v>
      </c>
      <c r="AW26" s="215">
        <f>IFERROR((AW23-AR23)/(AW17-AR17),"")</f>
        <v>0.865735307814101</v>
      </c>
      <c r="AX26" s="215">
        <f>IFERROR((AX23-AS23)/(AX17-AS17),"")</f>
        <v>0.86738047640023</v>
      </c>
      <c r="AY26" s="215">
        <f>IFERROR((AY23-AT23)/(AY17-AT17),"")</f>
        <v>0.835308685653635</v>
      </c>
      <c r="AZ26" s="215">
        <f>IFERROR((AZ23-AU23)/(AZ17-AU17),"")</f>
        <v>0.899512939092788</v>
      </c>
      <c r="BA26" s="215">
        <f>IFERROR((BA23-AV23)/(BA17-AV17),"")</f>
        <v>0.703101361573375</v>
      </c>
      <c r="BB26" s="215">
        <f>IFERROR((BB23-AW23)/(BB17-AW17),"")</f>
        <v>0.846926751592356</v>
      </c>
      <c r="BC26" s="215">
        <f>IFERROR((BC23-AX23)/(BC17-AX17),"")</f>
        <v>0.985585440489612</v>
      </c>
      <c r="BD26" s="215">
        <f>IFERROR((BD23-AY23)/(BD17-AY17),"")</f>
        <v>1.07661585568795</v>
      </c>
      <c r="BE26" s="215">
        <f>IFERROR((BE23-AZ23)/(BE17-AZ17),"")</f>
        <v>1.86830700405424</v>
      </c>
      <c r="BF26" s="215">
        <f>IFERROR((BF23-BA23)/(BF17-BA17),"")</f>
        <v>1.4781181619256</v>
      </c>
      <c r="BG26" s="215">
        <f>IFERROR((BG23-BB23)/(BG17-BB17),"")</f>
        <v>1.18336635172204</v>
      </c>
      <c r="BH26" s="215">
        <f>IFERROR((BH23-BC23)/(BH17-BC17),"")</f>
        <v>1.0809316550994</v>
      </c>
      <c r="BI26" s="215">
        <f>IFERROR((BI23-BD23)/(BI17-BD17),"")</f>
        <v>0.859397223162884</v>
      </c>
      <c r="BJ26" s="215">
        <f>IFERROR((BJ23-BE23)/(BJ17-BE17),"")</f>
        <v>0.751505150961068</v>
      </c>
      <c r="BK26" s="215">
        <f>IFERROR((BK23-BF23)/(BK17-BF17),"")</f>
        <v>0.908820245627093</v>
      </c>
      <c r="BL26" s="215">
        <f>IFERROR((BL23-BG23)/(BL17-BG17),"")</f>
        <v>0.867232269107688</v>
      </c>
      <c r="BM26" s="215">
        <f>IFERROR((BM23-BH23)/(BM17-BH17),"")</f>
        <v>0.846927216086092</v>
      </c>
      <c r="BN26" s="215">
        <f>IFERROR((BN23-BI23)/(BN17-BI17),"")</f>
        <v>0.958960862994424</v>
      </c>
      <c r="BO26" s="215">
        <f>IFERROR((BO23-BJ23)/(BO17-BJ17),"")</f>
        <v>0.907188949384957</v>
      </c>
      <c r="BP26" s="215">
        <f>IFERROR((BP23-BK23)/(BP17-BK17),"")</f>
        <v>0.885923053981509</v>
      </c>
      <c r="BQ26" s="215">
        <f>IFERROR((BQ23-BL23)/(BQ17-BL17),"")</f>
        <v>0.907153927390929</v>
      </c>
      <c r="BR26" s="215">
        <f>IFERROR((BR23-BM23)/(BR17-BM17),"")</f>
        <v>0.806119872368754</v>
      </c>
      <c r="BS26" s="215">
        <f>IFERROR((BS23-BN23)/(BS17-BN17),"")</f>
        <v>0.877115403796922</v>
      </c>
      <c r="BT26" s="215">
        <f>IFERROR((BT23-BO23)/(BT17-BO17),"")</f>
        <v>0.865590943651263</v>
      </c>
      <c r="BU26" s="215">
        <f>IFERROR((BU23-BP23)/(BU17-BP17),"")</f>
        <v>0.854672889701519</v>
      </c>
      <c r="BV26" s="215">
        <f>IFERROR((BV23-BQ23)/(BV17-BQ17),"")</f>
        <v>0.85523350406749</v>
      </c>
      <c r="BW26" s="215">
        <f>IFERROR((BW23-BR23)/(BW17-BR17),"")</f>
        <v>0.930626352401284</v>
      </c>
      <c r="BX26" s="215">
        <f>IFERROR((BX23-BS23)/(BX17-BS17),"")</f>
        <v>0.94139400002248</v>
      </c>
      <c r="BY26" s="215">
        <f>IFERROR((BY23-BT23)/(BY17-BT17),"")</f>
        <v>0.982071209914703</v>
      </c>
      <c r="BZ26" s="256">
        <f>IFERROR((BZ23-BU23)/(BZ17-BU17),"")</f>
        <v>0.867570531802796</v>
      </c>
      <c r="CA26" s="256">
        <f>IFERROR((CA23-BV23)/(CA17-BV17),"")</f>
        <v>0.931885410626702</v>
      </c>
      <c r="CB26" s="256">
        <f>IFERROR((CB23-CA23)/(CB17-CA17),"")</f>
        <v>0.982484709087536</v>
      </c>
      <c r="CC26" s="256">
        <f>IFERROR((CC23-CB23)/(CC17-CB17),"")</f>
        <v>0.905</v>
      </c>
      <c r="CD26" s="256">
        <f>IFERROR((CD23-CC23)/(CD17-CC17),"")</f>
        <v>0.905</v>
      </c>
      <c r="CE26" s="256">
        <f>IFERROR((CE23-CD23)/(CE17-CD17),"")</f>
        <v>0.905000000000001</v>
      </c>
      <c r="CF26" s="256">
        <f>IFERROR((CF23-CE23)/(CF17-CE17),"")</f>
        <v>0.905</v>
      </c>
      <c r="CG26" s="153" t="n"/>
      <c r="CO26" s="25" t="inlineStr">
        <is>
          <t xml:space="preserve">  Q4/26E non-GAAP effective tax rate</t>
        </is>
      </c>
      <c r="CQ26" s="263" t="n">
        <v>0.255</v>
      </c>
      <c r="CS26" s="13" t="inlineStr">
        <is>
          <t>9M FY26 25.4% (non-GAAP tax = GAAP tax − income tax adjustments − excess tax benefit).</t>
        </is>
      </c>
    </row>
    <row r="27" ht="15" customHeight="1" s="251">
      <c r="CO27" s="25" t="inlineStr">
        <is>
          <t xml:space="preserve">  Q4/26E tax rate on adjusting items</t>
        </is>
      </c>
      <c r="CQ27" s="263" t="n">
        <v>0.245</v>
      </c>
      <c r="CS27" s="13" t="inlineStr">
        <is>
          <t>FY26 guidance: income tax adjustments −$46m on SBC $188m = 24.5%.</t>
        </is>
      </c>
    </row>
    <row r="28" ht="15" customHeight="1" s="251">
      <c r="B28" s="14" t="inlineStr">
        <is>
          <t>Software (= consolidated revenue − Scores: Strategy Machine Solutions + Professional Services + Analytic Software Tools to FY2009; Applications + Tools / Decision Management Software FY2010–Q3/21; Software from FY2021)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  <c r="BP28" s="14" t="n"/>
      <c r="BQ28" s="14" t="n"/>
      <c r="BR28" s="14" t="n"/>
      <c r="BS28" s="14" t="n"/>
      <c r="BT28" s="14" t="n"/>
      <c r="BU28" s="14" t="n"/>
      <c r="BV28" s="14" t="n"/>
      <c r="BW28" s="14" t="n"/>
      <c r="BX28" s="14" t="n"/>
      <c r="BY28" s="14" t="n"/>
      <c r="BZ28" s="14" t="n"/>
      <c r="CA28" s="14" t="n"/>
      <c r="CB28" s="14" t="n"/>
      <c r="CC28" s="14" t="n"/>
      <c r="CD28" s="14" t="n"/>
      <c r="CE28" s="14" t="n"/>
      <c r="CF28" s="14" t="n"/>
      <c r="CG28" s="15" t="inlineStr">
        <is>
          <t>SOFTWARE — modelling logic</t>
        </is>
      </c>
      <c r="CO28" s="25" t="inlineStr">
        <is>
          <t xml:space="preserve">  Q4/26E excess tax benefit line ($m; + = shortfall added back)</t>
        </is>
      </c>
      <c r="CQ28" s="261" t="n">
        <v>3.37</v>
      </c>
      <c r="CS28" s="13" t="inlineStr">
        <is>
          <t>FY26 guidance −$13m − 9M actual $-16.4m.</t>
        </is>
      </c>
    </row>
    <row r="29" ht="15" customHeight="1" s="251">
      <c r="B29" s="25" t="inlineStr">
        <is>
          <t xml:space="preserve">  Platform software (FICO Platform: SaaS / cloud decisioning)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253" t="n">
        <v>39.175</v>
      </c>
      <c r="AS29" s="34" t="n"/>
      <c r="AT29" s="34" t="n"/>
      <c r="AU29" s="34" t="n"/>
      <c r="AV29" s="34" t="n"/>
      <c r="AW29" s="253" t="n">
        <v>65.66500000000001</v>
      </c>
      <c r="AX29" s="253" t="n">
        <v>14.125</v>
      </c>
      <c r="AY29" s="253" t="n">
        <v>15.312</v>
      </c>
      <c r="AZ29" s="253" t="n">
        <v>14.178</v>
      </c>
      <c r="BA29" s="253" t="n">
        <v>23.269</v>
      </c>
      <c r="BB29" s="253" t="n">
        <v>66.884</v>
      </c>
      <c r="BC29" s="253" t="n">
        <v>22.072</v>
      </c>
      <c r="BD29" s="253" t="n">
        <v>39.802</v>
      </c>
      <c r="BE29" s="253" t="n">
        <v>27.806</v>
      </c>
      <c r="BF29" s="253" t="n">
        <v>26.572</v>
      </c>
      <c r="BG29" s="253" t="n">
        <v>116.252</v>
      </c>
      <c r="BH29" s="253" t="n">
        <v>30.828</v>
      </c>
      <c r="BI29" s="253" t="n">
        <v>38.682</v>
      </c>
      <c r="BJ29" s="253" t="n">
        <v>40.317</v>
      </c>
      <c r="BK29" s="253" t="n">
        <v>44.923</v>
      </c>
      <c r="BL29" s="253" t="n">
        <v>154.75</v>
      </c>
      <c r="BM29" s="253" t="n">
        <v>45.173</v>
      </c>
      <c r="BN29" s="253" t="n">
        <v>47.325</v>
      </c>
      <c r="BO29" s="253" t="n">
        <v>51.78</v>
      </c>
      <c r="BP29" s="253" t="n">
        <v>55.726</v>
      </c>
      <c r="BQ29" s="253" t="n">
        <v>200.004</v>
      </c>
      <c r="BR29" s="253" t="n">
        <v>53.822</v>
      </c>
      <c r="BS29" s="253" t="n">
        <v>56.464</v>
      </c>
      <c r="BT29" s="253" t="n">
        <v>61.479</v>
      </c>
      <c r="BU29" s="253" t="n">
        <v>65.291</v>
      </c>
      <c r="BV29" s="253" t="n">
        <v>237.056</v>
      </c>
      <c r="BW29" s="253" t="n">
        <v>73.857</v>
      </c>
      <c r="BX29" s="253" t="n">
        <v>86.96299999999999</v>
      </c>
      <c r="BY29" s="253" t="n">
        <v>101.845</v>
      </c>
      <c r="BZ29" s="254">
        <f>BU29*(1+BZ30)</f>
        <v>97.7048616803858</v>
      </c>
      <c r="CA29" s="254">
        <f>SUM(BW29:BZ29)</f>
        <v>360.369861680386</v>
      </c>
      <c r="CB29" s="254">
        <f>CA29*(1+CB30)</f>
        <v>468.480820184502</v>
      </c>
      <c r="CC29" s="254">
        <f>CB29*(1+CC30)</f>
        <v>585.601025230627</v>
      </c>
      <c r="CD29" s="254">
        <f>CC29*(1+CD30)</f>
        <v>702.721230276752</v>
      </c>
      <c r="CE29" s="254">
        <f>CD29*(1+CE30)</f>
        <v>822.1838394238</v>
      </c>
      <c r="CF29" s="254">
        <f>CE29*(1+CF30)</f>
        <v>945.51141533737</v>
      </c>
      <c r="CG29" s="19" t="inlineStr">
        <is>
          <t>Revenue streams from the 10-Q / 10-K MD&amp;A tables (first published in the FY2021 10-K: FY2019–21 annual; FY2021 quarters from the FY2022 10-Q comparatives; Q4 = fiscal year − nine months). Q4/26E: prior-year quarter × (1 + growth). 2027E+: prior year × (1 + scenario lever).</t>
        </is>
      </c>
      <c r="CI29" s="20">
        <f>IFERROR((CF29/CA29)^(1/5)-1,"n/m")</f>
        <v>0.212784569457144</v>
      </c>
      <c r="CJ29" s="20">
        <f>IFERROR((BV29/AW29)^(1/5)-1,"n/m")</f>
        <v>0.29271682319549</v>
      </c>
      <c r="CK29" s="20" t="str">
        <f>IFERROR((BV29/X29)^(1/10)-1,"n/m")</f>
        <v>n/m</v>
      </c>
      <c r="CL29" s="20" t="str">
        <f>IFERROR((BV29/C29)^(1/19)-1,"n/m")</f>
        <v>n/m</v>
      </c>
    </row>
    <row r="30" ht="15" customHeight="1" s="251">
      <c r="B30" s="22" t="inlineStr">
        <is>
          <t xml:space="preserve">    y/y %</t>
        </is>
      </c>
      <c r="C30" s="23" t="n"/>
      <c r="D30" s="255">
        <f>IF(AND(ISNUMBER(D29),ISNUMBER(C29)),IFERROR(D29/C29-1,""),"")</f>
      </c>
      <c r="E30" s="255">
        <f>IF(AND(ISNUMBER(E29),ISNUMBER(D29)),IFERROR(E29/D29-1,""),"")</f>
      </c>
      <c r="F30" s="255">
        <f>IF(AND(ISNUMBER(F29),ISNUMBER(E29)),IFERROR(F29/E29-1,""),"")</f>
      </c>
      <c r="G30" s="255">
        <f>IF(AND(ISNUMBER(G29),ISNUMBER(F29)),IFERROR(G29/F29-1,""),"")</f>
      </c>
      <c r="H30" s="255">
        <f>IF(AND(ISNUMBER(H29),ISNUMBER(G29)),IFERROR(H29/G29-1,""),"")</f>
      </c>
      <c r="I30" s="255">
        <f>IF(AND(ISNUMBER(I29),ISNUMBER(H29)),IFERROR(I29/H29-1,""),"")</f>
      </c>
      <c r="J30" s="23" t="n"/>
      <c r="K30" s="23" t="n"/>
      <c r="L30" s="23" t="n"/>
      <c r="M30" s="23" t="n"/>
      <c r="N30" s="255">
        <f>IF(AND(ISNUMBER(N29),ISNUMBER(I29)),IFERROR(N29/I29-1,""),"")</f>
      </c>
      <c r="O30" s="255">
        <f>IF(AND(ISNUMBER(O29),ISNUMBER(J29)),IFERROR(O29/J29-1,""),"")</f>
      </c>
      <c r="P30" s="255">
        <f>IF(AND(ISNUMBER(P29),ISNUMBER(K29)),IFERROR(P29/K29-1,""),"")</f>
      </c>
      <c r="Q30" s="255">
        <f>IF(AND(ISNUMBER(Q29),ISNUMBER(L29)),IFERROR(Q29/L29-1,""),"")</f>
      </c>
      <c r="R30" s="255">
        <f>IF(AND(ISNUMBER(R29),ISNUMBER(M29)),IFERROR(R29/M29-1,""),"")</f>
      </c>
      <c r="S30" s="255">
        <f>IF(AND(ISNUMBER(S29),ISNUMBER(N29)),IFERROR(S29/N29-1,""),"")</f>
      </c>
      <c r="T30" s="255">
        <f>IF(AND(ISNUMBER(T29),ISNUMBER(O29)),IFERROR(T29/O29-1,""),"")</f>
      </c>
      <c r="U30" s="255">
        <f>IF(AND(ISNUMBER(U29),ISNUMBER(P29)),IFERROR(U29/P29-1,""),"")</f>
      </c>
      <c r="V30" s="255">
        <f>IF(AND(ISNUMBER(V29),ISNUMBER(Q29)),IFERROR(V29/Q29-1,""),"")</f>
      </c>
      <c r="W30" s="255">
        <f>IF(AND(ISNUMBER(W29),ISNUMBER(R29)),IFERROR(W29/R29-1,""),"")</f>
      </c>
      <c r="X30" s="255">
        <f>IF(AND(ISNUMBER(X29),ISNUMBER(S29)),IFERROR(X29/S29-1,""),"")</f>
      </c>
      <c r="Y30" s="255">
        <f>IF(AND(ISNUMBER(Y29),ISNUMBER(T29)),IFERROR(Y29/T29-1,""),"")</f>
      </c>
      <c r="Z30" s="255">
        <f>IF(AND(ISNUMBER(Z29),ISNUMBER(U29)),IFERROR(Z29/U29-1,""),"")</f>
      </c>
      <c r="AA30" s="255">
        <f>IF(AND(ISNUMBER(AA29),ISNUMBER(V29)),IFERROR(AA29/V29-1,""),"")</f>
      </c>
      <c r="AB30" s="255">
        <f>IF(AND(ISNUMBER(AB29),ISNUMBER(W29)),IFERROR(AB29/W29-1,""),"")</f>
      </c>
      <c r="AC30" s="255">
        <f>IF(AND(ISNUMBER(AC29),ISNUMBER(X29)),IFERROR(AC29/X29-1,""),"")</f>
      </c>
      <c r="AD30" s="255">
        <f>IF(AND(ISNUMBER(AD29),ISNUMBER(Y29)),IFERROR(AD29/Y29-1,""),"")</f>
      </c>
      <c r="AE30" s="255">
        <f>IF(AND(ISNUMBER(AE29),ISNUMBER(Z29)),IFERROR(AE29/Z29-1,""),"")</f>
      </c>
      <c r="AF30" s="255">
        <f>IF(AND(ISNUMBER(AF29),ISNUMBER(AA29)),IFERROR(AF29/AA29-1,""),"")</f>
      </c>
      <c r="AG30" s="255">
        <f>IF(AND(ISNUMBER(AG29),ISNUMBER(AB29)),IFERROR(AG29/AB29-1,""),"")</f>
      </c>
      <c r="AH30" s="255">
        <f>IF(AND(ISNUMBER(AH29),ISNUMBER(AC29)),IFERROR(AH29/AC29-1,""),"")</f>
      </c>
      <c r="AI30" s="255">
        <f>IF(AND(ISNUMBER(AI29),ISNUMBER(AD29)),IFERROR(AI29/AD29-1,""),"")</f>
      </c>
      <c r="AJ30" s="255">
        <f>IF(AND(ISNUMBER(AJ29),ISNUMBER(AE29)),IFERROR(AJ29/AE29-1,""),"")</f>
      </c>
      <c r="AK30" s="255">
        <f>IF(AND(ISNUMBER(AK29),ISNUMBER(AF29)),IFERROR(AK29/AF29-1,""),"")</f>
      </c>
      <c r="AL30" s="255">
        <f>IF(AND(ISNUMBER(AL29),ISNUMBER(AG29)),IFERROR(AL29/AG29-1,""),"")</f>
      </c>
      <c r="AM30" s="255">
        <f>IF(AND(ISNUMBER(AM29),ISNUMBER(AH29)),IFERROR(AM29/AH29-1,""),"")</f>
      </c>
      <c r="AN30" s="255">
        <f>IF(AND(ISNUMBER(AN29),ISNUMBER(AI29)),IFERROR(AN29/AI29-1,""),"")</f>
      </c>
      <c r="AO30" s="255">
        <f>IF(AND(ISNUMBER(AO29),ISNUMBER(AJ29)),IFERROR(AO29/AJ29-1,""),"")</f>
      </c>
      <c r="AP30" s="255">
        <f>IF(AND(ISNUMBER(AP29),ISNUMBER(AK29)),IFERROR(AP29/AK29-1,""),"")</f>
      </c>
      <c r="AQ30" s="255">
        <f>IF(AND(ISNUMBER(AQ29),ISNUMBER(AL29)),IFERROR(AQ29/AL29-1,""),"")</f>
      </c>
      <c r="AR30" s="255">
        <f>IF(AND(ISNUMBER(AR29),ISNUMBER(AM29)),IFERROR(AR29/AM29-1,""),"")</f>
      </c>
      <c r="AS30" s="255">
        <f>IF(AND(ISNUMBER(AS29),ISNUMBER(AN29)),IFERROR(AS29/AN29-1,""),"")</f>
      </c>
      <c r="AT30" s="255">
        <f>IF(AND(ISNUMBER(AT29),ISNUMBER(AO29)),IFERROR(AT29/AO29-1,""),"")</f>
      </c>
      <c r="AU30" s="255">
        <f>IF(AND(ISNUMBER(AU29),ISNUMBER(AP29)),IFERROR(AU29/AP29-1,""),"")</f>
      </c>
      <c r="AV30" s="255">
        <f>IF(AND(ISNUMBER(AV29),ISNUMBER(AQ29)),IFERROR(AV29/AQ29-1,""),"")</f>
      </c>
      <c r="AW30" s="255">
        <f>IF(AND(ISNUMBER(AW29),ISNUMBER(AR29)),IFERROR(AW29/AR29-1,""),"")</f>
        <v>0.676196553924697</v>
      </c>
      <c r="AX30" s="255">
        <f>IF(AND(ISNUMBER(AX29),ISNUMBER(AS29)),IFERROR(AX29/AS29-1,""),"")</f>
      </c>
      <c r="AY30" s="255">
        <f>IF(AND(ISNUMBER(AY29),ISNUMBER(AT29)),IFERROR(AY29/AT29-1,""),"")</f>
      </c>
      <c r="AZ30" s="255">
        <f>IF(AND(ISNUMBER(AZ29),ISNUMBER(AU29)),IFERROR(AZ29/AU29-1,""),"")</f>
      </c>
      <c r="BA30" s="255">
        <f>IF(AND(ISNUMBER(BA29),ISNUMBER(AV29)),IFERROR(BA29/AV29-1,""),"")</f>
      </c>
      <c r="BB30" s="255">
        <f>IF(AND(ISNUMBER(BB29),ISNUMBER(AW29)),IFERROR(BB29/AW29-1,""),"")</f>
        <v>0.0185639229422065</v>
      </c>
      <c r="BC30" s="255">
        <f>IF(AND(ISNUMBER(BC29),ISNUMBER(AX29)),IFERROR(BC29/AX29-1,""),"")</f>
        <v>0.562619469026549</v>
      </c>
      <c r="BD30" s="255">
        <f>IF(AND(ISNUMBER(BD29),ISNUMBER(AY29)),IFERROR(BD29/AY29-1,""),"")</f>
        <v>1.59939916405434</v>
      </c>
      <c r="BE30" s="255">
        <f>IF(AND(ISNUMBER(BE29),ISNUMBER(AZ29)),IFERROR(BE29/AZ29-1,""),"")</f>
        <v>0.961207504584568</v>
      </c>
      <c r="BF30" s="255">
        <f>IF(AND(ISNUMBER(BF29),ISNUMBER(BA29)),IFERROR(BF29/BA29-1,""),"")</f>
        <v>0.141948515191886</v>
      </c>
      <c r="BG30" s="255">
        <f>IF(AND(ISNUMBER(BG29),ISNUMBER(BB29)),IFERROR(BG29/BB29-1,""),"")</f>
        <v>0.738113749177681</v>
      </c>
      <c r="BH30" s="255">
        <f>IF(AND(ISNUMBER(BH29),ISNUMBER(BC29)),IFERROR(BH29/BC29-1,""),"")</f>
        <v>0.396701703515767</v>
      </c>
      <c r="BI30" s="255">
        <f>IF(AND(ISNUMBER(BI29),ISNUMBER(BD29)),IFERROR(BI29/BD29-1,""),"")</f>
        <v>-0.0281392894829405</v>
      </c>
      <c r="BJ30" s="255">
        <f>IF(AND(ISNUMBER(BJ29),ISNUMBER(BE29)),IFERROR(BJ29/BE29-1,""),"")</f>
        <v>0.44993886211609</v>
      </c>
      <c r="BK30" s="255">
        <f>IF(AND(ISNUMBER(BK29),ISNUMBER(BF29)),IFERROR(BK29/BF29-1,""),"")</f>
        <v>0.690614180340208</v>
      </c>
      <c r="BL30" s="255">
        <f>IF(AND(ISNUMBER(BL29),ISNUMBER(BG29)),IFERROR(BL29/BG29-1,""),"")</f>
        <v>0.331159894023329</v>
      </c>
      <c r="BM30" s="255">
        <f>IF(AND(ISNUMBER(BM29),ISNUMBER(BH29)),IFERROR(BM29/BH29-1,""),"")</f>
        <v>0.465323731672506</v>
      </c>
      <c r="BN30" s="255">
        <f>IF(AND(ISNUMBER(BN29),ISNUMBER(BI29)),IFERROR(BN29/BI29-1,""),"")</f>
        <v>0.223437257639212</v>
      </c>
      <c r="BO30" s="255">
        <f>IF(AND(ISNUMBER(BO29),ISNUMBER(BJ29)),IFERROR(BO29/BJ29-1,""),"")</f>
        <v>0.284321750130218</v>
      </c>
      <c r="BP30" s="255">
        <f>IF(AND(ISNUMBER(BP29),ISNUMBER(BK29)),IFERROR(BP29/BK29-1,""),"")</f>
        <v>0.240478151503684</v>
      </c>
      <c r="BQ30" s="255">
        <f>IF(AND(ISNUMBER(BQ29),ISNUMBER(BL29)),IFERROR(BQ29/BL29-1,""),"")</f>
        <v>0.29243295638126</v>
      </c>
      <c r="BR30" s="255">
        <f>IF(AND(ISNUMBER(BR29),ISNUMBER(BM29)),IFERROR(BR29/BM29-1,""),"")</f>
        <v>0.191463927567352</v>
      </c>
      <c r="BS30" s="255">
        <f>IF(AND(ISNUMBER(BS29),ISNUMBER(BN29)),IFERROR(BS29/BN29-1,""),"")</f>
        <v>0.19311146328579</v>
      </c>
      <c r="BT30" s="255">
        <f>IF(AND(ISNUMBER(BT29),ISNUMBER(BO29)),IFERROR(BT29/BO29-1,""),"")</f>
        <v>0.187311703360371</v>
      </c>
      <c r="BU30" s="255">
        <f>IF(AND(ISNUMBER(BU29),ISNUMBER(BP29)),IFERROR(BU29/BP29-1,""),"")</f>
        <v>0.171643398054768</v>
      </c>
      <c r="BV30" s="255">
        <f>IF(AND(ISNUMBER(BV29),ISNUMBER(BQ29)),IFERROR(BV29/BQ29-1,""),"")</f>
        <v>0.185256294874103</v>
      </c>
      <c r="BW30" s="255">
        <f>IF(AND(ISNUMBER(BW29),ISNUMBER(BR29)),IFERROR(BW29/BR29-1,""),"")</f>
        <v>0.37224555014678</v>
      </c>
      <c r="BX30" s="255">
        <f>IF(AND(ISNUMBER(BX29),ISNUMBER(BS29)),IFERROR(BX29/BS29-1,""),"")</f>
        <v>0.540149475772173</v>
      </c>
      <c r="BY30" s="255">
        <f>IF(AND(ISNUMBER(BY29),ISNUMBER(BT29)),IFERROR(BY29/BT29-1,""),"")</f>
        <v>0.656581922282405</v>
      </c>
      <c r="BZ30" s="256">
        <f>BZ31+$BZ$97</f>
        <v>0.496452216697337</v>
      </c>
      <c r="CA30" s="256">
        <f>IF(AND(ISNUMBER(CA29),ISNUMBER(BV29)),IFERROR(CA29/BV29-1,""),"")</f>
        <v>0.520188738865018</v>
      </c>
      <c r="CB30" s="256">
        <f>CHOOSE(MATCH($CG$2,{"Bull","Base","Bear"},0),$CP$45,$CQ$45,$CR$45)</f>
        <v>0.3</v>
      </c>
      <c r="CC30" s="256">
        <f>CHOOSE(MATCH($CG$2,{"Bull","Base","Bear"},0),$CP$46,$CQ$46,$CR$46)</f>
        <v>0.25</v>
      </c>
      <c r="CD30" s="256">
        <f>CHOOSE(MATCH($CG$2,{"Bull","Base","Bear"},0),$CP$47,$CQ$47,$CR$47)</f>
        <v>0.2</v>
      </c>
      <c r="CE30" s="256">
        <f>CHOOSE(MATCH($CG$2,{"Bull","Base","Bear"},0),$CP$48,$CQ$48,$CR$48)</f>
        <v>0.17</v>
      </c>
      <c r="CF30" s="256">
        <f>CHOOSE(MATCH($CG$2,{"Bull","Base","Bear"},0),$CP$49,$CQ$49,$CR$49)</f>
        <v>0.15</v>
      </c>
      <c r="CG30" s="153" t="inlineStr">
        <is>
          <t>Q4/26E: 9M FY26 y/y growth of the stream + revenue-guidance calibration Δ (Group block). 2027E–2031E: scenario lever (Bull/Base/Bear table →).</t>
        </is>
      </c>
      <c r="CO30" s="25" t="inlineStr">
        <is>
          <t xml:space="preserve">  Maximum net debt / adjusted EBITDA before buybacks (x) — buyback floor 2027E+</t>
        </is>
      </c>
      <c r="CP30" s="264" t="n">
        <v>3.25</v>
      </c>
      <c r="CQ30" s="264" t="n">
        <v>3</v>
      </c>
      <c r="CR30" s="264" t="n">
        <v>2.5</v>
      </c>
      <c r="CS30" s="13" t="inlineStr">
        <is>
          <t>Net debt $5.28bn at 30-Jun-2026 ≈ 3.5x LTM adjusted EBITDA (model); credit-agreement covenant 4.5x to Dec-2026, 4.0x to Dec-2027, 3.5x thereafter. Target (assumption) = leverage up to which free cash flow and debt capacity are returned via buybacks; FICO has bought back stock every year since FY2013. Bull = more buybacks (higher target).</t>
        </is>
      </c>
    </row>
    <row r="31" ht="15" customHeight="1" s="251">
      <c r="B31" s="25" t="inlineStr">
        <is>
          <t xml:space="preserve">    Q4/26E growth before revenue calibration (9M FY26 y/y)</t>
        </is>
      </c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  <c r="AU31" s="36" t="n"/>
      <c r="AV31" s="36" t="n"/>
      <c r="AW31" s="36" t="n"/>
      <c r="AX31" s="36" t="n"/>
      <c r="AY31" s="36" t="n"/>
      <c r="AZ31" s="36" t="n"/>
      <c r="BA31" s="36" t="n"/>
      <c r="BB31" s="36" t="n"/>
      <c r="BC31" s="36" t="n"/>
      <c r="BD31" s="36" t="n"/>
      <c r="BE31" s="36" t="n"/>
      <c r="BF31" s="36" t="n"/>
      <c r="BG31" s="36" t="n"/>
      <c r="BH31" s="36" t="n"/>
      <c r="BI31" s="36" t="n"/>
      <c r="BJ31" s="36" t="n"/>
      <c r="BK31" s="36" t="n"/>
      <c r="BL31" s="36" t="n"/>
      <c r="BM31" s="36" t="n"/>
      <c r="BN31" s="36" t="n"/>
      <c r="BO31" s="36" t="n"/>
      <c r="BP31" s="36" t="n"/>
      <c r="BQ31" s="36" t="n"/>
      <c r="BR31" s="36" t="n"/>
      <c r="BS31" s="36" t="n"/>
      <c r="BT31" s="36" t="n"/>
      <c r="BU31" s="36" t="n"/>
      <c r="BV31" s="36" t="n"/>
      <c r="BW31" s="36" t="n"/>
      <c r="BX31" s="36" t="n"/>
      <c r="BY31" s="36" t="n"/>
      <c r="BZ31" s="256">
        <f>IFERROR(SUM(BW29:BY29)/SUM(BR29:BT29)-1,0)</f>
        <v>0.52921142258318</v>
      </c>
      <c r="CA31" s="24" t="n"/>
      <c r="CB31" s="46" t="n"/>
      <c r="CC31" s="46" t="n"/>
      <c r="CD31" s="46" t="n"/>
      <c r="CE31" s="46" t="n"/>
      <c r="CF31" s="46" t="n"/>
      <c r="CG31" s="19" t="n"/>
    </row>
    <row r="32" ht="15" customHeight="1" s="251">
      <c r="B32" s="25" t="inlineStr">
        <is>
          <t xml:space="preserve">  Non-platform software (on-premises &amp; SaaS point solutions: fraud, originations, customer management)</t>
        </is>
      </c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253" t="n">
        <v>517.793</v>
      </c>
      <c r="AS32" s="34" t="n"/>
      <c r="AT32" s="34" t="n"/>
      <c r="AU32" s="34" t="n"/>
      <c r="AV32" s="34" t="n"/>
      <c r="AW32" s="253" t="n">
        <v>518.9109999999999</v>
      </c>
      <c r="AX32" s="253" t="n">
        <v>112.33</v>
      </c>
      <c r="AY32" s="253" t="n">
        <v>110.239</v>
      </c>
      <c r="AZ32" s="253" t="n">
        <v>116.052</v>
      </c>
      <c r="BA32" s="253" t="n">
        <v>112.383</v>
      </c>
      <c r="BB32" s="253" t="n">
        <v>451.004</v>
      </c>
      <c r="BC32" s="253" t="n">
        <v>104.266</v>
      </c>
      <c r="BD32" s="253" t="n">
        <v>109.286</v>
      </c>
      <c r="BE32" s="253" t="n">
        <v>114.731</v>
      </c>
      <c r="BF32" s="253" t="n">
        <v>120.216</v>
      </c>
      <c r="BG32" s="253" t="n">
        <v>448.499</v>
      </c>
      <c r="BH32" s="253" t="n">
        <v>113.732</v>
      </c>
      <c r="BI32" s="253" t="n">
        <v>115.902</v>
      </c>
      <c r="BJ32" s="253" t="n">
        <v>131.742</v>
      </c>
      <c r="BK32" s="253" t="n">
        <v>124.056</v>
      </c>
      <c r="BL32" s="253" t="n">
        <v>485.432</v>
      </c>
      <c r="BM32" s="253" t="n">
        <v>123.495</v>
      </c>
      <c r="BN32" s="253" t="n">
        <v>129.855</v>
      </c>
      <c r="BO32" s="253" t="n">
        <v>132.005</v>
      </c>
      <c r="BP32" s="253" t="n">
        <v>125.981</v>
      </c>
      <c r="BQ32" s="253" t="n">
        <v>511.336</v>
      </c>
      <c r="BR32" s="253" t="n">
        <v>132.189</v>
      </c>
      <c r="BS32" s="253" t="n">
        <v>127.362</v>
      </c>
      <c r="BT32" s="253" t="n">
        <v>126.436</v>
      </c>
      <c r="BU32" s="253" t="n">
        <v>117.102</v>
      </c>
      <c r="BV32" s="253" t="n">
        <v>503.089</v>
      </c>
      <c r="BW32" s="253" t="n">
        <v>114.364</v>
      </c>
      <c r="BX32" s="253" t="n">
        <v>112.268</v>
      </c>
      <c r="BY32" s="253" t="n">
        <v>95.124</v>
      </c>
      <c r="BZ32" s="254">
        <f>BU32*(1+BZ33)</f>
        <v>93.7792203636917</v>
      </c>
      <c r="CA32" s="254">
        <f>SUM(BW32:BZ32)</f>
        <v>415.535220363692</v>
      </c>
      <c r="CB32" s="254">
        <f>CA32*(1+CB33)</f>
        <v>353.204937309138</v>
      </c>
      <c r="CC32" s="254">
        <f>CB32*(1+CC33)</f>
        <v>317.884443578224</v>
      </c>
      <c r="CD32" s="254">
        <f>CC32*(1+CD33)</f>
        <v>295.632532527748</v>
      </c>
      <c r="CE32" s="254">
        <f>CD32*(1+CE33)</f>
        <v>280.850905901361</v>
      </c>
      <c r="CF32" s="254">
        <f>CE32*(1+CF33)</f>
        <v>269.616869665307</v>
      </c>
      <c r="CG32" s="19" t="n"/>
      <c r="CI32" s="20">
        <f>IFERROR((CF32/CA32)^(1/5)-1,"n/m")</f>
        <v>-0.0828764522036204</v>
      </c>
      <c r="CJ32" s="20">
        <f>IFERROR((BV32/AW32)^(1/5)-1,"n/m")</f>
        <v>-0.00617392094480296</v>
      </c>
      <c r="CK32" s="20" t="str">
        <f>IFERROR((BV32/X32)^(1/10)-1,"n/m")</f>
        <v>n/m</v>
      </c>
      <c r="CL32" s="20" t="str">
        <f>IFERROR((BV32/C32)^(1/19)-1,"n/m")</f>
        <v>n/m</v>
      </c>
      <c r="CO32" s="15" t="inlineStr">
        <is>
          <t>SC_B2B (B2B scores revenue y/y)</t>
        </is>
      </c>
      <c r="CP32" s="41" t="n">
        <v>0.05</v>
      </c>
      <c r="CQ32" s="21" t="inlineStr">
        <is>
          <t>Δ →</t>
        </is>
      </c>
      <c r="CR32" s="41" t="n">
        <v>-0.12</v>
      </c>
      <c r="CS32" s="13" t="inlineStr">
        <is>
          <t>9M FY26 +54%, FY25 +33%, FY24 +27% — mortgage origination score unit price (10-Q MD&amp;A). Base assumes pricing gains moderate. Bear: FHFA approval of other score models / VantageScore competition (10-K risk factors).</t>
        </is>
      </c>
    </row>
    <row r="33" ht="15" customHeight="1" s="251">
      <c r="B33" s="22" t="inlineStr">
        <is>
          <t xml:space="preserve">    y/y %</t>
        </is>
      </c>
      <c r="C33" s="23" t="n"/>
      <c r="D33" s="255">
        <f>IF(AND(ISNUMBER(D32),ISNUMBER(C32)),IFERROR(D32/C32-1,""),"")</f>
      </c>
      <c r="E33" s="255">
        <f>IF(AND(ISNUMBER(E32),ISNUMBER(D32)),IFERROR(E32/D32-1,""),"")</f>
      </c>
      <c r="F33" s="255">
        <f>IF(AND(ISNUMBER(F32),ISNUMBER(E32)),IFERROR(F32/E32-1,""),"")</f>
      </c>
      <c r="G33" s="255">
        <f>IF(AND(ISNUMBER(G32),ISNUMBER(F32)),IFERROR(G32/F32-1,""),"")</f>
      </c>
      <c r="H33" s="255">
        <f>IF(AND(ISNUMBER(H32),ISNUMBER(G32)),IFERROR(H32/G32-1,""),"")</f>
      </c>
      <c r="I33" s="255">
        <f>IF(AND(ISNUMBER(I32),ISNUMBER(H32)),IFERROR(I32/H32-1,""),"")</f>
      </c>
      <c r="J33" s="23" t="n"/>
      <c r="K33" s="23" t="n"/>
      <c r="L33" s="23" t="n"/>
      <c r="M33" s="23" t="n"/>
      <c r="N33" s="255">
        <f>IF(AND(ISNUMBER(N32),ISNUMBER(I32)),IFERROR(N32/I32-1,""),"")</f>
      </c>
      <c r="O33" s="255">
        <f>IF(AND(ISNUMBER(O32),ISNUMBER(J32)),IFERROR(O32/J32-1,""),"")</f>
      </c>
      <c r="P33" s="255">
        <f>IF(AND(ISNUMBER(P32),ISNUMBER(K32)),IFERROR(P32/K32-1,""),"")</f>
      </c>
      <c r="Q33" s="255">
        <f>IF(AND(ISNUMBER(Q32),ISNUMBER(L32)),IFERROR(Q32/L32-1,""),"")</f>
      </c>
      <c r="R33" s="255">
        <f>IF(AND(ISNUMBER(R32),ISNUMBER(M32)),IFERROR(R32/M32-1,""),"")</f>
      </c>
      <c r="S33" s="255">
        <f>IF(AND(ISNUMBER(S32),ISNUMBER(N32)),IFERROR(S32/N32-1,""),"")</f>
      </c>
      <c r="T33" s="255">
        <f>IF(AND(ISNUMBER(T32),ISNUMBER(O32)),IFERROR(T32/O32-1,""),"")</f>
      </c>
      <c r="U33" s="255">
        <f>IF(AND(ISNUMBER(U32),ISNUMBER(P32)),IFERROR(U32/P32-1,""),"")</f>
      </c>
      <c r="V33" s="255">
        <f>IF(AND(ISNUMBER(V32),ISNUMBER(Q32)),IFERROR(V32/Q32-1,""),"")</f>
      </c>
      <c r="W33" s="255">
        <f>IF(AND(ISNUMBER(W32),ISNUMBER(R32)),IFERROR(W32/R32-1,""),"")</f>
      </c>
      <c r="X33" s="255">
        <f>IF(AND(ISNUMBER(X32),ISNUMBER(S32)),IFERROR(X32/S32-1,""),"")</f>
      </c>
      <c r="Y33" s="255">
        <f>IF(AND(ISNUMBER(Y32),ISNUMBER(T32)),IFERROR(Y32/T32-1,""),"")</f>
      </c>
      <c r="Z33" s="255">
        <f>IF(AND(ISNUMBER(Z32),ISNUMBER(U32)),IFERROR(Z32/U32-1,""),"")</f>
      </c>
      <c r="AA33" s="255">
        <f>IF(AND(ISNUMBER(AA32),ISNUMBER(V32)),IFERROR(AA32/V32-1,""),"")</f>
      </c>
      <c r="AB33" s="255">
        <f>IF(AND(ISNUMBER(AB32),ISNUMBER(W32)),IFERROR(AB32/W32-1,""),"")</f>
      </c>
      <c r="AC33" s="255">
        <f>IF(AND(ISNUMBER(AC32),ISNUMBER(X32)),IFERROR(AC32/X32-1,""),"")</f>
      </c>
      <c r="AD33" s="255">
        <f>IF(AND(ISNUMBER(AD32),ISNUMBER(Y32)),IFERROR(AD32/Y32-1,""),"")</f>
      </c>
      <c r="AE33" s="255">
        <f>IF(AND(ISNUMBER(AE32),ISNUMBER(Z32)),IFERROR(AE32/Z32-1,""),"")</f>
      </c>
      <c r="AF33" s="255">
        <f>IF(AND(ISNUMBER(AF32),ISNUMBER(AA32)),IFERROR(AF32/AA32-1,""),"")</f>
      </c>
      <c r="AG33" s="255">
        <f>IF(AND(ISNUMBER(AG32),ISNUMBER(AB32)),IFERROR(AG32/AB32-1,""),"")</f>
      </c>
      <c r="AH33" s="255">
        <f>IF(AND(ISNUMBER(AH32),ISNUMBER(AC32)),IFERROR(AH32/AC32-1,""),"")</f>
      </c>
      <c r="AI33" s="255">
        <f>IF(AND(ISNUMBER(AI32),ISNUMBER(AD32)),IFERROR(AI32/AD32-1,""),"")</f>
      </c>
      <c r="AJ33" s="255">
        <f>IF(AND(ISNUMBER(AJ32),ISNUMBER(AE32)),IFERROR(AJ32/AE32-1,""),"")</f>
      </c>
      <c r="AK33" s="255">
        <f>IF(AND(ISNUMBER(AK32),ISNUMBER(AF32)),IFERROR(AK32/AF32-1,""),"")</f>
      </c>
      <c r="AL33" s="255">
        <f>IF(AND(ISNUMBER(AL32),ISNUMBER(AG32)),IFERROR(AL32/AG32-1,""),"")</f>
      </c>
      <c r="AM33" s="255">
        <f>IF(AND(ISNUMBER(AM32),ISNUMBER(AH32)),IFERROR(AM32/AH32-1,""),"")</f>
      </c>
      <c r="AN33" s="255">
        <f>IF(AND(ISNUMBER(AN32),ISNUMBER(AI32)),IFERROR(AN32/AI32-1,""),"")</f>
      </c>
      <c r="AO33" s="255">
        <f>IF(AND(ISNUMBER(AO32),ISNUMBER(AJ32)),IFERROR(AO32/AJ32-1,""),"")</f>
      </c>
      <c r="AP33" s="255">
        <f>IF(AND(ISNUMBER(AP32),ISNUMBER(AK32)),IFERROR(AP32/AK32-1,""),"")</f>
      </c>
      <c r="AQ33" s="255">
        <f>IF(AND(ISNUMBER(AQ32),ISNUMBER(AL32)),IFERROR(AQ32/AL32-1,""),"")</f>
      </c>
      <c r="AR33" s="255">
        <f>IF(AND(ISNUMBER(AR32),ISNUMBER(AM32)),IFERROR(AR32/AM32-1,""),"")</f>
      </c>
      <c r="AS33" s="255">
        <f>IF(AND(ISNUMBER(AS32),ISNUMBER(AN32)),IFERROR(AS32/AN32-1,""),"")</f>
      </c>
      <c r="AT33" s="255">
        <f>IF(AND(ISNUMBER(AT32),ISNUMBER(AO32)),IFERROR(AT32/AO32-1,""),"")</f>
      </c>
      <c r="AU33" s="255">
        <f>IF(AND(ISNUMBER(AU32),ISNUMBER(AP32)),IFERROR(AU32/AP32-1,""),"")</f>
      </c>
      <c r="AV33" s="255">
        <f>IF(AND(ISNUMBER(AV32),ISNUMBER(AQ32)),IFERROR(AV32/AQ32-1,""),"")</f>
      </c>
      <c r="AW33" s="255">
        <f>IF(AND(ISNUMBER(AW32),ISNUMBER(AR32)),IFERROR(AW32/AR32-1,""),"")</f>
        <v>0.00215916399024318</v>
      </c>
      <c r="AX33" s="255">
        <f>IF(AND(ISNUMBER(AX32),ISNUMBER(AS32)),IFERROR(AX32/AS32-1,""),"")</f>
      </c>
      <c r="AY33" s="255">
        <f>IF(AND(ISNUMBER(AY32),ISNUMBER(AT32)),IFERROR(AY32/AT32-1,""),"")</f>
      </c>
      <c r="AZ33" s="255">
        <f>IF(AND(ISNUMBER(AZ32),ISNUMBER(AU32)),IFERROR(AZ32/AU32-1,""),"")</f>
      </c>
      <c r="BA33" s="255">
        <f>IF(AND(ISNUMBER(BA32),ISNUMBER(AV32)),IFERROR(BA32/AV32-1,""),"")</f>
      </c>
      <c r="BB33" s="255">
        <f>IF(AND(ISNUMBER(BB32),ISNUMBER(AW32)),IFERROR(BB32/AW32-1,""),"")</f>
        <v>-0.130864444962624</v>
      </c>
      <c r="BC33" s="255">
        <f>IF(AND(ISNUMBER(BC32),ISNUMBER(AX32)),IFERROR(BC32/AX32-1,""),"")</f>
        <v>-0.0717884803703374</v>
      </c>
      <c r="BD33" s="255">
        <f>IF(AND(ISNUMBER(BD32),ISNUMBER(AY32)),IFERROR(BD32/AY32-1,""),"")</f>
        <v>-0.00864485345476651</v>
      </c>
      <c r="BE33" s="255">
        <f>IF(AND(ISNUMBER(BE32),ISNUMBER(AZ32)),IFERROR(BE32/AZ32-1,""),"")</f>
        <v>-0.0113828283872748</v>
      </c>
      <c r="BF33" s="255">
        <f>IF(AND(ISNUMBER(BF32),ISNUMBER(BA32)),IFERROR(BF32/BA32-1,""),"")</f>
        <v>0.0696991537866047</v>
      </c>
      <c r="BG33" s="255">
        <f>IF(AND(ISNUMBER(BG32),ISNUMBER(BB32)),IFERROR(BG32/BB32-1,""),"")</f>
        <v>-0.00555427446319767</v>
      </c>
      <c r="BH33" s="255">
        <f>IF(AND(ISNUMBER(BH32),ISNUMBER(BC32)),IFERROR(BH32/BC32-1,""),"")</f>
        <v>0.0907870254924903</v>
      </c>
      <c r="BI33" s="255">
        <f>IF(AND(ISNUMBER(BI32),ISNUMBER(BD32)),IFERROR(BI32/BD32-1,""),"")</f>
        <v>0.0605384038211665</v>
      </c>
      <c r="BJ33" s="255">
        <f>IF(AND(ISNUMBER(BJ32),ISNUMBER(BE32)),IFERROR(BJ32/BE32-1,""),"")</f>
        <v>0.148268558628444</v>
      </c>
      <c r="BK33" s="255">
        <f>IF(AND(ISNUMBER(BK32),ISNUMBER(BF32)),IFERROR(BK32/BF32-1,""),"")</f>
        <v>0.0319425034937113</v>
      </c>
      <c r="BL33" s="255">
        <f>IF(AND(ISNUMBER(BL32),ISNUMBER(BG32)),IFERROR(BL32/BG32-1,""),"")</f>
        <v>0.082348009694559</v>
      </c>
      <c r="BM33" s="255">
        <f>IF(AND(ISNUMBER(BM32),ISNUMBER(BH32)),IFERROR(BM32/BH32-1,""),"")</f>
        <v>0.0858421552421482</v>
      </c>
      <c r="BN33" s="255">
        <f>IF(AND(ISNUMBER(BN32),ISNUMBER(BI32)),IFERROR(BN32/BI32-1,""),"")</f>
        <v>0.120386188331521</v>
      </c>
      <c r="BO33" s="255">
        <f>IF(AND(ISNUMBER(BO32),ISNUMBER(BJ32)),IFERROR(BO32/BJ32-1,""),"")</f>
        <v>0.00199632615263168</v>
      </c>
      <c r="BP33" s="255">
        <f>IF(AND(ISNUMBER(BP32),ISNUMBER(BK32)),IFERROR(BP32/BK32-1,""),"")</f>
        <v>0.015517185787064</v>
      </c>
      <c r="BQ33" s="255">
        <f>IF(AND(ISNUMBER(BQ32),ISNUMBER(BL32)),IFERROR(BQ32/BL32-1,""),"")</f>
        <v>0.0533627778968011</v>
      </c>
      <c r="BR33" s="255">
        <f>IF(AND(ISNUMBER(BR32),ISNUMBER(BM32)),IFERROR(BR32/BM32-1,""),"")</f>
        <v>0.0703996113202963</v>
      </c>
      <c r="BS33" s="255">
        <f>IF(AND(ISNUMBER(BS32),ISNUMBER(BN32)),IFERROR(BS32/BN32-1,""),"")</f>
        <v>-0.0191983366062146</v>
      </c>
      <c r="BT33" s="255">
        <f>IF(AND(ISNUMBER(BT32),ISNUMBER(BO32)),IFERROR(BT32/BO32-1,""),"")</f>
        <v>-0.0421877959168212</v>
      </c>
      <c r="BU33" s="255">
        <f>IF(AND(ISNUMBER(BU32),ISNUMBER(BP32)),IFERROR(BU32/BP32-1,""),"")</f>
        <v>-0.0704788817361347</v>
      </c>
      <c r="BV33" s="255">
        <f>IF(AND(ISNUMBER(BV32),ISNUMBER(BQ32)),IFERROR(BV32/BQ32-1,""),"")</f>
        <v>-0.0161283383137507</v>
      </c>
      <c r="BW33" s="255">
        <f>IF(AND(ISNUMBER(BW32),ISNUMBER(BR32)),IFERROR(BW32/BR32-1,""),"")</f>
        <v>-0.134844805543578</v>
      </c>
      <c r="BX33" s="255">
        <f>IF(AND(ISNUMBER(BX32),ISNUMBER(BS32)),IFERROR(BX32/BS32-1,""),"")</f>
        <v>-0.1185125861717</v>
      </c>
      <c r="BY33" s="255">
        <f>IF(AND(ISNUMBER(BY32),ISNUMBER(BT32)),IFERROR(BY32/BT32-1,""),"")</f>
        <v>-0.247650985478819</v>
      </c>
      <c r="BZ33" s="256">
        <f>BZ34+$BZ$97</f>
        <v>-0.199166364676165</v>
      </c>
      <c r="CA33" s="256">
        <f>IF(AND(ISNUMBER(CA32),ISNUMBER(BV32)),IFERROR(CA32/BV32-1,""),"")</f>
        <v>-0.17403238718459</v>
      </c>
      <c r="CB33" s="256">
        <f>CHOOSE(MATCH($CG$2,{"Bull","Base","Bear"},0),$CP$51,$CQ$51,$CR$51)</f>
        <v>-0.15</v>
      </c>
      <c r="CC33" s="256">
        <f>CHOOSE(MATCH($CG$2,{"Bull","Base","Bear"},0),$CP$52,$CQ$52,$CR$52)</f>
        <v>-0.1</v>
      </c>
      <c r="CD33" s="256">
        <f>CHOOSE(MATCH($CG$2,{"Bull","Base","Bear"},0),$CP$53,$CQ$53,$CR$53)</f>
        <v>-0.07</v>
      </c>
      <c r="CE33" s="256">
        <f>CHOOSE(MATCH($CG$2,{"Bull","Base","Bear"},0),$CP$54,$CQ$54,$CR$54)</f>
        <v>-0.05</v>
      </c>
      <c r="CF33" s="256">
        <f>CHOOSE(MATCH($CG$2,{"Bull","Base","Bear"},0),$CP$55,$CQ$55,$CR$55)</f>
        <v>-0.04</v>
      </c>
      <c r="CG33" s="153" t="n"/>
      <c r="CO33" s="25" t="inlineStr">
        <is>
          <t xml:space="preserve">  2027E</t>
        </is>
      </c>
      <c r="CP33" s="33">
        <f>CQ33+$CP$32</f>
        <v>0.2</v>
      </c>
      <c r="CQ33" s="42" t="n">
        <v>0.15</v>
      </c>
      <c r="CR33" s="33">
        <f>CQ33+$CR$32</f>
        <v>0.03</v>
      </c>
    </row>
    <row r="34" ht="15" customHeight="1" s="251">
      <c r="B34" s="25" t="inlineStr">
        <is>
          <t xml:space="preserve">    Q4/26E growth before revenue calibration (9M FY26 y/y)</t>
        </is>
      </c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256">
        <f>IFERROR(SUM(BW32:BY32)/SUM(BR32:BT32)-1,0)</f>
        <v>-0.166407158790322</v>
      </c>
      <c r="CA34" s="24" t="n"/>
      <c r="CB34" s="46" t="n"/>
      <c r="CC34" s="46" t="n"/>
      <c r="CD34" s="46" t="n"/>
      <c r="CE34" s="46" t="n"/>
      <c r="CF34" s="46" t="n"/>
      <c r="CG34" s="19" t="n"/>
      <c r="CO34" s="25" t="inlineStr">
        <is>
          <t xml:space="preserve">  2028E</t>
        </is>
      </c>
      <c r="CP34" s="33">
        <f>CQ34+$CP$32</f>
        <v>0.17</v>
      </c>
      <c r="CQ34" s="42" t="n">
        <v>0.12</v>
      </c>
      <c r="CR34" s="33">
        <f>CQ34+$CR$32</f>
        <v>0</v>
      </c>
    </row>
    <row r="35" ht="15" customHeight="1" s="251">
      <c r="B35" s="25" t="inlineStr">
        <is>
          <t xml:space="preserve">  Professional services</t>
        </is>
      </c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253" t="n">
        <v>30.35</v>
      </c>
      <c r="BB35" s="253" t="n">
        <v>144.501</v>
      </c>
      <c r="BC35" s="253" t="n">
        <v>26.536</v>
      </c>
      <c r="BD35" s="253" t="n">
        <v>24.365</v>
      </c>
      <c r="BE35" s="253" t="n">
        <v>27.074</v>
      </c>
      <c r="BF35" s="253" t="n">
        <v>27.901</v>
      </c>
      <c r="BG35" s="253" t="n">
        <v>105.876</v>
      </c>
      <c r="BH35" s="253" t="n">
        <v>22.322</v>
      </c>
      <c r="BI35" s="253" t="n">
        <v>27.175</v>
      </c>
      <c r="BJ35" s="253" t="n">
        <v>24.851</v>
      </c>
      <c r="BK35" s="253" t="n">
        <v>25.199</v>
      </c>
      <c r="BL35" s="253" t="n">
        <v>99.547</v>
      </c>
      <c r="BM35" s="253" t="n">
        <v>21.279</v>
      </c>
      <c r="BN35" s="253" t="n">
        <v>19.744</v>
      </c>
      <c r="BO35" s="253" t="n">
        <v>22.614</v>
      </c>
      <c r="BP35" s="253" t="n">
        <v>22.899</v>
      </c>
      <c r="BQ35" s="253" t="n">
        <v>86.536</v>
      </c>
      <c r="BR35" s="253" t="n">
        <v>18.282</v>
      </c>
      <c r="BS35" s="253" t="n">
        <v>17.87</v>
      </c>
      <c r="BT35" s="253" t="n">
        <v>24.191</v>
      </c>
      <c r="BU35" s="253" t="n">
        <v>21.806</v>
      </c>
      <c r="BV35" s="253" t="n">
        <v>82.149</v>
      </c>
      <c r="BW35" s="253" t="n">
        <v>19.204</v>
      </c>
      <c r="BX35" s="253" t="n">
        <v>17.473</v>
      </c>
      <c r="BY35" s="253" t="n">
        <v>18.322</v>
      </c>
      <c r="BZ35" s="254">
        <f>BU35*(1+BZ36)</f>
        <v>19.1605047525423</v>
      </c>
      <c r="CA35" s="254">
        <f>SUM(BW35:BZ35)</f>
        <v>74.1595047525423</v>
      </c>
      <c r="CB35" s="254">
        <f>CA35*(1+CB36)</f>
        <v>70.4515295149152</v>
      </c>
      <c r="CC35" s="254">
        <f>CB35*(1+CC36)</f>
        <v>68.3379836294677</v>
      </c>
      <c r="CD35" s="254">
        <f>CC35*(1+CD36)</f>
        <v>68.3379836294677</v>
      </c>
      <c r="CE35" s="254">
        <f>CD35*(1+CE36)</f>
        <v>68.3379836294677</v>
      </c>
      <c r="CF35" s="254">
        <f>CE35*(1+CF36)</f>
        <v>68.3379836294677</v>
      </c>
      <c r="CG35" s="19" t="n"/>
      <c r="CI35" s="20">
        <f>IFERROR((CF35/CA35)^(1/5)-1,"n/m")</f>
        <v>-0.0162175564956917</v>
      </c>
      <c r="CJ35" s="20" t="str">
        <f>IFERROR((BV35/AW35)^(1/5)-1,"n/m")</f>
        <v>n/m</v>
      </c>
      <c r="CK35" s="20" t="str">
        <f>IFERROR((BV35/X35)^(1/10)-1,"n/m")</f>
        <v>n/m</v>
      </c>
      <c r="CL35" s="20" t="str">
        <f>IFERROR((BV35/C35)^(1/19)-1,"n/m")</f>
        <v>n/m</v>
      </c>
      <c r="CO35" s="25" t="inlineStr">
        <is>
          <t xml:space="preserve">  2029E</t>
        </is>
      </c>
      <c r="CP35" s="33">
        <f>CQ35+$CP$32</f>
        <v>0.15</v>
      </c>
      <c r="CQ35" s="42" t="n">
        <v>0.1</v>
      </c>
      <c r="CR35" s="33">
        <f>CQ35+$CR$32</f>
        <v>-0.02</v>
      </c>
    </row>
    <row r="36" ht="15" customHeight="1" s="251">
      <c r="B36" s="22" t="inlineStr">
        <is>
          <t xml:space="preserve">    y/y %</t>
        </is>
      </c>
      <c r="C36" s="23" t="n"/>
      <c r="D36" s="255">
        <f>IF(AND(ISNUMBER(D35),ISNUMBER(C35)),IFERROR(D35/C35-1,""),"")</f>
      </c>
      <c r="E36" s="255">
        <f>IF(AND(ISNUMBER(E35),ISNUMBER(D35)),IFERROR(E35/D35-1,""),"")</f>
      </c>
      <c r="F36" s="255">
        <f>IF(AND(ISNUMBER(F35),ISNUMBER(E35)),IFERROR(F35/E35-1,""),"")</f>
      </c>
      <c r="G36" s="255">
        <f>IF(AND(ISNUMBER(G35),ISNUMBER(F35)),IFERROR(G35/F35-1,""),"")</f>
      </c>
      <c r="H36" s="255">
        <f>IF(AND(ISNUMBER(H35),ISNUMBER(G35)),IFERROR(H35/G35-1,""),"")</f>
      </c>
      <c r="I36" s="255">
        <f>IF(AND(ISNUMBER(I35),ISNUMBER(H35)),IFERROR(I35/H35-1,""),"")</f>
      </c>
      <c r="J36" s="23" t="n"/>
      <c r="K36" s="23" t="n"/>
      <c r="L36" s="23" t="n"/>
      <c r="M36" s="23" t="n"/>
      <c r="N36" s="255">
        <f>IF(AND(ISNUMBER(N35),ISNUMBER(I35)),IFERROR(N35/I35-1,""),"")</f>
      </c>
      <c r="O36" s="255">
        <f>IF(AND(ISNUMBER(O35),ISNUMBER(J35)),IFERROR(O35/J35-1,""),"")</f>
      </c>
      <c r="P36" s="255">
        <f>IF(AND(ISNUMBER(P35),ISNUMBER(K35)),IFERROR(P35/K35-1,""),"")</f>
      </c>
      <c r="Q36" s="255">
        <f>IF(AND(ISNUMBER(Q35),ISNUMBER(L35)),IFERROR(Q35/L35-1,""),"")</f>
      </c>
      <c r="R36" s="255">
        <f>IF(AND(ISNUMBER(R35),ISNUMBER(M35)),IFERROR(R35/M35-1,""),"")</f>
      </c>
      <c r="S36" s="255">
        <f>IF(AND(ISNUMBER(S35),ISNUMBER(N35)),IFERROR(S35/N35-1,""),"")</f>
      </c>
      <c r="T36" s="255">
        <f>IF(AND(ISNUMBER(T35),ISNUMBER(O35)),IFERROR(T35/O35-1,""),"")</f>
      </c>
      <c r="U36" s="255">
        <f>IF(AND(ISNUMBER(U35),ISNUMBER(P35)),IFERROR(U35/P35-1,""),"")</f>
      </c>
      <c r="V36" s="255">
        <f>IF(AND(ISNUMBER(V35),ISNUMBER(Q35)),IFERROR(V35/Q35-1,""),"")</f>
      </c>
      <c r="W36" s="255">
        <f>IF(AND(ISNUMBER(W35),ISNUMBER(R35)),IFERROR(W35/R35-1,""),"")</f>
      </c>
      <c r="X36" s="255">
        <f>IF(AND(ISNUMBER(X35),ISNUMBER(S35)),IFERROR(X35/S35-1,""),"")</f>
      </c>
      <c r="Y36" s="255">
        <f>IF(AND(ISNUMBER(Y35),ISNUMBER(T35)),IFERROR(Y35/T35-1,""),"")</f>
      </c>
      <c r="Z36" s="255">
        <f>IF(AND(ISNUMBER(Z35),ISNUMBER(U35)),IFERROR(Z35/U35-1,""),"")</f>
      </c>
      <c r="AA36" s="255">
        <f>IF(AND(ISNUMBER(AA35),ISNUMBER(V35)),IFERROR(AA35/V35-1,""),"")</f>
      </c>
      <c r="AB36" s="255">
        <f>IF(AND(ISNUMBER(AB35),ISNUMBER(W35)),IFERROR(AB35/W35-1,""),"")</f>
      </c>
      <c r="AC36" s="255">
        <f>IF(AND(ISNUMBER(AC35),ISNUMBER(X35)),IFERROR(AC35/X35-1,""),"")</f>
      </c>
      <c r="AD36" s="255">
        <f>IF(AND(ISNUMBER(AD35),ISNUMBER(Y35)),IFERROR(AD35/Y35-1,""),"")</f>
      </c>
      <c r="AE36" s="255">
        <f>IF(AND(ISNUMBER(AE35),ISNUMBER(Z35)),IFERROR(AE35/Z35-1,""),"")</f>
      </c>
      <c r="AF36" s="255">
        <f>IF(AND(ISNUMBER(AF35),ISNUMBER(AA35)),IFERROR(AF35/AA35-1,""),"")</f>
      </c>
      <c r="AG36" s="255">
        <f>IF(AND(ISNUMBER(AG35),ISNUMBER(AB35)),IFERROR(AG35/AB35-1,""),"")</f>
      </c>
      <c r="AH36" s="255">
        <f>IF(AND(ISNUMBER(AH35),ISNUMBER(AC35)),IFERROR(AH35/AC35-1,""),"")</f>
      </c>
      <c r="AI36" s="255">
        <f>IF(AND(ISNUMBER(AI35),ISNUMBER(AD35)),IFERROR(AI35/AD35-1,""),"")</f>
      </c>
      <c r="AJ36" s="255">
        <f>IF(AND(ISNUMBER(AJ35),ISNUMBER(AE35)),IFERROR(AJ35/AE35-1,""),"")</f>
      </c>
      <c r="AK36" s="255">
        <f>IF(AND(ISNUMBER(AK35),ISNUMBER(AF35)),IFERROR(AK35/AF35-1,""),"")</f>
      </c>
      <c r="AL36" s="255">
        <f>IF(AND(ISNUMBER(AL35),ISNUMBER(AG35)),IFERROR(AL35/AG35-1,""),"")</f>
      </c>
      <c r="AM36" s="255">
        <f>IF(AND(ISNUMBER(AM35),ISNUMBER(AH35)),IFERROR(AM35/AH35-1,""),"")</f>
      </c>
      <c r="AN36" s="255">
        <f>IF(AND(ISNUMBER(AN35),ISNUMBER(AI35)),IFERROR(AN35/AI35-1,""),"")</f>
      </c>
      <c r="AO36" s="255">
        <f>IF(AND(ISNUMBER(AO35),ISNUMBER(AJ35)),IFERROR(AO35/AJ35-1,""),"")</f>
      </c>
      <c r="AP36" s="255">
        <f>IF(AND(ISNUMBER(AP35),ISNUMBER(AK35)),IFERROR(AP35/AK35-1,""),"")</f>
      </c>
      <c r="AQ36" s="255">
        <f>IF(AND(ISNUMBER(AQ35),ISNUMBER(AL35)),IFERROR(AQ35/AL35-1,""),"")</f>
      </c>
      <c r="AR36" s="255">
        <f>IF(AND(ISNUMBER(AR35),ISNUMBER(AM35)),IFERROR(AR35/AM35-1,""),"")</f>
      </c>
      <c r="AS36" s="255">
        <f>IF(AND(ISNUMBER(AS35),ISNUMBER(AN35)),IFERROR(AS35/AN35-1,""),"")</f>
      </c>
      <c r="AT36" s="255">
        <f>IF(AND(ISNUMBER(AT35),ISNUMBER(AO35)),IFERROR(AT35/AO35-1,""),"")</f>
      </c>
      <c r="AU36" s="255">
        <f>IF(AND(ISNUMBER(AU35),ISNUMBER(AP35)),IFERROR(AU35/AP35-1,""),"")</f>
      </c>
      <c r="AV36" s="255">
        <f>IF(AND(ISNUMBER(AV35),ISNUMBER(AQ35)),IFERROR(AV35/AQ35-1,""),"")</f>
      </c>
      <c r="AW36" s="255">
        <f>IF(AND(ISNUMBER(AW35),ISNUMBER(AR35)),IFERROR(AW35/AR35-1,""),"")</f>
      </c>
      <c r="AX36" s="255">
        <f>IF(AND(ISNUMBER(AX35),ISNUMBER(AS35)),IFERROR(AX35/AS35-1,""),"")</f>
      </c>
      <c r="AY36" s="255">
        <f>IF(AND(ISNUMBER(AY35),ISNUMBER(AT35)),IFERROR(AY35/AT35-1,""),"")</f>
      </c>
      <c r="AZ36" s="255">
        <f>IF(AND(ISNUMBER(AZ35),ISNUMBER(AU35)),IFERROR(AZ35/AU35-1,""),"")</f>
      </c>
      <c r="BA36" s="255">
        <f>IF(AND(ISNUMBER(BA35),ISNUMBER(AV35)),IFERROR(BA35/AV35-1,""),"")</f>
      </c>
      <c r="BB36" s="255">
        <f>IF(AND(ISNUMBER(BB35),ISNUMBER(AW35)),IFERROR(BB35/AW35-1,""),"")</f>
      </c>
      <c r="BC36" s="255">
        <f>IF(AND(ISNUMBER(BC35),ISNUMBER(AX35)),IFERROR(BC35/AX35-1,""),"")</f>
      </c>
      <c r="BD36" s="255">
        <f>IF(AND(ISNUMBER(BD35),ISNUMBER(AY35)),IFERROR(BD35/AY35-1,""),"")</f>
      </c>
      <c r="BE36" s="255">
        <f>IF(AND(ISNUMBER(BE35),ISNUMBER(AZ35)),IFERROR(BE35/AZ35-1,""),"")</f>
      </c>
      <c r="BF36" s="255">
        <f>IF(AND(ISNUMBER(BF35),ISNUMBER(BA35)),IFERROR(BF35/BA35-1,""),"")</f>
        <v>-0.0806919275123559</v>
      </c>
      <c r="BG36" s="255">
        <f>IF(AND(ISNUMBER(BG35),ISNUMBER(BB35)),IFERROR(BG35/BB35-1,""),"")</f>
        <v>-0.267299188240912</v>
      </c>
      <c r="BH36" s="255">
        <f>IF(AND(ISNUMBER(BH35),ISNUMBER(BC35)),IFERROR(BH35/BC35-1,""),"")</f>
        <v>-0.15880313536328</v>
      </c>
      <c r="BI36" s="255">
        <f>IF(AND(ISNUMBER(BI35),ISNUMBER(BD35)),IFERROR(BI35/BD35-1,""),"")</f>
        <v>0.1153293658937</v>
      </c>
      <c r="BJ36" s="255">
        <f>IF(AND(ISNUMBER(BJ35),ISNUMBER(BE35)),IFERROR(BJ35/BE35-1,""),"")</f>
        <v>-0.0821082957819311</v>
      </c>
      <c r="BK36" s="255">
        <f>IF(AND(ISNUMBER(BK35),ISNUMBER(BF35)),IFERROR(BK35/BF35-1,""),"")</f>
        <v>-0.0968424070821834</v>
      </c>
      <c r="BL36" s="255">
        <f>IF(AND(ISNUMBER(BL35),ISNUMBER(BG35)),IFERROR(BL35/BG35-1,""),"")</f>
        <v>-0.0597774755374212</v>
      </c>
      <c r="BM36" s="255">
        <f>IF(AND(ISNUMBER(BM35),ISNUMBER(BH35)),IFERROR(BM35/BH35-1,""),"")</f>
        <v>-0.0467252038347819</v>
      </c>
      <c r="BN36" s="255">
        <f>IF(AND(ISNUMBER(BN35),ISNUMBER(BI35)),IFERROR(BN35/BI35-1,""),"")</f>
        <v>-0.27344986200552</v>
      </c>
      <c r="BO36" s="255">
        <f>IF(AND(ISNUMBER(BO35),ISNUMBER(BJ35)),IFERROR(BO35/BJ35-1,""),"")</f>
        <v>-0.090016498330047</v>
      </c>
      <c r="BP36" s="255">
        <f>IF(AND(ISNUMBER(BP35),ISNUMBER(BK35)),IFERROR(BP35/BK35-1,""),"")</f>
        <v>-0.0912734632326679</v>
      </c>
      <c r="BQ36" s="255">
        <f>IF(AND(ISNUMBER(BQ35),ISNUMBER(BL35)),IFERROR(BQ35/BL35-1,""),"")</f>
        <v>-0.130702080424322</v>
      </c>
      <c r="BR36" s="255">
        <f>IF(AND(ISNUMBER(BR35),ISNUMBER(BM35)),IFERROR(BR35/BM35-1,""),"")</f>
        <v>-0.140843084731425</v>
      </c>
      <c r="BS36" s="255">
        <f>IF(AND(ISNUMBER(BS35),ISNUMBER(BN35)),IFERROR(BS35/BN35-1,""),"")</f>
        <v>-0.0949149108589951</v>
      </c>
      <c r="BT36" s="255">
        <f>IF(AND(ISNUMBER(BT35),ISNUMBER(BO35)),IFERROR(BT35/BO35-1,""),"")</f>
        <v>0.0697355620412132</v>
      </c>
      <c r="BU36" s="255">
        <f>IF(AND(ISNUMBER(BU35),ISNUMBER(BP35)),IFERROR(BU35/BP35-1,""),"")</f>
        <v>-0.0477313419799992</v>
      </c>
      <c r="BV36" s="255">
        <f>IF(AND(ISNUMBER(BV35),ISNUMBER(BQ35)),IFERROR(BV35/BQ35-1,""),"")</f>
        <v>-0.050695664232227</v>
      </c>
      <c r="BW36" s="255">
        <f>IF(AND(ISNUMBER(BW35),ISNUMBER(BR35)),IFERROR(BW35/BR35-1,""),"")</f>
        <v>0.0504321190241768</v>
      </c>
      <c r="BX36" s="255">
        <f>IF(AND(ISNUMBER(BX35),ISNUMBER(BS35)),IFERROR(BX35/BS35-1,""),"")</f>
        <v>-0.0222160044767769</v>
      </c>
      <c r="BY36" s="255">
        <f>IF(AND(ISNUMBER(BY35),ISNUMBER(BT35)),IFERROR(BY35/BT35-1,""),"")</f>
        <v>-0.242610888346906</v>
      </c>
      <c r="BZ36" s="256">
        <f>BZ37+$BZ$97</f>
        <v>-0.12131960228642</v>
      </c>
      <c r="CA36" s="256">
        <f>IF(AND(ISNUMBER(CA35),ISNUMBER(BV35)),IFERROR(CA35/BV35-1,""),"")</f>
        <v>-0.0972561473354232</v>
      </c>
      <c r="CB36" s="256">
        <f>CHOOSE(MATCH($CG$2,{"Bull","Base","Bear"},0),$CP$57,$CQ$57,$CR$57)</f>
        <v>-0.05</v>
      </c>
      <c r="CC36" s="256">
        <f>CHOOSE(MATCH($CG$2,{"Bull","Base","Bear"},0),$CP$58,$CQ$58,$CR$58)</f>
        <v>-0.03</v>
      </c>
      <c r="CD36" s="256">
        <f>CHOOSE(MATCH($CG$2,{"Bull","Base","Bear"},0),$CP$59,$CQ$59,$CR$59)</f>
        <v>0</v>
      </c>
      <c r="CE36" s="256">
        <f>CHOOSE(MATCH($CG$2,{"Bull","Base","Bear"},0),$CP$60,$CQ$60,$CR$60)</f>
        <v>0</v>
      </c>
      <c r="CF36" s="256">
        <f>CHOOSE(MATCH($CG$2,{"Bull","Base","Bear"},0),$CP$61,$CQ$61,$CR$61)</f>
        <v>0</v>
      </c>
      <c r="CG36" s="153" t="n"/>
      <c r="CO36" s="25" t="inlineStr">
        <is>
          <t xml:space="preserve">  2030E</t>
        </is>
      </c>
      <c r="CP36" s="33">
        <f>CQ36+$CP$32</f>
        <v>0.14</v>
      </c>
      <c r="CQ36" s="42" t="n">
        <v>0.09</v>
      </c>
      <c r="CR36" s="33">
        <f>CQ36+$CR$32</f>
        <v>-0.03</v>
      </c>
    </row>
    <row r="37" ht="15" customHeight="1" s="251">
      <c r="B37" s="25" t="inlineStr">
        <is>
          <t xml:space="preserve">    Q4/26E growth before revenue calibration (9M FY26 y/y)</t>
        </is>
      </c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  <c r="BA37" s="36" t="n"/>
      <c r="BB37" s="36" t="n"/>
      <c r="BC37" s="36" t="n"/>
      <c r="BD37" s="36" t="n"/>
      <c r="BE37" s="36" t="n"/>
      <c r="BF37" s="36" t="n"/>
      <c r="BG37" s="36" t="n"/>
      <c r="BH37" s="36" t="n"/>
      <c r="BI37" s="36" t="n"/>
      <c r="BJ37" s="36" t="n"/>
      <c r="BK37" s="36" t="n"/>
      <c r="BL37" s="36" t="n"/>
      <c r="BM37" s="36" t="n"/>
      <c r="BN37" s="36" t="n"/>
      <c r="BO37" s="36" t="n"/>
      <c r="BP37" s="36" t="n"/>
      <c r="BQ37" s="36" t="n"/>
      <c r="BR37" s="36" t="n"/>
      <c r="BS37" s="36" t="n"/>
      <c r="BT37" s="36" t="n"/>
      <c r="BU37" s="36" t="n"/>
      <c r="BV37" s="36" t="n"/>
      <c r="BW37" s="36" t="n"/>
      <c r="BX37" s="36" t="n"/>
      <c r="BY37" s="36" t="n"/>
      <c r="BZ37" s="256">
        <f>IFERROR(SUM(BW35:BY35)/SUM(BR35:BT35)-1,0)</f>
        <v>-0.0885603964005769</v>
      </c>
      <c r="CA37" s="24" t="n"/>
      <c r="CB37" s="46" t="n"/>
      <c r="CC37" s="46" t="n"/>
      <c r="CD37" s="46" t="n"/>
      <c r="CE37" s="46" t="n"/>
      <c r="CF37" s="46" t="n"/>
      <c r="CG37" s="19" t="n"/>
      <c r="CO37" s="25" t="inlineStr">
        <is>
          <t xml:space="preserve">  2031E</t>
        </is>
      </c>
      <c r="CP37" s="33">
        <f>CQ37+$CP$32</f>
        <v>0.13</v>
      </c>
      <c r="CQ37" s="42" t="n">
        <v>0.08</v>
      </c>
      <c r="CR37" s="33">
        <f>CQ37+$CR$32</f>
        <v>-0.04</v>
      </c>
    </row>
    <row r="38" ht="15" customHeight="1" s="251">
      <c r="B38" s="16" t="inlineStr">
        <is>
          <t xml:space="preserve">  Software — segment revenue</t>
        </is>
      </c>
      <c r="C38" s="259">
        <f>IF(AND(ISNUMBER(C29),ISNUMBER(C32),ISNUMBER(C35)),C29+C32+C35,C42)</f>
        <v>648.213</v>
      </c>
      <c r="D38" s="259">
        <f>IF(AND(ISNUMBER(D29),ISNUMBER(D32),ISNUMBER(D35)),D29+D32+D35,D42)</f>
        <v>641.792</v>
      </c>
      <c r="E38" s="259">
        <f>IF(AND(ISNUMBER(E29),ISNUMBER(E32),ISNUMBER(E35)),E29+E32+E35,E42)</f>
        <v>588.026</v>
      </c>
      <c r="F38" s="259">
        <f>IF(AND(ISNUMBER(F29),ISNUMBER(F32),ISNUMBER(F35)),F29+F32+F35,F42)</f>
        <v>499.114</v>
      </c>
      <c r="G38" s="259">
        <f>IF(AND(ISNUMBER(G29),ISNUMBER(G32),ISNUMBER(G35)),G29+G32+G35,G42)</f>
        <v>433.304</v>
      </c>
      <c r="H38" s="259">
        <f>IF(AND(ISNUMBER(H29),ISNUMBER(H32),ISNUMBER(H35)),H29+H32+H35,H42)</f>
        <v>451.116</v>
      </c>
      <c r="I38" s="259">
        <f>IF(AND(ISNUMBER(I29),ISNUMBER(I32),ISNUMBER(I35)),I29+I32+I35,I42)</f>
        <v>500.8</v>
      </c>
      <c r="J38" s="259">
        <f>IF(AND(ISNUMBER(J29),ISNUMBER(J32),ISNUMBER(J35)),J29+J32+J35,J42)</f>
        <v>146.573</v>
      </c>
      <c r="K38" s="259">
        <f>IF(AND(ISNUMBER(K29),ISNUMBER(K32),ISNUMBER(K35)),K29+K32+K35,K42)</f>
        <v>135.263</v>
      </c>
      <c r="L38" s="259">
        <f>IF(AND(ISNUMBER(L29),ISNUMBER(L32),ISNUMBER(L35)),L29+L32+L35,L42)</f>
        <v>136.62</v>
      </c>
      <c r="M38" s="259">
        <f>IF(AND(ISNUMBER(M29),ISNUMBER(M32),ISNUMBER(M35)),M29+M32+M35,M42)</f>
        <v>144.175</v>
      </c>
      <c r="N38" s="259">
        <f>IF(AND(ISNUMBER(N29),ISNUMBER(N32),ISNUMBER(N35)),N29+N32+N35,N42)</f>
        <v>562.631</v>
      </c>
      <c r="O38" s="259">
        <f>IF(AND(ISNUMBER(O29),ISNUMBER(O32),ISNUMBER(O35)),O29+O32+O35,O42)</f>
        <v>137.163</v>
      </c>
      <c r="P38" s="259">
        <f>IF(AND(ISNUMBER(P29),ISNUMBER(P32),ISNUMBER(P35)),P29+P32+P35,P42)</f>
        <v>137.604</v>
      </c>
      <c r="Q38" s="259">
        <f>IF(AND(ISNUMBER(Q29),ISNUMBER(Q32),ISNUMBER(Q35)),Q29+Q32+Q35,Q42)</f>
        <v>152.28</v>
      </c>
      <c r="R38" s="259">
        <f>IF(AND(ISNUMBER(R29),ISNUMBER(R32),ISNUMBER(R35)),R29+R32+R35,R42)</f>
        <v>175.469</v>
      </c>
      <c r="S38" s="259">
        <f>IF(AND(ISNUMBER(S29),ISNUMBER(S32),ISNUMBER(S35)),S29+S32+S35,S42)</f>
        <v>602.516</v>
      </c>
      <c r="T38" s="259">
        <f>IF(AND(ISNUMBER(T29),ISNUMBER(T32),ISNUMBER(T35)),T29+T32+T35,T42)</f>
        <v>145.609</v>
      </c>
      <c r="U38" s="259">
        <f>IF(AND(ISNUMBER(U29),ISNUMBER(U32),ISNUMBER(U35)),U29+U32+U35,U42)</f>
        <v>157.172</v>
      </c>
      <c r="V38" s="259">
        <f>IF(AND(ISNUMBER(V29),ISNUMBER(V32),ISNUMBER(V35)),V29+V32+V35,V42)</f>
        <v>153.612</v>
      </c>
      <c r="W38" s="259">
        <f>IF(AND(ISNUMBER(W29),ISNUMBER(W32),ISNUMBER(W35)),W29+W32+W35,W42)</f>
        <v>175.381</v>
      </c>
      <c r="X38" s="259">
        <f>IF(AND(ISNUMBER(X29),ISNUMBER(X32),ISNUMBER(X35)),X29+X32+X35,X42)</f>
        <v>631.774</v>
      </c>
      <c r="Y38" s="259">
        <f>IF(AND(ISNUMBER(Y29),ISNUMBER(Y32),ISNUMBER(Y35)),Y29+Y32+Y35,Y42)</f>
        <v>144.074</v>
      </c>
      <c r="Z38" s="259">
        <f>IF(AND(ISNUMBER(Z29),ISNUMBER(Z32),ISNUMBER(Z35)),Z29+Z32+Z35,Z42)</f>
        <v>145.562</v>
      </c>
      <c r="AA38" s="259">
        <f>IF(AND(ISNUMBER(AA29),ISNUMBER(AA32),ISNUMBER(AA35)),AA29+AA32+AA35,AA42)</f>
        <v>177.648</v>
      </c>
      <c r="AB38" s="259">
        <f>IF(AND(ISNUMBER(AB29),ISNUMBER(AB32),ISNUMBER(AB35)),AB29+AB32+AB35,AB42)</f>
        <v>173.013</v>
      </c>
      <c r="AC38" s="259">
        <f>IF(AND(ISNUMBER(AC29),ISNUMBER(AC32),ISNUMBER(AC35)),AC29+AC32+AC35,AC42)</f>
        <v>640.297</v>
      </c>
      <c r="AD38" s="259">
        <f>IF(AND(ISNUMBER(AD29),ISNUMBER(AD32),ISNUMBER(AD35)),AD29+AD32+AD35,AD42)</f>
        <v>160.218</v>
      </c>
      <c r="AE38" s="259">
        <f>IF(AND(ISNUMBER(AE29),ISNUMBER(AE32),ISNUMBER(AE35)),AE29+AE32+AE35,AE42)</f>
        <v>162.945</v>
      </c>
      <c r="AF38" s="259">
        <f>IF(AND(ISNUMBER(AF29),ISNUMBER(AF32),ISNUMBER(AF35)),AF29+AF32+AF35,AF42)</f>
        <v>161.472</v>
      </c>
      <c r="AG38" s="259">
        <f>IF(AND(ISNUMBER(AG29),ISNUMBER(AG32),ISNUMBER(AG35)),AG29+AG32+AG35,AG42)</f>
        <v>181.18</v>
      </c>
      <c r="AH38" s="259">
        <f>IF(AND(ISNUMBER(AH29),ISNUMBER(AH32),ISNUMBER(AH35)),AH29+AH32+AH35,AH42)</f>
        <v>665.815</v>
      </c>
      <c r="AI38" s="259">
        <f>IF(AND(ISNUMBER(AI29),ISNUMBER(AI32),ISNUMBER(AI35)),AI29+AI32+AI35,AI42)</f>
        <v>165.406</v>
      </c>
      <c r="AJ38" s="259">
        <f>IF(AND(ISNUMBER(AJ29),ISNUMBER(AJ32),ISNUMBER(AJ35)),AJ29+AJ32+AJ35,AJ42)</f>
        <v>169.948</v>
      </c>
      <c r="AK38" s="259">
        <f>IF(AND(ISNUMBER(AK29),ISNUMBER(AK32),ISNUMBER(AK35)),AK29+AK32+AK35,AK42)</f>
        <v>167.4</v>
      </c>
      <c r="AL38" s="259">
        <f>IF(AND(ISNUMBER(AL29),ISNUMBER(AL32),ISNUMBER(AL35)),AL29+AL32+AL35,AL42)</f>
        <v>187.073</v>
      </c>
      <c r="AM38" s="259">
        <f>IF(AND(ISNUMBER(AM29),ISNUMBER(AM32),ISNUMBER(AM35)),AM29+AM32+AM35,AM42)</f>
        <v>689.827</v>
      </c>
      <c r="AN38" s="259">
        <f>IF(AND(ISNUMBER(AN29),ISNUMBER(AN32),ISNUMBER(AN35)),AN29+AN32+AN35,AN42)</f>
        <v>176.573</v>
      </c>
      <c r="AO38" s="259">
        <f>IF(AND(ISNUMBER(AO29),ISNUMBER(AO32),ISNUMBER(AO35)),AO29+AO32+AO35,AO42)</f>
        <v>173.831</v>
      </c>
      <c r="AP38" s="259">
        <f>IF(AND(ISNUMBER(AP29),ISNUMBER(AP32),ISNUMBER(AP35)),AP29+AP32+AP35,AP42)</f>
        <v>199.103</v>
      </c>
      <c r="AQ38" s="259">
        <f>IF(AND(ISNUMBER(AQ29),ISNUMBER(AQ32),ISNUMBER(AQ35)),AQ29+AQ32+AQ35,AQ42)</f>
        <v>189.399</v>
      </c>
      <c r="AR38" s="259">
        <f>IF(AND(ISNUMBER(AR29),ISNUMBER(AR32),ISNUMBER(AR35)),AR29+AR32+AR35,AR42)</f>
        <v>738.906</v>
      </c>
      <c r="AS38" s="259">
        <f>IF(AND(ISNUMBER(AS29),ISNUMBER(AS32),ISNUMBER(AS35)),AS29+AS32+AS35,AS42)</f>
        <v>183.366</v>
      </c>
      <c r="AT38" s="259">
        <f>IF(AND(ISNUMBER(AT29),ISNUMBER(AT32),ISNUMBER(AT35)),AT29+AT32+AT35,AT42)</f>
        <v>178.823</v>
      </c>
      <c r="AU38" s="259">
        <f>IF(AND(ISNUMBER(AU29),ISNUMBER(AU32),ISNUMBER(AU35)),AU29+AU32+AU35,AU42)</f>
        <v>182.181</v>
      </c>
      <c r="AV38" s="259">
        <f>IF(AND(ISNUMBER(AV29),ISNUMBER(AV32),ISNUMBER(AV35)),AV29+AV32+AV35,AV42)</f>
        <v>221.645</v>
      </c>
      <c r="AW38" s="259">
        <f>IF(AND(ISNUMBER(AW29),ISNUMBER(AW32),ISNUMBER(AW35)),AW29+AW32+AW35,AW42)</f>
        <v>766.015</v>
      </c>
      <c r="AX38" s="259">
        <f>IF(AND(ISNUMBER(AX29),ISNUMBER(AX32),ISNUMBER(AX35)),AX29+AX32+AX35,AX42)</f>
        <v>167.763</v>
      </c>
      <c r="AY38" s="259">
        <f>IF(AND(ISNUMBER(AY29),ISNUMBER(AY32),ISNUMBER(AY35)),AY29+AY32+AY35,AY42)</f>
        <v>162.642</v>
      </c>
      <c r="AZ38" s="259">
        <f>IF(AND(ISNUMBER(AZ29),ISNUMBER(AZ32),ISNUMBER(AZ35)),AZ29+AZ32+AZ35,AZ42)</f>
        <v>165.982</v>
      </c>
      <c r="BA38" s="259">
        <f>IF(AND(ISNUMBER(BA29),ISNUMBER(BA32),ISNUMBER(BA35)),BA29+BA32+BA35,BA42)</f>
        <v>166.002</v>
      </c>
      <c r="BB38" s="259">
        <f>IF(AND(ISNUMBER(BB29),ISNUMBER(BB32),ISNUMBER(BB35)),BB29+BB32+BB35,BB42)</f>
        <v>662.389</v>
      </c>
      <c r="BC38" s="259">
        <f>IF(AND(ISNUMBER(BC29),ISNUMBER(BC32),ISNUMBER(BC35)),BC29+BC32+BC35,BC42)</f>
        <v>152.874</v>
      </c>
      <c r="BD38" s="259">
        <f>IF(AND(ISNUMBER(BD29),ISNUMBER(BD32),ISNUMBER(BD35)),BD29+BD32+BD35,BD42)</f>
        <v>173.453</v>
      </c>
      <c r="BE38" s="259">
        <f>IF(AND(ISNUMBER(BE29),ISNUMBER(BE32),ISNUMBER(BE35)),BE29+BE32+BE35,BE42)</f>
        <v>169.611</v>
      </c>
      <c r="BF38" s="259">
        <f>IF(AND(ISNUMBER(BF29),ISNUMBER(BF32),ISNUMBER(BF35)),BF29+BF32+BF35,BF42)</f>
        <v>174.689</v>
      </c>
      <c r="BG38" s="259">
        <f>IF(AND(ISNUMBER(BG29),ISNUMBER(BG32),ISNUMBER(BG35)),BG29+BG32+BG35,BG42)</f>
        <v>670.627</v>
      </c>
      <c r="BH38" s="259">
        <f>IF(AND(ISNUMBER(BH29),ISNUMBER(BH32),ISNUMBER(BH35)),BH29+BH32+BH35,BH42)</f>
        <v>166.882</v>
      </c>
      <c r="BI38" s="259">
        <f>IF(AND(ISNUMBER(BI29),ISNUMBER(BI32),ISNUMBER(BI35)),BI29+BI32+BI35,BI42)</f>
        <v>181.759</v>
      </c>
      <c r="BJ38" s="259">
        <f>IF(AND(ISNUMBER(BJ29),ISNUMBER(BJ32),ISNUMBER(BJ35)),BJ29+BJ32+BJ35,BJ42)</f>
        <v>196.91</v>
      </c>
      <c r="BK38" s="259">
        <f>IF(AND(ISNUMBER(BK29),ISNUMBER(BK32),ISNUMBER(BK35)),BK29+BK32+BK35,BK42)</f>
        <v>194.178</v>
      </c>
      <c r="BL38" s="259">
        <f>IF(AND(ISNUMBER(BL29),ISNUMBER(BL32),ISNUMBER(BL35)),BL29+BL32+BL35,BL42)</f>
        <v>739.729</v>
      </c>
      <c r="BM38" s="259">
        <f>IF(AND(ISNUMBER(BM29),ISNUMBER(BM32),ISNUMBER(BM35)),BM29+BM32+BM35,BM42)</f>
        <v>189.947</v>
      </c>
      <c r="BN38" s="259">
        <f>IF(AND(ISNUMBER(BN29),ISNUMBER(BN32),ISNUMBER(BN35)),BN29+BN32+BN35,BN42)</f>
        <v>196.924</v>
      </c>
      <c r="BO38" s="259">
        <f>IF(AND(ISNUMBER(BO29),ISNUMBER(BO32),ISNUMBER(BO35)),BO29+BO32+BO35,BO42)</f>
        <v>206.399</v>
      </c>
      <c r="BP38" s="259">
        <f>IF(AND(ISNUMBER(BP29),ISNUMBER(BP32),ISNUMBER(BP35)),BP29+BP32+BP35,BP42)</f>
        <v>204.606</v>
      </c>
      <c r="BQ38" s="259">
        <f>IF(AND(ISNUMBER(BQ29),ISNUMBER(BQ32),ISNUMBER(BQ35)),BQ29+BQ32+BQ35,BQ42)</f>
        <v>797.876</v>
      </c>
      <c r="BR38" s="259">
        <f>IF(AND(ISNUMBER(BR29),ISNUMBER(BR32),ISNUMBER(BR35)),BR29+BR32+BR35,BR42)</f>
        <v>204.293</v>
      </c>
      <c r="BS38" s="259">
        <f>IF(AND(ISNUMBER(BS29),ISNUMBER(BS32),ISNUMBER(BS35)),BS29+BS32+BS35,BS42)</f>
        <v>201.696</v>
      </c>
      <c r="BT38" s="259">
        <f>IF(AND(ISNUMBER(BT29),ISNUMBER(BT32),ISNUMBER(BT35)),BT29+BT32+BT35,BT42)</f>
        <v>212.106</v>
      </c>
      <c r="BU38" s="259">
        <f>IF(AND(ISNUMBER(BU29),ISNUMBER(BU32),ISNUMBER(BU35)),BU29+BU32+BU35,BU42)</f>
        <v>204.199</v>
      </c>
      <c r="BV38" s="259">
        <f>IF(AND(ISNUMBER(BV29),ISNUMBER(BV32),ISNUMBER(BV35)),BV29+BV32+BV35,BV42)</f>
        <v>822.294</v>
      </c>
      <c r="BW38" s="259">
        <f>IF(AND(ISNUMBER(BW29),ISNUMBER(BW32),ISNUMBER(BW35)),BW29+BW32+BW35,BW42)</f>
        <v>207.425</v>
      </c>
      <c r="BX38" s="259">
        <f>IF(AND(ISNUMBER(BX29),ISNUMBER(BX32),ISNUMBER(BX35)),BX29+BX32+BX35,BX42)</f>
        <v>216.704</v>
      </c>
      <c r="BY38" s="259">
        <f>IF(AND(ISNUMBER(BY29),ISNUMBER(BY32),ISNUMBER(BY35)),BY29+BY32+BY35,BY42)</f>
        <v>215.291</v>
      </c>
      <c r="BZ38" s="260">
        <f>BZ29+BZ32+BZ35</f>
        <v>210.64458679662</v>
      </c>
      <c r="CA38" s="260">
        <f>CA29+CA32+CA35</f>
        <v>850.06458679662</v>
      </c>
      <c r="CB38" s="260">
        <f>CB29+CB32+CB35</f>
        <v>892.137287008555</v>
      </c>
      <c r="CC38" s="260">
        <f>CC29+CC32+CC35</f>
        <v>971.823452438319</v>
      </c>
      <c r="CD38" s="260">
        <f>CD29+CD32+CD35</f>
        <v>1066.69174643397</v>
      </c>
      <c r="CE38" s="260">
        <f>CE29+CE32+CE35</f>
        <v>1171.37272895463</v>
      </c>
      <c r="CF38" s="260">
        <f>CF29+CF32+CF35</f>
        <v>1283.46626863214</v>
      </c>
      <c r="CG38" s="153" t="n"/>
      <c r="CI38" s="20">
        <f>IFERROR((CF38/CA38)^(1/5)-1,"n/m")</f>
        <v>0.0858916835425352</v>
      </c>
      <c r="CJ38" s="20">
        <f>IFERROR((BV38/AW38)^(1/5)-1,"n/m")</f>
        <v>0.0142802510713547</v>
      </c>
      <c r="CK38" s="20">
        <f>IFERROR((BV38/X38)^(1/10)-1,"n/m")</f>
        <v>0.0267070336231519</v>
      </c>
      <c r="CL38" s="20">
        <f>IFERROR((BV38/C38)^(1/19)-1,"n/m")</f>
        <v>0.0125986313269906</v>
      </c>
      <c r="CO38" s="15" t="inlineStr">
        <is>
          <t>SC_B2C (B2C scores revenue y/y)</t>
        </is>
      </c>
      <c r="CP38" s="41" t="n">
        <v>0.02</v>
      </c>
      <c r="CQ38" s="21" t="inlineStr">
        <is>
          <t>Δ →</t>
        </is>
      </c>
      <c r="CR38" s="41" t="n">
        <v>-0.04</v>
      </c>
      <c r="CS38" s="13" t="inlineStr">
        <is>
          <t>9M FY26 +5%, FY25 +6%, FY24 −2% (myFICO subscriptions; royalties on scores sold through the bureaus).</t>
        </is>
      </c>
    </row>
    <row r="39" ht="15" customHeight="1" s="251">
      <c r="B39" s="22" t="inlineStr">
        <is>
          <t xml:space="preserve">  Segment revenue y/y %</t>
        </is>
      </c>
      <c r="C39" s="23" t="n"/>
      <c r="D39" s="255">
        <f>IF(AND(ISNUMBER(D38),ISNUMBER(C38)),IFERROR(D38/C38-1,""),"")</f>
        <v>-0.00990569457878809</v>
      </c>
      <c r="E39" s="255">
        <f>IF(AND(ISNUMBER(E38),ISNUMBER(D38)),IFERROR(E38/D38-1,""),"")</f>
        <v>-0.0837748055444756</v>
      </c>
      <c r="F39" s="255">
        <f>IF(AND(ISNUMBER(F38),ISNUMBER(E38)),IFERROR(F38/E38-1,""),"")</f>
        <v>-0.15120419845381</v>
      </c>
      <c r="G39" s="255">
        <f>IF(AND(ISNUMBER(G38),ISNUMBER(F38)),IFERROR(G38/F38-1,""),"")</f>
        <v>-0.131853644658335</v>
      </c>
      <c r="H39" s="255">
        <f>IF(AND(ISNUMBER(H38),ISNUMBER(G38)),IFERROR(H38/G38-1,""),"")</f>
        <v>0.041107398039252</v>
      </c>
      <c r="I39" s="255">
        <f>IF(AND(ISNUMBER(I38),ISNUMBER(H38)),IFERROR(I38/H38-1,""),"")</f>
        <v>0.110135752223375</v>
      </c>
      <c r="J39" s="23" t="n"/>
      <c r="K39" s="23" t="n"/>
      <c r="L39" s="23" t="n"/>
      <c r="M39" s="23" t="n"/>
      <c r="N39" s="255">
        <f>IF(AND(ISNUMBER(N38),ISNUMBER(I38)),IFERROR(N38/I38-1,""),"")</f>
        <v>0.12346445686901</v>
      </c>
      <c r="O39" s="255">
        <f>IF(AND(ISNUMBER(O38),ISNUMBER(J38)),IFERROR(O38/J38-1,""),"")</f>
        <v>-0.0642000914220218</v>
      </c>
      <c r="P39" s="255">
        <f>IF(AND(ISNUMBER(P38),ISNUMBER(K38)),IFERROR(P38/K38-1,""),"")</f>
        <v>0.0173070240938025</v>
      </c>
      <c r="Q39" s="255">
        <f>IF(AND(ISNUMBER(Q38),ISNUMBER(L38)),IFERROR(Q38/L38-1,""),"")</f>
        <v>0.114624505928854</v>
      </c>
      <c r="R39" s="255">
        <f>IF(AND(ISNUMBER(R38),ISNUMBER(M38)),IFERROR(R38/M38-1,""),"")</f>
        <v>0.217055661522455</v>
      </c>
      <c r="S39" s="255">
        <f>IF(AND(ISNUMBER(S38),ISNUMBER(N38)),IFERROR(S38/N38-1,""),"")</f>
        <v>0.070890157136738</v>
      </c>
      <c r="T39" s="255">
        <f>IF(AND(ISNUMBER(T38),ISNUMBER(O38)),IFERROR(T38/O38-1,""),"")</f>
        <v>0.0615763726369356</v>
      </c>
      <c r="U39" s="255">
        <f>IF(AND(ISNUMBER(U38),ISNUMBER(P38)),IFERROR(U38/P38-1,""),"")</f>
        <v>0.142205168454405</v>
      </c>
      <c r="V39" s="255">
        <f>IF(AND(ISNUMBER(V38),ISNUMBER(Q38)),IFERROR(V38/Q38-1,""),"")</f>
        <v>0.00874704491725775</v>
      </c>
      <c r="W39" s="255">
        <f>IF(AND(ISNUMBER(W38),ISNUMBER(R38)),IFERROR(W38/R38-1,""),"")</f>
        <v>-0.000501513087781902</v>
      </c>
      <c r="X39" s="255">
        <f>IF(AND(ISNUMBER(X38),ISNUMBER(S38)),IFERROR(X38/S38-1,""),"")</f>
        <v>0.0485597062982561</v>
      </c>
      <c r="Y39" s="255">
        <f>IF(AND(ISNUMBER(Y38),ISNUMBER(T38)),IFERROR(Y38/T38-1,""),"")</f>
        <v>-0.0105419307872453</v>
      </c>
      <c r="Z39" s="255">
        <f>IF(AND(ISNUMBER(Z38),ISNUMBER(U38)),IFERROR(Z38/U38-1,""),"")</f>
        <v>-0.0738681190033848</v>
      </c>
      <c r="AA39" s="255">
        <f>IF(AND(ISNUMBER(AA38),ISNUMBER(V38)),IFERROR(AA38/V38-1,""),"")</f>
        <v>0.156472150613233</v>
      </c>
      <c r="AB39" s="255">
        <f>IF(AND(ISNUMBER(AB38),ISNUMBER(W38)),IFERROR(AB38/W38-1,""),"")</f>
        <v>-0.0135020327173411</v>
      </c>
      <c r="AC39" s="255">
        <f>IF(AND(ISNUMBER(AC38),ISNUMBER(X38)),IFERROR(AC38/X38-1,""),"")</f>
        <v>0.0134905836580803</v>
      </c>
      <c r="AD39" s="255">
        <f>IF(AND(ISNUMBER(AD38),ISNUMBER(Y38)),IFERROR(AD38/Y38-1,""),"")</f>
        <v>0.112053528048086</v>
      </c>
      <c r="AE39" s="255">
        <f>IF(AND(ISNUMBER(AE38),ISNUMBER(Z38)),IFERROR(AE38/Z38-1,""),"")</f>
        <v>0.119419903546255</v>
      </c>
      <c r="AF39" s="255">
        <f>IF(AND(ISNUMBER(AF38),ISNUMBER(AA38)),IFERROR(AF38/AA38-1,""),"")</f>
        <v>-0.0910564712239934</v>
      </c>
      <c r="AG39" s="255">
        <f>IF(AND(ISNUMBER(AG38),ISNUMBER(AB38)),IFERROR(AG38/AB38-1,""),"")</f>
        <v>0.0472045453231837</v>
      </c>
      <c r="AH39" s="255">
        <f>IF(AND(ISNUMBER(AH38),ISNUMBER(AC38)),IFERROR(AH38/AC38-1,""),"")</f>
        <v>0.039853380540593</v>
      </c>
      <c r="AI39" s="255">
        <f>IF(AND(ISNUMBER(AI38),ISNUMBER(AD38)),IFERROR(AI38/AD38-1,""),"")</f>
        <v>0.03238088104957</v>
      </c>
      <c r="AJ39" s="255">
        <f>IF(AND(ISNUMBER(AJ38),ISNUMBER(AE38)),IFERROR(AJ38/AE38-1,""),"")</f>
        <v>0.0429776918592164</v>
      </c>
      <c r="AK39" s="255">
        <f>IF(AND(ISNUMBER(AK38),ISNUMBER(AF38)),IFERROR(AK38/AF38-1,""),"")</f>
        <v>0.0367122473246135</v>
      </c>
      <c r="AL39" s="255">
        <f>IF(AND(ISNUMBER(AL38),ISNUMBER(AG38)),IFERROR(AL38/AG38-1,""),"")</f>
        <v>0.0325256650844463</v>
      </c>
      <c r="AM39" s="255">
        <f>IF(AND(ISNUMBER(AM38),ISNUMBER(AH38)),IFERROR(AM38/AH38-1,""),"")</f>
        <v>0.0360640718517906</v>
      </c>
      <c r="AN39" s="255">
        <f>IF(AND(ISNUMBER(AN38),ISNUMBER(AI38)),IFERROR(AN38/AI38-1,""),"")</f>
        <v>0.0675126658041425</v>
      </c>
      <c r="AO39" s="255">
        <f>IF(AND(ISNUMBER(AO38),ISNUMBER(AJ38)),IFERROR(AO38/AJ38-1,""),"")</f>
        <v>0.022848165321157</v>
      </c>
      <c r="AP39" s="255">
        <f>IF(AND(ISNUMBER(AP38),ISNUMBER(AK38)),IFERROR(AP38/AK38-1,""),"")</f>
        <v>0.189384707287933</v>
      </c>
      <c r="AQ39" s="255">
        <f>IF(AND(ISNUMBER(AQ38),ISNUMBER(AL38)),IFERROR(AQ38/AL38-1,""),"")</f>
        <v>0.0124336488964201</v>
      </c>
      <c r="AR39" s="255">
        <f>IF(AND(ISNUMBER(AR38),ISNUMBER(AM38)),IFERROR(AR38/AM38-1,""),"")</f>
        <v>0.071146823768858</v>
      </c>
      <c r="AS39" s="255">
        <f>IF(AND(ISNUMBER(AS38),ISNUMBER(AN38)),IFERROR(AS38/AN38-1,""),"")</f>
        <v>0.0384713404654167</v>
      </c>
      <c r="AT39" s="255">
        <f>IF(AND(ISNUMBER(AT38),ISNUMBER(AO38)),IFERROR(AT38/AO38-1,""),"")</f>
        <v>0.0287175475030346</v>
      </c>
      <c r="AU39" s="255">
        <f>IF(AND(ISNUMBER(AU38),ISNUMBER(AP38)),IFERROR(AU38/AP38-1,""),"")</f>
        <v>-0.0849911854668186</v>
      </c>
      <c r="AV39" s="255">
        <f>IF(AND(ISNUMBER(AV38),ISNUMBER(AQ38)),IFERROR(AV38/AQ38-1,""),"")</f>
        <v>0.170254330804281</v>
      </c>
      <c r="AW39" s="255">
        <f>IF(AND(ISNUMBER(AW38),ISNUMBER(AR38)),IFERROR(AW38/AR38-1,""),"")</f>
        <v>0.0366880225630866</v>
      </c>
      <c r="AX39" s="255">
        <f>IF(AND(ISNUMBER(AX38),ISNUMBER(AS38)),IFERROR(AX38/AS38-1,""),"")</f>
        <v>-0.0850921108602467</v>
      </c>
      <c r="AY39" s="255">
        <f>IF(AND(ISNUMBER(AY38),ISNUMBER(AT38)),IFERROR(AY38/AT38-1,""),"")</f>
        <v>-0.0904861231497067</v>
      </c>
      <c r="AZ39" s="255">
        <f>IF(AND(ISNUMBER(AZ38),ISNUMBER(AU38)),IFERROR(AZ38/AU38-1,""),"")</f>
        <v>-0.0889170659948074</v>
      </c>
      <c r="BA39" s="255">
        <f>IF(AND(ISNUMBER(BA38),ISNUMBER(AV38)),IFERROR(BA38/AV38-1,""),"")</f>
        <v>-0.251045590922421</v>
      </c>
      <c r="BB39" s="255">
        <f>IF(AND(ISNUMBER(BB38),ISNUMBER(AW38)),IFERROR(BB38/AW38-1,""),"")</f>
        <v>-0.135279335261059</v>
      </c>
      <c r="BC39" s="255">
        <f>IF(AND(ISNUMBER(BC38),ISNUMBER(AX38)),IFERROR(BC38/AX38-1,""),"")</f>
        <v>-0.0887502011766598</v>
      </c>
      <c r="BD39" s="255">
        <f>IF(AND(ISNUMBER(BD38),ISNUMBER(AY38)),IFERROR(BD38/AY38-1,""),"")</f>
        <v>0.0664711452146432</v>
      </c>
      <c r="BE39" s="255">
        <f>IF(AND(ISNUMBER(BE38),ISNUMBER(AZ38)),IFERROR(BE38/AZ38-1,""),"")</f>
        <v>0.0218638165584222</v>
      </c>
      <c r="BF39" s="255">
        <f>IF(AND(ISNUMBER(BF38),ISNUMBER(BA38)),IFERROR(BF38/BA38-1,""),"")</f>
        <v>0.0523306948109059</v>
      </c>
      <c r="BG39" s="255">
        <f>IF(AND(ISNUMBER(BG38),ISNUMBER(BB38)),IFERROR(BG38/BB38-1,""),"")</f>
        <v>0.0124368007318962</v>
      </c>
      <c r="BH39" s="255">
        <f>IF(AND(ISNUMBER(BH38),ISNUMBER(BC38)),IFERROR(BH38/BC38-1,""),"")</f>
        <v>0.0916310163925846</v>
      </c>
      <c r="BI39" s="255">
        <f>IF(AND(ISNUMBER(BI38),ISNUMBER(BD38)),IFERROR(BI38/BD38-1,""),"")</f>
        <v>0.0478861708935563</v>
      </c>
      <c r="BJ39" s="255">
        <f>IF(AND(ISNUMBER(BJ38),ISNUMBER(BE38)),IFERROR(BJ38/BE38-1,""),"")</f>
        <v>0.160950645889712</v>
      </c>
      <c r="BK39" s="255">
        <f>IF(AND(ISNUMBER(BK38),ISNUMBER(BF38)),IFERROR(BK38/BF38-1,""),"")</f>
        <v>0.111563979414846</v>
      </c>
      <c r="BL39" s="255">
        <f>IF(AND(ISNUMBER(BL38),ISNUMBER(BG38)),IFERROR(BL38/BG38-1,""),"")</f>
        <v>0.103040885618981</v>
      </c>
      <c r="BM39" s="255">
        <f>IF(AND(ISNUMBER(BM38),ISNUMBER(BH38)),IFERROR(BM38/BH38-1,""),"")</f>
        <v>0.138211430831366</v>
      </c>
      <c r="BN39" s="255">
        <f>IF(AND(ISNUMBER(BN38),ISNUMBER(BI38)),IFERROR(BN38/BI38-1,""),"")</f>
        <v>0.0834346579811729</v>
      </c>
      <c r="BO39" s="255">
        <f>IF(AND(ISNUMBER(BO38),ISNUMBER(BJ38)),IFERROR(BO38/BJ38-1,""),"")</f>
        <v>0.0481895282108578</v>
      </c>
      <c r="BP39" s="255">
        <f>IF(AND(ISNUMBER(BP38),ISNUMBER(BK38)),IFERROR(BP38/BK38-1,""),"")</f>
        <v>0.0537033031548373</v>
      </c>
      <c r="BQ39" s="255">
        <f>IF(AND(ISNUMBER(BQ38),ISNUMBER(BL38)),IFERROR(BQ38/BL38-1,""),"")</f>
        <v>0.0786058137507113</v>
      </c>
      <c r="BR39" s="255">
        <f>IF(AND(ISNUMBER(BR38),ISNUMBER(BM38)),IFERROR(BR38/BM38-1,""),"")</f>
        <v>0.0755263310291818</v>
      </c>
      <c r="BS39" s="255">
        <f>IF(AND(ISNUMBER(BS38),ISNUMBER(BN38)),IFERROR(BS38/BN38-1,""),"")</f>
        <v>0.0242326989092239</v>
      </c>
      <c r="BT39" s="255">
        <f>IF(AND(ISNUMBER(BT38),ISNUMBER(BO38)),IFERROR(BT38/BO38-1,""),"")</f>
        <v>0.0276503277632161</v>
      </c>
      <c r="BU39" s="255">
        <f>IF(AND(ISNUMBER(BU38),ISNUMBER(BP38)),IFERROR(BU38/BP38-1,""),"")</f>
        <v>-0.00198918897784028</v>
      </c>
      <c r="BV39" s="255">
        <f>IF(AND(ISNUMBER(BV38),ISNUMBER(BQ38)),IFERROR(BV38/BQ38-1,""),"")</f>
        <v>0.0306037529641197</v>
      </c>
      <c r="BW39" s="255">
        <f>IF(AND(ISNUMBER(BW38),ISNUMBER(BR38)),IFERROR(BW38/BR38-1,""),"")</f>
        <v>0.0153309217643287</v>
      </c>
      <c r="BX39" s="255">
        <f>IF(AND(ISNUMBER(BX38),ISNUMBER(BS38)),IFERROR(BX38/BS38-1,""),"")</f>
        <v>0.0744090115817866</v>
      </c>
      <c r="BY39" s="255">
        <f>IF(AND(ISNUMBER(BY38),ISNUMBER(BT38)),IFERROR(BY38/BT38-1,""),"")</f>
        <v>0.0150160768672267</v>
      </c>
      <c r="BZ39" s="256">
        <f>IF(AND(ISNUMBER(BZ38),ISNUMBER(BU38)),IFERROR(BZ38/BU38-1,""),"")</f>
        <v>0.031565222144182</v>
      </c>
      <c r="CA39" s="256">
        <f>IF(AND(ISNUMBER(CA38),ISNUMBER(BV38)),IFERROR(CA38/BV38-1,""),"")</f>
        <v>0.0337720897837268</v>
      </c>
      <c r="CB39" s="256">
        <f>IF(AND(ISNUMBER(CB38),ISNUMBER(CA38)),IFERROR(CB38/CA38-1,""),"")</f>
        <v>0.0494935336272286</v>
      </c>
      <c r="CC39" s="256">
        <f>IF(AND(ISNUMBER(CC38),ISNUMBER(CB38)),IFERROR(CC38/CB38-1,""),"")</f>
        <v>0.0893205189270385</v>
      </c>
      <c r="CD39" s="256">
        <f>IF(AND(ISNUMBER(CD38),ISNUMBER(CC38)),IFERROR(CD38/CC38-1,""),"")</f>
        <v>0.0976188563443532</v>
      </c>
      <c r="CE39" s="256">
        <f>IF(AND(ISNUMBER(CE38),ISNUMBER(CD38)),IFERROR(CE38/CD38-1,""),"")</f>
        <v>0.0981361137091545</v>
      </c>
      <c r="CF39" s="256">
        <f>IF(AND(ISNUMBER(CF38),ISNUMBER(CE38)),IFERROR(CF38/CE38-1,""),"")</f>
        <v>0.0956941688215256</v>
      </c>
      <c r="CG39" s="153" t="n"/>
      <c r="CO39" s="25" t="inlineStr">
        <is>
          <t xml:space="preserve">  2027E</t>
        </is>
      </c>
      <c r="CP39" s="33">
        <f>CQ39+$CP$38</f>
        <v>0.06</v>
      </c>
      <c r="CQ39" s="42" t="n">
        <v>0.04</v>
      </c>
      <c r="CR39" s="33">
        <f>CQ39+$CR$38</f>
        <v>0</v>
      </c>
    </row>
    <row r="40" ht="15" customHeight="1" s="251">
      <c r="B40" s="25" t="inlineStr">
        <is>
          <t xml:space="preserve">  % of total revenue</t>
        </is>
      </c>
      <c r="C40" s="215">
        <f>IF(AND(ISNUMBER(C38),ISNUMBER(C87)),IFERROR(C38/C87,""),"")</f>
        <v>0.785365262641377</v>
      </c>
      <c r="D40" s="215">
        <f>IF(AND(ISNUMBER(D38),ISNUMBER(D87)),IFERROR(D38/D87,""),"")</f>
        <v>0.780544758439183</v>
      </c>
      <c r="E40" s="215">
        <f>IF(AND(ISNUMBER(E38),ISNUMBER(E87)),IFERROR(E38/E87,""),"")</f>
        <v>0.789464074260044</v>
      </c>
      <c r="F40" s="215">
        <f>IF(AND(ISNUMBER(F38),ISNUMBER(F87)),IFERROR(F38/F87,""),"")</f>
        <v>0.791321236335386</v>
      </c>
      <c r="G40" s="215">
        <f>IF(AND(ISNUMBER(G38),ISNUMBER(G87)),IFERROR(G38/G87,""),"")</f>
        <v>0.715444577085841</v>
      </c>
      <c r="H40" s="215">
        <f>IF(AND(ISNUMBER(H38),ISNUMBER(H87)),IFERROR(H38/H87,""),"")</f>
        <v>0.727978660056836</v>
      </c>
      <c r="I40" s="215">
        <f>IF(AND(ISNUMBER(I38),ISNUMBER(I87)),IFERROR(I38/I87,""),"")</f>
        <v>0.740365126555425</v>
      </c>
      <c r="J40" s="215">
        <f>IF(AND(ISNUMBER(J38),ISNUMBER(J87)),IFERROR(J38/J87,""),"")</f>
        <v>0.771355646774024</v>
      </c>
      <c r="K40" s="215">
        <f>IF(AND(ISNUMBER(K38),ISNUMBER(K87)),IFERROR(K38/K87,""),"")</f>
        <v>0.754289697476649</v>
      </c>
      <c r="L40" s="215">
        <f>IF(AND(ISNUMBER(L38),ISNUMBER(L87)),IFERROR(L38/L87,""),"")</f>
        <v>0.743421195829615</v>
      </c>
      <c r="M40" s="215">
        <f>IF(AND(ISNUMBER(M38),ISNUMBER(M87)),IFERROR(M38/M87,""),"")</f>
        <v>0.757512071329869</v>
      </c>
      <c r="N40" s="215">
        <f>IF(AND(ISNUMBER(N38),ISNUMBER(N87)),IFERROR(N38/N87,""),"")</f>
        <v>0.75679002049919</v>
      </c>
      <c r="O40" s="215">
        <f>IF(AND(ISNUMBER(O38),ISNUMBER(O87)),IFERROR(O38/O87,""),"")</f>
        <v>0.744064054507087</v>
      </c>
      <c r="P40" s="215">
        <f>IF(AND(ISNUMBER(P38),ISNUMBER(P87)),IFERROR(P38/P87,""),"")</f>
        <v>0.741952529359114</v>
      </c>
      <c r="Q40" s="215">
        <f>IF(AND(ISNUMBER(Q38),ISNUMBER(Q87)),IFERROR(Q38/Q87,""),"")</f>
        <v>0.770608774859572</v>
      </c>
      <c r="R40" s="215">
        <f>IF(AND(ISNUMBER(R38),ISNUMBER(R87)),IFERROR(R38/R87,""),"")</f>
        <v>0.7919348287223</v>
      </c>
      <c r="S40" s="215">
        <f>IF(AND(ISNUMBER(S38),ISNUMBER(S87)),IFERROR(S38/S87,""),"")</f>
        <v>0.763659638649658</v>
      </c>
      <c r="T40" s="215">
        <f>IF(AND(ISNUMBER(T38),ISNUMBER(T87)),IFERROR(T38/T87,""),"")</f>
        <v>0.768182537589027</v>
      </c>
      <c r="U40" s="215">
        <f>IF(AND(ISNUMBER(U38),ISNUMBER(U87)),IFERROR(U38/U87,""),"")</f>
        <v>0.758885417823465</v>
      </c>
      <c r="V40" s="215">
        <f>IF(AND(ISNUMBER(V38),ISNUMBER(V87)),IFERROR(V38/V87,""),"")</f>
        <v>0.733700791914638</v>
      </c>
      <c r="W40" s="215">
        <f>IF(AND(ISNUMBER(W38),ISNUMBER(W87)),IFERROR(W38/W87,""),"")</f>
        <v>0.753497224561343</v>
      </c>
      <c r="X40" s="215">
        <f>IF(AND(ISNUMBER(X38),ISNUMBER(X87)),IFERROR(X38/X87,""),"")</f>
        <v>0.753204948609947</v>
      </c>
      <c r="Y40" s="215">
        <f>IF(AND(ISNUMBER(Y38),ISNUMBER(Y87)),IFERROR(Y38/Y87,""),"")</f>
        <v>0.720096363381915</v>
      </c>
      <c r="Z40" s="215">
        <f>IF(AND(ISNUMBER(Z38),ISNUMBER(Z87)),IFERROR(Z38/Z87,""),"")</f>
        <v>0.704293635510311</v>
      </c>
      <c r="AA40" s="215">
        <f>IF(AND(ISNUMBER(AA38),ISNUMBER(AA87)),IFERROR(AA38/AA87,""),"")</f>
        <v>0.743988139610852</v>
      </c>
      <c r="AB40" s="215">
        <f>IF(AND(ISNUMBER(AB38),ISNUMBER(AB87)),IFERROR(AB38/AB87,""),"")</f>
        <v>0.733653063301445</v>
      </c>
      <c r="AC40" s="215">
        <f>IF(AND(ISNUMBER(AC38),ISNUMBER(AC87)),IFERROR(AC38/AC87,""),"")</f>
        <v>0.726490771039172</v>
      </c>
      <c r="AD40" s="215">
        <f>IF(AND(ISNUMBER(AD38),ISNUMBER(AD87)),IFERROR(AD38/AD87,""),"")</f>
        <v>0.729590163934426</v>
      </c>
      <c r="AE40" s="215">
        <f>IF(AND(ISNUMBER(AE38),ISNUMBER(AE87)),IFERROR(AE38/AE87,""),"")</f>
        <v>0.713488164359089</v>
      </c>
      <c r="AF40" s="215">
        <f>IF(AND(ISNUMBER(AF38),ISNUMBER(AF87)),IFERROR(AF38/AF87,""),"")</f>
        <v>0.699055354004139</v>
      </c>
      <c r="AG40" s="215">
        <f>IF(AND(ISNUMBER(AG38),ISNUMBER(AG87)),IFERROR(AG38/AG87,""),"")</f>
        <v>0.715546691416046</v>
      </c>
      <c r="AH40" s="215">
        <f>IF(AND(ISNUMBER(AH38),ISNUMBER(AH87)),IFERROR(AH38/AH87,""),"")</f>
        <v>0.714264258948753</v>
      </c>
      <c r="AI40" s="215">
        <f>IF(AND(ISNUMBER(AI38),ISNUMBER(AI87)),IFERROR(AI38/AI87,""),"")</f>
        <v>0.70289519422406</v>
      </c>
      <c r="AJ40" s="215">
        <f>IF(AND(ISNUMBER(AJ38),ISNUMBER(AJ87)),IFERROR(AJ38/AJ87,""),"")</f>
        <v>0.659075925509389</v>
      </c>
      <c r="AK40" s="215">
        <f>IF(AND(ISNUMBER(AK38),ISNUMBER(AK87)),IFERROR(AK38/AK87,""),"")</f>
        <v>0.64507427602551</v>
      </c>
      <c r="AL40" s="215">
        <f>IF(AND(ISNUMBER(AL38),ISNUMBER(AL87)),IFERROR(AL38/AL87,""),"")</f>
        <v>0.668616931924186</v>
      </c>
      <c r="AM40" s="215">
        <f>IF(AND(ISNUMBER(AM38),ISNUMBER(AM87)),IFERROR(AM38/AM87,""),"")</f>
        <v>0.668129494660888</v>
      </c>
      <c r="AN40" s="215">
        <f>IF(AND(ISNUMBER(AN38),ISNUMBER(AN87)),IFERROR(AN38/AN87,""),"")</f>
        <v>0.67328488194741</v>
      </c>
      <c r="AO40" s="215">
        <f>IF(AND(ISNUMBER(AO38),ISNUMBER(AO87)),IFERROR(AO38/AO87,""),"")</f>
        <v>0.624765485167162</v>
      </c>
      <c r="AP40" s="215">
        <f>IF(AND(ISNUMBER(AP38),ISNUMBER(AP87)),IFERROR(AP38/AP87,""),"")</f>
        <v>0.633583559534</v>
      </c>
      <c r="AQ40" s="215">
        <f>IF(AND(ISNUMBER(AQ38),ISNUMBER(AQ87)),IFERROR(AQ38/AQ87,""),"")</f>
        <v>0.620280732550828</v>
      </c>
      <c r="AR40" s="215">
        <f>IF(AND(ISNUMBER(AR38),ISNUMBER(AR87)),IFERROR(AR38/AR87,""),"")</f>
        <v>0.636942356710684</v>
      </c>
      <c r="AS40" s="215">
        <f>IF(AND(ISNUMBER(AS38),ISNUMBER(AS87)),IFERROR(AS38/AS87,""),"")</f>
        <v>0.614283225685418</v>
      </c>
      <c r="AT40" s="215">
        <f>IF(AND(ISNUMBER(AT38),ISNUMBER(AT87)),IFERROR(AT38/AT87,""),"")</f>
        <v>0.580648827324651</v>
      </c>
      <c r="AU40" s="215">
        <f>IF(AND(ISNUMBER(AU38),ISNUMBER(AU87)),IFERROR(AU38/AU87,""),"")</f>
        <v>0.580691739101332</v>
      </c>
      <c r="AV40" s="215">
        <f>IF(AND(ISNUMBER(AV38),ISNUMBER(AV87)),IFERROR(AV38/AV87,""),"")</f>
        <v>0.592070115077627</v>
      </c>
      <c r="AW40" s="215">
        <f>IF(AND(ISNUMBER(AW38),ISNUMBER(AW87)),IFERROR(AW38/AW87,""),"")</f>
        <v>0.591717507543092</v>
      </c>
      <c r="AX40" s="215">
        <f>IF(AND(ISNUMBER(AX38),ISNUMBER(AX87)),IFERROR(AX38/AX87,""),"")</f>
        <v>0.536989379477232</v>
      </c>
      <c r="AY40" s="215">
        <f>IF(AND(ISNUMBER(AY38),ISNUMBER(AY87)),IFERROR(AY38/AY87,""),"")</f>
        <v>0.49083024254514</v>
      </c>
      <c r="AZ40" s="215">
        <f>IF(AND(ISNUMBER(AZ38),ISNUMBER(AZ87)),IFERROR(AZ38/AZ87,""),"")</f>
        <v>0.490803822771036</v>
      </c>
      <c r="BA40" s="215">
        <f>IF(AND(ISNUMBER(BA38),ISNUMBER(BA87)),IFERROR(BA38/BA87,""),"")</f>
        <v>0.496154846268572</v>
      </c>
      <c r="BB40" s="215">
        <f>IF(AND(ISNUMBER(BB38),ISNUMBER(BB87)),IFERROR(BB38/BB87,""),"")</f>
        <v>0.503130184058772</v>
      </c>
      <c r="BC40" s="215">
        <f>IF(AND(ISNUMBER(BC38),ISNUMBER(BC87)),IFERROR(BC38/BC87,""),"")</f>
        <v>0.474232304776322</v>
      </c>
      <c r="BD40" s="215">
        <f>IF(AND(ISNUMBER(BD38),ISNUMBER(BD87)),IFERROR(BD38/BD87,""),"")</f>
        <v>0.485597502764596</v>
      </c>
      <c r="BE40" s="215">
        <f>IF(AND(ISNUMBER(BE38),ISNUMBER(BE87)),IFERROR(BE38/BE87,""),"")</f>
        <v>0.486038754491842</v>
      </c>
      <c r="BF40" s="215">
        <f>IF(AND(ISNUMBER(BF38),ISNUMBER(BF87)),IFERROR(BF38/BF87,""),"")</f>
        <v>0.500903230986271</v>
      </c>
      <c r="BG40" s="215">
        <f>IF(AND(ISNUMBER(BG38),ISNUMBER(BG87)),IFERROR(BG38/BG87,""),"")</f>
        <v>0.48692485859708</v>
      </c>
      <c r="BH40" s="215">
        <f>IF(AND(ISNUMBER(BH38),ISNUMBER(BH87)),IFERROR(BH38/BH87,""),"")</f>
        <v>0.483898280511497</v>
      </c>
      <c r="BI40" s="215">
        <f>IF(AND(ISNUMBER(BI38),ISNUMBER(BI87)),IFERROR(BI38/BI87,""),"")</f>
        <v>0.477978572893711</v>
      </c>
      <c r="BJ40" s="215">
        <f>IF(AND(ISNUMBER(BJ38),ISNUMBER(BJ87)),IFERROR(BJ38/BJ87,""),"")</f>
        <v>0.493894975519705</v>
      </c>
      <c r="BK40" s="215">
        <f>IF(AND(ISNUMBER(BK38),ISNUMBER(BK87)),IFERROR(BK38/BK87,""),"")</f>
        <v>0.498233405947148</v>
      </c>
      <c r="BL40" s="215">
        <f>IF(AND(ISNUMBER(BL38),ISNUMBER(BL87)),IFERROR(BL38/BL87,""),"")</f>
        <v>0.488735475439643</v>
      </c>
      <c r="BM40" s="215">
        <f>IF(AND(ISNUMBER(BM38),ISNUMBER(BM87)),IFERROR(BM38/BM87,""),"")</f>
        <v>0.497166667975365</v>
      </c>
      <c r="BN40" s="215">
        <f>IF(AND(ISNUMBER(BN38),ISNUMBER(BN87)),IFERROR(BN38/BN87,""),"")</f>
        <v>0.453941711674954</v>
      </c>
      <c r="BO40" s="215">
        <f>IF(AND(ISNUMBER(BO38),ISNUMBER(BO87)),IFERROR(BO38/BO87,""),"")</f>
        <v>0.460867390571376</v>
      </c>
      <c r="BP40" s="215">
        <f>IF(AND(ISNUMBER(BP38),ISNUMBER(BP87)),IFERROR(BP38/BP87,""),"")</f>
        <v>0.450863689349484</v>
      </c>
      <c r="BQ40" s="215">
        <f>IF(AND(ISNUMBER(BQ38),ISNUMBER(BQ87)),IFERROR(BQ38/BQ87,""),"")</f>
        <v>0.46454959051566</v>
      </c>
      <c r="BR40" s="215">
        <f>IF(AND(ISNUMBER(BR38),ISNUMBER(BR87)),IFERROR(BR38/BR87,""),"")</f>
        <v>0.464336042621282</v>
      </c>
      <c r="BS40" s="215">
        <f>IF(AND(ISNUMBER(BS38),ISNUMBER(BS87)),IFERROR(BS38/BS87,""),"")</f>
        <v>0.404415170381064</v>
      </c>
      <c r="BT40" s="215">
        <f>IF(AND(ISNUMBER(BT38),ISNUMBER(BT87)),IFERROR(BT38/BT87,""),"")</f>
        <v>0.395413998489975</v>
      </c>
      <c r="BU40" s="215">
        <f>IF(AND(ISNUMBER(BU38),ISNUMBER(BU87)),IFERROR(BU38/BU87,""),"")</f>
        <v>0.395925553222388</v>
      </c>
      <c r="BV40" s="215">
        <f>IF(AND(ISNUMBER(BV38),ISNUMBER(BV87)),IFERROR(BV38/BV87,""),"")</f>
        <v>0.413032700795482</v>
      </c>
      <c r="BW40" s="215">
        <f>IF(AND(ISNUMBER(BW38),ISNUMBER(BW87)),IFERROR(BW38/BW87,""),"")</f>
        <v>0.40515939752988</v>
      </c>
      <c r="BX40" s="215">
        <f>IF(AND(ISNUMBER(BX38),ISNUMBER(BX87)),IFERROR(BX38/BX87,""),"")</f>
        <v>0.313302307290831</v>
      </c>
      <c r="BY40" s="215">
        <f>IF(AND(ISNUMBER(BY38),ISNUMBER(BY87)),IFERROR(BY38/BY87,""),"")</f>
        <v>0.319333776335384</v>
      </c>
      <c r="BZ40" s="256">
        <f>IF(AND(ISNUMBER(BZ38),ISNUMBER(BZ87)),IFERROR(BZ38/BZ87,""),"")</f>
        <v>0.322987332862019</v>
      </c>
      <c r="CA40" s="256">
        <f>IF(AND(ISNUMBER(CA38),ISNUMBER(CA87)),IFERROR(CA38/CA87,""),"")</f>
        <v>0.335993907824751</v>
      </c>
      <c r="CB40" s="256">
        <f>IF(AND(ISNUMBER(CB38),ISNUMBER(CB87)),IFERROR(CB38/CB87,""),"")</f>
        <v>0.318755098110566</v>
      </c>
      <c r="CC40" s="256">
        <f>IF(AND(ISNUMBER(CC38),ISNUMBER(CC87)),IFERROR(CC38/CC87,""),"")</f>
        <v>0.31468825136127</v>
      </c>
      <c r="CD40" s="256">
        <f>IF(AND(ISNUMBER(CD38),ISNUMBER(CD87)),IFERROR(CD38/CD87,""),"")</f>
        <v>0.315605794782183</v>
      </c>
      <c r="CE40" s="256">
        <f>IF(AND(ISNUMBER(CE38),ISNUMBER(CE87)),IFERROR(CE38/CE87,""),"")</f>
        <v>0.318550522742297</v>
      </c>
      <c r="CF40" s="256">
        <f>IF(AND(ISNUMBER(CF38),ISNUMBER(CF87)),IFERROR(CF38/CF87,""),"")</f>
        <v>0.322766040874802</v>
      </c>
      <c r="CG40" s="153" t="n"/>
      <c r="CO40" s="25" t="inlineStr">
        <is>
          <t xml:space="preserve">  2028E</t>
        </is>
      </c>
      <c r="CP40" s="33">
        <f>CQ40+$CP$38</f>
        <v>0.06</v>
      </c>
      <c r="CQ40" s="42" t="n">
        <v>0.04</v>
      </c>
      <c r="CR40" s="33">
        <f>CQ40+$CR$38</f>
        <v>0</v>
      </c>
    </row>
    <row r="41" ht="15" customHeight="1" s="251">
      <c r="B41" s="25" t="inlineStr">
        <is>
          <t xml:space="preserve">  Platform % of on-premises &amp; SaaS software revenue</t>
        </is>
      </c>
      <c r="C41" s="215">
        <f>IF(ISNUMBER(C29),IFERROR(C29/(C29+C32),""),"")</f>
      </c>
      <c r="D41" s="215">
        <f>IF(ISNUMBER(D29),IFERROR(D29/(D29+D32),""),"")</f>
      </c>
      <c r="E41" s="215">
        <f>IF(ISNUMBER(E29),IFERROR(E29/(E29+E32),""),"")</f>
      </c>
      <c r="F41" s="215">
        <f>IF(ISNUMBER(F29),IFERROR(F29/(F29+F32),""),"")</f>
      </c>
      <c r="G41" s="215">
        <f>IF(ISNUMBER(G29),IFERROR(G29/(G29+G32),""),"")</f>
      </c>
      <c r="H41" s="215">
        <f>IF(ISNUMBER(H29),IFERROR(H29/(H29+H32),""),"")</f>
      </c>
      <c r="I41" s="215">
        <f>IF(ISNUMBER(I29),IFERROR(I29/(I29+I32),""),"")</f>
      </c>
      <c r="J41" s="215">
        <f>IF(ISNUMBER(J29),IFERROR(J29/(J29+J32),""),"")</f>
      </c>
      <c r="K41" s="215">
        <f>IF(ISNUMBER(K29),IFERROR(K29/(K29+K32),""),"")</f>
      </c>
      <c r="L41" s="215">
        <f>IF(ISNUMBER(L29),IFERROR(L29/(L29+L32),""),"")</f>
      </c>
      <c r="M41" s="215">
        <f>IF(ISNUMBER(M29),IFERROR(M29/(M29+M32),""),"")</f>
      </c>
      <c r="N41" s="215">
        <f>IF(ISNUMBER(N29),IFERROR(N29/(N29+N32),""),"")</f>
      </c>
      <c r="O41" s="215">
        <f>IF(ISNUMBER(O29),IFERROR(O29/(O29+O32),""),"")</f>
      </c>
      <c r="P41" s="215">
        <f>IF(ISNUMBER(P29),IFERROR(P29/(P29+P32),""),"")</f>
      </c>
      <c r="Q41" s="215">
        <f>IF(ISNUMBER(Q29),IFERROR(Q29/(Q29+Q32),""),"")</f>
      </c>
      <c r="R41" s="215">
        <f>IF(ISNUMBER(R29),IFERROR(R29/(R29+R32),""),"")</f>
      </c>
      <c r="S41" s="215">
        <f>IF(ISNUMBER(S29),IFERROR(S29/(S29+S32),""),"")</f>
      </c>
      <c r="T41" s="215">
        <f>IF(ISNUMBER(T29),IFERROR(T29/(T29+T32),""),"")</f>
      </c>
      <c r="U41" s="215">
        <f>IF(ISNUMBER(U29),IFERROR(U29/(U29+U32),""),"")</f>
      </c>
      <c r="V41" s="215">
        <f>IF(ISNUMBER(V29),IFERROR(V29/(V29+V32),""),"")</f>
      </c>
      <c r="W41" s="215">
        <f>IF(ISNUMBER(W29),IFERROR(W29/(W29+W32),""),"")</f>
      </c>
      <c r="X41" s="215">
        <f>IF(ISNUMBER(X29),IFERROR(X29/(X29+X32),""),"")</f>
      </c>
      <c r="Y41" s="215">
        <f>IF(ISNUMBER(Y29),IFERROR(Y29/(Y29+Y32),""),"")</f>
      </c>
      <c r="Z41" s="215">
        <f>IF(ISNUMBER(Z29),IFERROR(Z29/(Z29+Z32),""),"")</f>
      </c>
      <c r="AA41" s="215">
        <f>IF(ISNUMBER(AA29),IFERROR(AA29/(AA29+AA32),""),"")</f>
      </c>
      <c r="AB41" s="215">
        <f>IF(ISNUMBER(AB29),IFERROR(AB29/(AB29+AB32),""),"")</f>
      </c>
      <c r="AC41" s="215">
        <f>IF(ISNUMBER(AC29),IFERROR(AC29/(AC29+AC32),""),"")</f>
      </c>
      <c r="AD41" s="215">
        <f>IF(ISNUMBER(AD29),IFERROR(AD29/(AD29+AD32),""),"")</f>
      </c>
      <c r="AE41" s="215">
        <f>IF(ISNUMBER(AE29),IFERROR(AE29/(AE29+AE32),""),"")</f>
      </c>
      <c r="AF41" s="215">
        <f>IF(ISNUMBER(AF29),IFERROR(AF29/(AF29+AF32),""),"")</f>
      </c>
      <c r="AG41" s="215">
        <f>IF(ISNUMBER(AG29),IFERROR(AG29/(AG29+AG32),""),"")</f>
      </c>
      <c r="AH41" s="215">
        <f>IF(ISNUMBER(AH29),IFERROR(AH29/(AH29+AH32),""),"")</f>
      </c>
      <c r="AI41" s="215">
        <f>IF(ISNUMBER(AI29),IFERROR(AI29/(AI29+AI32),""),"")</f>
      </c>
      <c r="AJ41" s="215">
        <f>IF(ISNUMBER(AJ29),IFERROR(AJ29/(AJ29+AJ32),""),"")</f>
      </c>
      <c r="AK41" s="215">
        <f>IF(ISNUMBER(AK29),IFERROR(AK29/(AK29+AK32),""),"")</f>
      </c>
      <c r="AL41" s="215">
        <f>IF(ISNUMBER(AL29),IFERROR(AL29/(AL29+AL32),""),"")</f>
      </c>
      <c r="AM41" s="215">
        <f>IF(ISNUMBER(AM29),IFERROR(AM29/(AM29+AM32),""),"")</f>
      </c>
      <c r="AN41" s="215">
        <f>IF(ISNUMBER(AN29),IFERROR(AN29/(AN29+AN32),""),"")</f>
      </c>
      <c r="AO41" s="215">
        <f>IF(ISNUMBER(AO29),IFERROR(AO29/(AO29+AO32),""),"")</f>
      </c>
      <c r="AP41" s="215">
        <f>IF(ISNUMBER(AP29),IFERROR(AP29/(AP29+AP32),""),"")</f>
      </c>
      <c r="AQ41" s="215">
        <f>IF(ISNUMBER(AQ29),IFERROR(AQ29/(AQ29+AQ32),""),"")</f>
      </c>
      <c r="AR41" s="215">
        <f>IF(ISNUMBER(AR29),IFERROR(AR29/(AR29+AR32),""),"")</f>
        <v>0.0703361773028253</v>
      </c>
      <c r="AS41" s="215">
        <f>IF(ISNUMBER(AS29),IFERROR(AS29/(AS29+AS32),""),"")</f>
      </c>
      <c r="AT41" s="215">
        <f>IF(ISNUMBER(AT29),IFERROR(AT29/(AT29+AT32),""),"")</f>
      </c>
      <c r="AU41" s="215">
        <f>IF(ISNUMBER(AU29),IFERROR(AU29/(AU29+AU32),""),"")</f>
      </c>
      <c r="AV41" s="215">
        <f>IF(ISNUMBER(AV29),IFERROR(AV29/(AV29+AV32),""),"")</f>
      </c>
      <c r="AW41" s="215">
        <f>IF(ISNUMBER(AW29),IFERROR(AW29/(AW29+AW32),""),"")</f>
        <v>0.112329277972411</v>
      </c>
      <c r="AX41" s="215">
        <f>IF(ISNUMBER(AX29),IFERROR(AX29/(AX29+AX32),""),"")</f>
        <v>0.111699814163141</v>
      </c>
      <c r="AY41" s="215">
        <f>IF(ISNUMBER(AY29),IFERROR(AY29/(AY29+AY32),""),"")</f>
        <v>0.121958407340443</v>
      </c>
      <c r="AZ41" s="215">
        <f>IF(ISNUMBER(AZ29),IFERROR(AZ29/(AZ29+AZ32),""),"")</f>
        <v>0.108868924211011</v>
      </c>
      <c r="BA41" s="215">
        <f>IF(ISNUMBER(BA29),IFERROR(BA29/(BA29+BA32),""),"")</f>
        <v>0.17153451478784</v>
      </c>
      <c r="BB41" s="215">
        <f>IF(ISNUMBER(BB29),IFERROR(BB29/(BB29+BB32),""),"")</f>
        <v>0.129147614928324</v>
      </c>
      <c r="BC41" s="215">
        <f>IF(ISNUMBER(BC29),IFERROR(BC29/(BC29+BC32),""),"")</f>
        <v>0.174705947537558</v>
      </c>
      <c r="BD41" s="215">
        <f>IF(ISNUMBER(BD29),IFERROR(BD29/(BD29+BD32),""),"")</f>
        <v>0.266969843314016</v>
      </c>
      <c r="BE41" s="215">
        <f>IF(ISNUMBER(BE29),IFERROR(BE29/(BE29+BE32),""),"")</f>
        <v>0.195079172425405</v>
      </c>
      <c r="BF41" s="215">
        <f>IF(ISNUMBER(BF29),IFERROR(BF29/(BF29+BF32),""),"")</f>
        <v>0.18102297190506</v>
      </c>
      <c r="BG41" s="215">
        <f>IF(ISNUMBER(BG29),IFERROR(BG29/(BG29+BG32),""),"")</f>
        <v>0.205846470391376</v>
      </c>
      <c r="BH41" s="215">
        <f>IF(ISNUMBER(BH29),IFERROR(BH29/(BH29+BH32),""),"")</f>
        <v>0.213254012174875</v>
      </c>
      <c r="BI41" s="215">
        <f>IF(ISNUMBER(BI29),IFERROR(BI29/(BI29+BI32),""),"")</f>
        <v>0.250232883092688</v>
      </c>
      <c r="BJ41" s="215">
        <f>IF(ISNUMBER(BJ29),IFERROR(BJ29/(BJ29+BJ32),""),"")</f>
        <v>0.234320785312015</v>
      </c>
      <c r="BK41" s="215">
        <f>IF(ISNUMBER(BK29),IFERROR(BK29/(BK29+BK32),""),"")</f>
        <v>0.265849602613343</v>
      </c>
      <c r="BL41" s="215">
        <f>IF(ISNUMBER(BL29),IFERROR(BL29/(BL29+BL32),""),"")</f>
        <v>0.241728133562018</v>
      </c>
      <c r="BM41" s="215">
        <f>IF(ISNUMBER(BM29),IFERROR(BM29/(BM29+BM32),""),"")</f>
        <v>0.267821993502028</v>
      </c>
      <c r="BN41" s="215">
        <f>IF(ISNUMBER(BN29),IFERROR(BN29/(BN29+BN32),""),"")</f>
        <v>0.267101252963088</v>
      </c>
      <c r="BO41" s="215">
        <f>IF(ISNUMBER(BO29),IFERROR(BO29/(BO29+BO32),""),"")</f>
        <v>0.281742253176266</v>
      </c>
      <c r="BP41" s="215">
        <f>IF(ISNUMBER(BP29),IFERROR(BP29/(BP29+BP32),""),"")</f>
        <v>0.306680535147243</v>
      </c>
      <c r="BQ41" s="215">
        <f>IF(ISNUMBER(BQ29),IFERROR(BQ29/(BQ29+BQ32),""),"")</f>
        <v>0.281165124975399</v>
      </c>
      <c r="BR41" s="215">
        <f>IF(ISNUMBER(BR29),IFERROR(BR29/(BR29+BR32),""),"")</f>
        <v>0.289348479391004</v>
      </c>
      <c r="BS41" s="215">
        <f>IF(ISNUMBER(BS29),IFERROR(BS29/(BS29+BS32),""),"")</f>
        <v>0.307160031769173</v>
      </c>
      <c r="BT41" s="215">
        <f>IF(ISNUMBER(BT29),IFERROR(BT29/(BT29+BT32),""),"")</f>
        <v>0.327163877284943</v>
      </c>
      <c r="BU41" s="215">
        <f>IF(ISNUMBER(BU29),IFERROR(BU29/(BU29+BU32),""),"")</f>
        <v>0.357968781696666</v>
      </c>
      <c r="BV41" s="215">
        <f>IF(ISNUMBER(BV29),IFERROR(BV29/(BV29+BV32),""),"")</f>
        <v>0.320283187753751</v>
      </c>
      <c r="BW41" s="215">
        <f>IF(ISNUMBER(BW29),IFERROR(BW29/(BW29+BW32),""),"")</f>
        <v>0.392395110003666</v>
      </c>
      <c r="BX41" s="215">
        <f>IF(ISNUMBER(BX29),IFERROR(BX29/(BX29+BX32),""),"")</f>
        <v>0.436493316803108</v>
      </c>
      <c r="BY41" s="215">
        <f>IF(ISNUMBER(BY29),IFERROR(BY29/(BY29+BY32),""),"")</f>
        <v>0.517061060369906</v>
      </c>
      <c r="BZ41" s="256">
        <f>IF(ISNUMBER(BZ29),IFERROR(BZ29/(BZ29+BZ32),""),"")</f>
        <v>0.510250568284288</v>
      </c>
      <c r="CA41" s="256">
        <f>IF(ISNUMBER(CA29),IFERROR(CA29/(CA29+CA32),""),"")</f>
        <v>0.464450961876692</v>
      </c>
      <c r="CB41" s="256">
        <f>IF(ISNUMBER(CB29),IFERROR(CB29/(CB29+CB32),""),"")</f>
        <v>0.570145966279728</v>
      </c>
      <c r="CC41" s="256">
        <f>IF(ISNUMBER(CC29),IFERROR(CC29/(CC29+CC32),""),"")</f>
        <v>0.648157657701655</v>
      </c>
      <c r="CD41" s="256">
        <f>IF(ISNUMBER(CD29),IFERROR(CD29/(CD29+CD32),""),"")</f>
        <v>0.703879983687065</v>
      </c>
      <c r="CE41" s="256">
        <f>IF(ISNUMBER(CE29),IFERROR(CE29/(CE29+CE32),""),"")</f>
        <v>0.745383445905351</v>
      </c>
      <c r="CF41" s="256">
        <f>IF(ISNUMBER(CF29),IFERROR(CF29/(CF29+CF32),""),"")</f>
        <v>0.778116538810787</v>
      </c>
      <c r="CG41" s="153" t="n"/>
      <c r="CI41" s="37">
        <f>IFERROR(AVERAGE(CB41,CC41,CD41,CE41,CF41),"n/m")</f>
        <v>0.689136718476917</v>
      </c>
      <c r="CJ41" s="37">
        <f>IFERROR(AVERAGE(BB41,BG41,BL41,BQ41,BV41),"n/m")</f>
        <v>0.235634106322174</v>
      </c>
      <c r="CK41" s="37">
        <f>IFERROR(AVERAGE(AC41,AH41,AM41,AR41,AW41,BB41,BG41,BL41,BQ41,BV41),"n/m")</f>
        <v>0.194405140983729</v>
      </c>
      <c r="CL41" s="37">
        <f>IFERROR(AVERAGE(C41,D41,E41,F41,G41,H41,I41,N41,S41,X41,AC41,AH41,AM41,AR41,AW41,BB41,BG41,BL41,BQ41,BV41),"n/m")</f>
        <v>0.194405140983729</v>
      </c>
      <c r="CO41" s="25" t="inlineStr">
        <is>
          <t xml:space="preserve">  2029E</t>
        </is>
      </c>
      <c r="CP41" s="33">
        <f>CQ41+$CP$38</f>
        <v>0.06</v>
      </c>
      <c r="CQ41" s="42" t="n">
        <v>0.04</v>
      </c>
      <c r="CR41" s="33">
        <f>CQ41+$CR$38</f>
        <v>0</v>
      </c>
    </row>
    <row r="42" ht="15" customHeight="1" s="251">
      <c r="B42" s="156" t="inlineStr">
        <is>
          <t xml:space="preserve">  Memo: Software segment revenue as reported (= consolidated revenue − Scores)</t>
        </is>
      </c>
      <c r="C42" s="253" t="n">
        <v>648.213</v>
      </c>
      <c r="D42" s="253" t="n">
        <v>641.792</v>
      </c>
      <c r="E42" s="253" t="n">
        <v>588.026</v>
      </c>
      <c r="F42" s="253" t="n">
        <v>499.114</v>
      </c>
      <c r="G42" s="253" t="n">
        <v>433.304</v>
      </c>
      <c r="H42" s="253" t="n">
        <v>451.116</v>
      </c>
      <c r="I42" s="253" t="n">
        <v>500.8</v>
      </c>
      <c r="J42" s="253" t="n">
        <v>146.573</v>
      </c>
      <c r="K42" s="253" t="n">
        <v>135.263</v>
      </c>
      <c r="L42" s="253" t="n">
        <v>136.62</v>
      </c>
      <c r="M42" s="253" t="n">
        <v>144.175</v>
      </c>
      <c r="N42" s="253" t="n">
        <v>562.631</v>
      </c>
      <c r="O42" s="253" t="n">
        <v>137.163</v>
      </c>
      <c r="P42" s="253" t="n">
        <v>137.604</v>
      </c>
      <c r="Q42" s="253" t="n">
        <v>152.28</v>
      </c>
      <c r="R42" s="253" t="n">
        <v>175.469</v>
      </c>
      <c r="S42" s="253" t="n">
        <v>602.516</v>
      </c>
      <c r="T42" s="253" t="n">
        <v>145.609</v>
      </c>
      <c r="U42" s="253" t="n">
        <v>157.172</v>
      </c>
      <c r="V42" s="253" t="n">
        <v>153.612</v>
      </c>
      <c r="W42" s="253" t="n">
        <v>175.381</v>
      </c>
      <c r="X42" s="253" t="n">
        <v>631.774</v>
      </c>
      <c r="Y42" s="253" t="n">
        <v>144.074</v>
      </c>
      <c r="Z42" s="253" t="n">
        <v>145.562</v>
      </c>
      <c r="AA42" s="253" t="n">
        <v>177.648</v>
      </c>
      <c r="AB42" s="253" t="n">
        <v>173.013</v>
      </c>
      <c r="AC42" s="253" t="n">
        <v>640.297</v>
      </c>
      <c r="AD42" s="253" t="n">
        <v>160.218</v>
      </c>
      <c r="AE42" s="253" t="n">
        <v>162.945</v>
      </c>
      <c r="AF42" s="253" t="n">
        <v>161.472</v>
      </c>
      <c r="AG42" s="253" t="n">
        <v>181.18</v>
      </c>
      <c r="AH42" s="253" t="n">
        <v>665.8150000000001</v>
      </c>
      <c r="AI42" s="253" t="n">
        <v>165.406</v>
      </c>
      <c r="AJ42" s="253" t="n">
        <v>169.948</v>
      </c>
      <c r="AK42" s="253" t="n">
        <v>167.4</v>
      </c>
      <c r="AL42" s="253" t="n">
        <v>187.073</v>
      </c>
      <c r="AM42" s="253" t="n">
        <v>689.827</v>
      </c>
      <c r="AN42" s="253" t="n">
        <v>176.573</v>
      </c>
      <c r="AO42" s="253" t="n">
        <v>173.831</v>
      </c>
      <c r="AP42" s="253" t="n">
        <v>199.103</v>
      </c>
      <c r="AQ42" s="253" t="n">
        <v>189.399</v>
      </c>
      <c r="AR42" s="253" t="n">
        <v>738.9059999999999</v>
      </c>
      <c r="AS42" s="253" t="n">
        <v>183.366</v>
      </c>
      <c r="AT42" s="253" t="n">
        <v>178.823</v>
      </c>
      <c r="AU42" s="253" t="n">
        <v>182.181</v>
      </c>
      <c r="AV42" s="253" t="n">
        <v>221.645</v>
      </c>
      <c r="AW42" s="253" t="n">
        <v>766.015</v>
      </c>
      <c r="AX42" s="253" t="n">
        <v>167.763</v>
      </c>
      <c r="AY42" s="253" t="n">
        <v>162.642</v>
      </c>
      <c r="AZ42" s="253" t="n">
        <v>165.982</v>
      </c>
      <c r="BA42" s="253" t="n">
        <v>166.002</v>
      </c>
      <c r="BB42" s="253" t="n">
        <v>662.389</v>
      </c>
      <c r="BC42" s="253" t="n">
        <v>152.874</v>
      </c>
      <c r="BD42" s="253" t="n">
        <v>173.453</v>
      </c>
      <c r="BE42" s="253" t="n">
        <v>169.611</v>
      </c>
      <c r="BF42" s="253" t="n">
        <v>174.689</v>
      </c>
      <c r="BG42" s="253" t="n">
        <v>670.627</v>
      </c>
      <c r="BH42" s="253" t="n">
        <v>166.882</v>
      </c>
      <c r="BI42" s="253" t="n">
        <v>181.759</v>
      </c>
      <c r="BJ42" s="253" t="n">
        <v>196.91</v>
      </c>
      <c r="BK42" s="253" t="n">
        <v>194.178</v>
      </c>
      <c r="BL42" s="253" t="n">
        <v>739.729</v>
      </c>
      <c r="BM42" s="253" t="n">
        <v>189.947</v>
      </c>
      <c r="BN42" s="253" t="n">
        <v>196.924</v>
      </c>
      <c r="BO42" s="253" t="n">
        <v>206.399</v>
      </c>
      <c r="BP42" s="253" t="n">
        <v>204.606</v>
      </c>
      <c r="BQ42" s="253" t="n">
        <v>797.876</v>
      </c>
      <c r="BR42" s="253" t="n">
        <v>204.293</v>
      </c>
      <c r="BS42" s="253" t="n">
        <v>201.696</v>
      </c>
      <c r="BT42" s="253" t="n">
        <v>212.106</v>
      </c>
      <c r="BU42" s="253" t="n">
        <v>204.199</v>
      </c>
      <c r="BV42" s="253" t="n">
        <v>822.294</v>
      </c>
      <c r="BW42" s="253" t="n">
        <v>207.425</v>
      </c>
      <c r="BX42" s="253" t="n">
        <v>216.704</v>
      </c>
      <c r="BY42" s="253" t="n">
        <v>215.291</v>
      </c>
      <c r="BZ42" s="153" t="n"/>
      <c r="CA42" s="153" t="n"/>
      <c r="CB42" s="153" t="n"/>
      <c r="CC42" s="153" t="n"/>
      <c r="CD42" s="153" t="n"/>
      <c r="CE42" s="153" t="n"/>
      <c r="CF42" s="153" t="n"/>
      <c r="CG42" s="153" t="n"/>
      <c r="CO42" s="25" t="inlineStr">
        <is>
          <t xml:space="preserve">  2030E</t>
        </is>
      </c>
      <c r="CP42" s="33">
        <f>CQ42+$CP$38</f>
        <v>0.05</v>
      </c>
      <c r="CQ42" s="42" t="n">
        <v>0.03</v>
      </c>
      <c r="CR42" s="33">
        <f>CQ42+$CR$38</f>
        <v>-0.01</v>
      </c>
    </row>
    <row r="43" ht="15" customHeight="1" s="251">
      <c r="B43" s="57" t="inlineStr">
        <is>
          <t xml:space="preserve">  Check: revenue streams vs segment revenue (should be 0)</t>
        </is>
      </c>
      <c r="C43" s="262">
        <f>IF(AND(ISNUMBER(C29),ISNUMBER(C32),ISNUMBER(C35),ISNUMBER(C42)),IF(ABS(C38-C42)&lt;=0.15,0,ROUND(C38-C42,1)),"")</f>
      </c>
      <c r="D43" s="262">
        <f>IF(AND(ISNUMBER(D29),ISNUMBER(D32),ISNUMBER(D35),ISNUMBER(D42)),IF(ABS(D38-D42)&lt;=0.15,0,ROUND(D38-D42,1)),"")</f>
      </c>
      <c r="E43" s="262">
        <f>IF(AND(ISNUMBER(E29),ISNUMBER(E32),ISNUMBER(E35),ISNUMBER(E42)),IF(ABS(E38-E42)&lt;=0.15,0,ROUND(E38-E42,1)),"")</f>
      </c>
      <c r="F43" s="262">
        <f>IF(AND(ISNUMBER(F29),ISNUMBER(F32),ISNUMBER(F35),ISNUMBER(F42)),IF(ABS(F38-F42)&lt;=0.15,0,ROUND(F38-F42,1)),"")</f>
      </c>
      <c r="G43" s="262">
        <f>IF(AND(ISNUMBER(G29),ISNUMBER(G32),ISNUMBER(G35),ISNUMBER(G42)),IF(ABS(G38-G42)&lt;=0.15,0,ROUND(G38-G42,1)),"")</f>
      </c>
      <c r="H43" s="262">
        <f>IF(AND(ISNUMBER(H29),ISNUMBER(H32),ISNUMBER(H35),ISNUMBER(H42)),IF(ABS(H38-H42)&lt;=0.15,0,ROUND(H38-H42,1)),"")</f>
      </c>
      <c r="I43" s="262">
        <f>IF(AND(ISNUMBER(I29),ISNUMBER(I32),ISNUMBER(I35),ISNUMBER(I42)),IF(ABS(I38-I42)&lt;=0.15,0,ROUND(I38-I42,1)),"")</f>
      </c>
      <c r="J43" s="262">
        <f>IF(AND(ISNUMBER(J29),ISNUMBER(J32),ISNUMBER(J35),ISNUMBER(J42)),IF(ABS(J38-J42)&lt;=0.15,0,ROUND(J38-J42,1)),"")</f>
      </c>
      <c r="K43" s="262">
        <f>IF(AND(ISNUMBER(K29),ISNUMBER(K32),ISNUMBER(K35),ISNUMBER(K42)),IF(ABS(K38-K42)&lt;=0.15,0,ROUND(K38-K42,1)),"")</f>
      </c>
      <c r="L43" s="262">
        <f>IF(AND(ISNUMBER(L29),ISNUMBER(L32),ISNUMBER(L35),ISNUMBER(L42)),IF(ABS(L38-L42)&lt;=0.15,0,ROUND(L38-L42,1)),"")</f>
      </c>
      <c r="M43" s="262">
        <f>IF(AND(ISNUMBER(M29),ISNUMBER(M32),ISNUMBER(M35),ISNUMBER(M42)),IF(ABS(M38-M42)&lt;=0.15,0,ROUND(M38-M42,1)),"")</f>
      </c>
      <c r="N43" s="262">
        <f>IF(AND(ISNUMBER(N29),ISNUMBER(N32),ISNUMBER(N35),ISNUMBER(N42)),IF(ABS(N38-N42)&lt;=0.15,0,ROUND(N38-N42,1)),"")</f>
      </c>
      <c r="O43" s="262">
        <f>IF(AND(ISNUMBER(O29),ISNUMBER(O32),ISNUMBER(O35),ISNUMBER(O42)),IF(ABS(O38-O42)&lt;=0.15,0,ROUND(O38-O42,1)),"")</f>
      </c>
      <c r="P43" s="262">
        <f>IF(AND(ISNUMBER(P29),ISNUMBER(P32),ISNUMBER(P35),ISNUMBER(P42)),IF(ABS(P38-P42)&lt;=0.15,0,ROUND(P38-P42,1)),"")</f>
      </c>
      <c r="Q43" s="262">
        <f>IF(AND(ISNUMBER(Q29),ISNUMBER(Q32),ISNUMBER(Q35),ISNUMBER(Q42)),IF(ABS(Q38-Q42)&lt;=0.15,0,ROUND(Q38-Q42,1)),"")</f>
      </c>
      <c r="R43" s="262">
        <f>IF(AND(ISNUMBER(R29),ISNUMBER(R32),ISNUMBER(R35),ISNUMBER(R42)),IF(ABS(R38-R42)&lt;=0.15,0,ROUND(R38-R42,1)),"")</f>
      </c>
      <c r="S43" s="262">
        <f>IF(AND(ISNUMBER(S29),ISNUMBER(S32),ISNUMBER(S35),ISNUMBER(S42)),IF(ABS(S38-S42)&lt;=0.15,0,ROUND(S38-S42,1)),"")</f>
      </c>
      <c r="T43" s="262">
        <f>IF(AND(ISNUMBER(T29),ISNUMBER(T32),ISNUMBER(T35),ISNUMBER(T42)),IF(ABS(T38-T42)&lt;=0.15,0,ROUND(T38-T42,1)),"")</f>
      </c>
      <c r="U43" s="262">
        <f>IF(AND(ISNUMBER(U29),ISNUMBER(U32),ISNUMBER(U35),ISNUMBER(U42)),IF(ABS(U38-U42)&lt;=0.15,0,ROUND(U38-U42,1)),"")</f>
      </c>
      <c r="V43" s="262">
        <f>IF(AND(ISNUMBER(V29),ISNUMBER(V32),ISNUMBER(V35),ISNUMBER(V42)),IF(ABS(V38-V42)&lt;=0.15,0,ROUND(V38-V42,1)),"")</f>
      </c>
      <c r="W43" s="262">
        <f>IF(AND(ISNUMBER(W29),ISNUMBER(W32),ISNUMBER(W35),ISNUMBER(W42)),IF(ABS(W38-W42)&lt;=0.15,0,ROUND(W38-W42,1)),"")</f>
      </c>
      <c r="X43" s="262">
        <f>IF(AND(ISNUMBER(X29),ISNUMBER(X32),ISNUMBER(X35),ISNUMBER(X42)),IF(ABS(X38-X42)&lt;=0.15,0,ROUND(X38-X42,1)),"")</f>
      </c>
      <c r="Y43" s="262">
        <f>IF(AND(ISNUMBER(Y29),ISNUMBER(Y32),ISNUMBER(Y35),ISNUMBER(Y42)),IF(ABS(Y38-Y42)&lt;=0.15,0,ROUND(Y38-Y42,1)),"")</f>
      </c>
      <c r="Z43" s="262">
        <f>IF(AND(ISNUMBER(Z29),ISNUMBER(Z32),ISNUMBER(Z35),ISNUMBER(Z42)),IF(ABS(Z38-Z42)&lt;=0.15,0,ROUND(Z38-Z42,1)),"")</f>
      </c>
      <c r="AA43" s="262">
        <f>IF(AND(ISNUMBER(AA29),ISNUMBER(AA32),ISNUMBER(AA35),ISNUMBER(AA42)),IF(ABS(AA38-AA42)&lt;=0.15,0,ROUND(AA38-AA42,1)),"")</f>
      </c>
      <c r="AB43" s="262">
        <f>IF(AND(ISNUMBER(AB29),ISNUMBER(AB32),ISNUMBER(AB35),ISNUMBER(AB42)),IF(ABS(AB38-AB42)&lt;=0.15,0,ROUND(AB38-AB42,1)),"")</f>
      </c>
      <c r="AC43" s="262">
        <f>IF(AND(ISNUMBER(AC29),ISNUMBER(AC32),ISNUMBER(AC35),ISNUMBER(AC42)),IF(ABS(AC38-AC42)&lt;=0.15,0,ROUND(AC38-AC42,1)),"")</f>
      </c>
      <c r="AD43" s="262">
        <f>IF(AND(ISNUMBER(AD29),ISNUMBER(AD32),ISNUMBER(AD35),ISNUMBER(AD42)),IF(ABS(AD38-AD42)&lt;=0.15,0,ROUND(AD38-AD42,1)),"")</f>
      </c>
      <c r="AE43" s="262">
        <f>IF(AND(ISNUMBER(AE29),ISNUMBER(AE32),ISNUMBER(AE35),ISNUMBER(AE42)),IF(ABS(AE38-AE42)&lt;=0.15,0,ROUND(AE38-AE42,1)),"")</f>
      </c>
      <c r="AF43" s="262">
        <f>IF(AND(ISNUMBER(AF29),ISNUMBER(AF32),ISNUMBER(AF35),ISNUMBER(AF42)),IF(ABS(AF38-AF42)&lt;=0.15,0,ROUND(AF38-AF42,1)),"")</f>
      </c>
      <c r="AG43" s="262">
        <f>IF(AND(ISNUMBER(AG29),ISNUMBER(AG32),ISNUMBER(AG35),ISNUMBER(AG42)),IF(ABS(AG38-AG42)&lt;=0.15,0,ROUND(AG38-AG42,1)),"")</f>
      </c>
      <c r="AH43" s="262">
        <f>IF(AND(ISNUMBER(AH29),ISNUMBER(AH32),ISNUMBER(AH35),ISNUMBER(AH42)),IF(ABS(AH38-AH42)&lt;=0.15,0,ROUND(AH38-AH42,1)),"")</f>
      </c>
      <c r="AI43" s="262">
        <f>IF(AND(ISNUMBER(AI29),ISNUMBER(AI32),ISNUMBER(AI35),ISNUMBER(AI42)),IF(ABS(AI38-AI42)&lt;=0.15,0,ROUND(AI38-AI42,1)),"")</f>
      </c>
      <c r="AJ43" s="262">
        <f>IF(AND(ISNUMBER(AJ29),ISNUMBER(AJ32),ISNUMBER(AJ35),ISNUMBER(AJ42)),IF(ABS(AJ38-AJ42)&lt;=0.15,0,ROUND(AJ38-AJ42,1)),"")</f>
      </c>
      <c r="AK43" s="262">
        <f>IF(AND(ISNUMBER(AK29),ISNUMBER(AK32),ISNUMBER(AK35),ISNUMBER(AK42)),IF(ABS(AK38-AK42)&lt;=0.15,0,ROUND(AK38-AK42,1)),"")</f>
      </c>
      <c r="AL43" s="262">
        <f>IF(AND(ISNUMBER(AL29),ISNUMBER(AL32),ISNUMBER(AL35),ISNUMBER(AL42)),IF(ABS(AL38-AL42)&lt;=0.15,0,ROUND(AL38-AL42,1)),"")</f>
      </c>
      <c r="AM43" s="262">
        <f>IF(AND(ISNUMBER(AM29),ISNUMBER(AM32),ISNUMBER(AM35),ISNUMBER(AM42)),IF(ABS(AM38-AM42)&lt;=0.15,0,ROUND(AM38-AM42,1)),"")</f>
      </c>
      <c r="AN43" s="262">
        <f>IF(AND(ISNUMBER(AN29),ISNUMBER(AN32),ISNUMBER(AN35),ISNUMBER(AN42)),IF(ABS(AN38-AN42)&lt;=0.15,0,ROUND(AN38-AN42,1)),"")</f>
      </c>
      <c r="AO43" s="262">
        <f>IF(AND(ISNUMBER(AO29),ISNUMBER(AO32),ISNUMBER(AO35),ISNUMBER(AO42)),IF(ABS(AO38-AO42)&lt;=0.15,0,ROUND(AO38-AO42,1)),"")</f>
      </c>
      <c r="AP43" s="262">
        <f>IF(AND(ISNUMBER(AP29),ISNUMBER(AP32),ISNUMBER(AP35),ISNUMBER(AP42)),IF(ABS(AP38-AP42)&lt;=0.15,0,ROUND(AP38-AP42,1)),"")</f>
      </c>
      <c r="AQ43" s="262">
        <f>IF(AND(ISNUMBER(AQ29),ISNUMBER(AQ32),ISNUMBER(AQ35),ISNUMBER(AQ42)),IF(ABS(AQ38-AQ42)&lt;=0.15,0,ROUND(AQ38-AQ42,1)),"")</f>
      </c>
      <c r="AR43" s="262">
        <f>IF(AND(ISNUMBER(AR29),ISNUMBER(AR32),ISNUMBER(AR35),ISNUMBER(AR42)),IF(ABS(AR38-AR42)&lt;=0.15,0,ROUND(AR38-AR42,1)),"")</f>
      </c>
      <c r="AS43" s="262">
        <f>IF(AND(ISNUMBER(AS29),ISNUMBER(AS32),ISNUMBER(AS35),ISNUMBER(AS42)),IF(ABS(AS38-AS42)&lt;=0.15,0,ROUND(AS38-AS42,1)),"")</f>
      </c>
      <c r="AT43" s="262">
        <f>IF(AND(ISNUMBER(AT29),ISNUMBER(AT32),ISNUMBER(AT35),ISNUMBER(AT42)),IF(ABS(AT38-AT42)&lt;=0.15,0,ROUND(AT38-AT42,1)),"")</f>
      </c>
      <c r="AU43" s="262">
        <f>IF(AND(ISNUMBER(AU29),ISNUMBER(AU32),ISNUMBER(AU35),ISNUMBER(AU42)),IF(ABS(AU38-AU42)&lt;=0.15,0,ROUND(AU38-AU42,1)),"")</f>
      </c>
      <c r="AV43" s="262">
        <f>IF(AND(ISNUMBER(AV29),ISNUMBER(AV32),ISNUMBER(AV35),ISNUMBER(AV42)),IF(ABS(AV38-AV42)&lt;=0.15,0,ROUND(AV38-AV42,1)),"")</f>
      </c>
      <c r="AW43" s="262">
        <f>IF(AND(ISNUMBER(AW29),ISNUMBER(AW32),ISNUMBER(AW35),ISNUMBER(AW42)),IF(ABS(AW38-AW42)&lt;=0.15,0,ROUND(AW38-AW42,1)),"")</f>
      </c>
      <c r="AX43" s="262">
        <f>IF(AND(ISNUMBER(AX29),ISNUMBER(AX32),ISNUMBER(AX35),ISNUMBER(AX42)),IF(ABS(AX38-AX42)&lt;=0.15,0,ROUND(AX38-AX42,1)),"")</f>
      </c>
      <c r="AY43" s="262">
        <f>IF(AND(ISNUMBER(AY29),ISNUMBER(AY32),ISNUMBER(AY35),ISNUMBER(AY42)),IF(ABS(AY38-AY42)&lt;=0.15,0,ROUND(AY38-AY42,1)),"")</f>
      </c>
      <c r="AZ43" s="262">
        <f>IF(AND(ISNUMBER(AZ29),ISNUMBER(AZ32),ISNUMBER(AZ35),ISNUMBER(AZ42)),IF(ABS(AZ38-AZ42)&lt;=0.15,0,ROUND(AZ38-AZ42,1)),"")</f>
      </c>
      <c r="BA43" s="262">
        <f>IF(AND(ISNUMBER(BA29),ISNUMBER(BA32),ISNUMBER(BA35),ISNUMBER(BA42)),IF(ABS(BA38-BA42)&lt;=0.15,0,ROUND(BA38-BA42,1)),"")</f>
        <v>0</v>
      </c>
      <c r="BB43" s="262">
        <f>IF(AND(ISNUMBER(BB29),ISNUMBER(BB32),ISNUMBER(BB35),ISNUMBER(BB42)),IF(ABS(BB38-BB42)&lt;=0.15,0,ROUND(BB38-BB42,1)),"")</f>
        <v>0</v>
      </c>
      <c r="BC43" s="262">
        <f>IF(AND(ISNUMBER(BC29),ISNUMBER(BC32),ISNUMBER(BC35),ISNUMBER(BC42)),IF(ABS(BC38-BC42)&lt;=0.15,0,ROUND(BC38-BC42,1)),"")</f>
        <v>0</v>
      </c>
      <c r="BD43" s="262">
        <f>IF(AND(ISNUMBER(BD29),ISNUMBER(BD32),ISNUMBER(BD35),ISNUMBER(BD42)),IF(ABS(BD38-BD42)&lt;=0.15,0,ROUND(BD38-BD42,1)),"")</f>
        <v>0</v>
      </c>
      <c r="BE43" s="262">
        <f>IF(AND(ISNUMBER(BE29),ISNUMBER(BE32),ISNUMBER(BE35),ISNUMBER(BE42)),IF(ABS(BE38-BE42)&lt;=0.15,0,ROUND(BE38-BE42,1)),"")</f>
        <v>0</v>
      </c>
      <c r="BF43" s="262">
        <f>IF(AND(ISNUMBER(BF29),ISNUMBER(BF32),ISNUMBER(BF35),ISNUMBER(BF42)),IF(ABS(BF38-BF42)&lt;=0.15,0,ROUND(BF38-BF42,1)),"")</f>
        <v>0</v>
      </c>
      <c r="BG43" s="262">
        <f>IF(AND(ISNUMBER(BG29),ISNUMBER(BG32),ISNUMBER(BG35),ISNUMBER(BG42)),IF(ABS(BG38-BG42)&lt;=0.15,0,ROUND(BG38-BG42,1)),"")</f>
        <v>0</v>
      </c>
      <c r="BH43" s="262">
        <f>IF(AND(ISNUMBER(BH29),ISNUMBER(BH32),ISNUMBER(BH35),ISNUMBER(BH42)),IF(ABS(BH38-BH42)&lt;=0.15,0,ROUND(BH38-BH42,1)),"")</f>
        <v>0</v>
      </c>
      <c r="BI43" s="262">
        <f>IF(AND(ISNUMBER(BI29),ISNUMBER(BI32),ISNUMBER(BI35),ISNUMBER(BI42)),IF(ABS(BI38-BI42)&lt;=0.15,0,ROUND(BI38-BI42,1)),"")</f>
        <v>0</v>
      </c>
      <c r="BJ43" s="262">
        <f>IF(AND(ISNUMBER(BJ29),ISNUMBER(BJ32),ISNUMBER(BJ35),ISNUMBER(BJ42)),IF(ABS(BJ38-BJ42)&lt;=0.15,0,ROUND(BJ38-BJ42,1)),"")</f>
        <v>0</v>
      </c>
      <c r="BK43" s="262">
        <f>IF(AND(ISNUMBER(BK29),ISNUMBER(BK32),ISNUMBER(BK35),ISNUMBER(BK42)),IF(ABS(BK38-BK42)&lt;=0.15,0,ROUND(BK38-BK42,1)),"")</f>
        <v>0</v>
      </c>
      <c r="BL43" s="262">
        <f>IF(AND(ISNUMBER(BL29),ISNUMBER(BL32),ISNUMBER(BL35),ISNUMBER(BL42)),IF(ABS(BL38-BL42)&lt;=0.15,0,ROUND(BL38-BL42,1)),"")</f>
        <v>0</v>
      </c>
      <c r="BM43" s="262">
        <f>IF(AND(ISNUMBER(BM29),ISNUMBER(BM32),ISNUMBER(BM35),ISNUMBER(BM42)),IF(ABS(BM38-BM42)&lt;=0.15,0,ROUND(BM38-BM42,1)),"")</f>
        <v>0</v>
      </c>
      <c r="BN43" s="262">
        <f>IF(AND(ISNUMBER(BN29),ISNUMBER(BN32),ISNUMBER(BN35),ISNUMBER(BN42)),IF(ABS(BN38-BN42)&lt;=0.15,0,ROUND(BN38-BN42,1)),"")</f>
        <v>0</v>
      </c>
      <c r="BO43" s="262">
        <f>IF(AND(ISNUMBER(BO29),ISNUMBER(BO32),ISNUMBER(BO35),ISNUMBER(BO42)),IF(ABS(BO38-BO42)&lt;=0.15,0,ROUND(BO38-BO42,1)),"")</f>
        <v>0</v>
      </c>
      <c r="BP43" s="262">
        <f>IF(AND(ISNUMBER(BP29),ISNUMBER(BP32),ISNUMBER(BP35),ISNUMBER(BP42)),IF(ABS(BP38-BP42)&lt;=0.15,0,ROUND(BP38-BP42,1)),"")</f>
        <v>0</v>
      </c>
      <c r="BQ43" s="262">
        <f>IF(AND(ISNUMBER(BQ29),ISNUMBER(BQ32),ISNUMBER(BQ35),ISNUMBER(BQ42)),IF(ABS(BQ38-BQ42)&lt;=0.15,0,ROUND(BQ38-BQ42,1)),"")</f>
        <v>0</v>
      </c>
      <c r="BR43" s="262">
        <f>IF(AND(ISNUMBER(BR29),ISNUMBER(BR32),ISNUMBER(BR35),ISNUMBER(BR42)),IF(ABS(BR38-BR42)&lt;=0.15,0,ROUND(BR38-BR42,1)),"")</f>
        <v>0</v>
      </c>
      <c r="BS43" s="262">
        <f>IF(AND(ISNUMBER(BS29),ISNUMBER(BS32),ISNUMBER(BS35),ISNUMBER(BS42)),IF(ABS(BS38-BS42)&lt;=0.15,0,ROUND(BS38-BS42,1)),"")</f>
        <v>0</v>
      </c>
      <c r="BT43" s="262">
        <f>IF(AND(ISNUMBER(BT29),ISNUMBER(BT32),ISNUMBER(BT35),ISNUMBER(BT42)),IF(ABS(BT38-BT42)&lt;=0.15,0,ROUND(BT38-BT42,1)),"")</f>
        <v>0</v>
      </c>
      <c r="BU43" s="262">
        <f>IF(AND(ISNUMBER(BU29),ISNUMBER(BU32),ISNUMBER(BU35),ISNUMBER(BU42)),IF(ABS(BU38-BU42)&lt;=0.15,0,ROUND(BU38-BU42,1)),"")</f>
        <v>0</v>
      </c>
      <c r="BV43" s="262">
        <f>IF(AND(ISNUMBER(BV29),ISNUMBER(BV32),ISNUMBER(BV35),ISNUMBER(BV42)),IF(ABS(BV38-BV42)&lt;=0.15,0,ROUND(BV38-BV42,1)),"")</f>
        <v>0</v>
      </c>
      <c r="BW43" s="262">
        <f>IF(AND(ISNUMBER(BW29),ISNUMBER(BW32),ISNUMBER(BW35),ISNUMBER(BW42)),IF(ABS(BW38-BW42)&lt;=0.15,0,ROUND(BW38-BW42,1)),"")</f>
        <v>0</v>
      </c>
      <c r="BX43" s="262">
        <f>IF(AND(ISNUMBER(BX29),ISNUMBER(BX32),ISNUMBER(BX35),ISNUMBER(BX42)),IF(ABS(BX38-BX42)&lt;=0.15,0,ROUND(BX38-BX42,1)),"")</f>
        <v>0</v>
      </c>
      <c r="BY43" s="262">
        <f>IF(AND(ISNUMBER(BY29),ISNUMBER(BY32),ISNUMBER(BY35),ISNUMBER(BY42)),IF(ABS(BY38-BY42)&lt;=0.15,0,ROUND(BY38-BY42,1)),"")</f>
        <v>0</v>
      </c>
      <c r="BZ43" s="153" t="n"/>
      <c r="CA43" s="153" t="n"/>
      <c r="CB43" s="153" t="n"/>
      <c r="CC43" s="153" t="n"/>
      <c r="CD43" s="153" t="n"/>
      <c r="CE43" s="153" t="n"/>
      <c r="CF43" s="153" t="n"/>
      <c r="CG43" s="153" t="n"/>
      <c r="CO43" s="25" t="inlineStr">
        <is>
          <t xml:space="preserve">  2031E</t>
        </is>
      </c>
      <c r="CP43" s="33">
        <f>CQ43+$CP$38</f>
        <v>0.05</v>
      </c>
      <c r="CQ43" s="42" t="n">
        <v>0.03</v>
      </c>
      <c r="CR43" s="33">
        <f>CQ43+$CR$38</f>
        <v>-0.01</v>
      </c>
    </row>
    <row r="44" ht="15" customHeight="1" s="251">
      <c r="B44" s="25" t="inlineStr">
        <is>
          <t xml:space="preserve">  Software segment operating income</t>
        </is>
      </c>
      <c r="C44" s="253" t="n">
        <v>102.057</v>
      </c>
      <c r="D44" s="253" t="n">
        <v>70.33199999999999</v>
      </c>
      <c r="E44" s="253" t="n">
        <v>69.715</v>
      </c>
      <c r="F44" s="253" t="n">
        <v>72.498</v>
      </c>
      <c r="G44" s="253" t="n">
        <v>101.687</v>
      </c>
      <c r="H44" s="253" t="n">
        <v>120.251</v>
      </c>
      <c r="I44" s="253" t="n">
        <v>150.425</v>
      </c>
      <c r="J44" s="253" t="n">
        <v>36.433</v>
      </c>
      <c r="K44" s="253" t="n">
        <v>33.54</v>
      </c>
      <c r="L44" s="253" t="n">
        <v>31.363</v>
      </c>
      <c r="M44" s="253" t="n">
        <v>45.062</v>
      </c>
      <c r="N44" s="253" t="n">
        <v>146.398</v>
      </c>
      <c r="O44" s="253" t="n">
        <v>34.13</v>
      </c>
      <c r="P44" s="253" t="n">
        <v>37.849</v>
      </c>
      <c r="Q44" s="253" t="n">
        <v>40.944</v>
      </c>
      <c r="R44" s="253" t="n">
        <v>60.774</v>
      </c>
      <c r="S44" s="253" t="n">
        <v>173.697</v>
      </c>
      <c r="T44" s="253" t="n">
        <v>27.176</v>
      </c>
      <c r="U44" s="253" t="n">
        <v>34.15</v>
      </c>
      <c r="V44" s="253" t="n">
        <v>34.83</v>
      </c>
      <c r="W44" s="253" t="n">
        <v>57.102</v>
      </c>
      <c r="X44" s="253" t="n">
        <v>153.258</v>
      </c>
      <c r="Y44" s="253" t="n">
        <v>31.343</v>
      </c>
      <c r="Z44" s="253" t="n">
        <v>30.487</v>
      </c>
      <c r="AA44" s="253" t="n">
        <v>54.64</v>
      </c>
      <c r="AB44" s="253" t="n">
        <v>48.141</v>
      </c>
      <c r="AC44" s="253" t="n">
        <v>164.611</v>
      </c>
      <c r="AD44" s="253" t="n">
        <v>31.336</v>
      </c>
      <c r="AE44" s="253" t="n">
        <v>32.339</v>
      </c>
      <c r="AF44" s="253" t="n">
        <v>34.803</v>
      </c>
      <c r="AG44" s="253" t="n">
        <v>50.204</v>
      </c>
      <c r="AH44" s="253" t="n">
        <v>148.682</v>
      </c>
      <c r="AI44" s="253" t="n">
        <v>30.934</v>
      </c>
      <c r="AJ44" s="253" t="n">
        <v>30.996</v>
      </c>
      <c r="AK44" s="253" t="n">
        <v>25.021</v>
      </c>
      <c r="AL44" s="253" t="n">
        <v>46.978</v>
      </c>
      <c r="AM44" s="253" t="n">
        <v>133.929</v>
      </c>
      <c r="AN44" s="253" t="n">
        <v>29.413</v>
      </c>
      <c r="AO44" s="253" t="n">
        <v>21.804</v>
      </c>
      <c r="AP44" s="253" t="n">
        <v>43.474</v>
      </c>
      <c r="AQ44" s="253" t="n">
        <v>31.355</v>
      </c>
      <c r="AR44" s="253" t="n">
        <v>126.046</v>
      </c>
      <c r="AS44" s="253" t="n">
        <v>16.711</v>
      </c>
      <c r="AT44" s="253" t="n">
        <v>20.013</v>
      </c>
      <c r="AU44" s="253" t="n">
        <v>27.281</v>
      </c>
      <c r="AV44" s="253" t="n">
        <v>66.06100000000001</v>
      </c>
      <c r="AW44" s="253" t="n">
        <v>130.066</v>
      </c>
      <c r="AX44" s="253" t="n">
        <v>20.684</v>
      </c>
      <c r="AY44" s="253" t="n">
        <v>17.2</v>
      </c>
      <c r="AZ44" s="253" t="n">
        <v>20.186</v>
      </c>
      <c r="BA44" s="253" t="n">
        <v>47.077</v>
      </c>
      <c r="BB44" s="253" t="n">
        <v>105.147</v>
      </c>
      <c r="BC44" s="253" t="n">
        <v>34.293</v>
      </c>
      <c r="BD44" s="253" t="n">
        <v>53.5</v>
      </c>
      <c r="BE44" s="253" t="n">
        <v>47.563</v>
      </c>
      <c r="BF44" s="253" t="n">
        <v>50.096</v>
      </c>
      <c r="BG44" s="253" t="n">
        <v>185.452</v>
      </c>
      <c r="BH44" s="253" t="n">
        <v>45.765</v>
      </c>
      <c r="BI44" s="253" t="n">
        <v>54.867</v>
      </c>
      <c r="BJ44" s="253" t="n">
        <v>75.649</v>
      </c>
      <c r="BK44" s="253" t="n">
        <v>64.91</v>
      </c>
      <c r="BL44" s="253" t="n">
        <v>241.191</v>
      </c>
      <c r="BM44" s="253" t="n">
        <v>55.122</v>
      </c>
      <c r="BN44" s="253" t="n">
        <v>64.16200000000001</v>
      </c>
      <c r="BO44" s="253" t="n">
        <v>70.34</v>
      </c>
      <c r="BP44" s="253" t="n">
        <v>67.905</v>
      </c>
      <c r="BQ44" s="253" t="n">
        <v>257.529</v>
      </c>
      <c r="BR44" s="253" t="n">
        <v>60.742</v>
      </c>
      <c r="BS44" s="253" t="n">
        <v>63.324</v>
      </c>
      <c r="BT44" s="253" t="n">
        <v>67.94199999999999</v>
      </c>
      <c r="BU44" s="253" t="n">
        <v>55.686</v>
      </c>
      <c r="BV44" s="253" t="n">
        <v>247.694</v>
      </c>
      <c r="BW44" s="253" t="n">
        <v>58.614</v>
      </c>
      <c r="BX44" s="253" t="n">
        <v>62.594</v>
      </c>
      <c r="BY44" s="253" t="n">
        <v>55.04</v>
      </c>
      <c r="BZ44" s="254">
        <f>BZ38*BZ45</f>
        <v>44.7296030090782</v>
      </c>
      <c r="CA44" s="254">
        <f>SUM(BW44:BZ44)</f>
        <v>220.977603009078</v>
      </c>
      <c r="CB44" s="254">
        <f>CB38*CB45</f>
        <v>240.87706749231</v>
      </c>
      <c r="CC44" s="254">
        <f>CC38*CC45</f>
        <v>281.828801207112</v>
      </c>
      <c r="CD44" s="254">
        <f>CD38*CD45</f>
        <v>330.67444139453</v>
      </c>
      <c r="CE44" s="254">
        <f>CE38*CE45</f>
        <v>374.839273265481</v>
      </c>
      <c r="CF44" s="254">
        <f>CF38*CF45</f>
        <v>423.543868648608</v>
      </c>
      <c r="CG44" s="19" t="n"/>
      <c r="CI44" s="20">
        <f>IFERROR((CF44/CA44)^(1/5)-1,"n/m")</f>
        <v>0.138964081020815</v>
      </c>
      <c r="CJ44" s="20">
        <f>IFERROR((BV44/AW44)^(1/5)-1,"n/m")</f>
        <v>0.137497210900224</v>
      </c>
      <c r="CK44" s="20">
        <f>IFERROR((BV44/X44)^(1/10)-1,"n/m")</f>
        <v>0.0491781398842937</v>
      </c>
      <c r="CL44" s="20">
        <f>IFERROR((BV44/C44)^(1/19)-1,"n/m")</f>
        <v>0.0477724708380205</v>
      </c>
      <c r="CO44" s="15" t="inlineStr">
        <is>
          <t>SW_PLAT (platform software revenue y/y)</t>
        </is>
      </c>
      <c r="CP44" s="41" t="n">
        <v>0.08</v>
      </c>
      <c r="CQ44" s="21" t="inlineStr">
        <is>
          <t>Δ →</t>
        </is>
      </c>
      <c r="CR44" s="41" t="n">
        <v>-0.12</v>
      </c>
      <c r="CS44" s="13" t="inlineStr">
        <is>
          <t>9M FY26 +53%; platform ARR +62% and net retention 148% at 30-Jun-2026 (Q3 FY26 release); FY25 +19%.</t>
        </is>
      </c>
    </row>
    <row r="45" ht="15" customHeight="1" s="251">
      <c r="B45" s="25" t="inlineStr">
        <is>
          <t xml:space="preserve">  Segment operating margin %</t>
        </is>
      </c>
      <c r="C45" s="215">
        <f>IF(AND(ISNUMBER(C44),ISNUMBER(C38)),IFERROR(C44/C38,""),"")</f>
        <v>0.157443618069986</v>
      </c>
      <c r="D45" s="215">
        <f>IF(AND(ISNUMBER(D44),ISNUMBER(D38)),IFERROR(D44/D38,""),"")</f>
        <v>0.109586906661348</v>
      </c>
      <c r="E45" s="215">
        <f>IF(AND(ISNUMBER(E44),ISNUMBER(E38)),IFERROR(E44/E38,""),"")</f>
        <v>0.118557682823549</v>
      </c>
      <c r="F45" s="215">
        <f>IF(AND(ISNUMBER(F44),ISNUMBER(F38)),IFERROR(F44/F38,""),"")</f>
        <v>0.145253389005317</v>
      </c>
      <c r="G45" s="215">
        <f>IF(AND(ISNUMBER(G44),ISNUMBER(G38)),IFERROR(G44/G38,""),"")</f>
        <v>0.234678193600798</v>
      </c>
      <c r="H45" s="215">
        <f>IF(AND(ISNUMBER(H44),ISNUMBER(H38)),IFERROR(H44/H38,""),"")</f>
        <v>0.266563367293556</v>
      </c>
      <c r="I45" s="215">
        <f>IF(AND(ISNUMBER(I44),ISNUMBER(I38)),IFERROR(I44/I38,""),"")</f>
        <v>0.300369408945687</v>
      </c>
      <c r="J45" s="215">
        <f>IF(AND(ISNUMBER(J44),ISNUMBER(J38)),IFERROR(J44/J38,""),"")</f>
        <v>0.24856556118794</v>
      </c>
      <c r="K45" s="215">
        <f>IF(AND(ISNUMBER(K44),ISNUMBER(K38)),IFERROR(K44/K38,""),"")</f>
        <v>0.247961378943244</v>
      </c>
      <c r="L45" s="215">
        <f>IF(AND(ISNUMBER(L44),ISNUMBER(L38)),IFERROR(L44/L38,""),"")</f>
        <v>0.229563753476797</v>
      </c>
      <c r="M45" s="215">
        <f>IF(AND(ISNUMBER(M44),ISNUMBER(M38)),IFERROR(M44/M38,""),"")</f>
        <v>0.312550719611583</v>
      </c>
      <c r="N45" s="215">
        <f>IF(AND(ISNUMBER(N44),ISNUMBER(N38)),IFERROR(N44/N38,""),"")</f>
        <v>0.26020251283701</v>
      </c>
      <c r="O45" s="215">
        <f>IF(AND(ISNUMBER(O44),ISNUMBER(O38)),IFERROR(O44/O38,""),"")</f>
        <v>0.248828036715441</v>
      </c>
      <c r="P45" s="215">
        <f>IF(AND(ISNUMBER(P44),ISNUMBER(P38)),IFERROR(P44/P38,""),"")</f>
        <v>0.27505741112177</v>
      </c>
      <c r="Q45" s="215">
        <f>IF(AND(ISNUMBER(Q44),ISNUMBER(Q38)),IFERROR(Q44/Q38,""),"")</f>
        <v>0.268873128447597</v>
      </c>
      <c r="R45" s="215">
        <f>IF(AND(ISNUMBER(R44),ISNUMBER(R38)),IFERROR(R44/R38,""),"")</f>
        <v>0.346351777237005</v>
      </c>
      <c r="S45" s="215">
        <f>IF(AND(ISNUMBER(S44),ISNUMBER(S38)),IFERROR(S44/S38,""),"")</f>
        <v>0.288286120202617</v>
      </c>
      <c r="T45" s="215">
        <f>IF(AND(ISNUMBER(T44),ISNUMBER(T38)),IFERROR(T44/T38,""),"")</f>
        <v>0.186636815032038</v>
      </c>
      <c r="U45" s="215">
        <f>IF(AND(ISNUMBER(U44),ISNUMBER(U38)),IFERROR(U44/U38,""),"")</f>
        <v>0.217277886646476</v>
      </c>
      <c r="V45" s="215">
        <f>IF(AND(ISNUMBER(V44),ISNUMBER(V38)),IFERROR(V44/V38,""),"")</f>
        <v>0.22674009842981</v>
      </c>
      <c r="W45" s="215">
        <f>IF(AND(ISNUMBER(W44),ISNUMBER(W38)),IFERROR(W44/W38,""),"")</f>
        <v>0.325588290635816</v>
      </c>
      <c r="X45" s="215">
        <f>IF(AND(ISNUMBER(X44),ISNUMBER(X38)),IFERROR(X44/X38,""),"")</f>
        <v>0.242583582103727</v>
      </c>
      <c r="Y45" s="215">
        <f>IF(AND(ISNUMBER(Y44),ISNUMBER(Y38)),IFERROR(Y44/Y38,""),"")</f>
        <v>0.21754792675986</v>
      </c>
      <c r="Z45" s="215">
        <f>IF(AND(ISNUMBER(Z44),ISNUMBER(Z38)),IFERROR(Z44/Z38,""),"")</f>
        <v>0.209443398689218</v>
      </c>
      <c r="AA45" s="215">
        <f>IF(AND(ISNUMBER(AA44),ISNUMBER(AA38)),IFERROR(AA44/AA38,""),"")</f>
        <v>0.307574529406467</v>
      </c>
      <c r="AB45" s="215">
        <f>IF(AND(ISNUMBER(AB44),ISNUMBER(AB38)),IFERROR(AB44/AB38,""),"")</f>
        <v>0.278250767283383</v>
      </c>
      <c r="AC45" s="215">
        <f>IF(AND(ISNUMBER(AC44),ISNUMBER(AC38)),IFERROR(AC44/AC38,""),"")</f>
        <v>0.257085383814074</v>
      </c>
      <c r="AD45" s="215">
        <f>IF(AND(ISNUMBER(AD44),ISNUMBER(AD38)),IFERROR(AD44/AD38,""),"")</f>
        <v>0.195583517457464</v>
      </c>
      <c r="AE45" s="215">
        <f>IF(AND(ISNUMBER(AE44),ISNUMBER(AE38)),IFERROR(AE44/AE38,""),"")</f>
        <v>0.198465739973611</v>
      </c>
      <c r="AF45" s="215">
        <f>IF(AND(ISNUMBER(AF44),ISNUMBER(AF38)),IFERROR(AF44/AF38,""),"")</f>
        <v>0.215535820451843</v>
      </c>
      <c r="AG45" s="215">
        <f>IF(AND(ISNUMBER(AG44),ISNUMBER(AG38)),IFERROR(AG44/AG38,""),"")</f>
        <v>0.277094602053207</v>
      </c>
      <c r="AH45" s="215">
        <f>IF(AND(ISNUMBER(AH44),ISNUMBER(AH38)),IFERROR(AH44/AH38,""),"")</f>
        <v>0.223308276323003</v>
      </c>
      <c r="AI45" s="215">
        <f>IF(AND(ISNUMBER(AI44),ISNUMBER(AI38)),IFERROR(AI44/AI38,""),"")</f>
        <v>0.187018608756635</v>
      </c>
      <c r="AJ45" s="215">
        <f>IF(AND(ISNUMBER(AJ44),ISNUMBER(AJ38)),IFERROR(AJ44/AJ38,""),"")</f>
        <v>0.182385200178878</v>
      </c>
      <c r="AK45" s="215">
        <f>IF(AND(ISNUMBER(AK44),ISNUMBER(AK38)),IFERROR(AK44/AK38,""),"")</f>
        <v>0.149468339307049</v>
      </c>
      <c r="AL45" s="215">
        <f>IF(AND(ISNUMBER(AL44),ISNUMBER(AL38)),IFERROR(AL44/AL38,""),"")</f>
        <v>0.25112122005848</v>
      </c>
      <c r="AM45" s="215">
        <f>IF(AND(ISNUMBER(AM44),ISNUMBER(AM38)),IFERROR(AM44/AM38,""),"")</f>
        <v>0.194148677856912</v>
      </c>
      <c r="AN45" s="215">
        <f>IF(AND(ISNUMBER(AN44),ISNUMBER(AN38)),IFERROR(AN44/AN38,""),"")</f>
        <v>0.166576996483041</v>
      </c>
      <c r="AO45" s="215">
        <f>IF(AND(ISNUMBER(AO44),ISNUMBER(AO38)),IFERROR(AO44/AO38,""),"")</f>
        <v>0.125432172627437</v>
      </c>
      <c r="AP45" s="215">
        <f>IF(AND(ISNUMBER(AP44),ISNUMBER(AP38)),IFERROR(AP44/AP38,""),"")</f>
        <v>0.21834929659523</v>
      </c>
      <c r="AQ45" s="215">
        <f>IF(AND(ISNUMBER(AQ44),ISNUMBER(AQ38)),IFERROR(AQ44/AQ38,""),"")</f>
        <v>0.165549976504628</v>
      </c>
      <c r="AR45" s="215">
        <f>IF(AND(ISNUMBER(AR44),ISNUMBER(AR38)),IFERROR(AR44/AR38,""),"")</f>
        <v>0.170584621047874</v>
      </c>
      <c r="AS45" s="215">
        <f>IF(AND(ISNUMBER(AS44),ISNUMBER(AS38)),IFERROR(AS44/AS38,""),"")</f>
        <v>0.0911346705496112</v>
      </c>
      <c r="AT45" s="215">
        <f>IF(AND(ISNUMBER(AT44),ISNUMBER(AT38)),IFERROR(AT44/AT38,""),"")</f>
        <v>0.111915133959278</v>
      </c>
      <c r="AU45" s="215">
        <f>IF(AND(ISNUMBER(AU44),ISNUMBER(AU38)),IFERROR(AU44/AU38,""),"")</f>
        <v>0.149746680499064</v>
      </c>
      <c r="AV45" s="215">
        <f>IF(AND(ISNUMBER(AV44),ISNUMBER(AV38)),IFERROR(AV44/AV38,""),"")</f>
        <v>0.298048681450067</v>
      </c>
      <c r="AW45" s="215">
        <f>IF(AND(ISNUMBER(AW44),ISNUMBER(AW38)),IFERROR(AW44/AW38,""),"")</f>
        <v>0.169795630633865</v>
      </c>
      <c r="AX45" s="215">
        <f>IF(AND(ISNUMBER(AX44),ISNUMBER(AX38)),IFERROR(AX44/AX38,""),"")</f>
        <v>0.123292978785549</v>
      </c>
      <c r="AY45" s="215">
        <f>IF(AND(ISNUMBER(AY44),ISNUMBER(AY38)),IFERROR(AY44/AY38,""),"")</f>
        <v>0.105753741346024</v>
      </c>
      <c r="AZ45" s="215">
        <f>IF(AND(ISNUMBER(AZ44),ISNUMBER(AZ38)),IFERROR(AZ44/AZ38,""),"")</f>
        <v>0.12161559687195</v>
      </c>
      <c r="BA45" s="215">
        <f>IF(AND(ISNUMBER(BA44),ISNUMBER(BA38)),IFERROR(BA44/BA38,""),"")</f>
        <v>0.283592968759413</v>
      </c>
      <c r="BB45" s="215">
        <f>IF(AND(ISNUMBER(BB44),ISNUMBER(BB38)),IFERROR(BB44/BB38,""),"")</f>
        <v>0.158739049108605</v>
      </c>
      <c r="BC45" s="215">
        <f>IF(AND(ISNUMBER(BC44),ISNUMBER(BC38)),IFERROR(BC44/BC38,""),"")</f>
        <v>0.224321990658974</v>
      </c>
      <c r="BD45" s="215">
        <f>IF(AND(ISNUMBER(BD44),ISNUMBER(BD38)),IFERROR(BD44/BD38,""),"")</f>
        <v>0.308440903299453</v>
      </c>
      <c r="BE45" s="215">
        <f>IF(AND(ISNUMBER(BE44),ISNUMBER(BE38)),IFERROR(BE44/BE38,""),"")</f>
        <v>0.280424029101886</v>
      </c>
      <c r="BF45" s="215">
        <f>IF(AND(ISNUMBER(BF44),ISNUMBER(BF38)),IFERROR(BF44/BF38,""),"")</f>
        <v>0.286772492830115</v>
      </c>
      <c r="BG45" s="215">
        <f>IF(AND(ISNUMBER(BG44),ISNUMBER(BG38)),IFERROR(BG44/BG38,""),"")</f>
        <v>0.276535242392567</v>
      </c>
      <c r="BH45" s="215">
        <f>IF(AND(ISNUMBER(BH44),ISNUMBER(BH38)),IFERROR(BH44/BH38,""),"")</f>
        <v>0.274235687491761</v>
      </c>
      <c r="BI45" s="215">
        <f>IF(AND(ISNUMBER(BI44),ISNUMBER(BI38)),IFERROR(BI44/BI38,""),"")</f>
        <v>0.301866757629608</v>
      </c>
      <c r="BJ45" s="215">
        <f>IF(AND(ISNUMBER(BJ44),ISNUMBER(BJ38)),IFERROR(BJ44/BJ38,""),"")</f>
        <v>0.384180590117313</v>
      </c>
      <c r="BK45" s="215">
        <f>IF(AND(ISNUMBER(BK44),ISNUMBER(BK38)),IFERROR(BK44/BK38,""),"")</f>
        <v>0.334280917508678</v>
      </c>
      <c r="BL45" s="215">
        <f>IF(AND(ISNUMBER(BL44),ISNUMBER(BL38)),IFERROR(BL44/BL38,""),"")</f>
        <v>0.326053189749219</v>
      </c>
      <c r="BM45" s="215">
        <f>IF(AND(ISNUMBER(BM44),ISNUMBER(BM38)),IFERROR(BM44/BM38,""),"")</f>
        <v>0.290196739090378</v>
      </c>
      <c r="BN45" s="215">
        <f>IF(AND(ISNUMBER(BN44),ISNUMBER(BN38)),IFERROR(BN44/BN38,""),"")</f>
        <v>0.325821128963458</v>
      </c>
      <c r="BO45" s="215">
        <f>IF(AND(ISNUMBER(BO44),ISNUMBER(BO38)),IFERROR(BO44/BO38,""),"")</f>
        <v>0.340796224787911</v>
      </c>
      <c r="BP45" s="215">
        <f>IF(AND(ISNUMBER(BP44),ISNUMBER(BP38)),IFERROR(BP44/BP38,""),"")</f>
        <v>0.331881762998153</v>
      </c>
      <c r="BQ45" s="215">
        <f>IF(AND(ISNUMBER(BQ44),ISNUMBER(BQ38)),IFERROR(BQ44/BQ38,""),"")</f>
        <v>0.322768199569858</v>
      </c>
      <c r="BR45" s="215">
        <f>IF(AND(ISNUMBER(BR44),ISNUMBER(BR38)),IFERROR(BR44/BR38,""),"")</f>
        <v>0.297327857537948</v>
      </c>
      <c r="BS45" s="215">
        <f>IF(AND(ISNUMBER(BS44),ISNUMBER(BS38)),IFERROR(BS44/BS38,""),"")</f>
        <v>0.313957639219419</v>
      </c>
      <c r="BT45" s="215">
        <f>IF(AND(ISNUMBER(BT44),ISNUMBER(BT38)),IFERROR(BT44/BT38,""),"")</f>
        <v>0.320320971589677</v>
      </c>
      <c r="BU45" s="215">
        <f>IF(AND(ISNUMBER(BU44),ISNUMBER(BU38)),IFERROR(BU44/BU38,""),"")</f>
        <v>0.272704567603171</v>
      </c>
      <c r="BV45" s="215">
        <f>IF(AND(ISNUMBER(BV44),ISNUMBER(BV38)),IFERROR(BV44/BV38,""),"")</f>
        <v>0.301223163491403</v>
      </c>
      <c r="BW45" s="215">
        <f>IF(AND(ISNUMBER(BW44),ISNUMBER(BW38)),IFERROR(BW44/BW38,""),"")</f>
        <v>0.282579245510425</v>
      </c>
      <c r="BX45" s="215">
        <f>IF(AND(ISNUMBER(BX44),ISNUMBER(BX38)),IFERROR(BX44/BX38,""),"")</f>
        <v>0.288845614294152</v>
      </c>
      <c r="BY45" s="215">
        <f>IF(AND(ISNUMBER(BY44),ISNUMBER(BY38)),IFERROR(BY44/BY38,""),"")</f>
        <v>0.255653975317129</v>
      </c>
      <c r="BZ45" s="256">
        <f>BZ46+$BZ$104</f>
        <v>0.212346320830287</v>
      </c>
      <c r="CA45" s="256">
        <f>IF(AND(ISNUMBER(CA44),ISNUMBER(CA38)),IFERROR(CA44/CA38,""),"")</f>
        <v>0.259953898140622</v>
      </c>
      <c r="CB45" s="256">
        <f>CHOOSE(MATCH($CG$2,{"Bull","Base","Bear"},0),$CP$69,$CQ$69,$CR$69)</f>
        <v>0.27</v>
      </c>
      <c r="CC45" s="256">
        <f>CHOOSE(MATCH($CG$2,{"Bull","Base","Bear"},0),$CP$70,$CQ$70,$CR$70)</f>
        <v>0.29</v>
      </c>
      <c r="CD45" s="256">
        <f>CHOOSE(MATCH($CG$2,{"Bull","Base","Bear"},0),$CP$71,$CQ$71,$CR$71)</f>
        <v>0.31</v>
      </c>
      <c r="CE45" s="256">
        <f>CHOOSE(MATCH($CG$2,{"Bull","Base","Bear"},0),$CP$72,$CQ$72,$CR$72)</f>
        <v>0.32</v>
      </c>
      <c r="CF45" s="256">
        <f>CHOOSE(MATCH($CG$2,{"Bull","Base","Bear"},0),$CP$73,$CQ$73,$CR$73)</f>
        <v>0.33</v>
      </c>
      <c r="CG45" s="153" t="n"/>
      <c r="CI45" s="37">
        <f>IFERROR(AVERAGE(CB45,CC45,CD45,CE45,CF45),"n/m")</f>
        <v>0.304</v>
      </c>
      <c r="CJ45" s="37">
        <f>IFERROR(AVERAGE(BB45,BG45,BL45,BQ45,BV45),"n/m")</f>
        <v>0.277063768862331</v>
      </c>
      <c r="CK45" s="37">
        <f>IFERROR(AVERAGE(AC45,AH45,AM45,AR45,AW45,BB45,BG45,BL45,BQ45,BV45),"n/m")</f>
        <v>0.240024143398738</v>
      </c>
      <c r="CL45" s="37">
        <f>IFERROR(AVERAGE(C45,D45,E45,F45,G45,H45,I45,N45,S45,X45,AC45,AH45,AM45,AR45,AW45,BB45,BG45,BL45,BQ45,BV45),"n/m")</f>
        <v>0.226188310776549</v>
      </c>
      <c r="CO45" s="25" t="inlineStr">
        <is>
          <t xml:space="preserve">  2027E</t>
        </is>
      </c>
      <c r="CP45" s="33">
        <f>CQ45+$CP$44</f>
        <v>0.38</v>
      </c>
      <c r="CQ45" s="42" t="n">
        <v>0.3</v>
      </c>
      <c r="CR45" s="33">
        <f>CQ45+$CR$44</f>
        <v>0.18</v>
      </c>
    </row>
    <row r="46" ht="15" customHeight="1" s="251">
      <c r="B46" s="25" t="inlineStr">
        <is>
          <t xml:space="preserve">  Q4/26E margin before EPS calibration (prior-year quarter + 9M FY26 y/y drift)</t>
        </is>
      </c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  <c r="BA46" s="36" t="n"/>
      <c r="BB46" s="36" t="n"/>
      <c r="BC46" s="36" t="n"/>
      <c r="BD46" s="36" t="n"/>
      <c r="BE46" s="36" t="n"/>
      <c r="BF46" s="36" t="n"/>
      <c r="BG46" s="36" t="n"/>
      <c r="BH46" s="36" t="n"/>
      <c r="BI46" s="36" t="n"/>
      <c r="BJ46" s="36" t="n"/>
      <c r="BK46" s="36" t="n"/>
      <c r="BL46" s="36" t="n"/>
      <c r="BM46" s="36" t="n"/>
      <c r="BN46" s="36" t="n"/>
      <c r="BO46" s="36" t="n"/>
      <c r="BP46" s="36" t="n"/>
      <c r="BQ46" s="36" t="n"/>
      <c r="BR46" s="36" t="n"/>
      <c r="BS46" s="36" t="n"/>
      <c r="BT46" s="36" t="n"/>
      <c r="BU46" s="36" t="n"/>
      <c r="BV46" s="36" t="n"/>
      <c r="BW46" s="36" t="n"/>
      <c r="BX46" s="36" t="n"/>
      <c r="BY46" s="36" t="n"/>
      <c r="BZ46" s="256">
        <f>BU45+IFERROR(SUM(BW44:BY44)/SUM(BW38:BY38)-SUM(BR44:BT44)/SUM(BR38:BT38),0)</f>
        <v>0.237697060110646</v>
      </c>
      <c r="CA46" s="24" t="n"/>
      <c r="CB46" s="46" t="n"/>
      <c r="CC46" s="46" t="n"/>
      <c r="CD46" s="46" t="n"/>
      <c r="CE46" s="46" t="n"/>
      <c r="CF46" s="46" t="n"/>
      <c r="CG46" s="19" t="n"/>
      <c r="CO46" s="25" t="inlineStr">
        <is>
          <t xml:space="preserve">  2028E</t>
        </is>
      </c>
      <c r="CP46" s="33">
        <f>CQ46+$CP$44</f>
        <v>0.33</v>
      </c>
      <c r="CQ46" s="42" t="n">
        <v>0.25</v>
      </c>
      <c r="CR46" s="33">
        <f>CQ46+$CR$44</f>
        <v>0.13</v>
      </c>
    </row>
    <row r="47" ht="15" customHeight="1" s="251">
      <c r="B47" s="25" t="inlineStr">
        <is>
          <t xml:space="preserve">  Incremental segment margin (Δ operating income / Δ revenue)</t>
        </is>
      </c>
      <c r="C47" s="36" t="n"/>
      <c r="D47" s="215">
        <f>IFERROR((D44-C44)/(D38-C38),"")</f>
        <v>4.94081918704257</v>
      </c>
      <c r="E47" s="215">
        <f>IFERROR((E44-D44)/(E38-D38),"")</f>
        <v>0.0114756537588809</v>
      </c>
      <c r="F47" s="215">
        <f>IFERROR((F44-E44)/(F38-E38),"")</f>
        <v>-0.0313006118409214</v>
      </c>
      <c r="G47" s="215">
        <f>IFERROR((G44-F44)/(G38-F38),"")</f>
        <v>-0.443534417261814</v>
      </c>
      <c r="H47" s="215">
        <f>IFERROR((H44-G44)/(H38-G38),"")</f>
        <v>1.04221872894678</v>
      </c>
      <c r="I47" s="215">
        <f>IFERROR((I44-H44)/(I38-H38),"")</f>
        <v>0.607318251348523</v>
      </c>
      <c r="J47" s="36" t="n"/>
      <c r="K47" s="36" t="n"/>
      <c r="L47" s="36" t="n"/>
      <c r="M47" s="36" t="n"/>
      <c r="N47" s="215">
        <f>IFERROR((N44-I44)/(N38-I38),"")</f>
        <v>-0.0651291423396034</v>
      </c>
      <c r="O47" s="215">
        <f>IFERROR((O44-J44)/(O38-J38),"")</f>
        <v>0.244739638682253</v>
      </c>
      <c r="P47" s="215">
        <f>IFERROR((P44-K44)/(P38-K38),"")</f>
        <v>1.84066638188807</v>
      </c>
      <c r="Q47" s="215">
        <f>IFERROR((Q44-L44)/(Q38-L38),"")</f>
        <v>0.611813537675607</v>
      </c>
      <c r="R47" s="215">
        <f>IFERROR((R44-M44)/(R38-M38),"")</f>
        <v>0.502077075477728</v>
      </c>
      <c r="S47" s="215">
        <f>IFERROR((S44-N44)/(S38-N38),"")</f>
        <v>0.684442772972296</v>
      </c>
      <c r="T47" s="215">
        <f>IFERROR((T44-O44)/(T38-O38),"")</f>
        <v>-0.823348330570685</v>
      </c>
      <c r="U47" s="215">
        <f>IFERROR((U44-P44)/(U38-P38),"")</f>
        <v>-0.18903311529027</v>
      </c>
      <c r="V47" s="215">
        <f>IFERROR((V44-Q44)/(V38-Q38),"")</f>
        <v>-4.59009009009012</v>
      </c>
      <c r="W47" s="215">
        <f>IFERROR((W44-R44)/(W38-R38),"")</f>
        <v>41.7272727272757</v>
      </c>
      <c r="X47" s="215">
        <f>IFERROR((X44-S44)/(X38-S38),"")</f>
        <v>-0.698578166655273</v>
      </c>
      <c r="Y47" s="215">
        <f>IFERROR((Y44-T44)/(Y38-T38),"")</f>
        <v>-2.71465798045603</v>
      </c>
      <c r="Z47" s="215">
        <f>IFERROR((Z44-U44)/(Z38-U38),"")</f>
        <v>0.315503875968993</v>
      </c>
      <c r="AA47" s="215">
        <f>IFERROR((AA44-V44)/(AA38-V38),"")</f>
        <v>0.824180396072558</v>
      </c>
      <c r="AB47" s="215">
        <f>IFERROR((AB44-W44)/(AB38-W38),"")</f>
        <v>3.78420608108109</v>
      </c>
      <c r="AC47" s="215">
        <f>IFERROR((AC44-X44)/(AC38-X38),"")</f>
        <v>1.33204270796667</v>
      </c>
      <c r="AD47" s="215">
        <f>IFERROR((AD44-Y44)/(AD38-Y38),"")</f>
        <v>-0.000433597621407424</v>
      </c>
      <c r="AE47" s="215">
        <f>IFERROR((AE44-Z44)/(AE38-Z38),"")</f>
        <v>0.106540873266985</v>
      </c>
      <c r="AF47" s="215">
        <f>IFERROR((AF44-AA44)/(AF38-AA38),"")</f>
        <v>1.22632294757666</v>
      </c>
      <c r="AG47" s="215">
        <f>IFERROR((AG44-AB44)/(AG38-AB38),"")</f>
        <v>0.252601934614914</v>
      </c>
      <c r="AH47" s="215">
        <f>IFERROR((AH44-AC44)/(AH38-AC38),"")</f>
        <v>-0.624226036523238</v>
      </c>
      <c r="AI47" s="215">
        <f>IFERROR((AI44-AD44)/(AI38-AD38),"")</f>
        <v>-0.0774865073245945</v>
      </c>
      <c r="AJ47" s="215">
        <f>IFERROR((AJ44-AE44)/(AJ38-AE38),"")</f>
        <v>-0.191774953591318</v>
      </c>
      <c r="AK47" s="215">
        <f>IFERROR((AK44-AF44)/(AK38-AF38),"")</f>
        <v>-1.65013495276653</v>
      </c>
      <c r="AL47" s="215">
        <f>IFERROR((AL44-AG44)/(AL38-AG38),"")</f>
        <v>-0.547429153232649</v>
      </c>
      <c r="AM47" s="215">
        <f>IFERROR((AM44-AH44)/(AM38-AH38),"")</f>
        <v>-0.614401132766951</v>
      </c>
      <c r="AN47" s="215">
        <f>IFERROR((AN44-AI44)/(AN38-AI38),"")</f>
        <v>-0.136204889406286</v>
      </c>
      <c r="AO47" s="215">
        <f>IFERROR((AO44-AJ44)/(AO38-AJ38),"")</f>
        <v>-2.36724182333249</v>
      </c>
      <c r="AP47" s="215">
        <f>IFERROR((AP44-AK44)/(AP38-AK38),"")</f>
        <v>0.582058480270006</v>
      </c>
      <c r="AQ47" s="215">
        <f>IFERROR((AQ44-AL44)/(AQ38-AL38),"")</f>
        <v>-6.71668099742048</v>
      </c>
      <c r="AR47" s="215">
        <f>IFERROR((AR44-AM44)/(AR38-AM38),"")</f>
        <v>-0.160618594510891</v>
      </c>
      <c r="AS47" s="215">
        <f>IFERROR((AS44-AN44)/(AS38-AN38),"")</f>
        <v>-1.86986603856911</v>
      </c>
      <c r="AT47" s="215">
        <f>IFERROR((AT44-AO44)/(AT38-AO38),"")</f>
        <v>-0.358774038461537</v>
      </c>
      <c r="AU47" s="215">
        <f>IFERROR((AU44-AP44)/(AU38-AP38),"")</f>
        <v>0.956919985817279</v>
      </c>
      <c r="AV47" s="215">
        <f>IFERROR((AV44-AQ44)/(AV38-AQ38),"")</f>
        <v>1.07628853191093</v>
      </c>
      <c r="AW47" s="215">
        <f>IFERROR((AW44-AR44)/(AW38-AR38),"")</f>
        <v>0.148290235715076</v>
      </c>
      <c r="AX47" s="215">
        <f>IFERROR((AX44-AS44)/(AX38-AS38),"")</f>
        <v>-0.254630519771839</v>
      </c>
      <c r="AY47" s="215">
        <f>IFERROR((AY44-AT44)/(AY38-AT38),"")</f>
        <v>0.173845868611334</v>
      </c>
      <c r="AZ47" s="215">
        <f>IFERROR((AZ44-AU44)/(AZ38-AU38),"")</f>
        <v>0.437989999382678</v>
      </c>
      <c r="BA47" s="215">
        <f>IFERROR((BA44-AV44)/(BA38-AV38),"")</f>
        <v>0.341174990564851</v>
      </c>
      <c r="BB47" s="215">
        <f>IFERROR((BB44-AW44)/(BB38-AW38),"")</f>
        <v>0.240470538281898</v>
      </c>
      <c r="BC47" s="215">
        <f>IFERROR((BC44-AX44)/(BC38-AX38),"")</f>
        <v>-0.91403049230976</v>
      </c>
      <c r="BD47" s="215">
        <f>IFERROR((BD44-AY44)/(BD38-AY38),"")</f>
        <v>3.35769124040329</v>
      </c>
      <c r="BE47" s="215">
        <f>IFERROR((BE44-AZ44)/(BE38-AZ38),"")</f>
        <v>7.54395150179109</v>
      </c>
      <c r="BF47" s="215">
        <f>IFERROR((BF44-BA44)/(BF38-BA38),"")</f>
        <v>0.347530793139173</v>
      </c>
      <c r="BG47" s="215">
        <f>IFERROR((BG44-BB44)/(BG38-BB38),"")</f>
        <v>9.74811847535816</v>
      </c>
      <c r="BH47" s="215">
        <f>IFERROR((BH44-BC44)/(BH38-BC38),"")</f>
        <v>0.818960593946318</v>
      </c>
      <c r="BI47" s="215">
        <f>IFERROR((BI44-BD44)/(BI38-BD38),"")</f>
        <v>0.164579821815554</v>
      </c>
      <c r="BJ47" s="215">
        <f>IFERROR((BJ44-BE44)/(BJ38-BE38),"")</f>
        <v>1.02882889483131</v>
      </c>
      <c r="BK47" s="215">
        <f>IFERROR((BK44-BF44)/(BK38-BF38),"")</f>
        <v>0.760121093950433</v>
      </c>
      <c r="BL47" s="215">
        <f>IFERROR((BL44-BG44)/(BL38-BG38),"")</f>
        <v>0.806619200602008</v>
      </c>
      <c r="BM47" s="215">
        <f>IFERROR((BM44-BH44)/(BM38-BH38),"")</f>
        <v>0.405679601127249</v>
      </c>
      <c r="BN47" s="215">
        <f>IFERROR((BN44-BI44)/(BN38-BI38),"")</f>
        <v>0.612924497197495</v>
      </c>
      <c r="BO47" s="215">
        <f>IFERROR((BO44-BJ44)/(BO38-BJ38),"")</f>
        <v>-0.559489935715038</v>
      </c>
      <c r="BP47" s="215">
        <f>IFERROR((BP44-BK44)/(BP38-BK38),"")</f>
        <v>0.287207518220177</v>
      </c>
      <c r="BQ47" s="215">
        <f>IFERROR((BQ44-BL44)/(BQ38-BL38),"")</f>
        <v>0.280977522486113</v>
      </c>
      <c r="BR47" s="215">
        <f>IFERROR((BR44-BM44)/(BR38-BM38),"")</f>
        <v>0.391746828384218</v>
      </c>
      <c r="BS47" s="215">
        <f>IFERROR((BS44-BN44)/(BS38-BN38),"")</f>
        <v>-0.175607711651301</v>
      </c>
      <c r="BT47" s="215">
        <f>IFERROR((BT44-BO44)/(BT38-BO38),"")</f>
        <v>-0.420185736814439</v>
      </c>
      <c r="BU47" s="215">
        <f>IFERROR((BU44-BP44)/(BU38-BP38),"")</f>
        <v>30.0221130221143</v>
      </c>
      <c r="BV47" s="215">
        <f>IFERROR((BV44-BQ44)/(BV38-BQ38),"")</f>
        <v>-0.402776640183471</v>
      </c>
      <c r="BW47" s="215">
        <f>IFERROR((BW44-BR44)/(BW38-BR38),"")</f>
        <v>-0.679438058748403</v>
      </c>
      <c r="BX47" s="215">
        <f>IFERROR((BX44-BS44)/(BX38-BS38),"")</f>
        <v>-0.0486407249466949</v>
      </c>
      <c r="BY47" s="215">
        <f>IFERROR((BY44-BT44)/(BY38-BT38),"")</f>
        <v>-4.05086342229203</v>
      </c>
      <c r="BZ47" s="256">
        <f>IFERROR((BZ44-BU44)/(BZ38-BU38),"")</f>
        <v>-1.69982925319809</v>
      </c>
      <c r="CA47" s="256">
        <f>IFERROR((CA44-BV44)/(CA38-BV38),"")</f>
        <v>-0.96203933991678</v>
      </c>
      <c r="CB47" s="256">
        <f>IFERROR((CB44-CA44)/(CB38-CA38),"")</f>
        <v>0.472978068509771</v>
      </c>
      <c r="CC47" s="256">
        <f>IFERROR((CC44-CB44)/(CC38-CB38),"")</f>
        <v>0.51391271614014</v>
      </c>
      <c r="CD47" s="256">
        <f>IFERROR((CD44-CC44)/(CD38-CC38),"")</f>
        <v>0.514878450219182</v>
      </c>
      <c r="CE47" s="256">
        <f>IFERROR((CE44-CD44)/(CE38-CD38),"")</f>
        <v>0.42189928683784</v>
      </c>
      <c r="CF47" s="256">
        <f>IFERROR((CF44-CE44)/(CF38-CE38),"")</f>
        <v>0.4344995752944</v>
      </c>
      <c r="CG47" s="153" t="n"/>
      <c r="CO47" s="25" t="inlineStr">
        <is>
          <t xml:space="preserve">  2029E</t>
        </is>
      </c>
      <c r="CP47" s="33">
        <f>CQ47+$CP$44</f>
        <v>0.28</v>
      </c>
      <c r="CQ47" s="42" t="n">
        <v>0.2</v>
      </c>
      <c r="CR47" s="33">
        <f>CQ47+$CR$44</f>
        <v>0.08</v>
      </c>
    </row>
    <row r="48" ht="15" customHeight="1" s="251">
      <c r="B48" s="25" t="inlineStr">
        <is>
          <t xml:space="preserve">  Legacy software segments (as originally reported; replaced by "Software" in the FY2021 10-K):</t>
        </is>
      </c>
      <c r="CG48" s="153" t="n"/>
      <c r="CO48" s="25" t="inlineStr">
        <is>
          <t xml:space="preserve">  2030E</t>
        </is>
      </c>
      <c r="CP48" s="33">
        <f>CQ48+$CP$44</f>
        <v>0.25</v>
      </c>
      <c r="CQ48" s="42" t="n">
        <v>0.17</v>
      </c>
      <c r="CR48" s="33">
        <f>CQ48+$CR$44</f>
        <v>0.05</v>
      </c>
    </row>
    <row r="49" ht="15" customHeight="1" s="251">
      <c r="B49" s="156" t="inlineStr">
        <is>
          <t xml:space="preserve">    Strategy Machine Solutions (FY2006–09) — revenue</t>
        </is>
      </c>
      <c r="C49" s="253" t="n">
        <v>457.211</v>
      </c>
      <c r="D49" s="253" t="n">
        <v>439.273</v>
      </c>
      <c r="E49" s="253" t="n">
        <v>388.108</v>
      </c>
      <c r="F49" s="253" t="n">
        <v>338.753</v>
      </c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  <c r="AA49" s="34" t="n"/>
      <c r="AB49" s="34" t="n"/>
      <c r="AC49" s="34" t="n"/>
      <c r="AD49" s="34" t="n"/>
      <c r="AE49" s="34" t="n"/>
      <c r="AF49" s="34" t="n"/>
      <c r="AG49" s="34" t="n"/>
      <c r="AH49" s="34" t="n"/>
      <c r="AI49" s="34" t="n"/>
      <c r="AJ49" s="34" t="n"/>
      <c r="AK49" s="34" t="n"/>
      <c r="AL49" s="34" t="n"/>
      <c r="AM49" s="34" t="n"/>
      <c r="AN49" s="34" t="n"/>
      <c r="AO49" s="34" t="n"/>
      <c r="AP49" s="34" t="n"/>
      <c r="AQ49" s="34" t="n"/>
      <c r="AR49" s="34" t="n"/>
      <c r="AS49" s="34" t="n"/>
      <c r="AT49" s="34" t="n"/>
      <c r="AU49" s="34" t="n"/>
      <c r="AV49" s="34" t="n"/>
      <c r="AW49" s="34" t="n"/>
      <c r="AX49" s="34" t="n"/>
      <c r="AY49" s="34" t="n"/>
      <c r="AZ49" s="34" t="n"/>
      <c r="BA49" s="34" t="n"/>
      <c r="BB49" s="34" t="n"/>
      <c r="BC49" s="34" t="n"/>
      <c r="BD49" s="34" t="n"/>
      <c r="BE49" s="34" t="n"/>
      <c r="BF49" s="34" t="n"/>
      <c r="BG49" s="34" t="n"/>
      <c r="BH49" s="34" t="n"/>
      <c r="BI49" s="34" t="n"/>
      <c r="BJ49" s="34" t="n"/>
      <c r="BK49" s="34" t="n"/>
      <c r="BL49" s="34" t="n"/>
      <c r="BM49" s="34" t="n"/>
      <c r="BN49" s="34" t="n"/>
      <c r="BO49" s="34" t="n"/>
      <c r="BP49" s="34" t="n"/>
      <c r="BQ49" s="34" t="n"/>
      <c r="BR49" s="34" t="n"/>
      <c r="BS49" s="34" t="n"/>
      <c r="BT49" s="34" t="n"/>
      <c r="BU49" s="34" t="n"/>
      <c r="BV49" s="34" t="n"/>
      <c r="BW49" s="34" t="n"/>
      <c r="BX49" s="34" t="n"/>
      <c r="BY49" s="34" t="n"/>
      <c r="BZ49" s="153" t="n"/>
      <c r="CA49" s="153" t="n"/>
      <c r="CB49" s="153" t="n"/>
      <c r="CC49" s="153" t="n"/>
      <c r="CD49" s="153" t="n"/>
      <c r="CE49" s="153" t="n"/>
      <c r="CF49" s="153" t="n"/>
      <c r="CG49" s="153" t="n"/>
      <c r="CO49" s="25" t="inlineStr">
        <is>
          <t xml:space="preserve">  2031E</t>
        </is>
      </c>
      <c r="CP49" s="33">
        <f>CQ49+$CP$44</f>
        <v>0.23</v>
      </c>
      <c r="CQ49" s="42" t="n">
        <v>0.15</v>
      </c>
      <c r="CR49" s="33">
        <f>CQ49+$CR$44</f>
        <v>0.03</v>
      </c>
    </row>
    <row r="50" ht="15" customHeight="1" s="251">
      <c r="B50" s="156" t="inlineStr">
        <is>
          <t xml:space="preserve">    Strategy Machine Solutions (FY2006–09) — segment operating income</t>
        </is>
      </c>
      <c r="C50" s="253" t="n">
        <v>85.97499999999999</v>
      </c>
      <c r="D50" s="253" t="n">
        <v>62.205</v>
      </c>
      <c r="E50" s="253" t="n">
        <v>61.478</v>
      </c>
      <c r="F50" s="253" t="n">
        <v>70.77500000000001</v>
      </c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34" t="n"/>
      <c r="AL50" s="34" t="n"/>
      <c r="AM50" s="34" t="n"/>
      <c r="AN50" s="34" t="n"/>
      <c r="AO50" s="34" t="n"/>
      <c r="AP50" s="34" t="n"/>
      <c r="AQ50" s="34" t="n"/>
      <c r="AR50" s="34" t="n"/>
      <c r="AS50" s="34" t="n"/>
      <c r="AT50" s="34" t="n"/>
      <c r="AU50" s="34" t="n"/>
      <c r="AV50" s="34" t="n"/>
      <c r="AW50" s="34" t="n"/>
      <c r="AX50" s="34" t="n"/>
      <c r="AY50" s="34" t="n"/>
      <c r="AZ50" s="34" t="n"/>
      <c r="BA50" s="34" t="n"/>
      <c r="BB50" s="34" t="n"/>
      <c r="BC50" s="34" t="n"/>
      <c r="BD50" s="34" t="n"/>
      <c r="BE50" s="34" t="n"/>
      <c r="BF50" s="34" t="n"/>
      <c r="BG50" s="34" t="n"/>
      <c r="BH50" s="34" t="n"/>
      <c r="BI50" s="34" t="n"/>
      <c r="BJ50" s="34" t="n"/>
      <c r="BK50" s="34" t="n"/>
      <c r="BL50" s="34" t="n"/>
      <c r="BM50" s="34" t="n"/>
      <c r="BN50" s="34" t="n"/>
      <c r="BO50" s="34" t="n"/>
      <c r="BP50" s="34" t="n"/>
      <c r="BQ50" s="34" t="n"/>
      <c r="BR50" s="34" t="n"/>
      <c r="BS50" s="34" t="n"/>
      <c r="BT50" s="34" t="n"/>
      <c r="BU50" s="34" t="n"/>
      <c r="BV50" s="34" t="n"/>
      <c r="BW50" s="34" t="n"/>
      <c r="BX50" s="34" t="n"/>
      <c r="BY50" s="34" t="n"/>
      <c r="BZ50" s="153" t="n"/>
      <c r="CA50" s="153" t="n"/>
      <c r="CB50" s="153" t="n"/>
      <c r="CC50" s="153" t="n"/>
      <c r="CD50" s="153" t="n"/>
      <c r="CE50" s="153" t="n"/>
      <c r="CF50" s="153" t="n"/>
      <c r="CG50" s="153" t="n"/>
      <c r="CO50" s="15" t="inlineStr">
        <is>
          <t>SW_NONPLAT (non-platform software revenue y/y)</t>
        </is>
      </c>
      <c r="CP50" s="41" t="n">
        <v>0.05</v>
      </c>
      <c r="CQ50" s="21" t="inlineStr">
        <is>
          <t>Δ →</t>
        </is>
      </c>
      <c r="CR50" s="41" t="n">
        <v>-0.05</v>
      </c>
      <c r="CS50" s="13" t="inlineStr">
        <is>
          <t>9M FY26 −17%; non-platform ARR −17% and net retention 82% at 30-Jun-2026 (migration to the platform, de-emphasis).</t>
        </is>
      </c>
    </row>
    <row r="51" ht="15" customHeight="1" s="251">
      <c r="B51" s="156" t="inlineStr">
        <is>
          <t xml:space="preserve">    Professional Services (FY2006–09) — revenue</t>
        </is>
      </c>
      <c r="C51" s="253" t="n">
        <v>145.271</v>
      </c>
      <c r="D51" s="253" t="n">
        <v>151.086</v>
      </c>
      <c r="E51" s="253" t="n">
        <v>147.864</v>
      </c>
      <c r="F51" s="253" t="n">
        <v>111.174</v>
      </c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  <c r="AA51" s="34" t="n"/>
      <c r="AB51" s="34" t="n"/>
      <c r="AC51" s="34" t="n"/>
      <c r="AD51" s="34" t="n"/>
      <c r="AE51" s="34" t="n"/>
      <c r="AF51" s="34" t="n"/>
      <c r="AG51" s="34" t="n"/>
      <c r="AH51" s="34" t="n"/>
      <c r="AI51" s="34" t="n"/>
      <c r="AJ51" s="34" t="n"/>
      <c r="AK51" s="34" t="n"/>
      <c r="AL51" s="34" t="n"/>
      <c r="AM51" s="34" t="n"/>
      <c r="AN51" s="34" t="n"/>
      <c r="AO51" s="34" t="n"/>
      <c r="AP51" s="34" t="n"/>
      <c r="AQ51" s="34" t="n"/>
      <c r="AR51" s="34" t="n"/>
      <c r="AS51" s="34" t="n"/>
      <c r="AT51" s="34" t="n"/>
      <c r="AU51" s="34" t="n"/>
      <c r="AV51" s="34" t="n"/>
      <c r="AW51" s="34" t="n"/>
      <c r="AX51" s="34" t="n"/>
      <c r="AY51" s="34" t="n"/>
      <c r="AZ51" s="34" t="n"/>
      <c r="BA51" s="34" t="n"/>
      <c r="BB51" s="34" t="n"/>
      <c r="BC51" s="34" t="n"/>
      <c r="BD51" s="34" t="n"/>
      <c r="BE51" s="34" t="n"/>
      <c r="BF51" s="34" t="n"/>
      <c r="BG51" s="34" t="n"/>
      <c r="BH51" s="34" t="n"/>
      <c r="BI51" s="34" t="n"/>
      <c r="BJ51" s="34" t="n"/>
      <c r="BK51" s="34" t="n"/>
      <c r="BL51" s="34" t="n"/>
      <c r="BM51" s="34" t="n"/>
      <c r="BN51" s="34" t="n"/>
      <c r="BO51" s="34" t="n"/>
      <c r="BP51" s="34" t="n"/>
      <c r="BQ51" s="34" t="n"/>
      <c r="BR51" s="34" t="n"/>
      <c r="BS51" s="34" t="n"/>
      <c r="BT51" s="34" t="n"/>
      <c r="BU51" s="34" t="n"/>
      <c r="BV51" s="34" t="n"/>
      <c r="BW51" s="34" t="n"/>
      <c r="BX51" s="34" t="n"/>
      <c r="BY51" s="34" t="n"/>
      <c r="BZ51" s="153" t="n"/>
      <c r="CA51" s="153" t="n"/>
      <c r="CB51" s="153" t="n"/>
      <c r="CC51" s="153" t="n"/>
      <c r="CD51" s="153" t="n"/>
      <c r="CE51" s="153" t="n"/>
      <c r="CF51" s="153" t="n"/>
      <c r="CG51" s="153" t="n"/>
      <c r="CO51" s="25" t="inlineStr">
        <is>
          <t xml:space="preserve">  2027E</t>
        </is>
      </c>
      <c r="CP51" s="33">
        <f>CQ51+$CP$50</f>
        <v>-0.1</v>
      </c>
      <c r="CQ51" s="42" t="n">
        <v>-0.15</v>
      </c>
      <c r="CR51" s="33">
        <f>CQ51+$CR$50</f>
        <v>-0.2</v>
      </c>
    </row>
    <row r="52" ht="15" customHeight="1" s="251">
      <c r="B52" s="156" t="inlineStr">
        <is>
          <t xml:space="preserve">    Professional Services (FY2006–09) — segment operating income</t>
        </is>
      </c>
      <c r="C52" s="253" t="n">
        <v>13.333</v>
      </c>
      <c r="D52" s="253" t="n">
        <v>7.056</v>
      </c>
      <c r="E52" s="253" t="n">
        <v>0.627</v>
      </c>
      <c r="F52" s="253" t="n">
        <v>-5.997</v>
      </c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n"/>
      <c r="AI52" s="34" t="n"/>
      <c r="AJ52" s="34" t="n"/>
      <c r="AK52" s="34" t="n"/>
      <c r="AL52" s="34" t="n"/>
      <c r="AM52" s="34" t="n"/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n"/>
      <c r="BA52" s="34" t="n"/>
      <c r="BB52" s="34" t="n"/>
      <c r="BC52" s="34" t="n"/>
      <c r="BD52" s="34" t="n"/>
      <c r="BE52" s="34" t="n"/>
      <c r="BF52" s="34" t="n"/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n"/>
      <c r="BT52" s="34" t="n"/>
      <c r="BU52" s="34" t="n"/>
      <c r="BV52" s="34" t="n"/>
      <c r="BW52" s="34" t="n"/>
      <c r="BX52" s="34" t="n"/>
      <c r="BY52" s="34" t="n"/>
      <c r="BZ52" s="153" t="n"/>
      <c r="CA52" s="153" t="n"/>
      <c r="CB52" s="153" t="n"/>
      <c r="CC52" s="153" t="n"/>
      <c r="CD52" s="153" t="n"/>
      <c r="CE52" s="153" t="n"/>
      <c r="CF52" s="153" t="n"/>
      <c r="CG52" s="153" t="n"/>
      <c r="CO52" s="25" t="inlineStr">
        <is>
          <t xml:space="preserve">  2028E</t>
        </is>
      </c>
      <c r="CP52" s="33">
        <f>CQ52+$CP$50</f>
        <v>-0.05</v>
      </c>
      <c r="CQ52" s="42" t="n">
        <v>-0.1</v>
      </c>
      <c r="CR52" s="33">
        <f>CQ52+$CR$50</f>
        <v>-0.15</v>
      </c>
    </row>
    <row r="53" ht="15" customHeight="1" s="251">
      <c r="B53" s="156" t="inlineStr">
        <is>
          <t xml:space="preserve">    Applications (FY2010–Q3/21) — revenue</t>
        </is>
      </c>
      <c r="C53" s="34" t="n"/>
      <c r="D53" s="34" t="n"/>
      <c r="E53" s="34" t="n"/>
      <c r="F53" s="34" t="n"/>
      <c r="G53" s="253" t="n">
        <v>367.258</v>
      </c>
      <c r="H53" s="253" t="n">
        <v>383.028</v>
      </c>
      <c r="I53" s="253" t="n">
        <v>424.604</v>
      </c>
      <c r="J53" s="253" t="n">
        <v>124.707</v>
      </c>
      <c r="K53" s="253" t="n">
        <v>117.215</v>
      </c>
      <c r="L53" s="253" t="n">
        <v>114.983</v>
      </c>
      <c r="M53" s="253" t="n">
        <v>119.179</v>
      </c>
      <c r="N53" s="253" t="n">
        <v>476.084</v>
      </c>
      <c r="O53" s="253" t="n">
        <v>111.916</v>
      </c>
      <c r="P53" s="253" t="n">
        <v>115.61</v>
      </c>
      <c r="Q53" s="253" t="n">
        <v>129.856</v>
      </c>
      <c r="R53" s="253" t="n">
        <v>146.874</v>
      </c>
      <c r="S53" s="253" t="n">
        <v>504.256</v>
      </c>
      <c r="T53" s="253" t="n">
        <v>115.498</v>
      </c>
      <c r="U53" s="253" t="n">
        <v>134.388</v>
      </c>
      <c r="V53" s="253" t="n">
        <v>127.134</v>
      </c>
      <c r="W53" s="253" t="n">
        <v>149.254</v>
      </c>
      <c r="X53" s="253" t="n">
        <v>526.274</v>
      </c>
      <c r="Y53" s="253" t="n">
        <v>120.141</v>
      </c>
      <c r="Z53" s="253" t="n">
        <v>121.917</v>
      </c>
      <c r="AA53" s="253" t="n">
        <v>141.565</v>
      </c>
      <c r="AB53" s="253" t="n">
        <v>149.019</v>
      </c>
      <c r="AC53" s="253" t="n">
        <v>532.6420000000001</v>
      </c>
      <c r="AD53" s="253" t="n">
        <v>134.765</v>
      </c>
      <c r="AE53" s="253" t="n">
        <v>134.337</v>
      </c>
      <c r="AF53" s="253" t="n">
        <v>133.782</v>
      </c>
      <c r="AG53" s="253" t="n">
        <v>150.283</v>
      </c>
      <c r="AH53" s="253" t="n">
        <v>553.167</v>
      </c>
      <c r="AI53" s="253" t="n">
        <v>141.409</v>
      </c>
      <c r="AJ53" s="253" t="n">
        <v>146.699</v>
      </c>
      <c r="AK53" s="253" t="n">
        <v>141.618</v>
      </c>
      <c r="AL53" s="253" t="n">
        <v>155.845</v>
      </c>
      <c r="AM53" s="253" t="n">
        <v>585.571</v>
      </c>
      <c r="AN53" s="253" t="n">
        <v>147.659</v>
      </c>
      <c r="AO53" s="253" t="n">
        <v>141.815</v>
      </c>
      <c r="AP53" s="253" t="n">
        <v>165.637</v>
      </c>
      <c r="AQ53" s="253" t="n">
        <v>149.923</v>
      </c>
      <c r="AR53" s="253" t="n">
        <v>605.034</v>
      </c>
      <c r="AS53" s="253" t="n">
        <v>152.178</v>
      </c>
      <c r="AT53" s="253" t="n">
        <v>140.279</v>
      </c>
      <c r="AU53" s="253" t="n">
        <v>141.46</v>
      </c>
      <c r="AV53" s="253" t="n">
        <v>168.129</v>
      </c>
      <c r="AW53" s="253" t="n">
        <v>602.046</v>
      </c>
      <c r="AX53" s="253" t="n">
        <v>135.361</v>
      </c>
      <c r="AY53" s="253" t="n">
        <v>129.514</v>
      </c>
      <c r="AZ53" s="253" t="n">
        <v>133.213</v>
      </c>
      <c r="BA53" s="34" t="n"/>
      <c r="BB53" s="34" t="n"/>
      <c r="BC53" s="34" t="n"/>
      <c r="BD53" s="34" t="n"/>
      <c r="BE53" s="34" t="n"/>
      <c r="BF53" s="34" t="n"/>
      <c r="BG53" s="34" t="n"/>
      <c r="BH53" s="34" t="n"/>
      <c r="BI53" s="34" t="n"/>
      <c r="BJ53" s="34" t="n"/>
      <c r="BK53" s="34" t="n"/>
      <c r="BL53" s="34" t="n"/>
      <c r="BM53" s="34" t="n"/>
      <c r="BN53" s="34" t="n"/>
      <c r="BO53" s="34" t="n"/>
      <c r="BP53" s="34" t="n"/>
      <c r="BQ53" s="34" t="n"/>
      <c r="BR53" s="34" t="n"/>
      <c r="BS53" s="34" t="n"/>
      <c r="BT53" s="34" t="n"/>
      <c r="BU53" s="34" t="n"/>
      <c r="BV53" s="34" t="n"/>
      <c r="BW53" s="34" t="n"/>
      <c r="BX53" s="34" t="n"/>
      <c r="BY53" s="34" t="n"/>
      <c r="BZ53" s="153" t="n"/>
      <c r="CA53" s="153" t="n"/>
      <c r="CB53" s="153" t="n"/>
      <c r="CC53" s="153" t="n"/>
      <c r="CD53" s="153" t="n"/>
      <c r="CE53" s="153" t="n"/>
      <c r="CF53" s="153" t="n"/>
      <c r="CG53" s="153" t="n"/>
      <c r="CO53" s="25" t="inlineStr">
        <is>
          <t xml:space="preserve">  2029E</t>
        </is>
      </c>
      <c r="CP53" s="33">
        <f>CQ53+$CP$50</f>
        <v>-0.02</v>
      </c>
      <c r="CQ53" s="42" t="n">
        <v>-0.07000000000000001</v>
      </c>
      <c r="CR53" s="33">
        <f>CQ53+$CR$50</f>
        <v>-0.12</v>
      </c>
    </row>
    <row r="54" collapsed="1" ht="15" customHeight="1" s="251">
      <c r="B54" s="156" t="inlineStr">
        <is>
          <t xml:space="preserve">    Applications (FY2010–Q3/21) — segment operating income</t>
        </is>
      </c>
      <c r="C54" s="34" t="n"/>
      <c r="D54" s="34" t="n"/>
      <c r="E54" s="34" t="n"/>
      <c r="F54" s="34" t="n"/>
      <c r="G54" s="253" t="n">
        <v>93.27500000000001</v>
      </c>
      <c r="H54" s="253" t="n">
        <v>106.561</v>
      </c>
      <c r="I54" s="253" t="n">
        <v>132.826</v>
      </c>
      <c r="J54" s="253" t="n">
        <v>32.972</v>
      </c>
      <c r="K54" s="253" t="n">
        <v>30.93</v>
      </c>
      <c r="L54" s="253" t="n">
        <v>27.295</v>
      </c>
      <c r="M54" s="253" t="n">
        <v>38.665</v>
      </c>
      <c r="N54" s="253" t="n">
        <v>129.862</v>
      </c>
      <c r="O54" s="253" t="n">
        <v>29.954</v>
      </c>
      <c r="P54" s="253" t="n">
        <v>36.659</v>
      </c>
      <c r="Q54" s="253" t="n">
        <v>43.443</v>
      </c>
      <c r="R54" s="253" t="n">
        <v>59.438</v>
      </c>
      <c r="S54" s="253" t="n">
        <v>169.494</v>
      </c>
      <c r="T54" s="253" t="n">
        <v>26.604</v>
      </c>
      <c r="U54" s="253" t="n">
        <v>39.353</v>
      </c>
      <c r="V54" s="253" t="n">
        <v>36.906</v>
      </c>
      <c r="W54" s="253" t="n">
        <v>56.745</v>
      </c>
      <c r="X54" s="253" t="n">
        <v>159.608</v>
      </c>
      <c r="Y54" s="253" t="n">
        <v>32.704</v>
      </c>
      <c r="Z54" s="253" t="n">
        <v>33.962</v>
      </c>
      <c r="AA54" s="253" t="n">
        <v>49.033</v>
      </c>
      <c r="AB54" s="253" t="n">
        <v>52.572</v>
      </c>
      <c r="AC54" s="253" t="n">
        <v>168.271</v>
      </c>
      <c r="AD54" s="253" t="n">
        <v>34.968</v>
      </c>
      <c r="AE54" s="253" t="n">
        <v>34.883</v>
      </c>
      <c r="AF54" s="253" t="n">
        <v>38.425</v>
      </c>
      <c r="AG54" s="253" t="n">
        <v>51.224</v>
      </c>
      <c r="AH54" s="253" t="n">
        <v>159.5</v>
      </c>
      <c r="AI54" s="253" t="n">
        <v>38.79</v>
      </c>
      <c r="AJ54" s="253" t="n">
        <v>39.66</v>
      </c>
      <c r="AK54" s="253" t="n">
        <v>34.39</v>
      </c>
      <c r="AL54" s="253" t="n">
        <v>51.736</v>
      </c>
      <c r="AM54" s="253" t="n">
        <v>164.576</v>
      </c>
      <c r="AN54" s="253" t="n">
        <v>40.061</v>
      </c>
      <c r="AO54" s="253" t="n">
        <v>30.172</v>
      </c>
      <c r="AP54" s="253" t="n">
        <v>52.237</v>
      </c>
      <c r="AQ54" s="253" t="n">
        <v>38.692</v>
      </c>
      <c r="AR54" s="253" t="n">
        <v>161.162</v>
      </c>
      <c r="AS54" s="253" t="n">
        <v>36.168</v>
      </c>
      <c r="AT54" s="253" t="n">
        <v>28.823</v>
      </c>
      <c r="AU54" s="253" t="n">
        <v>30.399</v>
      </c>
      <c r="AV54" s="253" t="n">
        <v>58.151</v>
      </c>
      <c r="AW54" s="253" t="n">
        <v>153.541</v>
      </c>
      <c r="AX54" s="253" t="n">
        <v>35.502</v>
      </c>
      <c r="AY54" s="253" t="n">
        <v>27.372</v>
      </c>
      <c r="AZ54" s="253" t="n">
        <v>35.429</v>
      </c>
      <c r="BA54" s="34" t="n"/>
      <c r="BB54" s="34" t="n"/>
      <c r="BC54" s="34" t="n"/>
      <c r="BD54" s="34" t="n"/>
      <c r="BE54" s="34" t="n"/>
      <c r="BF54" s="34" t="n"/>
      <c r="BG54" s="34" t="n"/>
      <c r="BH54" s="34" t="n"/>
      <c r="BI54" s="34" t="n"/>
      <c r="BJ54" s="34" t="n"/>
      <c r="BK54" s="34" t="n"/>
      <c r="BL54" s="34" t="n"/>
      <c r="BM54" s="34" t="n"/>
      <c r="BN54" s="34" t="n"/>
      <c r="BO54" s="34" t="n"/>
      <c r="BP54" s="34" t="n"/>
      <c r="BQ54" s="34" t="n"/>
      <c r="BR54" s="34" t="n"/>
      <c r="BS54" s="34" t="n"/>
      <c r="BT54" s="34" t="n"/>
      <c r="BU54" s="34" t="n"/>
      <c r="BV54" s="34" t="n"/>
      <c r="BW54" s="34" t="n"/>
      <c r="BX54" s="34" t="n"/>
      <c r="BY54" s="34" t="n"/>
      <c r="BZ54" s="153" t="n"/>
      <c r="CA54" s="153" t="n"/>
      <c r="CB54" s="153" t="n"/>
      <c r="CC54" s="153" t="n"/>
      <c r="CD54" s="153" t="n"/>
      <c r="CE54" s="153" t="n"/>
      <c r="CF54" s="153" t="n"/>
      <c r="CG54" s="153" t="n"/>
      <c r="CO54" s="25" t="inlineStr">
        <is>
          <t xml:space="preserve">  2030E</t>
        </is>
      </c>
      <c r="CP54" s="33">
        <f>CQ54+$CP$50</f>
        <v>0</v>
      </c>
      <c r="CQ54" s="42" t="n">
        <v>-0.05</v>
      </c>
      <c r="CR54" s="33">
        <f>CQ54+$CR$50</f>
        <v>-0.1</v>
      </c>
    </row>
    <row r="55" ht="15" customHeight="1" s="251">
      <c r="B55" s="156" t="inlineStr">
        <is>
          <t xml:space="preserve">    Analytic Software Tools (FY2006–09) / Tools (FY2010–16) — revenue</t>
        </is>
      </c>
      <c r="C55" s="253" t="n">
        <v>45.731</v>
      </c>
      <c r="D55" s="253" t="n">
        <v>51.433</v>
      </c>
      <c r="E55" s="253" t="n">
        <v>52.054</v>
      </c>
      <c r="F55" s="253" t="n">
        <v>49.187</v>
      </c>
      <c r="G55" s="253" t="n">
        <v>66.04600000000001</v>
      </c>
      <c r="H55" s="253" t="n">
        <v>68.08799999999999</v>
      </c>
      <c r="I55" s="253" t="n">
        <v>76.196</v>
      </c>
      <c r="J55" s="253" t="n">
        <v>21.866</v>
      </c>
      <c r="K55" s="253" t="n">
        <v>18.048</v>
      </c>
      <c r="L55" s="253" t="n">
        <v>21.637</v>
      </c>
      <c r="M55" s="253" t="n">
        <v>24.996</v>
      </c>
      <c r="N55" s="253" t="n">
        <v>86.547</v>
      </c>
      <c r="O55" s="253" t="n">
        <v>25.247</v>
      </c>
      <c r="P55" s="253" t="n">
        <v>21.994</v>
      </c>
      <c r="Q55" s="253" t="n">
        <v>22.424</v>
      </c>
      <c r="R55" s="253" t="n">
        <v>28.595</v>
      </c>
      <c r="S55" s="253" t="n">
        <v>98.26000000000001</v>
      </c>
      <c r="T55" s="253" t="n">
        <v>30.111</v>
      </c>
      <c r="U55" s="253" t="n">
        <v>22.784</v>
      </c>
      <c r="V55" s="253" t="n">
        <v>26.478</v>
      </c>
      <c r="W55" s="253" t="n">
        <v>26.127</v>
      </c>
      <c r="X55" s="253" t="n">
        <v>105.5</v>
      </c>
      <c r="Y55" s="253" t="n">
        <v>23.933</v>
      </c>
      <c r="Z55" s="253" t="n">
        <v>23.645</v>
      </c>
      <c r="AA55" s="253" t="n">
        <v>36.083</v>
      </c>
      <c r="AB55" s="34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34" t="n"/>
      <c r="AN55" s="34" t="n"/>
      <c r="AO55" s="34" t="n"/>
      <c r="AP55" s="34" t="n"/>
      <c r="AQ55" s="34" t="n"/>
      <c r="AR55" s="34" t="n"/>
      <c r="AS55" s="34" t="n"/>
      <c r="AT55" s="34" t="n"/>
      <c r="AU55" s="34" t="n"/>
      <c r="AV55" s="34" t="n"/>
      <c r="AW55" s="34" t="n"/>
      <c r="AX55" s="34" t="n"/>
      <c r="AY55" s="34" t="n"/>
      <c r="AZ55" s="34" t="n"/>
      <c r="BA55" s="34" t="n"/>
      <c r="BB55" s="34" t="n"/>
      <c r="BC55" s="34" t="n"/>
      <c r="BD55" s="34" t="n"/>
      <c r="BE55" s="34" t="n"/>
      <c r="BF55" s="34" t="n"/>
      <c r="BG55" s="34" t="n"/>
      <c r="BH55" s="34" t="n"/>
      <c r="BI55" s="34" t="n"/>
      <c r="BJ55" s="34" t="n"/>
      <c r="BK55" s="34" t="n"/>
      <c r="BL55" s="34" t="n"/>
      <c r="BM55" s="34" t="n"/>
      <c r="BN55" s="34" t="n"/>
      <c r="BO55" s="34" t="n"/>
      <c r="BP55" s="34" t="n"/>
      <c r="BQ55" s="34" t="n"/>
      <c r="BR55" s="34" t="n"/>
      <c r="BS55" s="34" t="n"/>
      <c r="BT55" s="34" t="n"/>
      <c r="BU55" s="34" t="n"/>
      <c r="BV55" s="34" t="n"/>
      <c r="BW55" s="34" t="n"/>
      <c r="BX55" s="34" t="n"/>
      <c r="BY55" s="34" t="n"/>
      <c r="BZ55" s="153" t="n"/>
      <c r="CA55" s="153" t="n"/>
      <c r="CB55" s="153" t="n"/>
      <c r="CC55" s="153" t="n"/>
      <c r="CD55" s="153" t="n"/>
      <c r="CE55" s="153" t="n"/>
      <c r="CF55" s="153" t="n"/>
      <c r="CG55" s="153" t="n"/>
      <c r="CO55" s="25" t="inlineStr">
        <is>
          <t xml:space="preserve">  2031E</t>
        </is>
      </c>
      <c r="CP55" s="33">
        <f>CQ55+$CP$50</f>
        <v>0.01</v>
      </c>
      <c r="CQ55" s="42" t="n">
        <v>-0.04</v>
      </c>
      <c r="CR55" s="33">
        <f>CQ55+$CR$50</f>
        <v>-0.09</v>
      </c>
    </row>
    <row r="56" ht="15" customHeight="1" s="251">
      <c r="B56" s="156" t="inlineStr">
        <is>
          <t xml:space="preserve">    Analytic Software Tools (FY2006–09) / Tools (FY2010–16) — segment operating income</t>
        </is>
      </c>
      <c r="C56" s="253" t="n">
        <v>2.749</v>
      </c>
      <c r="D56" s="253" t="n">
        <v>1.071</v>
      </c>
      <c r="E56" s="253" t="n">
        <v>7.61</v>
      </c>
      <c r="F56" s="253" t="n">
        <v>7.72</v>
      </c>
      <c r="G56" s="253" t="n">
        <v>8.412000000000001</v>
      </c>
      <c r="H56" s="253" t="n">
        <v>13.69</v>
      </c>
      <c r="I56" s="253" t="n">
        <v>17.599</v>
      </c>
      <c r="J56" s="253" t="n">
        <v>3.461</v>
      </c>
      <c r="K56" s="253" t="n">
        <v>2.61</v>
      </c>
      <c r="L56" s="253" t="n">
        <v>4.068</v>
      </c>
      <c r="M56" s="253" t="n">
        <v>6.397</v>
      </c>
      <c r="N56" s="253" t="n">
        <v>16.536</v>
      </c>
      <c r="O56" s="253" t="n">
        <v>4.176</v>
      </c>
      <c r="P56" s="253" t="n">
        <v>1.19</v>
      </c>
      <c r="Q56" s="253" t="n">
        <v>-2.499</v>
      </c>
      <c r="R56" s="253" t="n">
        <v>1.336</v>
      </c>
      <c r="S56" s="253" t="n">
        <v>4.203</v>
      </c>
      <c r="T56" s="253" t="n">
        <v>0.572</v>
      </c>
      <c r="U56" s="253" t="n">
        <v>-5.203</v>
      </c>
      <c r="V56" s="253" t="n">
        <v>-2.076</v>
      </c>
      <c r="W56" s="253" t="n">
        <v>0.357</v>
      </c>
      <c r="X56" s="253" t="n">
        <v>-6.35</v>
      </c>
      <c r="Y56" s="253" t="n">
        <v>-1.361</v>
      </c>
      <c r="Z56" s="253" t="n">
        <v>-3.475</v>
      </c>
      <c r="AA56" s="253" t="n">
        <v>5.607</v>
      </c>
      <c r="AB56" s="34" t="n"/>
      <c r="AC56" s="34" t="n"/>
      <c r="AD56" s="34" t="n"/>
      <c r="AE56" s="34" t="n"/>
      <c r="AF56" s="34" t="n"/>
      <c r="AG56" s="34" t="n"/>
      <c r="AH56" s="34" t="n"/>
      <c r="AI56" s="34" t="n"/>
      <c r="AJ56" s="34" t="n"/>
      <c r="AK56" s="34" t="n"/>
      <c r="AL56" s="34" t="n"/>
      <c r="AM56" s="34" t="n"/>
      <c r="AN56" s="34" t="n"/>
      <c r="AO56" s="34" t="n"/>
      <c r="AP56" s="34" t="n"/>
      <c r="AQ56" s="34" t="n"/>
      <c r="AR56" s="34" t="n"/>
      <c r="AS56" s="34" t="n"/>
      <c r="AT56" s="34" t="n"/>
      <c r="AU56" s="34" t="n"/>
      <c r="AV56" s="34" t="n"/>
      <c r="AW56" s="34" t="n"/>
      <c r="AX56" s="34" t="n"/>
      <c r="AY56" s="34" t="n"/>
      <c r="AZ56" s="34" t="n"/>
      <c r="BA56" s="34" t="n"/>
      <c r="BB56" s="34" t="n"/>
      <c r="BC56" s="34" t="n"/>
      <c r="BD56" s="34" t="n"/>
      <c r="BE56" s="34" t="n"/>
      <c r="BF56" s="34" t="n"/>
      <c r="BG56" s="34" t="n"/>
      <c r="BH56" s="34" t="n"/>
      <c r="BI56" s="34" t="n"/>
      <c r="BJ56" s="34" t="n"/>
      <c r="BK56" s="34" t="n"/>
      <c r="BL56" s="34" t="n"/>
      <c r="BM56" s="34" t="n"/>
      <c r="BN56" s="34" t="n"/>
      <c r="BO56" s="34" t="n"/>
      <c r="BP56" s="34" t="n"/>
      <c r="BQ56" s="34" t="n"/>
      <c r="BR56" s="34" t="n"/>
      <c r="BS56" s="34" t="n"/>
      <c r="BT56" s="34" t="n"/>
      <c r="BU56" s="34" t="n"/>
      <c r="BV56" s="34" t="n"/>
      <c r="BW56" s="34" t="n"/>
      <c r="BX56" s="34" t="n"/>
      <c r="BY56" s="34" t="n"/>
      <c r="BZ56" s="153" t="n"/>
      <c r="CA56" s="153" t="n"/>
      <c r="CB56" s="153" t="n"/>
      <c r="CC56" s="153" t="n"/>
      <c r="CD56" s="153" t="n"/>
      <c r="CE56" s="153" t="n"/>
      <c r="CF56" s="153" t="n"/>
      <c r="CG56" s="153" t="n"/>
      <c r="CO56" s="15" t="inlineStr">
        <is>
          <t>SW_PS (professional services revenue y/y)</t>
        </is>
      </c>
      <c r="CP56" s="41" t="n">
        <v>0.03</v>
      </c>
      <c r="CQ56" s="21" t="inlineStr">
        <is>
          <t>Δ →</t>
        </is>
      </c>
      <c r="CR56" s="41" t="n">
        <v>-0.03</v>
      </c>
      <c r="CS56" s="13" t="inlineStr">
        <is>
          <t>9M FY26 −9%; FY25 −5%; FY22–25 declining as implementations move to partners.</t>
        </is>
      </c>
    </row>
    <row r="57" ht="15" customHeight="1" s="251">
      <c r="B57" s="156" t="inlineStr">
        <is>
          <t xml:space="preserve">    Decision Management Software (FY2016–Q3/21) — revenue</t>
        </is>
      </c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  <c r="AA57" s="34" t="n"/>
      <c r="AB57" s="253" t="n">
        <v>23.994</v>
      </c>
      <c r="AC57" s="253" t="n">
        <v>107.655</v>
      </c>
      <c r="AD57" s="253" t="n">
        <v>25.453</v>
      </c>
      <c r="AE57" s="253" t="n">
        <v>28.608</v>
      </c>
      <c r="AF57" s="253" t="n">
        <v>27.69</v>
      </c>
      <c r="AG57" s="253" t="n">
        <v>30.897</v>
      </c>
      <c r="AH57" s="253" t="n">
        <v>112.648</v>
      </c>
      <c r="AI57" s="253" t="n">
        <v>23.997</v>
      </c>
      <c r="AJ57" s="253" t="n">
        <v>23.249</v>
      </c>
      <c r="AK57" s="253" t="n">
        <v>25.782</v>
      </c>
      <c r="AL57" s="253" t="n">
        <v>31.228</v>
      </c>
      <c r="AM57" s="253" t="n">
        <v>104.256</v>
      </c>
      <c r="AN57" s="253" t="n">
        <v>28.914</v>
      </c>
      <c r="AO57" s="253" t="n">
        <v>32.016</v>
      </c>
      <c r="AP57" s="253" t="n">
        <v>33.466</v>
      </c>
      <c r="AQ57" s="253" t="n">
        <v>39.476</v>
      </c>
      <c r="AR57" s="253" t="n">
        <v>133.872</v>
      </c>
      <c r="AS57" s="253" t="n">
        <v>31.188</v>
      </c>
      <c r="AT57" s="253" t="n">
        <v>38.544</v>
      </c>
      <c r="AU57" s="253" t="n">
        <v>40.721</v>
      </c>
      <c r="AV57" s="253" t="n">
        <v>53.516</v>
      </c>
      <c r="AW57" s="253" t="n">
        <v>163.969</v>
      </c>
      <c r="AX57" s="253" t="n">
        <v>32.402</v>
      </c>
      <c r="AY57" s="253" t="n">
        <v>33.128</v>
      </c>
      <c r="AZ57" s="253" t="n">
        <v>32.769</v>
      </c>
      <c r="BA57" s="34" t="n"/>
      <c r="BB57" s="34" t="n"/>
      <c r="BC57" s="34" t="n"/>
      <c r="BD57" s="34" t="n"/>
      <c r="BE57" s="34" t="n"/>
      <c r="BF57" s="34" t="n"/>
      <c r="BG57" s="34" t="n"/>
      <c r="BH57" s="34" t="n"/>
      <c r="BI57" s="34" t="n"/>
      <c r="BJ57" s="34" t="n"/>
      <c r="BK57" s="34" t="n"/>
      <c r="BL57" s="34" t="n"/>
      <c r="BM57" s="34" t="n"/>
      <c r="BN57" s="34" t="n"/>
      <c r="BO57" s="34" t="n"/>
      <c r="BP57" s="34" t="n"/>
      <c r="BQ57" s="34" t="n"/>
      <c r="BR57" s="34" t="n"/>
      <c r="BS57" s="34" t="n"/>
      <c r="BT57" s="34" t="n"/>
      <c r="BU57" s="34" t="n"/>
      <c r="BV57" s="34" t="n"/>
      <c r="BW57" s="34" t="n"/>
      <c r="BX57" s="34" t="n"/>
      <c r="BY57" s="34" t="n"/>
      <c r="BZ57" s="153" t="n"/>
      <c r="CA57" s="153" t="n"/>
      <c r="CB57" s="153" t="n"/>
      <c r="CC57" s="153" t="n"/>
      <c r="CD57" s="153" t="n"/>
      <c r="CE57" s="153" t="n"/>
      <c r="CF57" s="153" t="n"/>
      <c r="CG57" s="153" t="n"/>
      <c r="CO57" s="25" t="inlineStr">
        <is>
          <t xml:space="preserve">  2027E</t>
        </is>
      </c>
      <c r="CP57" s="33">
        <f>CQ57+$CP$56</f>
        <v>-0.02</v>
      </c>
      <c r="CQ57" s="42" t="n">
        <v>-0.05</v>
      </c>
      <c r="CR57" s="33">
        <f>CQ57+$CR$56</f>
        <v>-0.08</v>
      </c>
    </row>
    <row r="58" ht="15" customHeight="1" s="251">
      <c r="B58" s="156" t="inlineStr">
        <is>
          <t xml:space="preserve">    Decision Management Software (FY2016–Q3/21) — segment operating income</t>
        </is>
      </c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  <c r="AA58" s="34" t="n"/>
      <c r="AB58" s="253" t="n">
        <v>-4.431</v>
      </c>
      <c r="AC58" s="253" t="n">
        <v>-3.66</v>
      </c>
      <c r="AD58" s="253" t="n">
        <v>-3.632</v>
      </c>
      <c r="AE58" s="253" t="n">
        <v>-2.544</v>
      </c>
      <c r="AF58" s="253" t="n">
        <v>-3.622</v>
      </c>
      <c r="AG58" s="253" t="n">
        <v>-1.02</v>
      </c>
      <c r="AH58" s="253" t="n">
        <v>-10.818</v>
      </c>
      <c r="AI58" s="253" t="n">
        <v>-7.856</v>
      </c>
      <c r="AJ58" s="253" t="n">
        <v>-8.664</v>
      </c>
      <c r="AK58" s="253" t="n">
        <v>-9.369</v>
      </c>
      <c r="AL58" s="253" t="n">
        <v>-4.758</v>
      </c>
      <c r="AM58" s="253" t="n">
        <v>-30.647</v>
      </c>
      <c r="AN58" s="253" t="n">
        <v>-10.648</v>
      </c>
      <c r="AO58" s="253" t="n">
        <v>-8.368</v>
      </c>
      <c r="AP58" s="253" t="n">
        <v>-8.763</v>
      </c>
      <c r="AQ58" s="253" t="n">
        <v>-7.337</v>
      </c>
      <c r="AR58" s="253" t="n">
        <v>-35.116</v>
      </c>
      <c r="AS58" s="253" t="n">
        <v>-19.457</v>
      </c>
      <c r="AT58" s="253" t="n">
        <v>-8.81</v>
      </c>
      <c r="AU58" s="253" t="n">
        <v>-3.118</v>
      </c>
      <c r="AV58" s="253" t="n">
        <v>7.91</v>
      </c>
      <c r="AW58" s="253" t="n">
        <v>-23.475</v>
      </c>
      <c r="AX58" s="253" t="n">
        <v>-14.818</v>
      </c>
      <c r="AY58" s="253" t="n">
        <v>-10.172</v>
      </c>
      <c r="AZ58" s="253" t="n">
        <v>-15.243</v>
      </c>
      <c r="BA58" s="34" t="n"/>
      <c r="BB58" s="34" t="n"/>
      <c r="BC58" s="34" t="n"/>
      <c r="BD58" s="34" t="n"/>
      <c r="BE58" s="34" t="n"/>
      <c r="BF58" s="34" t="n"/>
      <c r="BG58" s="34" t="n"/>
      <c r="BH58" s="34" t="n"/>
      <c r="BI58" s="34" t="n"/>
      <c r="BJ58" s="34" t="n"/>
      <c r="BK58" s="34" t="n"/>
      <c r="BL58" s="34" t="n"/>
      <c r="BM58" s="34" t="n"/>
      <c r="BN58" s="34" t="n"/>
      <c r="BO58" s="34" t="n"/>
      <c r="BP58" s="34" t="n"/>
      <c r="BQ58" s="34" t="n"/>
      <c r="BR58" s="34" t="n"/>
      <c r="BS58" s="34" t="n"/>
      <c r="BT58" s="34" t="n"/>
      <c r="BU58" s="34" t="n"/>
      <c r="BV58" s="34" t="n"/>
      <c r="BW58" s="34" t="n"/>
      <c r="BX58" s="34" t="n"/>
      <c r="BY58" s="34" t="n"/>
      <c r="BZ58" s="153" t="n"/>
      <c r="CA58" s="153" t="n"/>
      <c r="CB58" s="153" t="n"/>
      <c r="CC58" s="153" t="n"/>
      <c r="CD58" s="153" t="n"/>
      <c r="CE58" s="153" t="n"/>
      <c r="CF58" s="153" t="n"/>
      <c r="CG58" s="153" t="n"/>
      <c r="CO58" s="25" t="inlineStr">
        <is>
          <t xml:space="preserve">  2028E</t>
        </is>
      </c>
      <c r="CP58" s="33">
        <f>CQ58+$CP$56</f>
        <v>0</v>
      </c>
      <c r="CQ58" s="42" t="n">
        <v>-0.03</v>
      </c>
      <c r="CR58" s="33">
        <f>CQ58+$CR$56</f>
        <v>-0.06</v>
      </c>
    </row>
    <row r="59" ht="15" customHeight="1" s="251">
      <c r="B59" s="57" t="inlineStr">
        <is>
          <t xml:space="preserve">    Check: legacy software segments vs Software revenue (should be 0)</t>
        </is>
      </c>
      <c r="C59" s="262">
        <f>IF(OR(ISNUMBER(C49),ISNUMBER(C51),ISNUMBER(C53),ISNUMBER(C55),ISNUMBER(C57)),IF(ABS(N(C49)+N(C51)+N(C53)+N(C55)+N(C57)-C42)&lt;=0.15,0,ROUND(N(C49)+N(C51)+N(C53)+N(C55)+N(C57)-C42,1)),"")</f>
        <v>0</v>
      </c>
      <c r="D59" s="262">
        <f>IF(OR(ISNUMBER(D49),ISNUMBER(D51),ISNUMBER(D53),ISNUMBER(D55),ISNUMBER(D57)),IF(ABS(N(D49)+N(D51)+N(D53)+N(D55)+N(D57)-D42)&lt;=0.15,0,ROUND(N(D49)+N(D51)+N(D53)+N(D55)+N(D57)-D42,1)),"")</f>
        <v>0</v>
      </c>
      <c r="E59" s="262">
        <f>IF(OR(ISNUMBER(E49),ISNUMBER(E51),ISNUMBER(E53),ISNUMBER(E55),ISNUMBER(E57)),IF(ABS(N(E49)+N(E51)+N(E53)+N(E55)+N(E57)-E42)&lt;=0.15,0,ROUND(N(E49)+N(E51)+N(E53)+N(E55)+N(E57)-E42,1)),"")</f>
        <v>0</v>
      </c>
      <c r="F59" s="262">
        <f>IF(OR(ISNUMBER(F49),ISNUMBER(F51),ISNUMBER(F53),ISNUMBER(F55),ISNUMBER(F57)),IF(ABS(N(F49)+N(F51)+N(F53)+N(F55)+N(F57)-F42)&lt;=0.15,0,ROUND(N(F49)+N(F51)+N(F53)+N(F55)+N(F57)-F42,1)),"")</f>
        <v>0</v>
      </c>
      <c r="G59" s="262">
        <f>IF(OR(ISNUMBER(G49),ISNUMBER(G51),ISNUMBER(G53),ISNUMBER(G55),ISNUMBER(G57)),IF(ABS(N(G49)+N(G51)+N(G53)+N(G55)+N(G57)-G42)&lt;=0.15,0,ROUND(N(G49)+N(G51)+N(G53)+N(G55)+N(G57)-G42,1)),"")</f>
        <v>0</v>
      </c>
      <c r="H59" s="262">
        <f>IF(OR(ISNUMBER(H49),ISNUMBER(H51),ISNUMBER(H53),ISNUMBER(H55),ISNUMBER(H57)),IF(ABS(N(H49)+N(H51)+N(H53)+N(H55)+N(H57)-H42)&lt;=0.15,0,ROUND(N(H49)+N(H51)+N(H53)+N(H55)+N(H57)-H42,1)),"")</f>
        <v>0</v>
      </c>
      <c r="I59" s="262">
        <f>IF(OR(ISNUMBER(I49),ISNUMBER(I51),ISNUMBER(I53),ISNUMBER(I55),ISNUMBER(I57)),IF(ABS(N(I49)+N(I51)+N(I53)+N(I55)+N(I57)-I42)&lt;=0.15,0,ROUND(N(I49)+N(I51)+N(I53)+N(I55)+N(I57)-I42,1)),"")</f>
        <v>0</v>
      </c>
      <c r="J59" s="262">
        <f>IF(OR(ISNUMBER(J49),ISNUMBER(J51),ISNUMBER(J53),ISNUMBER(J55),ISNUMBER(J57)),IF(ABS(N(J49)+N(J51)+N(J53)+N(J55)+N(J57)-J42)&lt;=0.15,0,ROUND(N(J49)+N(J51)+N(J53)+N(J55)+N(J57)-J42,1)),"")</f>
        <v>0</v>
      </c>
      <c r="K59" s="262">
        <f>IF(OR(ISNUMBER(K49),ISNUMBER(K51),ISNUMBER(K53),ISNUMBER(K55),ISNUMBER(K57)),IF(ABS(N(K49)+N(K51)+N(K53)+N(K55)+N(K57)-K42)&lt;=0.15,0,ROUND(N(K49)+N(K51)+N(K53)+N(K55)+N(K57)-K42,1)),"")</f>
        <v>0</v>
      </c>
      <c r="L59" s="262">
        <f>IF(OR(ISNUMBER(L49),ISNUMBER(L51),ISNUMBER(L53),ISNUMBER(L55),ISNUMBER(L57)),IF(ABS(N(L49)+N(L51)+N(L53)+N(L55)+N(L57)-L42)&lt;=0.15,0,ROUND(N(L49)+N(L51)+N(L53)+N(L55)+N(L57)-L42,1)),"")</f>
        <v>0</v>
      </c>
      <c r="M59" s="262">
        <f>IF(OR(ISNUMBER(M49),ISNUMBER(M51),ISNUMBER(M53),ISNUMBER(M55),ISNUMBER(M57)),IF(ABS(N(M49)+N(M51)+N(M53)+N(M55)+N(M57)-M42)&lt;=0.15,0,ROUND(N(M49)+N(M51)+N(M53)+N(M55)+N(M57)-M42,1)),"")</f>
        <v>0</v>
      </c>
      <c r="N59" s="262">
        <f>IF(OR(ISNUMBER(N49),ISNUMBER(N51),ISNUMBER(N53),ISNUMBER(N55),ISNUMBER(N57)),IF(ABS(N(N49)+N(N51)+N(N53)+N(N55)+N(N57)-N42)&lt;=0.15,0,ROUND(N(N49)+N(N51)+N(N53)+N(N55)+N(N57)-N42,1)),"")</f>
        <v>0</v>
      </c>
      <c r="O59" s="262">
        <f>IF(OR(ISNUMBER(O49),ISNUMBER(O51),ISNUMBER(O53),ISNUMBER(O55),ISNUMBER(O57)),IF(ABS(N(O49)+N(O51)+N(O53)+N(O55)+N(O57)-O42)&lt;=0.15,0,ROUND(N(O49)+N(O51)+N(O53)+N(O55)+N(O57)-O42,1)),"")</f>
        <v>0</v>
      </c>
      <c r="P59" s="262">
        <f>IF(OR(ISNUMBER(P49),ISNUMBER(P51),ISNUMBER(P53),ISNUMBER(P55),ISNUMBER(P57)),IF(ABS(N(P49)+N(P51)+N(P53)+N(P55)+N(P57)-P42)&lt;=0.15,0,ROUND(N(P49)+N(P51)+N(P53)+N(P55)+N(P57)-P42,1)),"")</f>
        <v>0</v>
      </c>
      <c r="Q59" s="262">
        <f>IF(OR(ISNUMBER(Q49),ISNUMBER(Q51),ISNUMBER(Q53),ISNUMBER(Q55),ISNUMBER(Q57)),IF(ABS(N(Q49)+N(Q51)+N(Q53)+N(Q55)+N(Q57)-Q42)&lt;=0.15,0,ROUND(N(Q49)+N(Q51)+N(Q53)+N(Q55)+N(Q57)-Q42,1)),"")</f>
        <v>0</v>
      </c>
      <c r="R59" s="262">
        <f>IF(OR(ISNUMBER(R49),ISNUMBER(R51),ISNUMBER(R53),ISNUMBER(R55),ISNUMBER(R57)),IF(ABS(N(R49)+N(R51)+N(R53)+N(R55)+N(R57)-R42)&lt;=0.15,0,ROUND(N(R49)+N(R51)+N(R53)+N(R55)+N(R57)-R42,1)),"")</f>
        <v>0</v>
      </c>
      <c r="S59" s="262">
        <f>IF(OR(ISNUMBER(S49),ISNUMBER(S51),ISNUMBER(S53),ISNUMBER(S55),ISNUMBER(S57)),IF(ABS(N(S49)+N(S51)+N(S53)+N(S55)+N(S57)-S42)&lt;=0.15,0,ROUND(N(S49)+N(S51)+N(S53)+N(S55)+N(S57)-S42,1)),"")</f>
        <v>0</v>
      </c>
      <c r="T59" s="262">
        <f>IF(OR(ISNUMBER(T49),ISNUMBER(T51),ISNUMBER(T53),ISNUMBER(T55),ISNUMBER(T57)),IF(ABS(N(T49)+N(T51)+N(T53)+N(T55)+N(T57)-T42)&lt;=0.15,0,ROUND(N(T49)+N(T51)+N(T53)+N(T55)+N(T57)-T42,1)),"")</f>
        <v>0</v>
      </c>
      <c r="U59" s="262">
        <f>IF(OR(ISNUMBER(U49),ISNUMBER(U51),ISNUMBER(U53),ISNUMBER(U55),ISNUMBER(U57)),IF(ABS(N(U49)+N(U51)+N(U53)+N(U55)+N(U57)-U42)&lt;=0.15,0,ROUND(N(U49)+N(U51)+N(U53)+N(U55)+N(U57)-U42,1)),"")</f>
        <v>0</v>
      </c>
      <c r="V59" s="262">
        <f>IF(OR(ISNUMBER(V49),ISNUMBER(V51),ISNUMBER(V53),ISNUMBER(V55),ISNUMBER(V57)),IF(ABS(N(V49)+N(V51)+N(V53)+N(V55)+N(V57)-V42)&lt;=0.15,0,ROUND(N(V49)+N(V51)+N(V53)+N(V55)+N(V57)-V42,1)),"")</f>
        <v>0</v>
      </c>
      <c r="W59" s="262">
        <f>IF(OR(ISNUMBER(W49),ISNUMBER(W51),ISNUMBER(W53),ISNUMBER(W55),ISNUMBER(W57)),IF(ABS(N(W49)+N(W51)+N(W53)+N(W55)+N(W57)-W42)&lt;=0.15,0,ROUND(N(W49)+N(W51)+N(W53)+N(W55)+N(W57)-W42,1)),"")</f>
        <v>0</v>
      </c>
      <c r="X59" s="262">
        <f>IF(OR(ISNUMBER(X49),ISNUMBER(X51),ISNUMBER(X53),ISNUMBER(X55),ISNUMBER(X57)),IF(ABS(N(X49)+N(X51)+N(X53)+N(X55)+N(X57)-X42)&lt;=0.15,0,ROUND(N(X49)+N(X51)+N(X53)+N(X55)+N(X57)-X42,1)),"")</f>
        <v>0</v>
      </c>
      <c r="Y59" s="262">
        <f>IF(OR(ISNUMBER(Y49),ISNUMBER(Y51),ISNUMBER(Y53),ISNUMBER(Y55),ISNUMBER(Y57)),IF(ABS(N(Y49)+N(Y51)+N(Y53)+N(Y55)+N(Y57)-Y42)&lt;=0.15,0,ROUND(N(Y49)+N(Y51)+N(Y53)+N(Y55)+N(Y57)-Y42,1)),"")</f>
        <v>0</v>
      </c>
      <c r="Z59" s="262">
        <f>IF(OR(ISNUMBER(Z49),ISNUMBER(Z51),ISNUMBER(Z53),ISNUMBER(Z55),ISNUMBER(Z57)),IF(ABS(N(Z49)+N(Z51)+N(Z53)+N(Z55)+N(Z57)-Z42)&lt;=0.15,0,ROUND(N(Z49)+N(Z51)+N(Z53)+N(Z55)+N(Z57)-Z42,1)),"")</f>
        <v>0</v>
      </c>
      <c r="AA59" s="262">
        <f>IF(OR(ISNUMBER(AA49),ISNUMBER(AA51),ISNUMBER(AA53),ISNUMBER(AA55),ISNUMBER(AA57)),IF(ABS(N(AA49)+N(AA51)+N(AA53)+N(AA55)+N(AA57)-AA42)&lt;=0.15,0,ROUND(N(AA49)+N(AA51)+N(AA53)+N(AA55)+N(AA57)-AA42,1)),"")</f>
        <v>0</v>
      </c>
      <c r="AB59" s="262">
        <f>IF(OR(ISNUMBER(AB49),ISNUMBER(AB51),ISNUMBER(AB53),ISNUMBER(AB55),ISNUMBER(AB57)),IF(ABS(N(AB49)+N(AB51)+N(AB53)+N(AB55)+N(AB57)-AB42)&lt;=0.15,0,ROUND(N(AB49)+N(AB51)+N(AB53)+N(AB55)+N(AB57)-AB42,1)),"")</f>
        <v>0</v>
      </c>
      <c r="AC59" s="262">
        <f>IF(OR(ISNUMBER(AC49),ISNUMBER(AC51),ISNUMBER(AC53),ISNUMBER(AC55),ISNUMBER(AC57)),IF(ABS(N(AC49)+N(AC51)+N(AC53)+N(AC55)+N(AC57)-AC42)&lt;=0.15,0,ROUND(N(AC49)+N(AC51)+N(AC53)+N(AC55)+N(AC57)-AC42,1)),"")</f>
        <v>0</v>
      </c>
      <c r="AD59" s="262">
        <f>IF(OR(ISNUMBER(AD49),ISNUMBER(AD51),ISNUMBER(AD53),ISNUMBER(AD55),ISNUMBER(AD57)),IF(ABS(N(AD49)+N(AD51)+N(AD53)+N(AD55)+N(AD57)-AD42)&lt;=0.15,0,ROUND(N(AD49)+N(AD51)+N(AD53)+N(AD55)+N(AD57)-AD42,1)),"")</f>
        <v>0</v>
      </c>
      <c r="AE59" s="262">
        <f>IF(OR(ISNUMBER(AE49),ISNUMBER(AE51),ISNUMBER(AE53),ISNUMBER(AE55),ISNUMBER(AE57)),IF(ABS(N(AE49)+N(AE51)+N(AE53)+N(AE55)+N(AE57)-AE42)&lt;=0.15,0,ROUND(N(AE49)+N(AE51)+N(AE53)+N(AE55)+N(AE57)-AE42,1)),"")</f>
        <v>0</v>
      </c>
      <c r="AF59" s="262">
        <f>IF(OR(ISNUMBER(AF49),ISNUMBER(AF51),ISNUMBER(AF53),ISNUMBER(AF55),ISNUMBER(AF57)),IF(ABS(N(AF49)+N(AF51)+N(AF53)+N(AF55)+N(AF57)-AF42)&lt;=0.15,0,ROUND(N(AF49)+N(AF51)+N(AF53)+N(AF55)+N(AF57)-AF42,1)),"")</f>
        <v>0</v>
      </c>
      <c r="AG59" s="262">
        <f>IF(OR(ISNUMBER(AG49),ISNUMBER(AG51),ISNUMBER(AG53),ISNUMBER(AG55),ISNUMBER(AG57)),IF(ABS(N(AG49)+N(AG51)+N(AG53)+N(AG55)+N(AG57)-AG42)&lt;=0.15,0,ROUND(N(AG49)+N(AG51)+N(AG53)+N(AG55)+N(AG57)-AG42,1)),"")</f>
        <v>0</v>
      </c>
      <c r="AH59" s="262">
        <f>IF(OR(ISNUMBER(AH49),ISNUMBER(AH51),ISNUMBER(AH53),ISNUMBER(AH55),ISNUMBER(AH57)),IF(ABS(N(AH49)+N(AH51)+N(AH53)+N(AH55)+N(AH57)-AH42)&lt;=0.15,0,ROUND(N(AH49)+N(AH51)+N(AH53)+N(AH55)+N(AH57)-AH42,1)),"")</f>
        <v>0</v>
      </c>
      <c r="AI59" s="262">
        <f>IF(OR(ISNUMBER(AI49),ISNUMBER(AI51),ISNUMBER(AI53),ISNUMBER(AI55),ISNUMBER(AI57)),IF(ABS(N(AI49)+N(AI51)+N(AI53)+N(AI55)+N(AI57)-AI42)&lt;=0.15,0,ROUND(N(AI49)+N(AI51)+N(AI53)+N(AI55)+N(AI57)-AI42,1)),"")</f>
        <v>0</v>
      </c>
      <c r="AJ59" s="262">
        <f>IF(OR(ISNUMBER(AJ49),ISNUMBER(AJ51),ISNUMBER(AJ53),ISNUMBER(AJ55),ISNUMBER(AJ57)),IF(ABS(N(AJ49)+N(AJ51)+N(AJ53)+N(AJ55)+N(AJ57)-AJ42)&lt;=0.15,0,ROUND(N(AJ49)+N(AJ51)+N(AJ53)+N(AJ55)+N(AJ57)-AJ42,1)),"")</f>
        <v>0</v>
      </c>
      <c r="AK59" s="262">
        <f>IF(OR(ISNUMBER(AK49),ISNUMBER(AK51),ISNUMBER(AK53),ISNUMBER(AK55),ISNUMBER(AK57)),IF(ABS(N(AK49)+N(AK51)+N(AK53)+N(AK55)+N(AK57)-AK42)&lt;=0.15,0,ROUND(N(AK49)+N(AK51)+N(AK53)+N(AK55)+N(AK57)-AK42,1)),"")</f>
        <v>0</v>
      </c>
      <c r="AL59" s="262">
        <f>IF(OR(ISNUMBER(AL49),ISNUMBER(AL51),ISNUMBER(AL53),ISNUMBER(AL55),ISNUMBER(AL57)),IF(ABS(N(AL49)+N(AL51)+N(AL53)+N(AL55)+N(AL57)-AL42)&lt;=0.15,0,ROUND(N(AL49)+N(AL51)+N(AL53)+N(AL55)+N(AL57)-AL42,1)),"")</f>
        <v>0</v>
      </c>
      <c r="AM59" s="262">
        <f>IF(OR(ISNUMBER(AM49),ISNUMBER(AM51),ISNUMBER(AM53),ISNUMBER(AM55),ISNUMBER(AM57)),IF(ABS(N(AM49)+N(AM51)+N(AM53)+N(AM55)+N(AM57)-AM42)&lt;=0.15,0,ROUND(N(AM49)+N(AM51)+N(AM53)+N(AM55)+N(AM57)-AM42,1)),"")</f>
        <v>0</v>
      </c>
      <c r="AN59" s="262">
        <f>IF(OR(ISNUMBER(AN49),ISNUMBER(AN51),ISNUMBER(AN53),ISNUMBER(AN55),ISNUMBER(AN57)),IF(ABS(N(AN49)+N(AN51)+N(AN53)+N(AN55)+N(AN57)-AN42)&lt;=0.15,0,ROUND(N(AN49)+N(AN51)+N(AN53)+N(AN55)+N(AN57)-AN42,1)),"")</f>
        <v>0</v>
      </c>
      <c r="AO59" s="262">
        <f>IF(OR(ISNUMBER(AO49),ISNUMBER(AO51),ISNUMBER(AO53),ISNUMBER(AO55),ISNUMBER(AO57)),IF(ABS(N(AO49)+N(AO51)+N(AO53)+N(AO55)+N(AO57)-AO42)&lt;=0.15,0,ROUND(N(AO49)+N(AO51)+N(AO53)+N(AO55)+N(AO57)-AO42,1)),"")</f>
        <v>0</v>
      </c>
      <c r="AP59" s="262">
        <f>IF(OR(ISNUMBER(AP49),ISNUMBER(AP51),ISNUMBER(AP53),ISNUMBER(AP55),ISNUMBER(AP57)),IF(ABS(N(AP49)+N(AP51)+N(AP53)+N(AP55)+N(AP57)-AP42)&lt;=0.15,0,ROUND(N(AP49)+N(AP51)+N(AP53)+N(AP55)+N(AP57)-AP42,1)),"")</f>
        <v>0</v>
      </c>
      <c r="AQ59" s="262">
        <f>IF(OR(ISNUMBER(AQ49),ISNUMBER(AQ51),ISNUMBER(AQ53),ISNUMBER(AQ55),ISNUMBER(AQ57)),IF(ABS(N(AQ49)+N(AQ51)+N(AQ53)+N(AQ55)+N(AQ57)-AQ42)&lt;=0.15,0,ROUND(N(AQ49)+N(AQ51)+N(AQ53)+N(AQ55)+N(AQ57)-AQ42,1)),"")</f>
        <v>0</v>
      </c>
      <c r="AR59" s="262">
        <f>IF(OR(ISNUMBER(AR49),ISNUMBER(AR51),ISNUMBER(AR53),ISNUMBER(AR55),ISNUMBER(AR57)),IF(ABS(N(AR49)+N(AR51)+N(AR53)+N(AR55)+N(AR57)-AR42)&lt;=0.15,0,ROUND(N(AR49)+N(AR51)+N(AR53)+N(AR55)+N(AR57)-AR42,1)),"")</f>
        <v>0</v>
      </c>
      <c r="AS59" s="262">
        <f>IF(OR(ISNUMBER(AS49),ISNUMBER(AS51),ISNUMBER(AS53),ISNUMBER(AS55),ISNUMBER(AS57)),IF(ABS(N(AS49)+N(AS51)+N(AS53)+N(AS55)+N(AS57)-AS42)&lt;=0.15,0,ROUND(N(AS49)+N(AS51)+N(AS53)+N(AS55)+N(AS57)-AS42,1)),"")</f>
        <v>0</v>
      </c>
      <c r="AT59" s="262">
        <f>IF(OR(ISNUMBER(AT49),ISNUMBER(AT51),ISNUMBER(AT53),ISNUMBER(AT55),ISNUMBER(AT57)),IF(ABS(N(AT49)+N(AT51)+N(AT53)+N(AT55)+N(AT57)-AT42)&lt;=0.15,0,ROUND(N(AT49)+N(AT51)+N(AT53)+N(AT55)+N(AT57)-AT42,1)),"")</f>
        <v>0</v>
      </c>
      <c r="AU59" s="262">
        <f>IF(OR(ISNUMBER(AU49),ISNUMBER(AU51),ISNUMBER(AU53),ISNUMBER(AU55),ISNUMBER(AU57)),IF(ABS(N(AU49)+N(AU51)+N(AU53)+N(AU55)+N(AU57)-AU42)&lt;=0.15,0,ROUND(N(AU49)+N(AU51)+N(AU53)+N(AU55)+N(AU57)-AU42,1)),"")</f>
        <v>0</v>
      </c>
      <c r="AV59" s="262">
        <f>IF(OR(ISNUMBER(AV49),ISNUMBER(AV51),ISNUMBER(AV53),ISNUMBER(AV55),ISNUMBER(AV57)),IF(ABS(N(AV49)+N(AV51)+N(AV53)+N(AV55)+N(AV57)-AV42)&lt;=0.15,0,ROUND(N(AV49)+N(AV51)+N(AV53)+N(AV55)+N(AV57)-AV42,1)),"")</f>
        <v>0</v>
      </c>
      <c r="AW59" s="262">
        <f>IF(OR(ISNUMBER(AW49),ISNUMBER(AW51),ISNUMBER(AW53),ISNUMBER(AW55),ISNUMBER(AW57)),IF(ABS(N(AW49)+N(AW51)+N(AW53)+N(AW55)+N(AW57)-AW42)&lt;=0.15,0,ROUND(N(AW49)+N(AW51)+N(AW53)+N(AW55)+N(AW57)-AW42,1)),"")</f>
        <v>0</v>
      </c>
      <c r="AX59" s="262">
        <f>IF(OR(ISNUMBER(AX49),ISNUMBER(AX51),ISNUMBER(AX53),ISNUMBER(AX55),ISNUMBER(AX57)),IF(ABS(N(AX49)+N(AX51)+N(AX53)+N(AX55)+N(AX57)-AX42)&lt;=0.15,0,ROUND(N(AX49)+N(AX51)+N(AX53)+N(AX55)+N(AX57)-AX42,1)),"")</f>
        <v>0</v>
      </c>
      <c r="AY59" s="262">
        <f>IF(OR(ISNUMBER(AY49),ISNUMBER(AY51),ISNUMBER(AY53),ISNUMBER(AY55),ISNUMBER(AY57)),IF(ABS(N(AY49)+N(AY51)+N(AY53)+N(AY55)+N(AY57)-AY42)&lt;=0.15,0,ROUND(N(AY49)+N(AY51)+N(AY53)+N(AY55)+N(AY57)-AY42,1)),"")</f>
        <v>0</v>
      </c>
      <c r="AZ59" s="262">
        <f>IF(OR(ISNUMBER(AZ49),ISNUMBER(AZ51),ISNUMBER(AZ53),ISNUMBER(AZ55),ISNUMBER(AZ57)),IF(ABS(N(AZ49)+N(AZ51)+N(AZ53)+N(AZ55)+N(AZ57)-AZ42)&lt;=0.15,0,ROUND(N(AZ49)+N(AZ51)+N(AZ53)+N(AZ55)+N(AZ57)-AZ42,1)),"")</f>
        <v>0</v>
      </c>
      <c r="BA59" s="262">
        <f>IF(OR(ISNUMBER(BA49),ISNUMBER(BA51),ISNUMBER(BA53),ISNUMBER(BA55),ISNUMBER(BA57)),IF(ABS(N(BA49)+N(BA51)+N(BA53)+N(BA55)+N(BA57)-BA42)&lt;=0.15,0,ROUND(N(BA49)+N(BA51)+N(BA53)+N(BA55)+N(BA57)-BA42,1)),"")</f>
      </c>
      <c r="BB59" s="262">
        <f>IF(OR(ISNUMBER(BB49),ISNUMBER(BB51),ISNUMBER(BB53),ISNUMBER(BB55),ISNUMBER(BB57)),IF(ABS(N(BB49)+N(BB51)+N(BB53)+N(BB55)+N(BB57)-BB42)&lt;=0.15,0,ROUND(N(BB49)+N(BB51)+N(BB53)+N(BB55)+N(BB57)-BB42,1)),"")</f>
      </c>
      <c r="BC59" s="262">
        <f>IF(OR(ISNUMBER(BC49),ISNUMBER(BC51),ISNUMBER(BC53),ISNUMBER(BC55),ISNUMBER(BC57)),IF(ABS(N(BC49)+N(BC51)+N(BC53)+N(BC55)+N(BC57)-BC42)&lt;=0.15,0,ROUND(N(BC49)+N(BC51)+N(BC53)+N(BC55)+N(BC57)-BC42,1)),"")</f>
      </c>
      <c r="BD59" s="262">
        <f>IF(OR(ISNUMBER(BD49),ISNUMBER(BD51),ISNUMBER(BD53),ISNUMBER(BD55),ISNUMBER(BD57)),IF(ABS(N(BD49)+N(BD51)+N(BD53)+N(BD55)+N(BD57)-BD42)&lt;=0.15,0,ROUND(N(BD49)+N(BD51)+N(BD53)+N(BD55)+N(BD57)-BD42,1)),"")</f>
      </c>
      <c r="BE59" s="262">
        <f>IF(OR(ISNUMBER(BE49),ISNUMBER(BE51),ISNUMBER(BE53),ISNUMBER(BE55),ISNUMBER(BE57)),IF(ABS(N(BE49)+N(BE51)+N(BE53)+N(BE55)+N(BE57)-BE42)&lt;=0.15,0,ROUND(N(BE49)+N(BE51)+N(BE53)+N(BE55)+N(BE57)-BE42,1)),"")</f>
      </c>
      <c r="BF59" s="262">
        <f>IF(OR(ISNUMBER(BF49),ISNUMBER(BF51),ISNUMBER(BF53),ISNUMBER(BF55),ISNUMBER(BF57)),IF(ABS(N(BF49)+N(BF51)+N(BF53)+N(BF55)+N(BF57)-BF42)&lt;=0.15,0,ROUND(N(BF49)+N(BF51)+N(BF53)+N(BF55)+N(BF57)-BF42,1)),"")</f>
      </c>
      <c r="BG59" s="262">
        <f>IF(OR(ISNUMBER(BG49),ISNUMBER(BG51),ISNUMBER(BG53),ISNUMBER(BG55),ISNUMBER(BG57)),IF(ABS(N(BG49)+N(BG51)+N(BG53)+N(BG55)+N(BG57)-BG42)&lt;=0.15,0,ROUND(N(BG49)+N(BG51)+N(BG53)+N(BG55)+N(BG57)-BG42,1)),"")</f>
      </c>
      <c r="BH59" s="262">
        <f>IF(OR(ISNUMBER(BH49),ISNUMBER(BH51),ISNUMBER(BH53),ISNUMBER(BH55),ISNUMBER(BH57)),IF(ABS(N(BH49)+N(BH51)+N(BH53)+N(BH55)+N(BH57)-BH42)&lt;=0.15,0,ROUND(N(BH49)+N(BH51)+N(BH53)+N(BH55)+N(BH57)-BH42,1)),"")</f>
      </c>
      <c r="BI59" s="262">
        <f>IF(OR(ISNUMBER(BI49),ISNUMBER(BI51),ISNUMBER(BI53),ISNUMBER(BI55),ISNUMBER(BI57)),IF(ABS(N(BI49)+N(BI51)+N(BI53)+N(BI55)+N(BI57)-BI42)&lt;=0.15,0,ROUND(N(BI49)+N(BI51)+N(BI53)+N(BI55)+N(BI57)-BI42,1)),"")</f>
      </c>
      <c r="BJ59" s="262">
        <f>IF(OR(ISNUMBER(BJ49),ISNUMBER(BJ51),ISNUMBER(BJ53),ISNUMBER(BJ55),ISNUMBER(BJ57)),IF(ABS(N(BJ49)+N(BJ51)+N(BJ53)+N(BJ55)+N(BJ57)-BJ42)&lt;=0.15,0,ROUND(N(BJ49)+N(BJ51)+N(BJ53)+N(BJ55)+N(BJ57)-BJ42,1)),"")</f>
      </c>
      <c r="BK59" s="262">
        <f>IF(OR(ISNUMBER(BK49),ISNUMBER(BK51),ISNUMBER(BK53),ISNUMBER(BK55),ISNUMBER(BK57)),IF(ABS(N(BK49)+N(BK51)+N(BK53)+N(BK55)+N(BK57)-BK42)&lt;=0.15,0,ROUND(N(BK49)+N(BK51)+N(BK53)+N(BK55)+N(BK57)-BK42,1)),"")</f>
      </c>
      <c r="BL59" s="262">
        <f>IF(OR(ISNUMBER(BL49),ISNUMBER(BL51),ISNUMBER(BL53),ISNUMBER(BL55),ISNUMBER(BL57)),IF(ABS(N(BL49)+N(BL51)+N(BL53)+N(BL55)+N(BL57)-BL42)&lt;=0.15,0,ROUND(N(BL49)+N(BL51)+N(BL53)+N(BL55)+N(BL57)-BL42,1)),"")</f>
      </c>
      <c r="BM59" s="262">
        <f>IF(OR(ISNUMBER(BM49),ISNUMBER(BM51),ISNUMBER(BM53),ISNUMBER(BM55),ISNUMBER(BM57)),IF(ABS(N(BM49)+N(BM51)+N(BM53)+N(BM55)+N(BM57)-BM42)&lt;=0.15,0,ROUND(N(BM49)+N(BM51)+N(BM53)+N(BM55)+N(BM57)-BM42,1)),"")</f>
      </c>
      <c r="BN59" s="262">
        <f>IF(OR(ISNUMBER(BN49),ISNUMBER(BN51),ISNUMBER(BN53),ISNUMBER(BN55),ISNUMBER(BN57)),IF(ABS(N(BN49)+N(BN51)+N(BN53)+N(BN55)+N(BN57)-BN42)&lt;=0.15,0,ROUND(N(BN49)+N(BN51)+N(BN53)+N(BN55)+N(BN57)-BN42,1)),"")</f>
      </c>
      <c r="BO59" s="262">
        <f>IF(OR(ISNUMBER(BO49),ISNUMBER(BO51),ISNUMBER(BO53),ISNUMBER(BO55),ISNUMBER(BO57)),IF(ABS(N(BO49)+N(BO51)+N(BO53)+N(BO55)+N(BO57)-BO42)&lt;=0.15,0,ROUND(N(BO49)+N(BO51)+N(BO53)+N(BO55)+N(BO57)-BO42,1)),"")</f>
      </c>
      <c r="BP59" s="262">
        <f>IF(OR(ISNUMBER(BP49),ISNUMBER(BP51),ISNUMBER(BP53),ISNUMBER(BP55),ISNUMBER(BP57)),IF(ABS(N(BP49)+N(BP51)+N(BP53)+N(BP55)+N(BP57)-BP42)&lt;=0.15,0,ROUND(N(BP49)+N(BP51)+N(BP53)+N(BP55)+N(BP57)-BP42,1)),"")</f>
      </c>
      <c r="BQ59" s="262">
        <f>IF(OR(ISNUMBER(BQ49),ISNUMBER(BQ51),ISNUMBER(BQ53),ISNUMBER(BQ55),ISNUMBER(BQ57)),IF(ABS(N(BQ49)+N(BQ51)+N(BQ53)+N(BQ55)+N(BQ57)-BQ42)&lt;=0.15,0,ROUND(N(BQ49)+N(BQ51)+N(BQ53)+N(BQ55)+N(BQ57)-BQ42,1)),"")</f>
      </c>
      <c r="BR59" s="262">
        <f>IF(OR(ISNUMBER(BR49),ISNUMBER(BR51),ISNUMBER(BR53),ISNUMBER(BR55),ISNUMBER(BR57)),IF(ABS(N(BR49)+N(BR51)+N(BR53)+N(BR55)+N(BR57)-BR42)&lt;=0.15,0,ROUND(N(BR49)+N(BR51)+N(BR53)+N(BR55)+N(BR57)-BR42,1)),"")</f>
      </c>
      <c r="BS59" s="262">
        <f>IF(OR(ISNUMBER(BS49),ISNUMBER(BS51),ISNUMBER(BS53),ISNUMBER(BS55),ISNUMBER(BS57)),IF(ABS(N(BS49)+N(BS51)+N(BS53)+N(BS55)+N(BS57)-BS42)&lt;=0.15,0,ROUND(N(BS49)+N(BS51)+N(BS53)+N(BS55)+N(BS57)-BS42,1)),"")</f>
      </c>
      <c r="BT59" s="262">
        <f>IF(OR(ISNUMBER(BT49),ISNUMBER(BT51),ISNUMBER(BT53),ISNUMBER(BT55),ISNUMBER(BT57)),IF(ABS(N(BT49)+N(BT51)+N(BT53)+N(BT55)+N(BT57)-BT42)&lt;=0.15,0,ROUND(N(BT49)+N(BT51)+N(BT53)+N(BT55)+N(BT57)-BT42,1)),"")</f>
      </c>
      <c r="BU59" s="262">
        <f>IF(OR(ISNUMBER(BU49),ISNUMBER(BU51),ISNUMBER(BU53),ISNUMBER(BU55),ISNUMBER(BU57)),IF(ABS(N(BU49)+N(BU51)+N(BU53)+N(BU55)+N(BU57)-BU42)&lt;=0.15,0,ROUND(N(BU49)+N(BU51)+N(BU53)+N(BU55)+N(BU57)-BU42,1)),"")</f>
      </c>
      <c r="BV59" s="262">
        <f>IF(OR(ISNUMBER(BV49),ISNUMBER(BV51),ISNUMBER(BV53),ISNUMBER(BV55),ISNUMBER(BV57)),IF(ABS(N(BV49)+N(BV51)+N(BV53)+N(BV55)+N(BV57)-BV42)&lt;=0.15,0,ROUND(N(BV49)+N(BV51)+N(BV53)+N(BV55)+N(BV57)-BV42,1)),"")</f>
      </c>
      <c r="BW59" s="262">
        <f>IF(OR(ISNUMBER(BW49),ISNUMBER(BW51),ISNUMBER(BW53),ISNUMBER(BW55),ISNUMBER(BW57)),IF(ABS(N(BW49)+N(BW51)+N(BW53)+N(BW55)+N(BW57)-BW42)&lt;=0.15,0,ROUND(N(BW49)+N(BW51)+N(BW53)+N(BW55)+N(BW57)-BW42,1)),"")</f>
      </c>
      <c r="BX59" s="262">
        <f>IF(OR(ISNUMBER(BX49),ISNUMBER(BX51),ISNUMBER(BX53),ISNUMBER(BX55),ISNUMBER(BX57)),IF(ABS(N(BX49)+N(BX51)+N(BX53)+N(BX55)+N(BX57)-BX42)&lt;=0.15,0,ROUND(N(BX49)+N(BX51)+N(BX53)+N(BX55)+N(BX57)-BX42,1)),"")</f>
      </c>
      <c r="BY59" s="262">
        <f>IF(OR(ISNUMBER(BY49),ISNUMBER(BY51),ISNUMBER(BY53),ISNUMBER(BY55),ISNUMBER(BY57)),IF(ABS(N(BY49)+N(BY51)+N(BY53)+N(BY55)+N(BY57)-BY42)&lt;=0.15,0,ROUND(N(BY49)+N(BY51)+N(BY53)+N(BY55)+N(BY57)-BY42,1)),"")</f>
      </c>
      <c r="BZ59" s="153" t="n"/>
      <c r="CA59" s="153" t="n"/>
      <c r="CB59" s="153" t="n"/>
      <c r="CC59" s="153" t="n"/>
      <c r="CD59" s="153" t="n"/>
      <c r="CE59" s="153" t="n"/>
      <c r="CF59" s="153" t="n"/>
      <c r="CG59" s="153" t="n"/>
      <c r="CO59" s="25" t="inlineStr">
        <is>
          <t xml:space="preserve">  2029E</t>
        </is>
      </c>
      <c r="CP59" s="33">
        <f>CQ59+$CP$56</f>
        <v>0.03</v>
      </c>
      <c r="CQ59" s="42" t="n">
        <v>0</v>
      </c>
      <c r="CR59" s="33">
        <f>CQ59+$CR$56</f>
        <v>-0.03</v>
      </c>
    </row>
    <row r="60" ht="15" customHeight="1" s="251">
      <c r="CO60" s="25" t="inlineStr">
        <is>
          <t xml:space="preserve">  2030E</t>
        </is>
      </c>
      <c r="CP60" s="33">
        <f>CQ60+$CP$56</f>
        <v>0.03</v>
      </c>
      <c r="CQ60" s="42" t="n">
        <v>0</v>
      </c>
      <c r="CR60" s="33">
        <f>CQ60+$CR$56</f>
        <v>-0.03</v>
      </c>
    </row>
    <row r="61" ht="15" customHeight="1" s="251">
      <c r="B61" s="14" t="inlineStr">
        <is>
          <t>Unallocated corporate expenses (corporate functions; allocated to the segments in FY2006–09)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  <c r="BP61" s="14" t="n"/>
      <c r="BQ61" s="14" t="n"/>
      <c r="BR61" s="14" t="n"/>
      <c r="BS61" s="14" t="n"/>
      <c r="BT61" s="14" t="n"/>
      <c r="BU61" s="14" t="n"/>
      <c r="BV61" s="14" t="n"/>
      <c r="BW61" s="14" t="n"/>
      <c r="BX61" s="14" t="n"/>
      <c r="BY61" s="14" t="n"/>
      <c r="BZ61" s="14" t="n"/>
      <c r="CA61" s="14" t="n"/>
      <c r="CB61" s="14" t="n"/>
      <c r="CC61" s="14" t="n"/>
      <c r="CD61" s="14" t="n"/>
      <c r="CE61" s="14" t="n"/>
      <c r="CF61" s="14" t="n"/>
      <c r="CG61" s="15" t="inlineStr">
        <is>
          <t>CORPORATE — unallocated corporate expenses (negative = cost); share-based compensation, amortization and restructuring are not allocated (adjusting items below)</t>
        </is>
      </c>
      <c r="CO61" s="25" t="inlineStr">
        <is>
          <t xml:space="preserve">  2031E</t>
        </is>
      </c>
      <c r="CP61" s="33">
        <f>CQ61+$CP$56</f>
        <v>0.03</v>
      </c>
      <c r="CQ61" s="42" t="n">
        <v>0</v>
      </c>
      <c r="CR61" s="33">
        <f>CQ61+$CR$56</f>
        <v>-0.03</v>
      </c>
    </row>
    <row r="62" ht="15" customHeight="1" s="251">
      <c r="B62" s="25" t="inlineStr">
        <is>
          <t xml:space="preserve">  Unallocated corporate expenses</t>
        </is>
      </c>
      <c r="C62" s="253" t="n">
        <v>0</v>
      </c>
      <c r="D62" s="253" t="n">
        <v>0</v>
      </c>
      <c r="E62" s="253" t="n">
        <v>0</v>
      </c>
      <c r="F62" s="253" t="n">
        <v>0</v>
      </c>
      <c r="G62" s="253" t="n">
        <v>-69.166</v>
      </c>
      <c r="H62" s="253" t="n">
        <v>-70.68000000000001</v>
      </c>
      <c r="I62" s="253" t="n">
        <v>-71.705</v>
      </c>
      <c r="J62" s="253" t="n">
        <v>-10.612</v>
      </c>
      <c r="K62" s="253" t="n">
        <v>-21.445</v>
      </c>
      <c r="L62" s="253" t="n">
        <v>-20.004</v>
      </c>
      <c r="M62" s="253" t="n">
        <v>-18.905</v>
      </c>
      <c r="N62" s="253" t="n">
        <v>-70.96599999999999</v>
      </c>
      <c r="O62" s="253" t="n">
        <v>-21.757</v>
      </c>
      <c r="P62" s="253" t="n">
        <v>-24.072</v>
      </c>
      <c r="Q62" s="253" t="n">
        <v>-25.424</v>
      </c>
      <c r="R62" s="253" t="n">
        <v>-30.298</v>
      </c>
      <c r="S62" s="253" t="n">
        <v>-101.551</v>
      </c>
      <c r="T62" s="253" t="n">
        <v>-21.619</v>
      </c>
      <c r="U62" s="253" t="n">
        <v>-19.753</v>
      </c>
      <c r="V62" s="253" t="n">
        <v>-20.773</v>
      </c>
      <c r="W62" s="253" t="n">
        <v>-27.599</v>
      </c>
      <c r="X62" s="253" t="n">
        <v>-89.744</v>
      </c>
      <c r="Y62" s="253" t="n">
        <v>-24.062</v>
      </c>
      <c r="Z62" s="253" t="n">
        <v>-21.882</v>
      </c>
      <c r="AA62" s="253" t="n">
        <v>-29.24</v>
      </c>
      <c r="AB62" s="253" t="n">
        <v>-35.428</v>
      </c>
      <c r="AC62" s="253" t="n">
        <v>-110.612</v>
      </c>
      <c r="AD62" s="253" t="n">
        <v>-24.633</v>
      </c>
      <c r="AE62" s="253" t="n">
        <v>-25.223</v>
      </c>
      <c r="AF62" s="253" t="n">
        <v>-26.724</v>
      </c>
      <c r="AG62" s="253" t="n">
        <v>-28.418</v>
      </c>
      <c r="AH62" s="253" t="n">
        <v>-104.998</v>
      </c>
      <c r="AI62" s="253" t="n">
        <v>-26.76</v>
      </c>
      <c r="AJ62" s="253" t="n">
        <v>-33.493</v>
      </c>
      <c r="AK62" s="253" t="n">
        <v>-31.922</v>
      </c>
      <c r="AL62" s="253" t="n">
        <v>-33.08</v>
      </c>
      <c r="AM62" s="253" t="n">
        <v>-125.255</v>
      </c>
      <c r="AN62" s="253" t="n">
        <v>-29.254</v>
      </c>
      <c r="AO62" s="253" t="n">
        <v>-39.506</v>
      </c>
      <c r="AP62" s="253" t="n">
        <v>-36.019</v>
      </c>
      <c r="AQ62" s="253" t="n">
        <v>-39.976</v>
      </c>
      <c r="AR62" s="253" t="n">
        <v>-144.755</v>
      </c>
      <c r="AS62" s="253" t="n">
        <v>-34.21</v>
      </c>
      <c r="AT62" s="253" t="n">
        <v>-33.785</v>
      </c>
      <c r="AU62" s="253" t="n">
        <v>-31.315</v>
      </c>
      <c r="AV62" s="253" t="n">
        <v>-45.394</v>
      </c>
      <c r="AW62" s="253" t="n">
        <v>-144.704</v>
      </c>
      <c r="AX62" s="253" t="n">
        <v>-30.253</v>
      </c>
      <c r="AY62" s="253" t="n">
        <v>-33.392</v>
      </c>
      <c r="AZ62" s="253" t="n">
        <v>-33.82</v>
      </c>
      <c r="BA62" s="253" t="n">
        <v>-39.347</v>
      </c>
      <c r="BB62" s="253" t="n">
        <v>-136.812</v>
      </c>
      <c r="BC62" s="253" t="n">
        <v>-35.788</v>
      </c>
      <c r="BD62" s="253" t="n">
        <v>-35.68</v>
      </c>
      <c r="BE62" s="253" t="n">
        <v>-38.015</v>
      </c>
      <c r="BF62" s="253" t="n">
        <v>-38.945</v>
      </c>
      <c r="BG62" s="253" t="n">
        <v>-148.428</v>
      </c>
      <c r="BH62" s="253" t="n">
        <v>-34.082</v>
      </c>
      <c r="BI62" s="253" t="n">
        <v>-43.183</v>
      </c>
      <c r="BJ62" s="253" t="n">
        <v>-42.347</v>
      </c>
      <c r="BK62" s="253" t="n">
        <v>-36.814</v>
      </c>
      <c r="BL62" s="253" t="n">
        <v>-156.426</v>
      </c>
      <c r="BM62" s="253" t="n">
        <v>-40.568</v>
      </c>
      <c r="BN62" s="253" t="n">
        <v>-45.806</v>
      </c>
      <c r="BO62" s="253" t="n">
        <v>-50.368</v>
      </c>
      <c r="BP62" s="253" t="n">
        <v>-50.156</v>
      </c>
      <c r="BQ62" s="253" t="n">
        <v>-186.898</v>
      </c>
      <c r="BR62" s="253" t="n">
        <v>-44.331</v>
      </c>
      <c r="BS62" s="253" t="n">
        <v>-40.942</v>
      </c>
      <c r="BT62" s="253" t="n">
        <v>-48.205</v>
      </c>
      <c r="BU62" s="253" t="n">
        <v>-48.02</v>
      </c>
      <c r="BV62" s="253" t="n">
        <v>-181.498</v>
      </c>
      <c r="BW62" s="253" t="n">
        <v>-48.149</v>
      </c>
      <c r="BX62" s="253" t="n">
        <v>-47.295</v>
      </c>
      <c r="BY62" s="253" t="n">
        <v>-56.967</v>
      </c>
      <c r="BZ62" s="254">
        <f>BU62*(1+BZ63)</f>
        <v>-54.8313296573218</v>
      </c>
      <c r="CA62" s="254">
        <f>SUM(BW62:BZ62)</f>
        <v>-207.242329657322</v>
      </c>
      <c r="CB62" s="254">
        <f>CB127*CB64</f>
        <v>-209.911298430222</v>
      </c>
      <c r="CC62" s="254">
        <f>CC127*CC64</f>
        <v>-231.615761368854</v>
      </c>
      <c r="CD62" s="254">
        <f>CD127*CD64</f>
        <v>-253.48673029835</v>
      </c>
      <c r="CE62" s="254">
        <f>CE127*CE64</f>
        <v>-275.789704927494</v>
      </c>
      <c r="CF62" s="254">
        <f>CF127*CF64</f>
        <v>-298.234504121049</v>
      </c>
      <c r="CG62" s="19" t="inlineStr">
        <is>
          <t>MD&amp;A segment operating-income summary. Q4/26E: prior-year quarter × (1 + 9M FY26 y/y). 2027E+: % of revenue (scenario-neutral input).</t>
        </is>
      </c>
      <c r="CO62" s="15" t="inlineStr">
        <is>
          <t>SC_M (Scores segment operating margin)</t>
        </is>
      </c>
      <c r="CP62" s="41" t="n">
        <v>0.01</v>
      </c>
      <c r="CQ62" s="21" t="inlineStr">
        <is>
          <t>Δ →</t>
        </is>
      </c>
      <c r="CR62" s="41" t="n">
        <v>-0.04</v>
      </c>
      <c r="CS62" s="13" t="inlineStr">
        <is>
          <t>9M FY26 90.2% (Q3 91%), FY25 87.8%, FY22 88.1%: very high incremental margins on price; held flat (Bear: price concessions).</t>
        </is>
      </c>
    </row>
    <row r="63" ht="15" customHeight="1" s="251">
      <c r="B63" s="22" t="inlineStr">
        <is>
          <t xml:space="preserve">  Unallocated corporate expenses y/y %</t>
        </is>
      </c>
      <c r="C63" s="23" t="n"/>
      <c r="D63" s="255">
        <f>IF(AND(ISNUMBER(D62),ISNUMBER(C62)),IFERROR(D62/C62-1,""),"")</f>
      </c>
      <c r="E63" s="255">
        <f>IF(AND(ISNUMBER(E62),ISNUMBER(D62)),IFERROR(E62/D62-1,""),"")</f>
      </c>
      <c r="F63" s="255">
        <f>IF(AND(ISNUMBER(F62),ISNUMBER(E62)),IFERROR(F62/E62-1,""),"")</f>
      </c>
      <c r="G63" s="255">
        <f>IF(AND(ISNUMBER(G62),ISNUMBER(F62)),IFERROR(G62/F62-1,""),"")</f>
      </c>
      <c r="H63" s="255">
        <f>IF(AND(ISNUMBER(H62),ISNUMBER(G62)),IFERROR(H62/G62-1,""),"")</f>
        <v>0.0218893676083627</v>
      </c>
      <c r="I63" s="255">
        <f>IF(AND(ISNUMBER(I62),ISNUMBER(H62)),IFERROR(I62/H62-1,""),"")</f>
        <v>0.0145019807583473</v>
      </c>
      <c r="J63" s="23" t="n"/>
      <c r="K63" s="23" t="n"/>
      <c r="L63" s="23" t="n"/>
      <c r="M63" s="23" t="n"/>
      <c r="N63" s="255">
        <f>IF(AND(ISNUMBER(N62),ISNUMBER(I62)),IFERROR(N62/I62-1,""),"")</f>
        <v>-0.0103061153336588</v>
      </c>
      <c r="O63" s="255">
        <f>IF(AND(ISNUMBER(O62),ISNUMBER(J62)),IFERROR(O62/J62-1,""),"")</f>
        <v>1.05022615906521</v>
      </c>
      <c r="P63" s="255">
        <f>IF(AND(ISNUMBER(P62),ISNUMBER(K62)),IFERROR(P62/K62-1,""),"")</f>
        <v>0.122499417113546</v>
      </c>
      <c r="Q63" s="255">
        <f>IF(AND(ISNUMBER(Q62),ISNUMBER(L62)),IFERROR(Q62/L62-1,""),"")</f>
        <v>0.270945810837832</v>
      </c>
      <c r="R63" s="255">
        <f>IF(AND(ISNUMBER(R62),ISNUMBER(M62)),IFERROR(R62/M62-1,""),"")</f>
        <v>0.602644802962179</v>
      </c>
      <c r="S63" s="255">
        <f>IF(AND(ISNUMBER(S62),ISNUMBER(N62)),IFERROR(S62/N62-1,""),"")</f>
        <v>0.430981033170814</v>
      </c>
      <c r="T63" s="255">
        <f>IF(AND(ISNUMBER(T62),ISNUMBER(O62)),IFERROR(T62/O62-1,""),"")</f>
        <v>-0.00634278622971929</v>
      </c>
      <c r="U63" s="255">
        <f>IF(AND(ISNUMBER(U62),ISNUMBER(P62)),IFERROR(U62/P62-1,""),"")</f>
        <v>-0.179420073113991</v>
      </c>
      <c r="V63" s="255">
        <f>IF(AND(ISNUMBER(V62),ISNUMBER(Q62)),IFERROR(V62/Q62-1,""),"")</f>
        <v>-0.182937382001259</v>
      </c>
      <c r="W63" s="255">
        <f>IF(AND(ISNUMBER(W62),ISNUMBER(R62)),IFERROR(W62/R62-1,""),"")</f>
        <v>-0.0890817875767377</v>
      </c>
      <c r="X63" s="255">
        <f>IF(AND(ISNUMBER(X62),ISNUMBER(S62)),IFERROR(X62/S62-1,""),"")</f>
        <v>-0.116266703429804</v>
      </c>
      <c r="Y63" s="255">
        <f>IF(AND(ISNUMBER(Y62),ISNUMBER(T62)),IFERROR(Y62/T62-1,""),"")</f>
        <v>0.11300245154725</v>
      </c>
      <c r="Z63" s="255">
        <f>IF(AND(ISNUMBER(Z62),ISNUMBER(U62)),IFERROR(Z62/U62-1,""),"")</f>
        <v>0.107781096542297</v>
      </c>
      <c r="AA63" s="255">
        <f>IF(AND(ISNUMBER(AA62),ISNUMBER(V62)),IFERROR(AA62/V62-1,""),"")</f>
        <v>0.407596399172002</v>
      </c>
      <c r="AB63" s="255">
        <f>IF(AND(ISNUMBER(AB62),ISNUMBER(W62)),IFERROR(AB62/W62-1,""),"")</f>
        <v>0.28366969817747</v>
      </c>
      <c r="AC63" s="255">
        <f>IF(AND(ISNUMBER(AC62),ISNUMBER(X62)),IFERROR(AC62/X62-1,""),"")</f>
        <v>0.232528079871635</v>
      </c>
      <c r="AD63" s="255">
        <f>IF(AND(ISNUMBER(AD62),ISNUMBER(Y62)),IFERROR(AD62/Y62-1,""),"")</f>
        <v>0.0237303632283268</v>
      </c>
      <c r="AE63" s="255">
        <f>IF(AND(ISNUMBER(AE62),ISNUMBER(Z62)),IFERROR(AE62/Z62-1,""),"")</f>
        <v>0.152682570148981</v>
      </c>
      <c r="AF63" s="255">
        <f>IF(AND(ISNUMBER(AF62),ISNUMBER(AA62)),IFERROR(AF62/AA62-1,""),"")</f>
        <v>-0.0860465116279069</v>
      </c>
      <c r="AG63" s="255">
        <f>IF(AND(ISNUMBER(AG62),ISNUMBER(AB62)),IFERROR(AG62/AB62-1,""),"")</f>
        <v>-0.197866094614429</v>
      </c>
      <c r="AH63" s="255">
        <f>IF(AND(ISNUMBER(AH62),ISNUMBER(AC62)),IFERROR(AH62/AC62-1,""),"")</f>
        <v>-0.050753986909196</v>
      </c>
      <c r="AI63" s="255">
        <f>IF(AND(ISNUMBER(AI62),ISNUMBER(AD62)),IFERROR(AI62/AD62-1,""),"")</f>
        <v>0.0863475825112654</v>
      </c>
      <c r="AJ63" s="255">
        <f>IF(AND(ISNUMBER(AJ62),ISNUMBER(AE62)),IFERROR(AJ62/AE62-1,""),"")</f>
        <v>0.327875351861396</v>
      </c>
      <c r="AK63" s="255">
        <f>IF(AND(ISNUMBER(AK62),ISNUMBER(AF62)),IFERROR(AK62/AF62-1,""),"")</f>
        <v>0.194506810357731</v>
      </c>
      <c r="AL63" s="255">
        <f>IF(AND(ISNUMBER(AL62),ISNUMBER(AG62)),IFERROR(AL62/AG62-1,""),"")</f>
        <v>0.164050953620944</v>
      </c>
      <c r="AM63" s="255">
        <f>IF(AND(ISNUMBER(AM62),ISNUMBER(AH62)),IFERROR(AM62/AH62-1,""),"")</f>
        <v>0.192927484333035</v>
      </c>
      <c r="AN63" s="255">
        <f>IF(AND(ISNUMBER(AN62),ISNUMBER(AI62)),IFERROR(AN62/AI62-1,""),"")</f>
        <v>0.0931988041853513</v>
      </c>
      <c r="AO63" s="255">
        <f>IF(AND(ISNUMBER(AO62),ISNUMBER(AJ62)),IFERROR(AO62/AJ62-1,""),"")</f>
        <v>0.179530051055444</v>
      </c>
      <c r="AP63" s="255">
        <f>IF(AND(ISNUMBER(AP62),ISNUMBER(AK62)),IFERROR(AP62/AK62-1,""),"")</f>
        <v>0.128344088716246</v>
      </c>
      <c r="AQ63" s="255">
        <f>IF(AND(ISNUMBER(AQ62),ISNUMBER(AL62)),IFERROR(AQ62/AL62-1,""),"")</f>
        <v>0.208464328899637</v>
      </c>
      <c r="AR63" s="255">
        <f>IF(AND(ISNUMBER(AR62),ISNUMBER(AM62)),IFERROR(AR62/AM62-1,""),"")</f>
        <v>0.155682407887909</v>
      </c>
      <c r="AS63" s="255">
        <f>IF(AND(ISNUMBER(AS62),ISNUMBER(AN62)),IFERROR(AS62/AN62-1,""),"")</f>
        <v>0.169412729883093</v>
      </c>
      <c r="AT63" s="255">
        <f>IF(AND(ISNUMBER(AT62),ISNUMBER(AO62)),IFERROR(AT62/AO62-1,""),"")</f>
        <v>-0.144813446058827</v>
      </c>
      <c r="AU63" s="255">
        <f>IF(AND(ISNUMBER(AU62),ISNUMBER(AP62)),IFERROR(AU62/AP62-1,""),"")</f>
        <v>-0.130597740081624</v>
      </c>
      <c r="AV63" s="255">
        <f>IF(AND(ISNUMBER(AV62),ISNUMBER(AQ62)),IFERROR(AV62/AQ62-1,""),"")</f>
        <v>0.135531318791275</v>
      </c>
      <c r="AW63" s="255">
        <f>IF(AND(ISNUMBER(AW62),ISNUMBER(AR62)),IFERROR(AW62/AR62-1,""),"")</f>
        <v>-0.000352319436288773</v>
      </c>
      <c r="AX63" s="255">
        <f>IF(AND(ISNUMBER(AX62),ISNUMBER(AS62)),IFERROR(AX62/AS62-1,""),"")</f>
        <v>-0.115667933352821</v>
      </c>
      <c r="AY63" s="255">
        <f>IF(AND(ISNUMBER(AY62),ISNUMBER(AT62)),IFERROR(AY62/AT62-1,""),"")</f>
        <v>-0.0116323812342753</v>
      </c>
      <c r="AZ63" s="255">
        <f>IF(AND(ISNUMBER(AZ62),ISNUMBER(AU62)),IFERROR(AZ62/AU62-1,""),"")</f>
        <v>0.0799936132843684</v>
      </c>
      <c r="BA63" s="255">
        <f>IF(AND(ISNUMBER(BA62),ISNUMBER(AV62)),IFERROR(BA62/AV62-1,""),"")</f>
        <v>-0.13321143763493</v>
      </c>
      <c r="BB63" s="255">
        <f>IF(AND(ISNUMBER(BB62),ISNUMBER(AW62)),IFERROR(BB62/AW62-1,""),"")</f>
        <v>-0.0545389208314905</v>
      </c>
      <c r="BC63" s="255">
        <f>IF(AND(ISNUMBER(BC62),ISNUMBER(AX62)),IFERROR(BC62/AX62-1,""),"")</f>
        <v>0.182957062109543</v>
      </c>
      <c r="BD63" s="255">
        <f>IF(AND(ISNUMBER(BD62),ISNUMBER(AY62)),IFERROR(BD62/AY62-1,""),"")</f>
        <v>0.0685194058457115</v>
      </c>
      <c r="BE63" s="255">
        <f>IF(AND(ISNUMBER(BE62),ISNUMBER(AZ62)),IFERROR(BE62/AZ62-1,""),"")</f>
        <v>0.124039030159669</v>
      </c>
      <c r="BF63" s="255">
        <f>IF(AND(ISNUMBER(BF62),ISNUMBER(BA62)),IFERROR(BF62/BA62-1,""),"")</f>
        <v>-0.0102167890817597</v>
      </c>
      <c r="BG63" s="255">
        <f>IF(AND(ISNUMBER(BG62),ISNUMBER(BB62)),IFERROR(BG62/BB62-1,""),"")</f>
        <v>0.0849048329093938</v>
      </c>
      <c r="BH63" s="255">
        <f>IF(AND(ISNUMBER(BH62),ISNUMBER(BC62)),IFERROR(BH62/BC62-1,""),"")</f>
        <v>-0.0476696099251145</v>
      </c>
      <c r="BI63" s="255">
        <f>IF(AND(ISNUMBER(BI62),ISNUMBER(BD62)),IFERROR(BI62/BD62-1,""),"")</f>
        <v>0.210285874439462</v>
      </c>
      <c r="BJ63" s="255">
        <f>IF(AND(ISNUMBER(BJ62),ISNUMBER(BE62)),IFERROR(BJ62/BE62-1,""),"")</f>
        <v>0.113955017756149</v>
      </c>
      <c r="BK63" s="255">
        <f>IF(AND(ISNUMBER(BK62),ISNUMBER(BF62)),IFERROR(BK62/BF62-1,""),"")</f>
        <v>-0.0547181923225061</v>
      </c>
      <c r="BL63" s="255">
        <f>IF(AND(ISNUMBER(BL62),ISNUMBER(BG62)),IFERROR(BL62/BG62-1,""),"")</f>
        <v>0.0538847117794485</v>
      </c>
      <c r="BM63" s="255">
        <f>IF(AND(ISNUMBER(BM62),ISNUMBER(BH62)),IFERROR(BM62/BH62-1,""),"")</f>
        <v>0.190305733231618</v>
      </c>
      <c r="BN63" s="255">
        <f>IF(AND(ISNUMBER(BN62),ISNUMBER(BI62)),IFERROR(BN62/BI62-1,""),"")</f>
        <v>0.0607414954959127</v>
      </c>
      <c r="BO63" s="255">
        <f>IF(AND(ISNUMBER(BO62),ISNUMBER(BJ62)),IFERROR(BO62/BJ62-1,""),"")</f>
        <v>0.189411292417409</v>
      </c>
      <c r="BP63" s="255">
        <f>IF(AND(ISNUMBER(BP62),ISNUMBER(BK62)),IFERROR(BP62/BK62-1,""),"")</f>
        <v>0.36241647199435</v>
      </c>
      <c r="BQ63" s="255">
        <f>IF(AND(ISNUMBER(BQ62),ISNUMBER(BL62)),IFERROR(BQ62/BL62-1,""),"")</f>
        <v>0.194801375730377</v>
      </c>
      <c r="BR63" s="255">
        <f>IF(AND(ISNUMBER(BR62),ISNUMBER(BM62)),IFERROR(BR62/BM62-1,""),"")</f>
        <v>0.0927578386905936</v>
      </c>
      <c r="BS63" s="255">
        <f>IF(AND(ISNUMBER(BS62),ISNUMBER(BN62)),IFERROR(BS62/BN62-1,""),"")</f>
        <v>-0.106186962406672</v>
      </c>
      <c r="BT63" s="255">
        <f>IF(AND(ISNUMBER(BT62),ISNUMBER(BO62)),IFERROR(BT62/BO62-1,""),"")</f>
        <v>-0.0429439326556544</v>
      </c>
      <c r="BU63" s="255">
        <f>IF(AND(ISNUMBER(BU62),ISNUMBER(BP62)),IFERROR(BU62/BP62-1,""),"")</f>
        <v>-0.0425871281601403</v>
      </c>
      <c r="BV63" s="255">
        <f>IF(AND(ISNUMBER(BV62),ISNUMBER(BQ62)),IFERROR(BV62/BQ62-1,""),"")</f>
        <v>-0.0288927650376142</v>
      </c>
      <c r="BW63" s="255">
        <f>IF(AND(ISNUMBER(BW62),ISNUMBER(BR62)),IFERROR(BW62/BR62-1,""),"")</f>
        <v>0.0861248336378606</v>
      </c>
      <c r="BX63" s="255">
        <f>IF(AND(ISNUMBER(BX62),ISNUMBER(BS62)),IFERROR(BX62/BS62-1,""),"")</f>
        <v>0.15517072932441</v>
      </c>
      <c r="BY63" s="255">
        <f>IF(AND(ISNUMBER(BY62),ISNUMBER(BT62)),IFERROR(BY62/BT62-1,""),"")</f>
        <v>0.181765377035577</v>
      </c>
      <c r="BZ63" s="256">
        <f>IFERROR(SUM(BW62:BY62)/SUM(BR62:BT62)-1,0)</f>
        <v>0.141843599694332</v>
      </c>
      <c r="CA63" s="256">
        <f>IF(AND(ISNUMBER(CA62),ISNUMBER(BV62)),IFERROR(CA62/BV62-1,""),"")</f>
        <v>0.141843599694332</v>
      </c>
      <c r="CB63" s="256">
        <f>IF(AND(ISNUMBER(CB62),ISNUMBER(CA62)),IFERROR(CB62/CA62-1,""),"")</f>
        <v>0.0128784924262961</v>
      </c>
      <c r="CC63" s="256">
        <f>IF(AND(ISNUMBER(CC62),ISNUMBER(CB62)),IFERROR(CC62/CB62-1,""),"")</f>
        <v>0.103398259650363</v>
      </c>
      <c r="CD63" s="256">
        <f>IF(AND(ISNUMBER(CD62),ISNUMBER(CC62)),IFERROR(CD62/CC62-1,""),"")</f>
        <v>0.0944278092312785</v>
      </c>
      <c r="CE63" s="256">
        <f>IF(AND(ISNUMBER(CE62),ISNUMBER(CD62)),IFERROR(CE62/CD62-1,""),"")</f>
        <v>0.0879847816999893</v>
      </c>
      <c r="CF63" s="256">
        <f>IF(AND(ISNUMBER(CF62),ISNUMBER(CE62)),IFERROR(CF62/CE62-1,""),"")</f>
        <v>0.0813837456313145</v>
      </c>
      <c r="CG63" s="153" t="n"/>
      <c r="CO63" s="25" t="inlineStr">
        <is>
          <t xml:space="preserve">  2027E</t>
        </is>
      </c>
      <c r="CP63" s="33">
        <f>CQ63+$CP$62</f>
        <v>0.915</v>
      </c>
      <c r="CQ63" s="42" t="n">
        <v>0.905</v>
      </c>
      <c r="CR63" s="33">
        <f>CQ63+$CR$62</f>
        <v>0.865</v>
      </c>
    </row>
    <row r="64" ht="15" customHeight="1" s="251">
      <c r="B64" s="25" t="inlineStr">
        <is>
          <t xml:space="preserve">  Unallocated corporate expenses % of revenue</t>
        </is>
      </c>
      <c r="C64" s="215">
        <f>IF(AND(ISNUMBER(C62),ISNUMBER(C127)),IFERROR(C62/C127,""),"")</f>
        <v>0</v>
      </c>
      <c r="D64" s="215">
        <f>IF(AND(ISNUMBER(D62),ISNUMBER(D127)),IFERROR(D62/D127,""),"")</f>
        <v>0</v>
      </c>
      <c r="E64" s="215">
        <f>IF(AND(ISNUMBER(E62),ISNUMBER(E127)),IFERROR(E62/E127,""),"")</f>
        <v>0</v>
      </c>
      <c r="F64" s="215">
        <f>IF(AND(ISNUMBER(F62),ISNUMBER(F127)),IFERROR(F62/F127,""),"")</f>
        <v>0</v>
      </c>
      <c r="G64" s="215">
        <f>IF(AND(ISNUMBER(G62),ISNUMBER(G127)),IFERROR(G62/G127,""),"")</f>
        <v>-0.114202591295532</v>
      </c>
      <c r="H64" s="215">
        <f>IF(AND(ISNUMBER(H62),ISNUMBER(H127)),IFERROR(H62/H127,""),"")</f>
        <v>-0.114058316913648</v>
      </c>
      <c r="I64" s="215">
        <f>IF(AND(ISNUMBER(I62),ISNUMBER(I127)),IFERROR(I62/I127,""),"")</f>
        <v>-0.106006152954586</v>
      </c>
      <c r="J64" s="215">
        <f>IF(AND(ISNUMBER(J62),ISNUMBER(J127)),IFERROR(J62/J127,""),"")</f>
        <v>-0.0558467529733712</v>
      </c>
      <c r="K64" s="215">
        <f>IF(AND(ISNUMBER(K62),ISNUMBER(K127)),IFERROR(K62/K127,""),"")</f>
        <v>-0.119587341419211</v>
      </c>
      <c r="L64" s="215">
        <f>IF(AND(ISNUMBER(L62),ISNUMBER(L127)),IFERROR(L62/L127,""),"")</f>
        <v>-0.108852273469299</v>
      </c>
      <c r="M64" s="215">
        <f>IF(AND(ISNUMBER(M62),ISNUMBER(M127)),IFERROR(M62/M127,""),"")</f>
        <v>-0.0993290494780037</v>
      </c>
      <c r="N64" s="215">
        <f>IF(AND(ISNUMBER(N62),ISNUMBER(N127)),IFERROR(N62/N127,""),"")</f>
        <v>-0.0954557438085451</v>
      </c>
      <c r="O64" s="215">
        <f>IF(AND(ISNUMBER(O62),ISNUMBER(O127)),IFERROR(O62/O127,""),"")</f>
        <v>-0.118024552057849</v>
      </c>
      <c r="P64" s="215">
        <f>IF(AND(ISNUMBER(P62),ISNUMBER(P127)),IFERROR(P62/P127,""),"")</f>
        <v>-0.129794782758732</v>
      </c>
      <c r="Q64" s="215">
        <f>IF(AND(ISNUMBER(Q62),ISNUMBER(Q127)),IFERROR(Q62/Q127,""),"")</f>
        <v>-0.128657456606447</v>
      </c>
      <c r="R64" s="215">
        <f>IF(AND(ISNUMBER(R62),ISNUMBER(R127)),IFERROR(R62/R127,""),"")</f>
        <v>-0.136742338764273</v>
      </c>
      <c r="S64" s="215">
        <f>IF(AND(ISNUMBER(S62),ISNUMBER(S127)),IFERROR(S62/S127,""),"")</f>
        <v>-0.128710938737745</v>
      </c>
      <c r="T64" s="215">
        <f>IF(AND(ISNUMBER(T62),ISNUMBER(T127)),IFERROR(T62/T127,""),"")</f>
        <v>-0.114054339224479</v>
      </c>
      <c r="U64" s="215">
        <f>IF(AND(ISNUMBER(U62),ISNUMBER(U127)),IFERROR(U62/U127,""),"")</f>
        <v>-0.0953748992076636</v>
      </c>
      <c r="V64" s="215">
        <f>IF(AND(ISNUMBER(V62),ISNUMBER(V127)),IFERROR(V62/V127,""),"")</f>
        <v>-0.0992185932768453</v>
      </c>
      <c r="W64" s="215">
        <f>IF(AND(ISNUMBER(W62),ISNUMBER(W127)),IFERROR(W62/W127,""),"")</f>
        <v>-0.118574816546083</v>
      </c>
      <c r="X64" s="215">
        <f>IF(AND(ISNUMBER(X62),ISNUMBER(X127)),IFERROR(X62/X127,""),"")</f>
        <v>-0.106993362987478</v>
      </c>
      <c r="Y64" s="215">
        <f>IF(AND(ISNUMBER(Y62),ISNUMBER(Y127)),IFERROR(Y62/Y127,""),"")</f>
        <v>-0.120264299566165</v>
      </c>
      <c r="Z64" s="215">
        <f>IF(AND(ISNUMBER(Z62),ISNUMBER(Z127)),IFERROR(Z62/Z127,""),"")</f>
        <v>-0.105874839121726</v>
      </c>
      <c r="AA64" s="215">
        <f>IF(AND(ISNUMBER(AA62),ISNUMBER(AA127)),IFERROR(AA62/AA127,""),"")</f>
        <v>-0.122456842757708</v>
      </c>
      <c r="AB64" s="215">
        <f>IF(AND(ISNUMBER(AB62),ISNUMBER(AB127)),IFERROR(AB62/AB127,""),"")</f>
        <v>-0.150230680507497</v>
      </c>
      <c r="AC64" s="215">
        <f>IF(AND(ISNUMBER(AC62),ISNUMBER(AC127)),IFERROR(AC62/AC127,""),"")</f>
        <v>-0.125502067269072</v>
      </c>
      <c r="AD64" s="215">
        <f>IF(AND(ISNUMBER(AD62),ISNUMBER(AD127)),IFERROR(AD62/AD127,""),"")</f>
        <v>-0.112172131147541</v>
      </c>
      <c r="AE64" s="215">
        <f>IF(AND(ISNUMBER(AE62),ISNUMBER(AE127)),IFERROR(AE62/AE127,""),"")</f>
        <v>-0.110444088309732</v>
      </c>
      <c r="AF64" s="215">
        <f>IF(AND(ISNUMBER(AF62),ISNUMBER(AF127)),IFERROR(AF62/AF127,""),"")</f>
        <v>-0.115695323526101</v>
      </c>
      <c r="AG64" s="215">
        <f>IF(AND(ISNUMBER(AG62),ISNUMBER(AG127)),IFERROR(AG62/AG127,""),"")</f>
        <v>-0.112233170750973</v>
      </c>
      <c r="AH64" s="215">
        <f>IF(AND(ISNUMBER(AH62),ISNUMBER(AH127)),IFERROR(AH62/AH127,""),"")</f>
        <v>-0.112638373513816</v>
      </c>
      <c r="AI64" s="215">
        <f>IF(AND(ISNUMBER(AI62),ISNUMBER(AI127)),IFERROR(AI62/AI127,""),"")</f>
        <v>-0.113717007831855</v>
      </c>
      <c r="AJ64" s="215">
        <f>IF(AND(ISNUMBER(AJ62),ISNUMBER(AJ127)),IFERROR(AJ62/AJ127,""),"")</f>
        <v>-0.129889318927472</v>
      </c>
      <c r="AK64" s="215">
        <f>IF(AND(ISNUMBER(AK62),ISNUMBER(AK127)),IFERROR(AK62/AK127,""),"")</f>
        <v>-0.123011117319512</v>
      </c>
      <c r="AL64" s="215">
        <f>IF(AND(ISNUMBER(AL62),ISNUMBER(AL127)),IFERROR(AL62/AL127,""),"")</f>
        <v>-0.118231108220064</v>
      </c>
      <c r="AM64" s="215">
        <f>IF(AND(ISNUMBER(AM62),ISNUMBER(AM127)),IFERROR(AM62/AM127,""),"")</f>
        <v>-0.121315286084409</v>
      </c>
      <c r="AN64" s="215">
        <f>IF(AND(ISNUMBER(AN62),ISNUMBER(AN127)),IFERROR(AN62/AN127,""),"")</f>
        <v>-0.111547495576841</v>
      </c>
      <c r="AO64" s="215">
        <f>IF(AND(ISNUMBER(AO62),ISNUMBER(AO127)),IFERROR(AO62/AO127,""),"")</f>
        <v>-0.141988398254707</v>
      </c>
      <c r="AP64" s="215">
        <f>IF(AND(ISNUMBER(AP62),ISNUMBER(AP127)),IFERROR(AP62/AP127,""),"")</f>
        <v>-0.114619298708986</v>
      </c>
      <c r="AQ64" s="215">
        <f>IF(AND(ISNUMBER(AQ62),ISNUMBER(AQ127)),IFERROR(AQ62/AQ127,""),"")</f>
        <v>-0.130921190526095</v>
      </c>
      <c r="AR64" s="215">
        <f>IF(AND(ISNUMBER(AR62),ISNUMBER(AR127)),IFERROR(AR62/AR127,""),"")</f>
        <v>-0.124779864888978</v>
      </c>
      <c r="AS64" s="215">
        <f>IF(AND(ISNUMBER(AS62),ISNUMBER(AS127)),IFERROR(AS62/AS127,""),"")</f>
        <v>-0.114604829416021</v>
      </c>
      <c r="AT64" s="215">
        <f>IF(AND(ISNUMBER(AT62),ISNUMBER(AT127)),IFERROR(AT62/AT127,""),"")</f>
        <v>-0.109701887515383</v>
      </c>
      <c r="AU64" s="215">
        <f>IF(AND(ISNUMBER(AU62),ISNUMBER(AU127)),IFERROR(AU62/AU127,""),"")</f>
        <v>-0.0998148095024081</v>
      </c>
      <c r="AV64" s="215">
        <f>IF(AND(ISNUMBER(AV62),ISNUMBER(AV127)),IFERROR(AV62/AV127,""),"")</f>
        <v>-0.121258908632425</v>
      </c>
      <c r="AW64" s="215">
        <f>IF(AND(ISNUMBER(AW62),ISNUMBER(AW127)),IFERROR(AW62/AW127,""),"")</f>
        <v>-0.111778346653154</v>
      </c>
      <c r="AX64" s="215">
        <f>IF(AND(ISNUMBER(AX62),ISNUMBER(AX127)),IFERROR(AX62/AX127,""),"")</f>
        <v>-0.0968362493358172</v>
      </c>
      <c r="AY64" s="215">
        <f>IF(AND(ISNUMBER(AY62),ISNUMBER(AY127)),IFERROR(AY62/AY127,""),"")</f>
        <v>-0.100772269518742</v>
      </c>
      <c r="AZ64" s="215">
        <f>IF(AND(ISNUMBER(AZ62),ISNUMBER(AZ127)),IFERROR(AZ62/AZ127,""),"")</f>
        <v>-0.100004731152272</v>
      </c>
      <c r="BA64" s="215">
        <f>IF(AND(ISNUMBER(BA62),ISNUMBER(BA127)),IFERROR(BA62/BA127,""),"")</f>
        <v>-0.117602226094442</v>
      </c>
      <c r="BB64" s="215">
        <f>IF(AND(ISNUMBER(BB62),ISNUMBER(BB127)),IFERROR(BB62/BB127,""),"")</f>
        <v>-0.103918160992179</v>
      </c>
      <c r="BC64" s="215">
        <f>IF(AND(ISNUMBER(BC62),ISNUMBER(BC127)),IFERROR(BC62/BC127,""),"")</f>
        <v>-0.111018392423401</v>
      </c>
      <c r="BD64" s="215">
        <f>IF(AND(ISNUMBER(BD62),ISNUMBER(BD127)),IFERROR(BD62/BD127,""),"")</f>
        <v>-0.0998894161452428</v>
      </c>
      <c r="BE64" s="215">
        <f>IF(AND(ISNUMBER(BE62),ISNUMBER(BE127)),IFERROR(BE62/BE127,""),"")</f>
        <v>-0.10893611412</v>
      </c>
      <c r="BF64" s="215">
        <f>IF(AND(ISNUMBER(BF62),ISNUMBER(BF127)),IFERROR(BF62/BF127,""),"")</f>
        <v>-0.111670891302602</v>
      </c>
      <c r="BG64" s="215">
        <f>IF(AND(ISNUMBER(BG62),ISNUMBER(BG127)),IFERROR(BG62/BG127,""),"")</f>
        <v>-0.107769718355878</v>
      </c>
      <c r="BH64" s="215">
        <f>IF(AND(ISNUMBER(BH62),ISNUMBER(BH127)),IFERROR(BH62/BH127,""),"")</f>
        <v>-0.0988256444457332</v>
      </c>
      <c r="BI64" s="215">
        <f>IF(AND(ISNUMBER(BI62),ISNUMBER(BI127)),IFERROR(BI62/BI127,""),"")</f>
        <v>-0.113559981697023</v>
      </c>
      <c r="BJ64" s="215">
        <f>IF(AND(ISNUMBER(BJ62),ISNUMBER(BJ127)),IFERROR(BJ62/BJ127,""),"")</f>
        <v>-0.106215888113011</v>
      </c>
      <c r="BK64" s="215">
        <f>IF(AND(ISNUMBER(BK62),ISNUMBER(BK127)),IFERROR(BK62/BK127,""),"")</f>
        <v>-0.0944595402493502</v>
      </c>
      <c r="BL64" s="215">
        <f>IF(AND(ISNUMBER(BL62),ISNUMBER(BL127)),IFERROR(BL62/BL127,""),"")</f>
        <v>-0.10334992339238</v>
      </c>
      <c r="BM64" s="215">
        <f>IF(AND(ISNUMBER(BM62),ISNUMBER(BM127)),IFERROR(BM62/BM127,""),"")</f>
        <v>-0.106182552956481</v>
      </c>
      <c r="BN64" s="215">
        <f>IF(AND(ISNUMBER(BN62),ISNUMBER(BN127)),IFERROR(BN62/BN127,""),"")</f>
        <v>-0.10559024824289</v>
      </c>
      <c r="BO64" s="215">
        <f>IF(AND(ISNUMBER(BO62),ISNUMBER(BO127)),IFERROR(BO62/BO127,""),"")</f>
        <v>-0.112466478656869</v>
      </c>
      <c r="BP64" s="215">
        <f>IF(AND(ISNUMBER(BP62),ISNUMBER(BP127)),IFERROR(BP62/BP127,""),"")</f>
        <v>-0.110522268178903</v>
      </c>
      <c r="BQ64" s="215">
        <f>IF(AND(ISNUMBER(BQ62),ISNUMBER(BQ127)),IFERROR(BQ62/BQ127,""),"")</f>
        <v>-0.108818148895563</v>
      </c>
      <c r="BR64" s="215">
        <f>IF(AND(ISNUMBER(BR62),ISNUMBER(BR127)),IFERROR(BR62/BR127,""),"")</f>
        <v>-0.100759600698233</v>
      </c>
      <c r="BS64" s="215">
        <f>IF(AND(ISNUMBER(BS62),ISNUMBER(BS127)),IFERROR(BS62/BS127,""),"")</f>
        <v>-0.0820916919807112</v>
      </c>
      <c r="BT64" s="215">
        <f>IF(AND(ISNUMBER(BT62),ISNUMBER(BT127)),IFERROR(BT62/BT127,""),"")</f>
        <v>-0.0898651230856706</v>
      </c>
      <c r="BU64" s="215">
        <f>IF(AND(ISNUMBER(BU62),ISNUMBER(BU127)),IFERROR(BU62/BU127,""),"")</f>
        <v>-0.0931069450180417</v>
      </c>
      <c r="BV64" s="215">
        <f>IF(AND(ISNUMBER(BV62),ISNUMBER(BV127)),IFERROR(BV62/BV127,""),"")</f>
        <v>-0.0911652147881151</v>
      </c>
      <c r="BW64" s="215">
        <f>IF(AND(ISNUMBER(BW62),ISNUMBER(BW127)),IFERROR(BW62/BW127,""),"")</f>
        <v>-0.0940485468562912</v>
      </c>
      <c r="BX64" s="215">
        <f>IF(AND(ISNUMBER(BX62),ISNUMBER(BX127)),IFERROR(BX62/BX127,""),"")</f>
        <v>-0.0683772917127503</v>
      </c>
      <c r="BY64" s="215">
        <f>IF(AND(ISNUMBER(BY62),ISNUMBER(BY127)),IFERROR(BY62/BY127,""),"")</f>
        <v>-0.0844972025607101</v>
      </c>
      <c r="BZ64" s="256">
        <f>IF(AND(ISNUMBER(BZ62),ISNUMBER(BZ127)),IFERROR(BZ62/BZ127,""),"")</f>
        <v>-0.0840744364363635</v>
      </c>
      <c r="CA64" s="256">
        <f>IF(AND(ISNUMBER(CA62),ISNUMBER(CA127)),IFERROR(CA62/CA127,""),"")</f>
        <v>-0.0819139642914316</v>
      </c>
      <c r="CB64" s="265" t="n">
        <v>-0.075</v>
      </c>
      <c r="CC64" s="265" t="n">
        <v>-0.075</v>
      </c>
      <c r="CD64" s="265" t="n">
        <v>-0.075</v>
      </c>
      <c r="CE64" s="265" t="n">
        <v>-0.075</v>
      </c>
      <c r="CF64" s="265" t="n">
        <v>-0.075</v>
      </c>
      <c r="CG64" s="153" t="inlineStr">
        <is>
          <t>Input −7.5% of revenue from FY2027 (9M FY26 −8.1%, FY25 −9.1%, FY24 −10.9%; operating leverage and the Oct-2026 workforce reduction — assumption).</t>
        </is>
      </c>
      <c r="CI64" s="37">
        <f>IFERROR(AVERAGE(CB64,CC64,CD64,CE64,CF64),"n/m")</f>
        <v>-0.075</v>
      </c>
      <c r="CJ64" s="37">
        <f>IFERROR(AVERAGE(BB64,BG64,BL64,BQ64,BV64),"n/m")</f>
        <v>-0.103004233284823</v>
      </c>
      <c r="CK64" s="37">
        <f>IFERROR(AVERAGE(AC64,AH64,AM64,AR64,AW64,BB64,BG64,BL64,BQ64,BV64),"n/m")</f>
        <v>-0.111103510483354</v>
      </c>
      <c r="CL64" s="37">
        <f>IFERROR(AVERAGE(C64,D64,E64,F64,G64,H64,I64,N64,S64,X64,AC64,AH64,AM64,AR64,AW64,BB64,BG64,BL64,BQ64,BV64),"n/m")</f>
        <v>-0.0888231105765539</v>
      </c>
      <c r="CO64" s="25" t="inlineStr">
        <is>
          <t xml:space="preserve">  2028E</t>
        </is>
      </c>
      <c r="CP64" s="33">
        <f>CQ64+$CP$62</f>
        <v>0.915</v>
      </c>
      <c r="CQ64" s="42" t="n">
        <v>0.905</v>
      </c>
      <c r="CR64" s="33">
        <f>CQ64+$CR$62</f>
        <v>0.865</v>
      </c>
    </row>
    <row r="65" ht="15" customHeight="1" s="251">
      <c r="CO65" s="25" t="inlineStr">
        <is>
          <t xml:space="preserve">  2029E</t>
        </is>
      </c>
      <c r="CP65" s="33">
        <f>CQ65+$CP$62</f>
        <v>0.915</v>
      </c>
      <c r="CQ65" s="42" t="n">
        <v>0.905</v>
      </c>
      <c r="CR65" s="33">
        <f>CQ65+$CR$62</f>
        <v>0.865</v>
      </c>
    </row>
    <row r="66" ht="15" customHeight="1" s="251">
      <c r="B66" s="14" t="inlineStr">
        <is>
          <t>Revenue mix &amp; growth contribution (outputs)</t>
        </is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4" t="n"/>
      <c r="BV66" s="14" t="n"/>
      <c r="BW66" s="14" t="n"/>
      <c r="BX66" s="14" t="n"/>
      <c r="BY66" s="14" t="n"/>
      <c r="BZ66" s="14" t="n"/>
      <c r="CA66" s="14" t="n"/>
      <c r="CB66" s="14" t="n"/>
      <c r="CC66" s="14" t="n"/>
      <c r="CD66" s="14" t="n"/>
      <c r="CE66" s="14" t="n"/>
      <c r="CF66" s="14" t="n"/>
      <c r="CG66" s="15" t="inlineStr">
        <is>
          <t>MIX — outputs</t>
        </is>
      </c>
      <c r="CO66" s="25" t="inlineStr">
        <is>
          <t xml:space="preserve">  2030E</t>
        </is>
      </c>
      <c r="CP66" s="33">
        <f>CQ66+$CP$62</f>
        <v>0.915</v>
      </c>
      <c r="CQ66" s="42" t="n">
        <v>0.905</v>
      </c>
      <c r="CR66" s="33">
        <f>CQ66+$CR$62</f>
        <v>0.865</v>
      </c>
    </row>
    <row r="67" ht="15" customHeight="1" s="251">
      <c r="B67" s="22" t="inlineStr">
        <is>
          <t xml:space="preserve">  Contribution to total revenue growth — Scores (pp)</t>
        </is>
      </c>
      <c r="C67" s="23" t="n"/>
      <c r="D67" s="255">
        <f>IFERROR((D17-C17)/C87,"")</f>
        <v>0.00398853840422117</v>
      </c>
      <c r="E67" s="255">
        <f>IFERROR((E17-D17)/D87,"")</f>
        <v>-0.0287362752299826</v>
      </c>
      <c r="F67" s="255">
        <f>IFERROR((F17-E17)/E87,"")</f>
        <v>-0.0338259657752919</v>
      </c>
      <c r="G67" s="255">
        <f>IFERROR((G17-F17)/F87,"")</f>
        <v>0.0645564301965168</v>
      </c>
      <c r="H67" s="255">
        <f>IFERROR((H17-G17)/G87,"")</f>
        <v>-0.00622809146642493</v>
      </c>
      <c r="I67" s="255">
        <f>IFERROR((I17-H17)/H87,"")</f>
        <v>0.0113864669516511</v>
      </c>
      <c r="J67" s="23" t="n"/>
      <c r="K67" s="23" t="n"/>
      <c r="L67" s="23" t="n"/>
      <c r="M67" s="23" t="n"/>
      <c r="N67" s="255">
        <f>IFERROR((N17-I17)/I87,"")</f>
        <v>0.00767271367177047</v>
      </c>
      <c r="O67" s="255">
        <f>IFERROR((O17-J17)/J87,"")</f>
        <v>0.0196453004946848</v>
      </c>
      <c r="P67" s="255">
        <f>IFERROR((P17-K17)/K87,"")</f>
        <v>0.0211682699010177</v>
      </c>
      <c r="Q67" s="255">
        <f>IFERROR((Q17-L17)/L87,"")</f>
        <v>-0.0099144592212089</v>
      </c>
      <c r="R67" s="255">
        <f>IFERROR((R17-M17)/M87,"")</f>
        <v>-0.000267959879575688</v>
      </c>
      <c r="S67" s="255">
        <f>IFERROR((S17-N17)/N87,"")</f>
        <v>0.00760783596343505</v>
      </c>
      <c r="T67" s="255">
        <f>IFERROR((T17-O17)/O87,"")</f>
        <v>-0.0175705071524278</v>
      </c>
      <c r="U67" s="255">
        <f>IFERROR((U17-P17)/P87,"")</f>
        <v>0.0112098435258975</v>
      </c>
      <c r="V67" s="255">
        <f>IFERROR((V17-Q17)/Q87,"")</f>
        <v>0.052750366884267</v>
      </c>
      <c r="W67" s="255">
        <f>IFERROR((W17-R17)/R87,"")</f>
        <v>0.0508823396669224</v>
      </c>
      <c r="X67" s="255">
        <f>IFERROR((X17-S17)/S87,"")</f>
        <v>0.0260309131352307</v>
      </c>
      <c r="Y67" s="255">
        <f>IFERROR((Y17-T17)/T87,"")</f>
        <v>0.0636296491690847</v>
      </c>
      <c r="Z67" s="255">
        <f>IFERROR((Z17-U17)/U87,"")</f>
        <v>0.0539764085578126</v>
      </c>
      <c r="AA67" s="255">
        <f>IFERROR((AA17-V17)/V87,"")</f>
        <v>0.0256775216606326</v>
      </c>
      <c r="AB67" s="255">
        <f>IFERROR((AB17-W17)/W87,"")</f>
        <v>0.0233549296258743</v>
      </c>
      <c r="AC67" s="255">
        <f>IFERROR((AC17-X17)/X87,"")</f>
        <v>0.0405970092312534</v>
      </c>
      <c r="AD67" s="255">
        <f>IFERROR((AD17-Y17)/Y87,"")</f>
        <v>0.016893580439433</v>
      </c>
      <c r="AE67" s="255">
        <f>IFERROR((AE17-Z17)/Z87,"")</f>
        <v>0.0208875642303487</v>
      </c>
      <c r="AF67" s="255">
        <f>IFERROR((AF17-AA17)/AA87,"")</f>
        <v>0.0351121125061773</v>
      </c>
      <c r="AG67" s="255">
        <f>IFERROR((AG17-AB17)/AB87,"")</f>
        <v>0.0390715109573241</v>
      </c>
      <c r="AH67" s="255">
        <f>IFERROR((AH17-AC17)/AC87,"")</f>
        <v>0.0287000939461466</v>
      </c>
      <c r="AI67" s="255">
        <f>IFERROR((AI17-AD17)/AD87,"")</f>
        <v>0.047964480874317</v>
      </c>
      <c r="AJ67" s="255">
        <f>IFERROR((AJ17-AE17)/AE87,"")</f>
        <v>0.098420163062992</v>
      </c>
      <c r="AK67" s="255">
        <f>IFERROR((AK17-AF17)/AF87,"")</f>
        <v>0.0978024642186107</v>
      </c>
      <c r="AL67" s="255">
        <f>IFERROR((AL17-AG17)/AG87,"")</f>
        <v>0.0817242945439466</v>
      </c>
      <c r="AM67" s="255">
        <f>IFERROR((AM17-AH17)/AH87,"")</f>
        <v>0.0818456739067702</v>
      </c>
      <c r="AN67" s="255">
        <f>IFERROR((AN17-AI17)/AI87,"")</f>
        <v>0.067006344525138</v>
      </c>
      <c r="AO67" s="255">
        <f>IFERROR((AO17-AJ17)/AJ87,"")</f>
        <v>0.063961560238581</v>
      </c>
      <c r="AP67" s="255">
        <f>IFERROR((AP17-AK17)/AK87,"")</f>
        <v>0.0887882699755303</v>
      </c>
      <c r="AQ67" s="255">
        <f>IFERROR((AQ17-AL17)/AL87,"")</f>
        <v>0.0830155365969598</v>
      </c>
      <c r="AR67" s="255">
        <f>IFERROR((AR17-AM17)/AM87,"")</f>
        <v>0.0760589844790431</v>
      </c>
      <c r="AS67" s="255">
        <f>IFERROR((AS17-AN17)/AN87,"")</f>
        <v>0.112313922274419</v>
      </c>
      <c r="AT67" s="255">
        <f>IFERROR((AT17-AO17)/AO87,"")</f>
        <v>0.0889359316258976</v>
      </c>
      <c r="AU67" s="255">
        <f>IFERROR((AU17-AP17)/AP87,"")</f>
        <v>0.0522006434388017</v>
      </c>
      <c r="AV67" s="255">
        <f>IFERROR((AV17-AQ17)/AQ87,"")</f>
        <v>0.120408457346468</v>
      </c>
      <c r="AW67" s="255">
        <f>IFERROR((AW17-AR17)/AR87,"")</f>
        <v>0.0925537224491696</v>
      </c>
      <c r="AX67" s="255">
        <f>IFERROR((AX17-AS17)/AS87,"")</f>
        <v>0.0988696968884839</v>
      </c>
      <c r="AY67" s="255">
        <f>IFERROR((AY17-AT17)/AT87,"")</f>
        <v>0.128489370752441</v>
      </c>
      <c r="AZ67" s="255">
        <f>IFERROR((AZ17-AU17)/AU87,"")</f>
        <v>0.129575974321951</v>
      </c>
      <c r="BA67" s="255">
        <f>IFERROR((BA17-AV17)/AV87,"")</f>
        <v>0.0423767750483496</v>
      </c>
      <c r="BB67" s="255">
        <f>IFERROR((BB17-AW17)/AW87,"")</f>
        <v>0.0970212318915587</v>
      </c>
      <c r="BC67" s="255">
        <f>IFERROR((BC17-AX17)/AX87,"")</f>
        <v>0.0794970775957543</v>
      </c>
      <c r="BD67" s="255">
        <f>IFERROR((BD17-AY17)/AY87,"")</f>
        <v>0.0453372605707974</v>
      </c>
      <c r="BE67" s="255">
        <f>IFERROR((BE17-AZ17)/AZ87,"")</f>
        <v>0.0211512076266175</v>
      </c>
      <c r="BF67" s="255">
        <f>IFERROR((BF17-BA17)/BA87,"")</f>
        <v>0.01639084575449</v>
      </c>
      <c r="BG67" s="255">
        <f>IFERROR((BG17-BB17)/BB87,"")</f>
        <v>0.0398743368962186</v>
      </c>
      <c r="BH67" s="255">
        <f>IFERROR((BH17-BC17)/BC87,"")</f>
        <v>0.0263710560520659</v>
      </c>
      <c r="BI67" s="255">
        <f>IFERROR((BI17-BD17)/BD87,"")</f>
        <v>0.0413359649491175</v>
      </c>
      <c r="BJ67" s="255">
        <f>IFERROR((BJ17-BE17)/BE87,"")</f>
        <v>0.064255543519999</v>
      </c>
      <c r="BK67" s="255">
        <f>IFERROR((BK17-BF17)/BF87,"")</f>
        <v>0.0616376294631081</v>
      </c>
      <c r="BL67" s="255">
        <f>IFERROR((BL17-BG17)/BG87,"")</f>
        <v>0.0487812847154152</v>
      </c>
      <c r="BM67" s="255">
        <f>IFERROR((BM17-BH17)/BH87,"")</f>
        <v>0.0409545625888016</v>
      </c>
      <c r="BN67" s="255">
        <f>IFERROR((BN17-BI17)/BI87,"")</f>
        <v>0.10092408997912</v>
      </c>
      <c r="BO67" s="255">
        <f>IFERROR((BO17-BJ17)/BJ87,"")</f>
        <v>0.0995063809294486</v>
      </c>
      <c r="BP67" s="255">
        <f>IFERROR((BP17-BK17)/BK87,"")</f>
        <v>0.137653213866929</v>
      </c>
      <c r="BQ67" s="255">
        <f>IFERROR((BQ17-BL17)/BL87,"")</f>
        <v>0.0963439104044314</v>
      </c>
      <c r="BR67" s="255">
        <f>IFERROR((BR17-BM17)/BM87,"")</f>
        <v>0.114021656341036</v>
      </c>
      <c r="BS67" s="255">
        <f>IFERROR((BS17-BN17)/BN87,"")</f>
        <v>0.138664711889334</v>
      </c>
      <c r="BT67" s="255">
        <f>IFERROR((BT17-BO17)/BO87,"")</f>
        <v>0.185015485130033</v>
      </c>
      <c r="BU67" s="255">
        <f>IFERROR((BU17-BP17)/BP87,"")</f>
        <v>0.13739039992596</v>
      </c>
      <c r="BV67" s="255">
        <f>IFERROR((BV17-BQ17)/BQ87,"")</f>
        <v>0.144932303790452</v>
      </c>
      <c r="BW67" s="255">
        <f>IFERROR((BW17-BR17)/BR87,"")</f>
        <v>0.156509109753437</v>
      </c>
      <c r="BX67" s="255">
        <f>IFERROR((BX17-BS17)/BS87,"")</f>
        <v>0.356770629693124</v>
      </c>
      <c r="BY67" s="255">
        <f>IFERROR((BY17-BT17)/BT87,"")</f>
        <v>0.25090275253302</v>
      </c>
      <c r="BZ67" s="256">
        <f>IFERROR((BZ17-BU17)/BU87,"")</f>
        <v>0.252019701761858</v>
      </c>
      <c r="CA67" s="256">
        <f>IFERROR((CA17-BV17)/BV87,"")</f>
        <v>0.256852868372244</v>
      </c>
      <c r="CB67" s="256">
        <f>IFERROR((CB17-CA17)/CA87,"")</f>
        <v>0.0896223763600869</v>
      </c>
      <c r="CC67" s="256">
        <f>IFERROR((CC17-CB17)/CB87,"")</f>
        <v>0.074926888876488</v>
      </c>
      <c r="CD67" s="256">
        <f>IFERROR((CD17-CC17)/CC87,"")</f>
        <v>0.0637083020283869</v>
      </c>
      <c r="CE67" s="256">
        <f>IFERROR((CE17-CD17)/CD87,"")</f>
        <v>0.057012455535977</v>
      </c>
      <c r="CF67" s="256">
        <f>IFERROR((CF17-CE17)/CE87,"")</f>
        <v>0.0509003181298278</v>
      </c>
      <c r="CG67" s="153" t="n"/>
      <c r="CO67" s="25" t="inlineStr">
        <is>
          <t xml:space="preserve">  2031E</t>
        </is>
      </c>
      <c r="CP67" s="33">
        <f>CQ67+$CP$62</f>
        <v>0.915</v>
      </c>
      <c r="CQ67" s="42" t="n">
        <v>0.905</v>
      </c>
      <c r="CR67" s="33">
        <f>CQ67+$CR$62</f>
        <v>0.865</v>
      </c>
    </row>
    <row r="68" ht="15" customHeight="1" s="251">
      <c r="B68" s="22" t="inlineStr">
        <is>
          <t xml:space="preserve">  Contribution to total revenue growth — Software (pp)</t>
        </is>
      </c>
      <c r="C68" s="23" t="n"/>
      <c r="D68" s="255">
        <f>IFERROR((D38-C38)/C87,"")</f>
        <v>-0.00777958842451514</v>
      </c>
      <c r="E68" s="255">
        <f>IFERROR((E38-D38)/D87,"")</f>
        <v>-0.0653899853570022</v>
      </c>
      <c r="F68" s="255">
        <f>IFERROR((F38-E38)/E87,"")</f>
        <v>-0.119370282556569</v>
      </c>
      <c r="G68" s="255">
        <f>IFERROR((G38-F38)/F87,"")</f>
        <v>-0.10433858910636</v>
      </c>
      <c r="H68" s="255">
        <f>IFERROR((H38-G38)/G87,"")</f>
        <v>0.0294100650052919</v>
      </c>
      <c r="I68" s="255">
        <f>IFERROR((I38-H38)/H87,"")</f>
        <v>0.0801764773279242</v>
      </c>
      <c r="J68" s="23" t="n"/>
      <c r="K68" s="23" t="n"/>
      <c r="L68" s="23" t="n"/>
      <c r="M68" s="23" t="n"/>
      <c r="N68" s="255">
        <f>IFERROR((N38-I38)/I87,"")</f>
        <v>0.091408778234921</v>
      </c>
      <c r="O68" s="255">
        <f>IFERROR((O38-J38)/J87,"")</f>
        <v>-0.0495211030417851</v>
      </c>
      <c r="P68" s="255">
        <f>IFERROR((P38-K38)/K87,"")</f>
        <v>0.0130545099679354</v>
      </c>
      <c r="Q68" s="255">
        <f>IFERROR((Q38-L38)/L87,"")</f>
        <v>0.0852142872690072</v>
      </c>
      <c r="R68" s="255">
        <f>IFERROR((R38-M38)/M87,"")</f>
        <v>0.16442228375375</v>
      </c>
      <c r="S68" s="255">
        <f>IFERROR((S38-N38)/N87,"")</f>
        <v>0.0536489634727027</v>
      </c>
      <c r="T68" s="255">
        <f>IFERROR((T38-O38)/O87,"")</f>
        <v>0.0458167654860776</v>
      </c>
      <c r="U68" s="255">
        <f>IFERROR((U38-P38)/P87,"")</f>
        <v>0.105509484422685</v>
      </c>
      <c r="V68" s="255">
        <f>IFERROR((V38-Q38)/Q87,"")</f>
        <v>0.00674054956732956</v>
      </c>
      <c r="W68" s="255">
        <f>IFERROR((W38-R38)/R87,"")</f>
        <v>-0.000397165681274513</v>
      </c>
      <c r="X68" s="255">
        <f>IFERROR((X38-S38)/S87,"")</f>
        <v>0.0370830877646597</v>
      </c>
      <c r="Y68" s="255">
        <f>IFERROR((Y38-T38)/T87,"")</f>
        <v>-0.00809812714323396</v>
      </c>
      <c r="Z68" s="255">
        <f>IFERROR((Z38-U38)/U87,"")</f>
        <v>-0.0560574383537171</v>
      </c>
      <c r="AA68" s="255">
        <f>IFERROR((AA38-V38)/V87,"")</f>
        <v>0.114803740817516</v>
      </c>
      <c r="AB68" s="255">
        <f>IFERROR((AB38-W38)/W87,"")</f>
        <v>-0.010173744178453</v>
      </c>
      <c r="AC68" s="255">
        <f>IFERROR((AC38-X38)/X87,"")</f>
        <v>0.0101611743709026</v>
      </c>
      <c r="AD68" s="255">
        <f>IFERROR((AD38-Y38)/Y87,"")</f>
        <v>0.0806893380515403</v>
      </c>
      <c r="AE68" s="255">
        <f>IFERROR((AE38-Z38)/Z87,"")</f>
        <v>0.0841066780208826</v>
      </c>
      <c r="AF68" s="255">
        <f>IFERROR((AF38-AA38)/AA87,"")</f>
        <v>-0.067744934625468</v>
      </c>
      <c r="AG68" s="255">
        <f>IFERROR((AG38-AB38)/AB87,"")</f>
        <v>0.0346317592781057</v>
      </c>
      <c r="AH68" s="255">
        <f>IFERROR((AH38-AC38)/AC87,"")</f>
        <v>0.0289531131574529</v>
      </c>
      <c r="AI68" s="255">
        <f>IFERROR((AI38-AD38)/AD87,"")</f>
        <v>0.023624772313297</v>
      </c>
      <c r="AJ68" s="255">
        <f>IFERROR((AJ38-AE38)/AE87,"")</f>
        <v>0.0306640744730229</v>
      </c>
      <c r="AK68" s="255">
        <f>IFERROR((AK38-AF38)/AF87,"")</f>
        <v>0.0256638930497952</v>
      </c>
      <c r="AL68" s="255">
        <f>IFERROR((AL38-AG38)/AG87,"")</f>
        <v>0.023273632037282</v>
      </c>
      <c r="AM68" s="255">
        <f>IFERROR((AM38-AH38)/AH87,"")</f>
        <v>0.0257592775558938</v>
      </c>
      <c r="AN68" s="255">
        <f>IFERROR((AN38-AI38)/AI87,"")</f>
        <v>0.0474543283429868</v>
      </c>
      <c r="AO68" s="255">
        <f>IFERROR((AO38-AJ38)/AJ87,"")</f>
        <v>0.015058675705233</v>
      </c>
      <c r="AP68" s="255">
        <f>IFERROR((AP38-AK38)/AK87,"")</f>
        <v>0.122167202944067</v>
      </c>
      <c r="AQ68" s="255">
        <f>IFERROR((AQ38-AL38)/AL87,"")</f>
        <v>0.00831334817774694</v>
      </c>
      <c r="AR68" s="255">
        <f>IFERROR((AR38-AM38)/AM87,"")</f>
        <v>0.0475352914114143</v>
      </c>
      <c r="AS68" s="255">
        <f>IFERROR((AS38-AN38)/AN87,"")</f>
        <v>0.0259021719236166</v>
      </c>
      <c r="AT68" s="255">
        <f>IFERROR((AT38-AO38)/AO87,"")</f>
        <v>0.0179417324985445</v>
      </c>
      <c r="AU68" s="255">
        <f>IFERROR((AU38-AP38)/AP87,"")</f>
        <v>-0.0538490178170813</v>
      </c>
      <c r="AV68" s="255">
        <f>IFERROR((AV38-AQ38)/AQ87,"")</f>
        <v>0.10560548103123</v>
      </c>
      <c r="AW68" s="255">
        <f>IFERROR((AW38-AR38)/AR87,"")</f>
        <v>0.0233681555543871</v>
      </c>
      <c r="AX68" s="255">
        <f>IFERROR((AX38-AS38)/AS87,"")</f>
        <v>-0.0522706563396136</v>
      </c>
      <c r="AY68" s="255">
        <f>IFERROR((AY38-AT38)/AT87,"")</f>
        <v>-0.0525406612960312</v>
      </c>
      <c r="AZ68" s="255">
        <f>IFERROR((AZ38-AU38)/AU87,"")</f>
        <v>-0.0516334056883126</v>
      </c>
      <c r="BA68" s="255">
        <f>IFERROR((BA38-AV38)/AV87,"")</f>
        <v>-0.148636591907169</v>
      </c>
      <c r="BB68" s="255">
        <f>IFERROR((BB38-AW38)/AW87,"")</f>
        <v>-0.08004715108276</v>
      </c>
      <c r="BC68" s="255">
        <f>IFERROR((BC38-AX38)/AX87,"")</f>
        <v>-0.0476579154583341</v>
      </c>
      <c r="BD68" s="255">
        <f>IFERROR((BD38-AY38)/AY87,"")</f>
        <v>0.0326260483279565</v>
      </c>
      <c r="BE68" s="255">
        <f>IFERROR((BE38-AZ38)/AZ87,"")</f>
        <v>0.0107308447472382</v>
      </c>
      <c r="BF68" s="255">
        <f>IFERROR((BF38-BA38)/BA87,"")</f>
        <v>0.0259641278390326</v>
      </c>
      <c r="BG68" s="255">
        <f>IFERROR((BG38-BB38)/BB87,"")</f>
        <v>0.00625732984134117</v>
      </c>
      <c r="BH68" s="255">
        <f>IFERROR((BH38-BC38)/BC87,"")</f>
        <v>0.0434543880928524</v>
      </c>
      <c r="BI68" s="255">
        <f>IFERROR((BI38-BD38)/BD87,"")</f>
        <v>0.0232534050028696</v>
      </c>
      <c r="BJ68" s="255">
        <f>IFERROR((BJ38-BE38)/BE87,"")</f>
        <v>0.0782282514628932</v>
      </c>
      <c r="BK68" s="255">
        <f>IFERROR((BK38-BF38)/BF87,"")</f>
        <v>0.0558827577505821</v>
      </c>
      <c r="BL68" s="255">
        <f>IFERROR((BL38-BG38)/BG87,"")</f>
        <v>0.05017316865974</v>
      </c>
      <c r="BM68" s="255">
        <f>IFERROR((BM38-BH38)/BH87,"")</f>
        <v>0.0668802737263317</v>
      </c>
      <c r="BN68" s="255">
        <f>IFERROR((BN38-BI38)/BI87,"")</f>
        <v>0.0398799787517159</v>
      </c>
      <c r="BO68" s="255">
        <f>IFERROR((BO38-BJ38)/BJ87,"")</f>
        <v>0.0238005658560077</v>
      </c>
      <c r="BP68" s="255">
        <f>IFERROR((BP38-BK38)/BK87,"")</f>
        <v>0.0267567796414468</v>
      </c>
      <c r="BQ68" s="255">
        <f>IFERROR((BQ38-BL38)/BL87,"")</f>
        <v>0.0384174497557739</v>
      </c>
      <c r="BR68" s="255">
        <f>IFERROR((BR38-BM38)/BM87,"")</f>
        <v>0.0375491743421828</v>
      </c>
      <c r="BS68" s="255">
        <f>IFERROR((BS38-BN38)/BN87,"")</f>
        <v>0.0110002328213568</v>
      </c>
      <c r="BT68" s="255">
        <f>IFERROR((BT38-BO38)/BO87,"")</f>
        <v>0.0127431344046766</v>
      </c>
      <c r="BU68" s="255">
        <f>IFERROR((BU38-BP38)/BP87,"")</f>
        <v>-0.000896853081362384</v>
      </c>
      <c r="BV68" s="255">
        <f>IFERROR((BV38-BQ38)/BQ87,"")</f>
        <v>0.0142169609077243</v>
      </c>
      <c r="BW68" s="255">
        <f>IFERROR((BW38-BR38)/BR87,"")</f>
        <v>0.00711869954178487</v>
      </c>
      <c r="BX68" s="255">
        <f>IFERROR((BX38-BS38)/BS87,"")</f>
        <v>0.0300921330967348</v>
      </c>
      <c r="BY68" s="255">
        <f>IFERROR((BY38-BT38)/BT87,"")</f>
        <v>0.00593756699570291</v>
      </c>
      <c r="BZ68" s="256">
        <f>IFERROR((BZ38-BU38)/BU87,"")</f>
        <v>0.0124974780400229</v>
      </c>
      <c r="CA68" s="256">
        <f>IFERROR((CA38-BV38)/BV87,"")</f>
        <v>0.0139489774548802</v>
      </c>
      <c r="CB68" s="256">
        <f>IFERROR((CB38-CA38)/CA87,"")</f>
        <v>0.0166295257754683</v>
      </c>
      <c r="CC68" s="256">
        <f>IFERROR((CC38-CB38)/CB87,"")</f>
        <v>0.0284713707738748</v>
      </c>
      <c r="CD68" s="256">
        <f>IFERROR((CD38-CC38)/CC87,"")</f>
        <v>0.0307195072028915</v>
      </c>
      <c r="CE68" s="256">
        <f>IFERROR((CE38-CD38)/CD87,"")</f>
        <v>0.0309723261640124</v>
      </c>
      <c r="CF68" s="256">
        <f>IFERROR((CF38-CE38)/CE87,"")</f>
        <v>0.0304834275014866</v>
      </c>
      <c r="CG68" s="153" t="n"/>
      <c r="CO68" s="15" t="inlineStr">
        <is>
          <t>SW_M (Software segment operating margin)</t>
        </is>
      </c>
      <c r="CP68" s="41" t="n">
        <v>0.03</v>
      </c>
      <c r="CQ68" s="21" t="inlineStr">
        <is>
          <t>Δ →</t>
        </is>
      </c>
      <c r="CR68" s="41" t="n">
        <v>-0.04</v>
      </c>
      <c r="CS68" s="13" t="inlineStr">
        <is>
          <t>9M FY26 27.6%, FY25 30.1%, FY23 32.6%; platform scale and the Oct-2026 15% workforce reduction (savings not quantified — assumption).</t>
        </is>
      </c>
    </row>
    <row r="69" ht="15" customHeight="1" s="251">
      <c r="B69" s="57" t="inlineStr">
        <is>
          <t xml:space="preserve">  Check: Scores + Software contributions vs total revenue growth (should be 0)</t>
        </is>
      </c>
      <c r="C69" s="44" t="n"/>
      <c r="D69" s="215">
        <f>IF(AND(ISNUMBER(D67),ISNUMBER(D88)),IF(ABS(D67+D68+IFERROR(D77/C87,0)-D88)&lt;0.0005,0,D67+D68-D88),"")</f>
        <v>0</v>
      </c>
      <c r="E69" s="215">
        <f>IF(AND(ISNUMBER(E67),ISNUMBER(E88)),IF(ABS(E67+E68+IFERROR(E77/D87,0)-E88)&lt;0.0005,0,E67+E68-E88),"")</f>
        <v>0</v>
      </c>
      <c r="F69" s="215">
        <f>IF(AND(ISNUMBER(F67),ISNUMBER(F88)),IF(ABS(F67+F68+IFERROR(F77/E87,0)-F88)&lt;0.0005,0,F67+F68-F88),"")</f>
        <v>0</v>
      </c>
      <c r="G69" s="215">
        <f>IF(AND(ISNUMBER(G67),ISNUMBER(G88)),IF(ABS(G67+G68+IFERROR(G77/F87,0)-G88)&lt;0.0005,0,G67+G68-G88),"")</f>
        <v>0</v>
      </c>
      <c r="H69" s="215">
        <f>IF(AND(ISNUMBER(H67),ISNUMBER(H88)),IF(ABS(H67+H68+IFERROR(H77/G87,0)-H88)&lt;0.0005,0,H67+H68-H88),"")</f>
        <v>0</v>
      </c>
      <c r="I69" s="215">
        <f>IF(AND(ISNUMBER(I67),ISNUMBER(I88)),IF(ABS(I67+I68+IFERROR(I77/H87,0)-I88)&lt;0.0005,0,I67+I68-I88),"")</f>
        <v>0</v>
      </c>
      <c r="J69" s="44" t="n"/>
      <c r="K69" s="44" t="n"/>
      <c r="L69" s="44" t="n"/>
      <c r="M69" s="44" t="n"/>
      <c r="N69" s="215">
        <f>IF(AND(ISNUMBER(N67),ISNUMBER(N88)),IF(ABS(N67+N68+IFERROR(N77/I87,0)-N88)&lt;0.0005,0,N67+N68-N88),"")</f>
        <v>0</v>
      </c>
      <c r="O69" s="215">
        <f>IF(AND(ISNUMBER(O67),ISNUMBER(O88)),IF(ABS(O67+O68+IFERROR(O77/J87,0)-O88)&lt;0.0005,0,O67+O68-O88),"")</f>
        <v>0</v>
      </c>
      <c r="P69" s="215">
        <f>IF(AND(ISNUMBER(P67),ISNUMBER(P88)),IF(ABS(P67+P68+IFERROR(P77/K87,0)-P88)&lt;0.0005,0,P67+P68-P88),"")</f>
        <v>0</v>
      </c>
      <c r="Q69" s="215">
        <f>IF(AND(ISNUMBER(Q67),ISNUMBER(Q88)),IF(ABS(Q67+Q68+IFERROR(Q77/L87,0)-Q88)&lt;0.0005,0,Q67+Q68-Q88),"")</f>
        <v>0</v>
      </c>
      <c r="R69" s="215">
        <f>IF(AND(ISNUMBER(R67),ISNUMBER(R88)),IF(ABS(R67+R68+IFERROR(R77/M87,0)-R88)&lt;0.0005,0,R67+R68-R88),"")</f>
        <v>0</v>
      </c>
      <c r="S69" s="215">
        <f>IF(AND(ISNUMBER(S67),ISNUMBER(S88)),IF(ABS(S67+S68+IFERROR(S77/N87,0)-S88)&lt;0.0005,0,S67+S68-S88),"")</f>
        <v>0</v>
      </c>
      <c r="T69" s="215">
        <f>IF(AND(ISNUMBER(T67),ISNUMBER(T88)),IF(ABS(T67+T68+IFERROR(T77/O87,0)-T88)&lt;0.0005,0,T67+T68-T88),"")</f>
        <v>0</v>
      </c>
      <c r="U69" s="215">
        <f>IF(AND(ISNUMBER(U67),ISNUMBER(U88)),IF(ABS(U67+U68+IFERROR(U77/P87,0)-U88)&lt;0.0005,0,U67+U68-U88),"")</f>
        <v>0</v>
      </c>
      <c r="V69" s="215">
        <f>IF(AND(ISNUMBER(V67),ISNUMBER(V88)),IF(ABS(V67+V68+IFERROR(V77/Q87,0)-V88)&lt;0.0005,0,V67+V68-V88),"")</f>
        <v>0</v>
      </c>
      <c r="W69" s="215">
        <f>IF(AND(ISNUMBER(W67),ISNUMBER(W88)),IF(ABS(W67+W68+IFERROR(W77/R87,0)-W88)&lt;0.0005,0,W67+W68-W88),"")</f>
        <v>0</v>
      </c>
      <c r="X69" s="215">
        <f>IF(AND(ISNUMBER(X67),ISNUMBER(X88)),IF(ABS(X67+X68+IFERROR(X77/S87,0)-X88)&lt;0.0005,0,X67+X68-X88),"")</f>
        <v>0</v>
      </c>
      <c r="Y69" s="215">
        <f>IF(AND(ISNUMBER(Y67),ISNUMBER(Y88)),IF(ABS(Y67+Y68+IFERROR(Y77/T87,0)-Y88)&lt;0.0005,0,Y67+Y68-Y88),"")</f>
        <v>0</v>
      </c>
      <c r="Z69" s="215">
        <f>IF(AND(ISNUMBER(Z67),ISNUMBER(Z88)),IF(ABS(Z67+Z68+IFERROR(Z77/U87,0)-Z88)&lt;0.0005,0,Z67+Z68-Z88),"")</f>
        <v>0</v>
      </c>
      <c r="AA69" s="215">
        <f>IF(AND(ISNUMBER(AA67),ISNUMBER(AA88)),IF(ABS(AA67+AA68+IFERROR(AA77/V87,0)-AA88)&lt;0.0005,0,AA67+AA68-AA88),"")</f>
        <v>0</v>
      </c>
      <c r="AB69" s="215">
        <f>IF(AND(ISNUMBER(AB67),ISNUMBER(AB88)),IF(ABS(AB67+AB68+IFERROR(AB77/W87,0)-AB88)&lt;0.0005,0,AB67+AB68-AB88),"")</f>
        <v>0</v>
      </c>
      <c r="AC69" s="215">
        <f>IF(AND(ISNUMBER(AC67),ISNUMBER(AC88)),IF(ABS(AC67+AC68+IFERROR(AC77/X87,0)-AC88)&lt;0.0005,0,AC67+AC68-AC88),"")</f>
        <v>0</v>
      </c>
      <c r="AD69" s="215">
        <f>IF(AND(ISNUMBER(AD67),ISNUMBER(AD88)),IF(ABS(AD67+AD68+IFERROR(AD77/Y87,0)-AD88)&lt;0.0005,0,AD67+AD68-AD88),"")</f>
        <v>0</v>
      </c>
      <c r="AE69" s="215">
        <f>IF(AND(ISNUMBER(AE67),ISNUMBER(AE88)),IF(ABS(AE67+AE68+IFERROR(AE77/Z87,0)-AE88)&lt;0.0005,0,AE67+AE68-AE88),"")</f>
        <v>0</v>
      </c>
      <c r="AF69" s="215">
        <f>IF(AND(ISNUMBER(AF67),ISNUMBER(AF88)),IF(ABS(AF67+AF68+IFERROR(AF77/AA87,0)-AF88)&lt;0.0005,0,AF67+AF68-AF88),"")</f>
        <v>0</v>
      </c>
      <c r="AG69" s="215">
        <f>IF(AND(ISNUMBER(AG67),ISNUMBER(AG88)),IF(ABS(AG67+AG68+IFERROR(AG77/AB87,0)-AG88)&lt;0.0005,0,AG67+AG68-AG88),"")</f>
        <v>0</v>
      </c>
      <c r="AH69" s="215">
        <f>IF(AND(ISNUMBER(AH67),ISNUMBER(AH88)),IF(ABS(AH67+AH68+IFERROR(AH77/AC87,0)-AH88)&lt;0.0005,0,AH67+AH68-AH88),"")</f>
        <v>0</v>
      </c>
      <c r="AI69" s="215">
        <f>IF(AND(ISNUMBER(AI67),ISNUMBER(AI88)),IF(ABS(AI67+AI68+IFERROR(AI77/AD87,0)-AI88)&lt;0.0005,0,AI67+AI68-AI88),"")</f>
        <v>0</v>
      </c>
      <c r="AJ69" s="215">
        <f>IF(AND(ISNUMBER(AJ67),ISNUMBER(AJ88)),IF(ABS(AJ67+AJ68+IFERROR(AJ77/AE87,0)-AJ88)&lt;0.0005,0,AJ67+AJ68-AJ88),"")</f>
        <v>0</v>
      </c>
      <c r="AK69" s="215">
        <f>IF(AND(ISNUMBER(AK67),ISNUMBER(AK88)),IF(ABS(AK67+AK68+IFERROR(AK77/AF87,0)-AK88)&lt;0.0005,0,AK67+AK68-AK88),"")</f>
        <v>0</v>
      </c>
      <c r="AL69" s="215">
        <f>IF(AND(ISNUMBER(AL67),ISNUMBER(AL88)),IF(ABS(AL67+AL68+IFERROR(AL77/AG87,0)-AL88)&lt;0.0005,0,AL67+AL68-AL88),"")</f>
        <v>0</v>
      </c>
      <c r="AM69" s="215">
        <f>IF(AND(ISNUMBER(AM67),ISNUMBER(AM88)),IF(ABS(AM67+AM68+IFERROR(AM77/AH87,0)-AM88)&lt;0.0005,0,AM67+AM68-AM88),"")</f>
        <v>0</v>
      </c>
      <c r="AN69" s="215">
        <f>IF(AND(ISNUMBER(AN67),ISNUMBER(AN88)),IF(ABS(AN67+AN68+IFERROR(AN77/AI87,0)-AN88)&lt;0.0005,0,AN67+AN68-AN88),"")</f>
        <v>0</v>
      </c>
      <c r="AO69" s="215">
        <f>IF(AND(ISNUMBER(AO67),ISNUMBER(AO88)),IF(ABS(AO67+AO68+IFERROR(AO77/AJ87,0)-AO88)&lt;0.0005,0,AO67+AO68-AO88),"")</f>
        <v>0</v>
      </c>
      <c r="AP69" s="215">
        <f>IF(AND(ISNUMBER(AP67),ISNUMBER(AP88)),IF(ABS(AP67+AP68+IFERROR(AP77/AK87,0)-AP88)&lt;0.0005,0,AP67+AP68-AP88),"")</f>
        <v>0</v>
      </c>
      <c r="AQ69" s="215">
        <f>IF(AND(ISNUMBER(AQ67),ISNUMBER(AQ88)),IF(ABS(AQ67+AQ68+IFERROR(AQ77/AL87,0)-AQ88)&lt;0.0005,0,AQ67+AQ68-AQ88),"")</f>
        <v>0</v>
      </c>
      <c r="AR69" s="215">
        <f>IF(AND(ISNUMBER(AR67),ISNUMBER(AR88)),IF(ABS(AR67+AR68+IFERROR(AR77/AM87,0)-AR88)&lt;0.0005,0,AR67+AR68-AR88),"")</f>
        <v>0</v>
      </c>
      <c r="AS69" s="215">
        <f>IF(AND(ISNUMBER(AS67),ISNUMBER(AS88)),IF(ABS(AS67+AS68+IFERROR(AS77/AN87,0)-AS88)&lt;0.0005,0,AS67+AS68-AS88),"")</f>
        <v>0</v>
      </c>
      <c r="AT69" s="215">
        <f>IF(AND(ISNUMBER(AT67),ISNUMBER(AT88)),IF(ABS(AT67+AT68+IFERROR(AT77/AO87,0)-AT88)&lt;0.0005,0,AT67+AT68-AT88),"")</f>
        <v>0</v>
      </c>
      <c r="AU69" s="215">
        <f>IF(AND(ISNUMBER(AU67),ISNUMBER(AU88)),IF(ABS(AU67+AU68+IFERROR(AU77/AP87,0)-AU88)&lt;0.0005,0,AU67+AU68-AU88),"")</f>
        <v>0</v>
      </c>
      <c r="AV69" s="215">
        <f>IF(AND(ISNUMBER(AV67),ISNUMBER(AV88)),IF(ABS(AV67+AV68+IFERROR(AV77/AQ87,0)-AV88)&lt;0.0005,0,AV67+AV68-AV88),"")</f>
        <v>0</v>
      </c>
      <c r="AW69" s="215">
        <f>IF(AND(ISNUMBER(AW67),ISNUMBER(AW88)),IF(ABS(AW67+AW68+IFERROR(AW77/AR87,0)-AW88)&lt;0.0005,0,AW67+AW68-AW88),"")</f>
        <v>0</v>
      </c>
      <c r="AX69" s="215">
        <f>IF(AND(ISNUMBER(AX67),ISNUMBER(AX88)),IF(ABS(AX67+AX68+IFERROR(AX77/AS87,0)-AX88)&lt;0.0005,0,AX67+AX68-AX88),"")</f>
        <v>0</v>
      </c>
      <c r="AY69" s="215">
        <f>IF(AND(ISNUMBER(AY67),ISNUMBER(AY88)),IF(ABS(AY67+AY68+IFERROR(AY77/AT87,0)-AY88)&lt;0.0005,0,AY67+AY68-AY88),"")</f>
        <v>0</v>
      </c>
      <c r="AZ69" s="215">
        <f>IF(AND(ISNUMBER(AZ67),ISNUMBER(AZ88)),IF(ABS(AZ67+AZ68+IFERROR(AZ77/AU87,0)-AZ88)&lt;0.0005,0,AZ67+AZ68-AZ88),"")</f>
        <v>0</v>
      </c>
      <c r="BA69" s="215">
        <f>IF(AND(ISNUMBER(BA67),ISNUMBER(BA88)),IF(ABS(BA67+BA68+IFERROR(BA77/AV87,0)-BA88)&lt;0.0005,0,BA67+BA68-BA88),"")</f>
        <v>0</v>
      </c>
      <c r="BB69" s="215">
        <f>IF(AND(ISNUMBER(BB67),ISNUMBER(BB88)),IF(ABS(BB67+BB68+IFERROR(BB77/AW87,0)-BB88)&lt;0.0005,0,BB67+BB68-BB88),"")</f>
        <v>0</v>
      </c>
      <c r="BC69" s="215">
        <f>IF(AND(ISNUMBER(BC67),ISNUMBER(BC88)),IF(ABS(BC67+BC68+IFERROR(BC77/AX87,0)-BC88)&lt;0.0005,0,BC67+BC68-BC88),"")</f>
        <v>0</v>
      </c>
      <c r="BD69" s="215">
        <f>IF(AND(ISNUMBER(BD67),ISNUMBER(BD88)),IF(ABS(BD67+BD68+IFERROR(BD77/AY87,0)-BD88)&lt;0.0005,0,BD67+BD68-BD88),"")</f>
        <v>0</v>
      </c>
      <c r="BE69" s="215">
        <f>IF(AND(ISNUMBER(BE67),ISNUMBER(BE88)),IF(ABS(BE67+BE68+IFERROR(BE77/AZ87,0)-BE88)&lt;0.0005,0,BE67+BE68-BE88),"")</f>
        <v>0</v>
      </c>
      <c r="BF69" s="215">
        <f>IF(AND(ISNUMBER(BF67),ISNUMBER(BF88)),IF(ABS(BF67+BF68+IFERROR(BF77/BA87,0)-BF88)&lt;0.0005,0,BF67+BF68-BF88),"")</f>
        <v>0</v>
      </c>
      <c r="BG69" s="215">
        <f>IF(AND(ISNUMBER(BG67),ISNUMBER(BG88)),IF(ABS(BG67+BG68+IFERROR(BG77/BB87,0)-BG88)&lt;0.0005,0,BG67+BG68-BG88),"")</f>
        <v>0</v>
      </c>
      <c r="BH69" s="215">
        <f>IF(AND(ISNUMBER(BH67),ISNUMBER(BH88)),IF(ABS(BH67+BH68+IFERROR(BH77/BC87,0)-BH88)&lt;0.0005,0,BH67+BH68-BH88),"")</f>
        <v>0</v>
      </c>
      <c r="BI69" s="215">
        <f>IF(AND(ISNUMBER(BI67),ISNUMBER(BI88)),IF(ABS(BI67+BI68+IFERROR(BI77/BD87,0)-BI88)&lt;0.0005,0,BI67+BI68-BI88),"")</f>
        <v>0</v>
      </c>
      <c r="BJ69" s="215">
        <f>IF(AND(ISNUMBER(BJ67),ISNUMBER(BJ88)),IF(ABS(BJ67+BJ68+IFERROR(BJ77/BE87,0)-BJ88)&lt;0.0005,0,BJ67+BJ68-BJ88),"")</f>
        <v>0</v>
      </c>
      <c r="BK69" s="215">
        <f>IF(AND(ISNUMBER(BK67),ISNUMBER(BK88)),IF(ABS(BK67+BK68+IFERROR(BK77/BF87,0)-BK88)&lt;0.0005,0,BK67+BK68-BK88),"")</f>
        <v>0</v>
      </c>
      <c r="BL69" s="215">
        <f>IF(AND(ISNUMBER(BL67),ISNUMBER(BL88)),IF(ABS(BL67+BL68+IFERROR(BL77/BG87,0)-BL88)&lt;0.0005,0,BL67+BL68-BL88),"")</f>
        <v>0</v>
      </c>
      <c r="BM69" s="215">
        <f>IF(AND(ISNUMBER(BM67),ISNUMBER(BM88)),IF(ABS(BM67+BM68+IFERROR(BM77/BH87,0)-BM88)&lt;0.0005,0,BM67+BM68-BM88),"")</f>
        <v>0</v>
      </c>
      <c r="BN69" s="215">
        <f>IF(AND(ISNUMBER(BN67),ISNUMBER(BN88)),IF(ABS(BN67+BN68+IFERROR(BN77/BI87,0)-BN88)&lt;0.0005,0,BN67+BN68-BN88),"")</f>
        <v>0</v>
      </c>
      <c r="BO69" s="215">
        <f>IF(AND(ISNUMBER(BO67),ISNUMBER(BO88)),IF(ABS(BO67+BO68+IFERROR(BO77/BJ87,0)-BO88)&lt;0.0005,0,BO67+BO68-BO88),"")</f>
        <v>0</v>
      </c>
      <c r="BP69" s="215">
        <f>IF(AND(ISNUMBER(BP67),ISNUMBER(BP88)),IF(ABS(BP67+BP68+IFERROR(BP77/BK87,0)-BP88)&lt;0.0005,0,BP67+BP68-BP88),"")</f>
        <v>0</v>
      </c>
      <c r="BQ69" s="215">
        <f>IF(AND(ISNUMBER(BQ67),ISNUMBER(BQ88)),IF(ABS(BQ67+BQ68+IFERROR(BQ77/BL87,0)-BQ88)&lt;0.0005,0,BQ67+BQ68-BQ88),"")</f>
        <v>0</v>
      </c>
      <c r="BR69" s="215">
        <f>IF(AND(ISNUMBER(BR67),ISNUMBER(BR88)),IF(ABS(BR67+BR68+IFERROR(BR77/BM87,0)-BR88)&lt;0.0005,0,BR67+BR68-BR88),"")</f>
        <v>0</v>
      </c>
      <c r="BS69" s="215">
        <f>IF(AND(ISNUMBER(BS67),ISNUMBER(BS88)),IF(ABS(BS67+BS68+IFERROR(BS77/BN87,0)-BS88)&lt;0.0005,0,BS67+BS68-BS88),"")</f>
        <v>0</v>
      </c>
      <c r="BT69" s="215">
        <f>IF(AND(ISNUMBER(BT67),ISNUMBER(BT88)),IF(ABS(BT67+BT68+IFERROR(BT77/BO87,0)-BT88)&lt;0.0005,0,BT67+BT68-BT88),"")</f>
        <v>0</v>
      </c>
      <c r="BU69" s="215">
        <f>IF(AND(ISNUMBER(BU67),ISNUMBER(BU88)),IF(ABS(BU67+BU68+IFERROR(BU77/BP87,0)-BU88)&lt;0.0005,0,BU67+BU68-BU88),"")</f>
        <v>0</v>
      </c>
      <c r="BV69" s="215">
        <f>IF(AND(ISNUMBER(BV67),ISNUMBER(BV88)),IF(ABS(BV67+BV68+IFERROR(BV77/BQ87,0)-BV88)&lt;0.0005,0,BV67+BV68-BV88),"")</f>
        <v>0</v>
      </c>
      <c r="BW69" s="215">
        <f>IF(AND(ISNUMBER(BW67),ISNUMBER(BW88)),IF(ABS(BW67+BW68+IFERROR(BW77/BR87,0)-BW88)&lt;0.0005,0,BW67+BW68-BW88),"")</f>
        <v>0</v>
      </c>
      <c r="BX69" s="215">
        <f>IF(AND(ISNUMBER(BX67),ISNUMBER(BX88)),IF(ABS(BX67+BX68+IFERROR(BX77/BS87,0)-BX88)&lt;0.0005,0,BX67+BX68-BX88),"")</f>
        <v>0</v>
      </c>
      <c r="BY69" s="215">
        <f>IF(AND(ISNUMBER(BY67),ISNUMBER(BY88)),IF(ABS(BY67+BY68+IFERROR(BY77/BT87,0)-BY88)&lt;0.0005,0,BY67+BY68-BY88),"")</f>
        <v>0</v>
      </c>
      <c r="BZ69" s="266">
        <f>IF(AND(ISNUMBER(BZ67),ISNUMBER(BZ88)),IF(ABS(BZ67+BZ68+IFERROR(BZ77/BU87,0)-BZ88)&lt;0.0005,0,BZ67+BZ68-BZ88),"")</f>
        <v>0</v>
      </c>
      <c r="CA69" s="266">
        <f>IF(AND(ISNUMBER(CA67),ISNUMBER(CA88)),IF(ABS(CA67+CA68+IFERROR(CA77/BV87,0)-CA88)&lt;0.0005,0,CA67+CA68-CA88),"")</f>
        <v>0</v>
      </c>
      <c r="CB69" s="266">
        <f>IF(AND(ISNUMBER(CB67),ISNUMBER(CB88)),IF(ABS(CB67+CB68+IFERROR(CB77/CA87,0)-CB88)&lt;0.0005,0,CB67+CB68-CB88),"")</f>
        <v>0</v>
      </c>
      <c r="CC69" s="266">
        <f>IF(AND(ISNUMBER(CC67),ISNUMBER(CC88)),IF(ABS(CC67+CC68+IFERROR(CC77/CB87,0)-CC88)&lt;0.0005,0,CC67+CC68-CC88),"")</f>
        <v>0</v>
      </c>
      <c r="CD69" s="266">
        <f>IF(AND(ISNUMBER(CD67),ISNUMBER(CD88)),IF(ABS(CD67+CD68+IFERROR(CD77/CC87,0)-CD88)&lt;0.0005,0,CD67+CD68-CD88),"")</f>
        <v>0</v>
      </c>
      <c r="CE69" s="266">
        <f>IF(AND(ISNUMBER(CE67),ISNUMBER(CE88)),IF(ABS(CE67+CE68+IFERROR(CE77/CD87,0)-CE88)&lt;0.0005,0,CE67+CE68-CE88),"")</f>
        <v>0</v>
      </c>
      <c r="CF69" s="266">
        <f>IF(AND(ISNUMBER(CF67),ISNUMBER(CF88)),IF(ABS(CF67+CF68+IFERROR(CF77/CE87,0)-CF88)&lt;0.0005,0,CF67+CF68-CF88),"")</f>
        <v>0</v>
      </c>
      <c r="CG69" s="153" t="n"/>
      <c r="CO69" s="25" t="inlineStr">
        <is>
          <t xml:space="preserve">  2027E</t>
        </is>
      </c>
      <c r="CP69" s="33">
        <f>CQ69+$CP$68</f>
        <v>0.3</v>
      </c>
      <c r="CQ69" s="42" t="n">
        <v>0.27</v>
      </c>
      <c r="CR69" s="33">
        <f>CQ69+$CR$68</f>
        <v>0.23</v>
      </c>
    </row>
    <row r="70" ht="15" customHeight="1" s="251">
      <c r="CO70" s="25" t="inlineStr">
        <is>
          <t xml:space="preserve">  2028E</t>
        </is>
      </c>
      <c r="CP70" s="33">
        <f>CQ70+$CP$68</f>
        <v>0.32</v>
      </c>
      <c r="CQ70" s="42" t="n">
        <v>0.29</v>
      </c>
      <c r="CR70" s="33">
        <f>CQ70+$CR$68</f>
        <v>0.25</v>
      </c>
    </row>
    <row r="71" ht="15" customHeight="1" s="251">
      <c r="B71" s="14" t="inlineStr">
        <is>
          <t>Future acquisitions (M&amp;A lever — software bolt-ons, unallocated; deals closed from 2027E)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  <c r="BP71" s="14" t="n"/>
      <c r="BQ71" s="14" t="n"/>
      <c r="BR71" s="14" t="n"/>
      <c r="BS71" s="14" t="n"/>
      <c r="BT71" s="14" t="n"/>
      <c r="BU71" s="14" t="n"/>
      <c r="BV71" s="14" t="n"/>
      <c r="BW71" s="14" t="n"/>
      <c r="BX71" s="14" t="n"/>
      <c r="BY71" s="14" t="n"/>
      <c r="BZ71" s="14" t="n"/>
      <c r="CA71" s="14" t="n"/>
      <c r="CB71" s="14" t="n"/>
      <c r="CC71" s="14" t="n"/>
      <c r="CD71" s="14" t="n"/>
      <c r="CE71" s="14" t="n"/>
      <c r="CF71" s="14" t="n"/>
      <c r="CG71" s="15" t="inlineStr">
        <is>
          <t>M&amp;A LEVER — acquired revenue = spend ÷ EV/sales; mid-year convention</t>
        </is>
      </c>
      <c r="CO71" s="25" t="inlineStr">
        <is>
          <t xml:space="preserve">  2029E</t>
        </is>
      </c>
      <c r="CP71" s="33">
        <f>CQ71+$CP$68</f>
        <v>0.34</v>
      </c>
      <c r="CQ71" s="42" t="n">
        <v>0.31</v>
      </c>
      <c r="CR71" s="33">
        <f>CQ71+$CR$68</f>
        <v>0.27</v>
      </c>
    </row>
    <row r="72" collapsed="1" ht="15" customHeight="1" s="251">
      <c r="B72" s="25" t="inlineStr">
        <is>
          <t xml:space="preserve">  Acquisition spend (USDm, scenario)</t>
        </is>
      </c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  <c r="AA72" s="34" t="n"/>
      <c r="AB72" s="34" t="n"/>
      <c r="AC72" s="34" t="n"/>
      <c r="AD72" s="34" t="n"/>
      <c r="AE72" s="34" t="n"/>
      <c r="AF72" s="34" t="n"/>
      <c r="AG72" s="34" t="n"/>
      <c r="AH72" s="34" t="n"/>
      <c r="AI72" s="34" t="n"/>
      <c r="AJ72" s="34" t="n"/>
      <c r="AK72" s="34" t="n"/>
      <c r="AL72" s="34" t="n"/>
      <c r="AM72" s="34" t="n"/>
      <c r="AN72" s="34" t="n"/>
      <c r="AO72" s="34" t="n"/>
      <c r="AP72" s="34" t="n"/>
      <c r="AQ72" s="34" t="n"/>
      <c r="AR72" s="34" t="n"/>
      <c r="AS72" s="34" t="n"/>
      <c r="AT72" s="34" t="n"/>
      <c r="AU72" s="34" t="n"/>
      <c r="AV72" s="34" t="n"/>
      <c r="AW72" s="34" t="n"/>
      <c r="AX72" s="34" t="n"/>
      <c r="AY72" s="34" t="n"/>
      <c r="AZ72" s="34" t="n"/>
      <c r="BA72" s="34" t="n"/>
      <c r="BB72" s="34" t="n"/>
      <c r="BC72" s="34" t="n"/>
      <c r="BD72" s="34" t="n"/>
      <c r="BE72" s="34" t="n"/>
      <c r="BF72" s="34" t="n"/>
      <c r="BG72" s="34" t="n"/>
      <c r="BH72" s="34" t="n"/>
      <c r="BI72" s="34" t="n"/>
      <c r="BJ72" s="34" t="n"/>
      <c r="BK72" s="34" t="n"/>
      <c r="BL72" s="34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 t="n"/>
      <c r="BV72" s="34" t="n"/>
      <c r="BW72" s="34" t="n"/>
      <c r="BX72" s="34" t="n"/>
      <c r="BY72" s="34" t="n"/>
      <c r="BZ72" s="35" t="n"/>
      <c r="CA72" s="267" t="n">
        <v>0</v>
      </c>
      <c r="CB72" s="268">
        <f>MAX(0,CHOOSE(MATCH($CG$2,{"Bull","Base","Bear"},0),$CP$75,$CQ$75,$CR$75))</f>
        <v>0</v>
      </c>
      <c r="CC72" s="268">
        <f>MAX(0,CHOOSE(MATCH($CG$2,{"Bull","Base","Bear"},0),$CP$76,$CQ$76,$CR$76))</f>
        <v>0</v>
      </c>
      <c r="CD72" s="268">
        <f>MAX(0,CHOOSE(MATCH($CG$2,{"Bull","Base","Bear"},0),$CP$77,$CQ$77,$CR$77))</f>
        <v>0</v>
      </c>
      <c r="CE72" s="268">
        <f>MAX(0,CHOOSE(MATCH($CG$2,{"Bull","Base","Bear"},0),$CP$78,$CQ$78,$CR$78))</f>
        <v>0</v>
      </c>
      <c r="CF72" s="268">
        <f>MAX(0,CHOOSE(MATCH($CG$2,{"Bull","Base","Bear"},0),$CP$79,$CQ$79,$CR$79))</f>
        <v>0</v>
      </c>
      <c r="CG72" s="19" t="inlineStr">
        <is>
          <t>Scenario lever M&amp;A_spend (Base $0). Funded from cash / revolver (debt schedule).</t>
        </is>
      </c>
      <c r="CO72" s="25" t="inlineStr">
        <is>
          <t xml:space="preserve">  2030E</t>
        </is>
      </c>
      <c r="CP72" s="33">
        <f>CQ72+$CP$68</f>
        <v>0.35</v>
      </c>
      <c r="CQ72" s="42" t="n">
        <v>0.32</v>
      </c>
      <c r="CR72" s="33">
        <f>CQ72+$CR$68</f>
        <v>0.28</v>
      </c>
    </row>
    <row r="73" ht="15" customHeight="1" s="251">
      <c r="B73" s="25" t="inlineStr">
        <is>
          <t xml:space="preserve">  Purchase multiple — EV / sales (x)</t>
        </is>
      </c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  <c r="AU73" s="36" t="n"/>
      <c r="AV73" s="36" t="n"/>
      <c r="AW73" s="36" t="n"/>
      <c r="AX73" s="36" t="n"/>
      <c r="AY73" s="36" t="n"/>
      <c r="AZ73" s="36" t="n"/>
      <c r="BA73" s="36" t="n"/>
      <c r="BB73" s="36" t="n"/>
      <c r="BC73" s="36" t="n"/>
      <c r="BD73" s="36" t="n"/>
      <c r="BE73" s="36" t="n"/>
      <c r="BF73" s="36" t="n"/>
      <c r="BG73" s="36" t="n"/>
      <c r="BH73" s="36" t="n"/>
      <c r="BI73" s="36" t="n"/>
      <c r="BJ73" s="36" t="n"/>
      <c r="BK73" s="36" t="n"/>
      <c r="BL73" s="36" t="n"/>
      <c r="BM73" s="36" t="n"/>
      <c r="BN73" s="36" t="n"/>
      <c r="BO73" s="36" t="n"/>
      <c r="BP73" s="36" t="n"/>
      <c r="BQ73" s="36" t="n"/>
      <c r="BR73" s="36" t="n"/>
      <c r="BS73" s="36" t="n"/>
      <c r="BT73" s="36" t="n"/>
      <c r="BU73" s="36" t="n"/>
      <c r="BV73" s="36" t="n"/>
      <c r="BW73" s="36" t="n"/>
      <c r="BX73" s="36" t="n"/>
      <c r="BY73" s="36" t="n"/>
      <c r="BZ73" s="24" t="n"/>
      <c r="CA73" s="269" t="n">
        <v>0</v>
      </c>
      <c r="CB73" s="269" t="n">
        <v>6</v>
      </c>
      <c r="CC73" s="269" t="n">
        <v>6</v>
      </c>
      <c r="CD73" s="269" t="n">
        <v>6</v>
      </c>
      <c r="CE73" s="269" t="n">
        <v>6</v>
      </c>
      <c r="CF73" s="269" t="n">
        <v>6</v>
      </c>
      <c r="CG73" s="19" t="inlineStr">
        <is>
          <t>Assumption (software bolt-ons ~5–8x revenue); FICO has spent little on acquisitions since FY2014.</t>
        </is>
      </c>
      <c r="CO73" s="25" t="inlineStr">
        <is>
          <t xml:space="preserve">  2031E</t>
        </is>
      </c>
      <c r="CP73" s="33">
        <f>CQ73+$CP$68</f>
        <v>0.36</v>
      </c>
      <c r="CQ73" s="42" t="n">
        <v>0.33</v>
      </c>
      <c r="CR73" s="33">
        <f>CQ73+$CR$68</f>
        <v>0.29</v>
      </c>
    </row>
    <row r="74" ht="15" customHeight="1" s="251">
      <c r="B74" s="25" t="inlineStr">
        <is>
          <t xml:space="preserve">  Annualised revenue acquired in the year</t>
        </is>
      </c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  <c r="AA74" s="34" t="n"/>
      <c r="AB74" s="34" t="n"/>
      <c r="AC74" s="34" t="n"/>
      <c r="AD74" s="34" t="n"/>
      <c r="AE74" s="34" t="n"/>
      <c r="AF74" s="34" t="n"/>
      <c r="AG74" s="34" t="n"/>
      <c r="AH74" s="34" t="n"/>
      <c r="AI74" s="34" t="n"/>
      <c r="AJ74" s="34" t="n"/>
      <c r="AK74" s="34" t="n"/>
      <c r="AL74" s="34" t="n"/>
      <c r="AM74" s="34" t="n"/>
      <c r="AN74" s="34" t="n"/>
      <c r="AO74" s="34" t="n"/>
      <c r="AP74" s="34" t="n"/>
      <c r="AQ74" s="34" t="n"/>
      <c r="AR74" s="34" t="n"/>
      <c r="AS74" s="34" t="n"/>
      <c r="AT74" s="34" t="n"/>
      <c r="AU74" s="34" t="n"/>
      <c r="AV74" s="34" t="n"/>
      <c r="AW74" s="34" t="n"/>
      <c r="AX74" s="34" t="n"/>
      <c r="AY74" s="34" t="n"/>
      <c r="AZ74" s="34" t="n"/>
      <c r="BA74" s="34" t="n"/>
      <c r="BB74" s="34" t="n"/>
      <c r="BC74" s="34" t="n"/>
      <c r="BD74" s="34" t="n"/>
      <c r="BE74" s="34" t="n"/>
      <c r="BF74" s="34" t="n"/>
      <c r="BG74" s="34" t="n"/>
      <c r="BH74" s="34" t="n"/>
      <c r="BI74" s="34" t="n"/>
      <c r="BJ74" s="34" t="n"/>
      <c r="BK74" s="34" t="n"/>
      <c r="BL74" s="34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 t="n"/>
      <c r="BV74" s="34" t="n"/>
      <c r="BW74" s="34" t="n"/>
      <c r="BX74" s="34" t="n"/>
      <c r="BY74" s="34" t="n"/>
      <c r="BZ74" s="35" t="n"/>
      <c r="CA74" s="267" t="n">
        <v>0</v>
      </c>
      <c r="CB74" s="268">
        <f>IFERROR(CB72/CB73,0)</f>
        <v>0</v>
      </c>
      <c r="CC74" s="268">
        <f>IFERROR(CC72/CC73,0)</f>
        <v>0</v>
      </c>
      <c r="CD74" s="268">
        <f>IFERROR(CD72/CD73,0)</f>
        <v>0</v>
      </c>
      <c r="CE74" s="268">
        <f>IFERROR(CE72/CE73,0)</f>
        <v>0</v>
      </c>
      <c r="CF74" s="268">
        <f>IFERROR(CF72/CF73,0)</f>
        <v>0</v>
      </c>
      <c r="CG74" s="19" t="n"/>
      <c r="CO74" s="15" t="inlineStr">
        <is>
          <t>M&amp;A_spend (software bolt-ons, $m)</t>
        </is>
      </c>
      <c r="CP74" s="50" t="n">
        <v>0</v>
      </c>
      <c r="CQ74" s="21" t="inlineStr">
        <is>
          <t>Δ →</t>
        </is>
      </c>
      <c r="CR74" s="50" t="n">
        <v>0</v>
      </c>
      <c r="CS74" s="13" t="inlineStr">
        <is>
          <t>FICO has made no material acquisition since FY2014 and returns capital through buybacks; Base $0 (lever available).</t>
        </is>
      </c>
    </row>
    <row r="75" ht="15" customHeight="1" s="251">
      <c r="B75" s="25" t="inlineStr">
        <is>
          <t xml:space="preserve">  Growth of acquired businesses after acquisition %</t>
        </is>
      </c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36" t="n"/>
      <c r="AV75" s="36" t="n"/>
      <c r="AW75" s="36" t="n"/>
      <c r="AX75" s="36" t="n"/>
      <c r="AY75" s="36" t="n"/>
      <c r="AZ75" s="36" t="n"/>
      <c r="BA75" s="36" t="n"/>
      <c r="BB75" s="36" t="n"/>
      <c r="BC75" s="36" t="n"/>
      <c r="BD75" s="36" t="n"/>
      <c r="BE75" s="36" t="n"/>
      <c r="BF75" s="36" t="n"/>
      <c r="BG75" s="36" t="n"/>
      <c r="BH75" s="36" t="n"/>
      <c r="BI75" s="36" t="n"/>
      <c r="BJ75" s="36" t="n"/>
      <c r="BK75" s="36" t="n"/>
      <c r="BL75" s="36" t="n"/>
      <c r="BM75" s="36" t="n"/>
      <c r="BN75" s="36" t="n"/>
      <c r="BO75" s="36" t="n"/>
      <c r="BP75" s="36" t="n"/>
      <c r="BQ75" s="36" t="n"/>
      <c r="BR75" s="36" t="n"/>
      <c r="BS75" s="36" t="n"/>
      <c r="BT75" s="36" t="n"/>
      <c r="BU75" s="36" t="n"/>
      <c r="BV75" s="36" t="n"/>
      <c r="BW75" s="36" t="n"/>
      <c r="BX75" s="36" t="n"/>
      <c r="BY75" s="36" t="n"/>
      <c r="BZ75" s="24" t="n"/>
      <c r="CA75" s="265" t="n">
        <v>0</v>
      </c>
      <c r="CB75" s="265" t="n">
        <v>0.08</v>
      </c>
      <c r="CC75" s="265" t="n">
        <v>0.08</v>
      </c>
      <c r="CD75" s="265" t="n">
        <v>0.08</v>
      </c>
      <c r="CE75" s="265" t="n">
        <v>0.08</v>
      </c>
      <c r="CF75" s="265" t="n">
        <v>0.08</v>
      </c>
      <c r="CG75" s="19" t="n"/>
      <c r="CO75" s="25" t="inlineStr">
        <is>
          <t xml:space="preserve">  2027E</t>
        </is>
      </c>
      <c r="CP75" s="51">
        <f>MAX(0,CQ75+$CP$74)</f>
        <v>0</v>
      </c>
      <c r="CQ75" s="26" t="n">
        <v>0</v>
      </c>
      <c r="CR75" s="51">
        <f>MAX(0,CQ75+$CR$74)</f>
        <v>0</v>
      </c>
    </row>
    <row r="76" ht="15" customHeight="1" s="251">
      <c r="B76" s="25" t="inlineStr">
        <is>
          <t xml:space="preserve">  Run-rate revenue of businesses acquired (year end)</t>
        </is>
      </c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  <c r="AA76" s="34" t="n"/>
      <c r="AB76" s="34" t="n"/>
      <c r="AC76" s="34" t="n"/>
      <c r="AD76" s="34" t="n"/>
      <c r="AE76" s="34" t="n"/>
      <c r="AF76" s="34" t="n"/>
      <c r="AG76" s="34" t="n"/>
      <c r="AH76" s="34" t="n"/>
      <c r="AI76" s="34" t="n"/>
      <c r="AJ76" s="34" t="n"/>
      <c r="AK76" s="34" t="n"/>
      <c r="AL76" s="34" t="n"/>
      <c r="AM76" s="34" t="n"/>
      <c r="AN76" s="34" t="n"/>
      <c r="AO76" s="34" t="n"/>
      <c r="AP76" s="34" t="n"/>
      <c r="AQ76" s="34" t="n"/>
      <c r="AR76" s="34" t="n"/>
      <c r="AS76" s="34" t="n"/>
      <c r="AT76" s="34" t="n"/>
      <c r="AU76" s="34" t="n"/>
      <c r="AV76" s="34" t="n"/>
      <c r="AW76" s="34" t="n"/>
      <c r="AX76" s="34" t="n"/>
      <c r="AY76" s="34" t="n"/>
      <c r="AZ76" s="34" t="n"/>
      <c r="BA76" s="34" t="n"/>
      <c r="BB76" s="34" t="n"/>
      <c r="BC76" s="34" t="n"/>
      <c r="BD76" s="34" t="n"/>
      <c r="BE76" s="34" t="n"/>
      <c r="BF76" s="34" t="n"/>
      <c r="BG76" s="34" t="n"/>
      <c r="BH76" s="34" t="n"/>
      <c r="BI76" s="34" t="n"/>
      <c r="BJ76" s="34" t="n"/>
      <c r="BK76" s="34" t="n"/>
      <c r="BL76" s="34" t="n"/>
      <c r="BM76" s="34" t="n"/>
      <c r="BN76" s="34" t="n"/>
      <c r="BO76" s="34" t="n"/>
      <c r="BP76" s="34" t="n"/>
      <c r="BQ76" s="34" t="n"/>
      <c r="BR76" s="34" t="n"/>
      <c r="BS76" s="34" t="n"/>
      <c r="BT76" s="34" t="n"/>
      <c r="BU76" s="34" t="n"/>
      <c r="BV76" s="34" t="n"/>
      <c r="BW76" s="34" t="n"/>
      <c r="BX76" s="34" t="n"/>
      <c r="BY76" s="34" t="n"/>
      <c r="BZ76" s="35" t="n"/>
      <c r="CA76" s="267" t="n">
        <v>0</v>
      </c>
      <c r="CB76" s="268">
        <f>CA76*(1+CB75)+CB74</f>
        <v>0</v>
      </c>
      <c r="CC76" s="268">
        <f>CB76*(1+CC75)+CC74</f>
        <v>0</v>
      </c>
      <c r="CD76" s="268">
        <f>CC76*(1+CD75)+CD74</f>
        <v>0</v>
      </c>
      <c r="CE76" s="268">
        <f>CD76*(1+CE75)+CE74</f>
        <v>0</v>
      </c>
      <c r="CF76" s="268">
        <f>CE76*(1+CF75)+CF74</f>
        <v>0</v>
      </c>
      <c r="CG76" s="19" t="n"/>
      <c r="CO76" s="25" t="inlineStr">
        <is>
          <t xml:space="preserve">  2028E</t>
        </is>
      </c>
      <c r="CP76" s="51">
        <f>MAX(0,CQ76+$CP$74)</f>
        <v>0</v>
      </c>
      <c r="CQ76" s="26" t="n">
        <v>0</v>
      </c>
      <c r="CR76" s="51">
        <f>MAX(0,CQ76+$CR$74)</f>
        <v>0</v>
      </c>
    </row>
    <row r="77" ht="15" customHeight="1" s="251">
      <c r="B77" s="16" t="inlineStr">
        <is>
          <t xml:space="preserve">  Revenue from future acquisitions</t>
        </is>
      </c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  <c r="AB77" s="43" t="n"/>
      <c r="AC77" s="43" t="n"/>
      <c r="AD77" s="43" t="n"/>
      <c r="AE77" s="43" t="n"/>
      <c r="AF77" s="43" t="n"/>
      <c r="AG77" s="43" t="n"/>
      <c r="AH77" s="43" t="n"/>
      <c r="AI77" s="43" t="n"/>
      <c r="AJ77" s="43" t="n"/>
      <c r="AK77" s="43" t="n"/>
      <c r="AL77" s="43" t="n"/>
      <c r="AM77" s="43" t="n"/>
      <c r="AN77" s="43" t="n"/>
      <c r="AO77" s="43" t="n"/>
      <c r="AP77" s="43" t="n"/>
      <c r="AQ77" s="43" t="n"/>
      <c r="AR77" s="43" t="n"/>
      <c r="AS77" s="43" t="n"/>
      <c r="AT77" s="43" t="n"/>
      <c r="AU77" s="43" t="n"/>
      <c r="AV77" s="43" t="n"/>
      <c r="AW77" s="43" t="n"/>
      <c r="AX77" s="43" t="n"/>
      <c r="AY77" s="43" t="n"/>
      <c r="AZ77" s="43" t="n"/>
      <c r="BA77" s="43" t="n"/>
      <c r="BB77" s="43" t="n"/>
      <c r="BC77" s="43" t="n"/>
      <c r="BD77" s="43" t="n"/>
      <c r="BE77" s="43" t="n"/>
      <c r="BF77" s="43" t="n"/>
      <c r="BG77" s="43" t="n"/>
      <c r="BH77" s="43" t="n"/>
      <c r="BI77" s="43" t="n"/>
      <c r="BJ77" s="43" t="n"/>
      <c r="BK77" s="43" t="n"/>
      <c r="BL77" s="43" t="n"/>
      <c r="BM77" s="43" t="n"/>
      <c r="BN77" s="43" t="n"/>
      <c r="BO77" s="43" t="n"/>
      <c r="BP77" s="43" t="n"/>
      <c r="BQ77" s="43" t="n"/>
      <c r="BR77" s="43" t="n"/>
      <c r="BS77" s="43" t="n"/>
      <c r="BT77" s="43" t="n"/>
      <c r="BU77" s="43" t="n"/>
      <c r="BV77" s="43" t="n"/>
      <c r="BW77" s="43" t="n"/>
      <c r="BX77" s="43" t="n"/>
      <c r="BY77" s="43" t="n"/>
      <c r="BZ77" s="32" t="n"/>
      <c r="CA77" s="270" t="n">
        <v>0</v>
      </c>
      <c r="CB77" s="271">
        <f>CA76*(1+CB75)+0.5*CB74</f>
        <v>0</v>
      </c>
      <c r="CC77" s="271">
        <f>CB76*(1+CC75)+0.5*CC74</f>
        <v>0</v>
      </c>
      <c r="CD77" s="271">
        <f>CC76*(1+CD75)+0.5*CD74</f>
        <v>0</v>
      </c>
      <c r="CE77" s="271">
        <f>CD76*(1+CE75)+0.5*CE74</f>
        <v>0</v>
      </c>
      <c r="CF77" s="271">
        <f>CE76*(1+CF75)+0.5*CF74</f>
        <v>0</v>
      </c>
      <c r="CG77" s="153" t="inlineStr">
        <is>
          <t>Mid-year convention.</t>
        </is>
      </c>
      <c r="CO77" s="25" t="inlineStr">
        <is>
          <t xml:space="preserve">  2029E</t>
        </is>
      </c>
      <c r="CP77" s="51">
        <f>MAX(0,CQ77+$CP$74)</f>
        <v>0</v>
      </c>
      <c r="CQ77" s="26" t="n">
        <v>0</v>
      </c>
      <c r="CR77" s="51">
        <f>MAX(0,CQ77+$CR$74)</f>
        <v>0</v>
      </c>
    </row>
    <row r="78" ht="15" customHeight="1" s="251">
      <c r="B78" s="25" t="inlineStr">
        <is>
          <t xml:space="preserve">  Operating margin of acquired businesses (before amortization) %</t>
        </is>
      </c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36" t="n"/>
      <c r="AV78" s="36" t="n"/>
      <c r="AW78" s="36" t="n"/>
      <c r="AX78" s="36" t="n"/>
      <c r="AY78" s="36" t="n"/>
      <c r="AZ78" s="36" t="n"/>
      <c r="BA78" s="36" t="n"/>
      <c r="BB78" s="36" t="n"/>
      <c r="BC78" s="36" t="n"/>
      <c r="BD78" s="36" t="n"/>
      <c r="BE78" s="36" t="n"/>
      <c r="BF78" s="36" t="n"/>
      <c r="BG78" s="36" t="n"/>
      <c r="BH78" s="36" t="n"/>
      <c r="BI78" s="36" t="n"/>
      <c r="BJ78" s="36" t="n"/>
      <c r="BK78" s="36" t="n"/>
      <c r="BL78" s="36" t="n"/>
      <c r="BM78" s="36" t="n"/>
      <c r="BN78" s="36" t="n"/>
      <c r="BO78" s="36" t="n"/>
      <c r="BP78" s="36" t="n"/>
      <c r="BQ78" s="36" t="n"/>
      <c r="BR78" s="36" t="n"/>
      <c r="BS78" s="36" t="n"/>
      <c r="BT78" s="36" t="n"/>
      <c r="BU78" s="36" t="n"/>
      <c r="BV78" s="36" t="n"/>
      <c r="BW78" s="36" t="n"/>
      <c r="BX78" s="36" t="n"/>
      <c r="BY78" s="36" t="n"/>
      <c r="BZ78" s="24" t="n"/>
      <c r="CA78" s="265" t="n">
        <v>0</v>
      </c>
      <c r="CB78" s="265" t="n">
        <v>0.2</v>
      </c>
      <c r="CC78" s="265" t="n">
        <v>0.2</v>
      </c>
      <c r="CD78" s="265" t="n">
        <v>0.2</v>
      </c>
      <c r="CE78" s="265" t="n">
        <v>0.2</v>
      </c>
      <c r="CF78" s="265" t="n">
        <v>0.2</v>
      </c>
      <c r="CG78" s="19" t="n"/>
      <c r="CO78" s="25" t="inlineStr">
        <is>
          <t xml:space="preserve">  2030E</t>
        </is>
      </c>
      <c r="CP78" s="51">
        <f>MAX(0,CQ78+$CP$74)</f>
        <v>0</v>
      </c>
      <c r="CQ78" s="26" t="n">
        <v>0</v>
      </c>
      <c r="CR78" s="51">
        <f>MAX(0,CQ78+$CR$74)</f>
        <v>0</v>
      </c>
    </row>
    <row r="79" ht="15" customHeight="1" s="251">
      <c r="B79" s="25" t="inlineStr">
        <is>
          <t xml:space="preserve">  Operating income from future acquisitions</t>
        </is>
      </c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  <c r="AA79" s="34" t="n"/>
      <c r="AB79" s="34" t="n"/>
      <c r="AC79" s="34" t="n"/>
      <c r="AD79" s="34" t="n"/>
      <c r="AE79" s="34" t="n"/>
      <c r="AF79" s="34" t="n"/>
      <c r="AG79" s="34" t="n"/>
      <c r="AH79" s="34" t="n"/>
      <c r="AI79" s="34" t="n"/>
      <c r="AJ79" s="34" t="n"/>
      <c r="AK79" s="34" t="n"/>
      <c r="AL79" s="34" t="n"/>
      <c r="AM79" s="34" t="n"/>
      <c r="AN79" s="34" t="n"/>
      <c r="AO79" s="34" t="n"/>
      <c r="AP79" s="34" t="n"/>
      <c r="AQ79" s="34" t="n"/>
      <c r="AR79" s="34" t="n"/>
      <c r="AS79" s="34" t="n"/>
      <c r="AT79" s="34" t="n"/>
      <c r="AU79" s="34" t="n"/>
      <c r="AV79" s="34" t="n"/>
      <c r="AW79" s="34" t="n"/>
      <c r="AX79" s="34" t="n"/>
      <c r="AY79" s="34" t="n"/>
      <c r="AZ79" s="34" t="n"/>
      <c r="BA79" s="34" t="n"/>
      <c r="BB79" s="34" t="n"/>
      <c r="BC79" s="34" t="n"/>
      <c r="BD79" s="34" t="n"/>
      <c r="BE79" s="34" t="n"/>
      <c r="BF79" s="34" t="n"/>
      <c r="BG79" s="34" t="n"/>
      <c r="BH79" s="34" t="n"/>
      <c r="BI79" s="34" t="n"/>
      <c r="BJ79" s="34" t="n"/>
      <c r="BK79" s="34" t="n"/>
      <c r="BL79" s="34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4" t="n"/>
      <c r="BW79" s="34" t="n"/>
      <c r="BX79" s="34" t="n"/>
      <c r="BY79" s="34" t="n"/>
      <c r="BZ79" s="35" t="n"/>
      <c r="CA79" s="267" t="n">
        <v>0</v>
      </c>
      <c r="CB79" s="268">
        <f>CB77*CB78</f>
        <v>0</v>
      </c>
      <c r="CC79" s="268">
        <f>CC77*CC78</f>
        <v>0</v>
      </c>
      <c r="CD79" s="268">
        <f>CD77*CD78</f>
        <v>0</v>
      </c>
      <c r="CE79" s="268">
        <f>CE77*CE78</f>
        <v>0</v>
      </c>
      <c r="CF79" s="268">
        <f>CF77*CF78</f>
        <v>0</v>
      </c>
      <c r="CG79" s="19" t="n"/>
      <c r="CO79" s="25" t="inlineStr">
        <is>
          <t xml:space="preserve">  2031E</t>
        </is>
      </c>
      <c r="CP79" s="51">
        <f>MAX(0,CQ79+$CP$74)</f>
        <v>0</v>
      </c>
      <c r="CQ79" s="26" t="n">
        <v>0</v>
      </c>
      <c r="CR79" s="51">
        <f>MAX(0,CQ79+$CR$74)</f>
        <v>0</v>
      </c>
    </row>
    <row r="80" collapsed="1" ht="15" customHeight="1" s="251">
      <c r="B80" s="25" t="inlineStr">
        <is>
          <t xml:space="preserve">  PP&amp;E % of spend</t>
        </is>
      </c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  <c r="AU80" s="36" t="n"/>
      <c r="AV80" s="36" t="n"/>
      <c r="AW80" s="36" t="n"/>
      <c r="AX80" s="36" t="n"/>
      <c r="AY80" s="36" t="n"/>
      <c r="AZ80" s="36" t="n"/>
      <c r="BA80" s="36" t="n"/>
      <c r="BB80" s="36" t="n"/>
      <c r="BC80" s="36" t="n"/>
      <c r="BD80" s="36" t="n"/>
      <c r="BE80" s="36" t="n"/>
      <c r="BF80" s="36" t="n"/>
      <c r="BG80" s="36" t="n"/>
      <c r="BH80" s="36" t="n"/>
      <c r="BI80" s="36" t="n"/>
      <c r="BJ80" s="36" t="n"/>
      <c r="BK80" s="36" t="n"/>
      <c r="BL80" s="36" t="n"/>
      <c r="BM80" s="36" t="n"/>
      <c r="BN80" s="36" t="n"/>
      <c r="BO80" s="36" t="n"/>
      <c r="BP80" s="36" t="n"/>
      <c r="BQ80" s="36" t="n"/>
      <c r="BR80" s="36" t="n"/>
      <c r="BS80" s="36" t="n"/>
      <c r="BT80" s="36" t="n"/>
      <c r="BU80" s="36" t="n"/>
      <c r="BV80" s="36" t="n"/>
      <c r="BW80" s="36" t="n"/>
      <c r="BX80" s="36" t="n"/>
      <c r="BY80" s="36" t="n"/>
      <c r="BZ80" s="24" t="n"/>
      <c r="CA80" s="265" t="n">
        <v>0</v>
      </c>
      <c r="CB80" s="265" t="n">
        <v>0.02</v>
      </c>
      <c r="CC80" s="265" t="n">
        <v>0.02</v>
      </c>
      <c r="CD80" s="265" t="n">
        <v>0.02</v>
      </c>
      <c r="CE80" s="265" t="n">
        <v>0.02</v>
      </c>
      <c r="CF80" s="265" t="n">
        <v>0.02</v>
      </c>
      <c r="CG80" s="19" t="n"/>
    </row>
    <row r="81" ht="15" customHeight="1" s="251">
      <c r="B81" s="25" t="inlineStr">
        <is>
          <t xml:space="preserve">  Acquired intangibles % of spend</t>
        </is>
      </c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  <c r="AU81" s="36" t="n"/>
      <c r="AV81" s="36" t="n"/>
      <c r="AW81" s="36" t="n"/>
      <c r="AX81" s="36" t="n"/>
      <c r="AY81" s="36" t="n"/>
      <c r="AZ81" s="36" t="n"/>
      <c r="BA81" s="36" t="n"/>
      <c r="BB81" s="36" t="n"/>
      <c r="BC81" s="36" t="n"/>
      <c r="BD81" s="36" t="n"/>
      <c r="BE81" s="36" t="n"/>
      <c r="BF81" s="36" t="n"/>
      <c r="BG81" s="36" t="n"/>
      <c r="BH81" s="36" t="n"/>
      <c r="BI81" s="36" t="n"/>
      <c r="BJ81" s="36" t="n"/>
      <c r="BK81" s="36" t="n"/>
      <c r="BL81" s="36" t="n"/>
      <c r="BM81" s="36" t="n"/>
      <c r="BN81" s="36" t="n"/>
      <c r="BO81" s="36" t="n"/>
      <c r="BP81" s="36" t="n"/>
      <c r="BQ81" s="36" t="n"/>
      <c r="BR81" s="36" t="n"/>
      <c r="BS81" s="36" t="n"/>
      <c r="BT81" s="36" t="n"/>
      <c r="BU81" s="36" t="n"/>
      <c r="BV81" s="36" t="n"/>
      <c r="BW81" s="36" t="n"/>
      <c r="BX81" s="36" t="n"/>
      <c r="BY81" s="36" t="n"/>
      <c r="BZ81" s="24" t="n"/>
      <c r="CA81" s="265" t="n">
        <v>0</v>
      </c>
      <c r="CB81" s="265" t="n">
        <v>0.3</v>
      </c>
      <c r="CC81" s="265" t="n">
        <v>0.3</v>
      </c>
      <c r="CD81" s="265" t="n">
        <v>0.3</v>
      </c>
      <c r="CE81" s="265" t="n">
        <v>0.3</v>
      </c>
      <c r="CF81" s="265" t="n">
        <v>0.3</v>
      </c>
      <c r="CG81" s="19" t="inlineStr">
        <is>
          <t>Assumption for software targets (technology and customer relationships).</t>
        </is>
      </c>
    </row>
    <row r="82" ht="15" customHeight="1" s="251">
      <c r="B82" s="25" t="inlineStr">
        <is>
          <t xml:space="preserve">  Intangible amortization life (years)</t>
        </is>
      </c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36" t="n"/>
      <c r="BE82" s="36" t="n"/>
      <c r="BF82" s="36" t="n"/>
      <c r="BG82" s="36" t="n"/>
      <c r="BH82" s="36" t="n"/>
      <c r="BI82" s="36" t="n"/>
      <c r="BJ82" s="36" t="n"/>
      <c r="BK82" s="36" t="n"/>
      <c r="BL82" s="36" t="n"/>
      <c r="BM82" s="36" t="n"/>
      <c r="BN82" s="36" t="n"/>
      <c r="BO82" s="36" t="n"/>
      <c r="BP82" s="36" t="n"/>
      <c r="BQ82" s="36" t="n"/>
      <c r="BR82" s="36" t="n"/>
      <c r="BS82" s="36" t="n"/>
      <c r="BT82" s="36" t="n"/>
      <c r="BU82" s="36" t="n"/>
      <c r="BV82" s="36" t="n"/>
      <c r="BW82" s="36" t="n"/>
      <c r="BX82" s="36" t="n"/>
      <c r="BY82" s="36" t="n"/>
      <c r="BZ82" s="24" t="n"/>
      <c r="CA82" s="272" t="n">
        <v>0</v>
      </c>
      <c r="CB82" s="272" t="n">
        <v>8</v>
      </c>
      <c r="CC82" s="272" t="n">
        <v>8</v>
      </c>
      <c r="CD82" s="272" t="n">
        <v>8</v>
      </c>
      <c r="CE82" s="272" t="n">
        <v>8</v>
      </c>
      <c r="CF82" s="272" t="n">
        <v>8</v>
      </c>
      <c r="CG82" s="19" t="n"/>
    </row>
    <row r="83" ht="15" customHeight="1" s="251">
      <c r="B83" s="25" t="inlineStr">
        <is>
          <t xml:space="preserve">  Cumulative acquired intangibles (gross)</t>
        </is>
      </c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  <c r="AA83" s="34" t="n"/>
      <c r="AB83" s="34" t="n"/>
      <c r="AC83" s="34" t="n"/>
      <c r="AD83" s="34" t="n"/>
      <c r="AE83" s="34" t="n"/>
      <c r="AF83" s="34" t="n"/>
      <c r="AG83" s="34" t="n"/>
      <c r="AH83" s="34" t="n"/>
      <c r="AI83" s="34" t="n"/>
      <c r="AJ83" s="34" t="n"/>
      <c r="AK83" s="34" t="n"/>
      <c r="AL83" s="34" t="n"/>
      <c r="AM83" s="34" t="n"/>
      <c r="AN83" s="34" t="n"/>
      <c r="AO83" s="34" t="n"/>
      <c r="AP83" s="34" t="n"/>
      <c r="AQ83" s="34" t="n"/>
      <c r="AR83" s="34" t="n"/>
      <c r="AS83" s="34" t="n"/>
      <c r="AT83" s="34" t="n"/>
      <c r="AU83" s="34" t="n"/>
      <c r="AV83" s="34" t="n"/>
      <c r="AW83" s="34" t="n"/>
      <c r="AX83" s="34" t="n"/>
      <c r="AY83" s="34" t="n"/>
      <c r="AZ83" s="34" t="n"/>
      <c r="BA83" s="34" t="n"/>
      <c r="BB83" s="34" t="n"/>
      <c r="BC83" s="34" t="n"/>
      <c r="BD83" s="34" t="n"/>
      <c r="BE83" s="34" t="n"/>
      <c r="BF83" s="34" t="n"/>
      <c r="BG83" s="34" t="n"/>
      <c r="BH83" s="34" t="n"/>
      <c r="BI83" s="34" t="n"/>
      <c r="BJ83" s="34" t="n"/>
      <c r="BK83" s="34" t="n"/>
      <c r="BL83" s="34" t="n"/>
      <c r="BM83" s="34" t="n"/>
      <c r="BN83" s="34" t="n"/>
      <c r="BO83" s="34" t="n"/>
      <c r="BP83" s="34" t="n"/>
      <c r="BQ83" s="34" t="n"/>
      <c r="BR83" s="34" t="n"/>
      <c r="BS83" s="34" t="n"/>
      <c r="BT83" s="34" t="n"/>
      <c r="BU83" s="34" t="n"/>
      <c r="BV83" s="34" t="n"/>
      <c r="BW83" s="34" t="n"/>
      <c r="BX83" s="34" t="n"/>
      <c r="BY83" s="34" t="n"/>
      <c r="BZ83" s="35" t="n"/>
      <c r="CA83" s="267" t="n">
        <v>0</v>
      </c>
      <c r="CB83" s="268">
        <f>CA83+CB72*CB81</f>
        <v>0</v>
      </c>
      <c r="CC83" s="268">
        <f>CB83+CC72*CC81</f>
        <v>0</v>
      </c>
      <c r="CD83" s="268">
        <f>CC83+CD72*CD81</f>
        <v>0</v>
      </c>
      <c r="CE83" s="268">
        <f>CD83+CE72*CE81</f>
        <v>0</v>
      </c>
      <c r="CF83" s="268">
        <f>CE83+CF72*CF81</f>
        <v>0</v>
      </c>
      <c r="CG83" s="19" t="n"/>
    </row>
    <row r="84" ht="15" customHeight="1" s="251">
      <c r="B84" s="25" t="inlineStr">
        <is>
          <t xml:space="preserve">  Amortization of future-acquisition intangibles (adjusted out of non-GAAP)</t>
        </is>
      </c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  <c r="AA84" s="34" t="n"/>
      <c r="AB84" s="34" t="n"/>
      <c r="AC84" s="34" t="n"/>
      <c r="AD84" s="34" t="n"/>
      <c r="AE84" s="34" t="n"/>
      <c r="AF84" s="34" t="n"/>
      <c r="AG84" s="34" t="n"/>
      <c r="AH84" s="34" t="n"/>
      <c r="AI84" s="34" t="n"/>
      <c r="AJ84" s="34" t="n"/>
      <c r="AK84" s="34" t="n"/>
      <c r="AL84" s="34" t="n"/>
      <c r="AM84" s="34" t="n"/>
      <c r="AN84" s="34" t="n"/>
      <c r="AO84" s="34" t="n"/>
      <c r="AP84" s="34" t="n"/>
      <c r="AQ84" s="34" t="n"/>
      <c r="AR84" s="34" t="n"/>
      <c r="AS84" s="34" t="n"/>
      <c r="AT84" s="34" t="n"/>
      <c r="AU84" s="34" t="n"/>
      <c r="AV84" s="34" t="n"/>
      <c r="AW84" s="34" t="n"/>
      <c r="AX84" s="34" t="n"/>
      <c r="AY84" s="34" t="n"/>
      <c r="AZ84" s="34" t="n"/>
      <c r="BA84" s="34" t="n"/>
      <c r="BB84" s="34" t="n"/>
      <c r="BC84" s="34" t="n"/>
      <c r="BD84" s="34" t="n"/>
      <c r="BE84" s="34" t="n"/>
      <c r="BF84" s="34" t="n"/>
      <c r="BG84" s="34" t="n"/>
      <c r="BH84" s="34" t="n"/>
      <c r="BI84" s="34" t="n"/>
      <c r="BJ84" s="34" t="n"/>
      <c r="BK84" s="34" t="n"/>
      <c r="BL84" s="34" t="n"/>
      <c r="BM84" s="34" t="n"/>
      <c r="BN84" s="34" t="n"/>
      <c r="BO84" s="34" t="n"/>
      <c r="BP84" s="34" t="n"/>
      <c r="BQ84" s="34" t="n"/>
      <c r="BR84" s="34" t="n"/>
      <c r="BS84" s="34" t="n"/>
      <c r="BT84" s="34" t="n"/>
      <c r="BU84" s="34" t="n"/>
      <c r="BV84" s="34" t="n"/>
      <c r="BW84" s="34" t="n"/>
      <c r="BX84" s="34" t="n"/>
      <c r="BY84" s="34" t="n"/>
      <c r="BZ84" s="35" t="n"/>
      <c r="CA84" s="267" t="n">
        <v>0</v>
      </c>
      <c r="CB84" s="268">
        <f>IFERROR((CA83+0.5*CB72*CB81)/CB82,0)</f>
        <v>0</v>
      </c>
      <c r="CC84" s="268">
        <f>IFERROR((CB83+0.5*CC72*CC81)/CC82,0)</f>
        <v>0</v>
      </c>
      <c r="CD84" s="268">
        <f>IFERROR((CC83+0.5*CD72*CD81)/CD82,0)</f>
        <v>0</v>
      </c>
      <c r="CE84" s="268">
        <f>IFERROR((CD83+0.5*CE72*CE81)/CE82,0)</f>
        <v>0</v>
      </c>
      <c r="CF84" s="268">
        <f>IFERROR((CE83+0.5*CF72*CF81)/CF82,0)</f>
        <v>0</v>
      </c>
      <c r="CG84" s="19" t="inlineStr">
        <is>
          <t>FICO excludes amortization of acquired intangibles from its non-GAAP measures.</t>
        </is>
      </c>
    </row>
    <row r="85" ht="15" customHeight="1" s="251">
      <c r="CO85" s="11" t="n"/>
      <c r="CP85" s="12" t="n"/>
      <c r="CQ85" s="12" t="n"/>
      <c r="CR85" s="12" t="n"/>
      <c r="CS85" s="13" t="n"/>
    </row>
    <row r="86" ht="15" customHeight="1" s="251">
      <c r="B86" s="14" t="inlineStr">
        <is>
          <t>Group Total — revenue &amp; non-GAAP operating income (segment build) → FY26 guidance calibration</t>
        </is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  <c r="BP86" s="14" t="n"/>
      <c r="BQ86" s="14" t="n"/>
      <c r="BR86" s="14" t="n"/>
      <c r="BS86" s="14" t="n"/>
      <c r="BT86" s="14" t="n"/>
      <c r="BU86" s="14" t="n"/>
      <c r="BV86" s="14" t="n"/>
      <c r="BW86" s="14" t="n"/>
      <c r="BX86" s="14" t="n"/>
      <c r="BY86" s="14" t="n"/>
      <c r="BZ86" s="14" t="n"/>
      <c r="CA86" s="14" t="n"/>
      <c r="CB86" s="14" t="n"/>
      <c r="CC86" s="14" t="n"/>
      <c r="CD86" s="14" t="n"/>
      <c r="CE86" s="14" t="n"/>
      <c r="CF86" s="14" t="n"/>
      <c r="CG86" s="15" t="inlineStr">
        <is>
          <t>GROUP TOTAL (CONSOLIDATED) — modelling logic</t>
        </is>
      </c>
    </row>
    <row r="87" ht="15" customHeight="1" s="251">
      <c r="B87" s="55" t="inlineStr">
        <is>
          <t>Revenue (segment build)</t>
        </is>
      </c>
      <c r="C87" s="273">
        <f>IF(ISNUMBER(C17),C17+C38,C127)</f>
        <v>825.365</v>
      </c>
      <c r="D87" s="273">
        <f>IF(ISNUMBER(D17),D17+D38,D127)</f>
        <v>822.236</v>
      </c>
      <c r="E87" s="273">
        <f>IF(ISNUMBER(E17),E17+E38,E127)</f>
        <v>744.842</v>
      </c>
      <c r="F87" s="273">
        <f>IF(ISNUMBER(F17),F17+F38,F127)</f>
        <v>630.735</v>
      </c>
      <c r="G87" s="273">
        <f>IF(ISNUMBER(G17),G17+G38,G127)</f>
        <v>605.643</v>
      </c>
      <c r="H87" s="273">
        <f>IF(ISNUMBER(H17),H17+H38,H127)</f>
        <v>619.683</v>
      </c>
      <c r="I87" s="273">
        <f>IF(ISNUMBER(I17),I17+I38,I127)</f>
        <v>676.423</v>
      </c>
      <c r="J87" s="273">
        <f>IF(ISNUMBER(J17),J17+J38,J127)</f>
        <v>190.02</v>
      </c>
      <c r="K87" s="273">
        <f>IF(ISNUMBER(K17),K17+K38,K127)</f>
        <v>179.325</v>
      </c>
      <c r="L87" s="273">
        <f>IF(ISNUMBER(L17),L17+L38,L127)</f>
        <v>183.772</v>
      </c>
      <c r="M87" s="273">
        <f>IF(ISNUMBER(M17),M17+M38,M127)</f>
        <v>190.327</v>
      </c>
      <c r="N87" s="273">
        <f>IF(ISNUMBER(N17),N17+N38,N127)</f>
        <v>743.444</v>
      </c>
      <c r="O87" s="273">
        <f>IF(ISNUMBER(O17),O17+O38,O127)</f>
        <v>184.343</v>
      </c>
      <c r="P87" s="273">
        <f>IF(ISNUMBER(P17),P17+P38,P127)</f>
        <v>185.462</v>
      </c>
      <c r="Q87" s="273">
        <f>IF(ISNUMBER(Q17),Q17+Q38,Q127)</f>
        <v>197.61</v>
      </c>
      <c r="R87" s="273">
        <f>IF(ISNUMBER(R17),R17+R38,R127)</f>
        <v>221.57</v>
      </c>
      <c r="S87" s="273">
        <f>IF(ISNUMBER(S17),S17+S38,S127)</f>
        <v>788.985</v>
      </c>
      <c r="T87" s="273">
        <f>IF(ISNUMBER(T17),T17+T38,T127)</f>
        <v>189.55</v>
      </c>
      <c r="U87" s="273">
        <f>IF(ISNUMBER(U17),U17+U38,U127)</f>
        <v>207.109</v>
      </c>
      <c r="V87" s="273">
        <f>IF(ISNUMBER(V17),V17+V38,V127)</f>
        <v>209.366</v>
      </c>
      <c r="W87" s="273">
        <f>IF(ISNUMBER(W17),W17+W38,W127)</f>
        <v>232.756</v>
      </c>
      <c r="X87" s="273">
        <f>IF(ISNUMBER(X17),X17+X38,X127)</f>
        <v>838.781</v>
      </c>
      <c r="Y87" s="273">
        <f>IF(ISNUMBER(Y17),Y17+Y38,Y127)</f>
        <v>200.076</v>
      </c>
      <c r="Z87" s="273">
        <f>IF(ISNUMBER(Z17),Z17+Z38,Z127)</f>
        <v>206.678</v>
      </c>
      <c r="AA87" s="273">
        <f>IF(ISNUMBER(AA17),AA17+AA38,AA127)</f>
        <v>238.778</v>
      </c>
      <c r="AB87" s="273">
        <f>IF(ISNUMBER(AB17),AB17+AB38,AB127)</f>
        <v>235.824</v>
      </c>
      <c r="AC87" s="273">
        <f>IF(ISNUMBER(AC17),AC17+AC38,AC127)</f>
        <v>881.356</v>
      </c>
      <c r="AD87" s="273">
        <f>IF(ISNUMBER(AD17),AD17+AD38,AD127)</f>
        <v>219.6</v>
      </c>
      <c r="AE87" s="273">
        <f>IF(ISNUMBER(AE17),AE17+AE38,AE127)</f>
        <v>228.378</v>
      </c>
      <c r="AF87" s="273">
        <f>IF(ISNUMBER(AF17),AF17+AF38,AF127)</f>
        <v>230.986</v>
      </c>
      <c r="AG87" s="273">
        <f>IF(ISNUMBER(AG17),AG17+AG38,AG127)</f>
        <v>253.205</v>
      </c>
      <c r="AH87" s="273">
        <f>IF(ISNUMBER(AH17),AH17+AH38,AH127)</f>
        <v>932.169</v>
      </c>
      <c r="AI87" s="273">
        <f>IF(ISNUMBER(AI17),AI17+AI38,AI127)</f>
        <v>235.321</v>
      </c>
      <c r="AJ87" s="273">
        <f>IF(ISNUMBER(AJ17),AJ17+AJ38,AJ127)</f>
        <v>257.858</v>
      </c>
      <c r="AK87" s="273">
        <f>IF(ISNUMBER(AK17),AK17+AK38,AK127)</f>
        <v>259.505</v>
      </c>
      <c r="AL87" s="273">
        <f>IF(ISNUMBER(AL17),AL17+AL38,AL127)</f>
        <v>279.791</v>
      </c>
      <c r="AM87" s="273">
        <f>IF(ISNUMBER(AM17),AM17+AM38,AM127)</f>
        <v>1032.475</v>
      </c>
      <c r="AN87" s="273">
        <f>IF(ISNUMBER(AN17),AN17+AN38,AN127)</f>
        <v>262.256</v>
      </c>
      <c r="AO87" s="273">
        <f>IF(ISNUMBER(AO17),AO17+AO38,AO127)</f>
        <v>278.234</v>
      </c>
      <c r="AP87" s="273">
        <f>IF(ISNUMBER(AP17),AP17+AP38,AP127)</f>
        <v>314.249</v>
      </c>
      <c r="AQ87" s="273">
        <f>IF(ISNUMBER(AQ17),AQ17+AQ38,AQ127)</f>
        <v>305.344</v>
      </c>
      <c r="AR87" s="273">
        <f>IF(ISNUMBER(AR17),AR17+AR38,AR127)</f>
        <v>1160.083</v>
      </c>
      <c r="AS87" s="273">
        <f>IF(ISNUMBER(AS17),AS17+AS38,AS127)</f>
        <v>298.504</v>
      </c>
      <c r="AT87" s="273">
        <f>IF(ISNUMBER(AT17),AT17+AT38,AT127)</f>
        <v>307.971</v>
      </c>
      <c r="AU87" s="273">
        <f>IF(ISNUMBER(AU17),AU17+AU38,AU127)</f>
        <v>313.731</v>
      </c>
      <c r="AV87" s="273">
        <f>IF(ISNUMBER(AV17),AV17+AV38,AV127)</f>
        <v>374.356</v>
      </c>
      <c r="AW87" s="273">
        <f>IF(ISNUMBER(AW17),AW17+AW38,AW127)</f>
        <v>1294.562</v>
      </c>
      <c r="AX87" s="273">
        <f>IF(ISNUMBER(AX17),AX17+AX38,AX127)</f>
        <v>312.414</v>
      </c>
      <c r="AY87" s="273">
        <f>IF(ISNUMBER(AY17),AY17+AY38,AY127)</f>
        <v>331.361</v>
      </c>
      <c r="AZ87" s="273">
        <f>IF(ISNUMBER(AZ17),AZ17+AZ38,AZ127)</f>
        <v>338.184</v>
      </c>
      <c r="BA87" s="273">
        <f>IF(ISNUMBER(BA17),BA17+BA38,BA127)</f>
        <v>334.577</v>
      </c>
      <c r="BB87" s="273">
        <f>IF(ISNUMBER(BB17),BB17+BB38,BB127)</f>
        <v>1316.536</v>
      </c>
      <c r="BC87" s="273">
        <f>IF(ISNUMBER(BC17),BC17+BC38,BC127)</f>
        <v>322.361</v>
      </c>
      <c r="BD87" s="273">
        <f>IF(ISNUMBER(BD17),BD17+BD38,BD127)</f>
        <v>357.195</v>
      </c>
      <c r="BE87" s="273">
        <f>IF(ISNUMBER(BE17),BE17+BE38,BE127)</f>
        <v>348.966</v>
      </c>
      <c r="BF87" s="273">
        <f>IF(ISNUMBER(BF17),BF17+BF38,BF127)</f>
        <v>348.748</v>
      </c>
      <c r="BG87" s="273">
        <f>IF(ISNUMBER(BG17),BG17+BG38,BG127)</f>
        <v>1377.27</v>
      </c>
      <c r="BH87" s="273">
        <f>IF(ISNUMBER(BH17),BH17+BH38,BH127)</f>
        <v>344.87</v>
      </c>
      <c r="BI87" s="273">
        <f>IF(ISNUMBER(BI17),BI17+BI38,BI127)</f>
        <v>380.266</v>
      </c>
      <c r="BJ87" s="273">
        <f>IF(ISNUMBER(BJ17),BJ17+BJ38,BJ127)</f>
        <v>398.688</v>
      </c>
      <c r="BK87" s="273">
        <f>IF(ISNUMBER(BK17),BK17+BK38,BK127)</f>
        <v>389.733</v>
      </c>
      <c r="BL87" s="273">
        <f>IF(ISNUMBER(BL17),BL17+BL38,BL127)</f>
        <v>1513.557</v>
      </c>
      <c r="BM87" s="273">
        <f>IF(ISNUMBER(BM17),BM17+BM38,BM127)</f>
        <v>382.059</v>
      </c>
      <c r="BN87" s="273">
        <f>IF(ISNUMBER(BN17),BN17+BN38,BN127)</f>
        <v>433.809</v>
      </c>
      <c r="BO87" s="273">
        <f>IF(ISNUMBER(BO17),BO17+BO38,BO127)</f>
        <v>447.849</v>
      </c>
      <c r="BP87" s="273">
        <f>IF(ISNUMBER(BP17),BP17+BP38,BP127)</f>
        <v>453.809</v>
      </c>
      <c r="BQ87" s="273">
        <f>IF(ISNUMBER(BQ17),BQ17+BQ38,BQ127)</f>
        <v>1717.526</v>
      </c>
      <c r="BR87" s="273">
        <f>IF(ISNUMBER(BR17),BR17+BR38,BR127)</f>
        <v>439.968</v>
      </c>
      <c r="BS87" s="273">
        <f>IF(ISNUMBER(BS17),BS17+BS38,BS127)</f>
        <v>498.735</v>
      </c>
      <c r="BT87" s="273">
        <f>IF(ISNUMBER(BT17),BT17+BT38,BT127)</f>
        <v>536.415</v>
      </c>
      <c r="BU87" s="273">
        <f>IF(ISNUMBER(BU17),BU17+BU38,BU127)</f>
        <v>515.751</v>
      </c>
      <c r="BV87" s="273">
        <f>IF(ISNUMBER(BV17),BV17+BV38,BV127)</f>
        <v>1990.869</v>
      </c>
      <c r="BW87" s="273">
        <f>IF(ISNUMBER(BW17),BW17+BW38,BW127)</f>
        <v>511.959</v>
      </c>
      <c r="BX87" s="273">
        <f>IF(ISNUMBER(BX17),BX17+BX38,BX127)</f>
        <v>691.677</v>
      </c>
      <c r="BY87" s="273">
        <f>IF(ISNUMBER(BY17),BY17+BY38,BY127)</f>
        <v>674.188</v>
      </c>
      <c r="BZ87" s="273">
        <f>BZ17+BZ38+N(BZ77)</f>
        <v>652.176</v>
      </c>
      <c r="CA87" s="273">
        <f>CA17+CA38+N(CA77)</f>
        <v>2530</v>
      </c>
      <c r="CB87" s="273">
        <f>CB17+CB38+N(CB77)</f>
        <v>2798.81731240295</v>
      </c>
      <c r="CC87" s="273">
        <f>CC17+CC38+N(CC77)</f>
        <v>3088.21015158473</v>
      </c>
      <c r="CD87" s="273">
        <f>CD17+CD38+N(CD77)</f>
        <v>3379.82307064467</v>
      </c>
      <c r="CE87" s="273">
        <f>CE17+CE38+N(CE77)</f>
        <v>3677.19606569992</v>
      </c>
      <c r="CF87" s="273">
        <f>CF17+CF38+N(CF77)</f>
        <v>3976.46005494732</v>
      </c>
      <c r="CG87" s="153" t="inlineStr">
        <is>
          <t>Σ segment revenue (+ future acquisitions from 2027E).</t>
        </is>
      </c>
      <c r="CI87" s="20">
        <f>IFERROR((CF87/CA87)^(1/5)-1,"n/m")</f>
        <v>0.0946498467468091</v>
      </c>
      <c r="CJ87" s="20">
        <f>IFERROR((BV87/AW87)^(1/5)-1,"n/m")</f>
        <v>0.0898932575216367</v>
      </c>
      <c r="CK87" s="20">
        <f>IFERROR((BV87/X87)^(1/10)-1,"n/m")</f>
        <v>0.0902834255108465</v>
      </c>
      <c r="CL87" s="20">
        <f>IFERROR((BV87/C87)^(1/19)-1,"n/m")</f>
        <v>0.0474327256245259</v>
      </c>
    </row>
    <row r="88" collapsed="1" ht="15" customHeight="1" s="251">
      <c r="B88" s="22" t="inlineStr">
        <is>
          <t xml:space="preserve">  Revenue y/y %</t>
        </is>
      </c>
      <c r="C88" s="23" t="n"/>
      <c r="D88" s="255">
        <f>IF(AND(ISNUMBER(D87),ISNUMBER(C87)),IFERROR(D87/C87-1,""),"")</f>
        <v>-0.00379105002029412</v>
      </c>
      <c r="E88" s="255">
        <f>IF(AND(ISNUMBER(E87),ISNUMBER(D87)),IFERROR(E87/D87-1,""),"")</f>
        <v>-0.0941262605869848</v>
      </c>
      <c r="F88" s="255">
        <f>IF(AND(ISNUMBER(F87),ISNUMBER(E87)),IFERROR(F87/E87-1,""),"")</f>
        <v>-0.153196248331861</v>
      </c>
      <c r="G88" s="255">
        <f>IF(AND(ISNUMBER(G87),ISNUMBER(F87)),IFERROR(G87/F87-1,""),"")</f>
        <v>-0.0397821589098433</v>
      </c>
      <c r="H88" s="255">
        <f>IF(AND(ISNUMBER(H87),ISNUMBER(G87)),IFERROR(H87/G87-1,""),"")</f>
        <v>0.023181973538867</v>
      </c>
      <c r="I88" s="255">
        <f>IF(AND(ISNUMBER(I87),ISNUMBER(H87)),IFERROR(I87/H87-1,""),"")</f>
        <v>0.0915629442795751</v>
      </c>
      <c r="J88" s="23" t="n"/>
      <c r="K88" s="23" t="n"/>
      <c r="L88" s="23" t="n"/>
      <c r="M88" s="23" t="n"/>
      <c r="N88" s="255">
        <f>IF(AND(ISNUMBER(N87),ISNUMBER(I87)),IFERROR(N87/I87-1,""),"")</f>
        <v>0.0990814919066914</v>
      </c>
      <c r="O88" s="255">
        <f>IF(AND(ISNUMBER(O87),ISNUMBER(J87)),IFERROR(O87/J87-1,""),"")</f>
        <v>-0.0298758025471003</v>
      </c>
      <c r="P88" s="255">
        <f>IF(AND(ISNUMBER(P87),ISNUMBER(K87)),IFERROR(P87/K87-1,""),"")</f>
        <v>0.0342227798689532</v>
      </c>
      <c r="Q88" s="255">
        <f>IF(AND(ISNUMBER(Q87),ISNUMBER(L87)),IFERROR(Q87/L87-1,""),"")</f>
        <v>0.0752998280477986</v>
      </c>
      <c r="R88" s="255">
        <f>IF(AND(ISNUMBER(R87),ISNUMBER(M87)),IFERROR(R87/M87-1,""),"")</f>
        <v>0.164154323874175</v>
      </c>
      <c r="S88" s="255">
        <f>IF(AND(ISNUMBER(S87),ISNUMBER(N87)),IFERROR(S87/N87-1,""),"")</f>
        <v>0.0612567994361377</v>
      </c>
      <c r="T88" s="255">
        <f>IF(AND(ISNUMBER(T87),ISNUMBER(O87)),IFERROR(T87/O87-1,""),"")</f>
        <v>0.0282462583336498</v>
      </c>
      <c r="U88" s="255">
        <f>IF(AND(ISNUMBER(U87),ISNUMBER(P87)),IFERROR(U87/P87-1,""),"")</f>
        <v>0.116719327948582</v>
      </c>
      <c r="V88" s="255">
        <f>IF(AND(ISNUMBER(V87),ISNUMBER(Q87)),IFERROR(V87/Q87-1,""),"")</f>
        <v>0.0594909164515964</v>
      </c>
      <c r="W88" s="255">
        <f>IF(AND(ISNUMBER(W87),ISNUMBER(R87)),IFERROR(W87/R87-1,""),"")</f>
        <v>0.050485173985648</v>
      </c>
      <c r="X88" s="255">
        <f>IF(AND(ISNUMBER(X87),ISNUMBER(S87)),IFERROR(X87/S87-1,""),"")</f>
        <v>0.0631140008998905</v>
      </c>
      <c r="Y88" s="255">
        <f>IF(AND(ISNUMBER(Y87),ISNUMBER(T87)),IFERROR(Y87/T87-1,""),"")</f>
        <v>0.0555315220258508</v>
      </c>
      <c r="Z88" s="255">
        <f>IF(AND(ISNUMBER(Z87),ISNUMBER(U87)),IFERROR(Z87/U87-1,""),"")</f>
        <v>-0.00208102979590452</v>
      </c>
      <c r="AA88" s="255">
        <f>IF(AND(ISNUMBER(AA87),ISNUMBER(V87)),IFERROR(AA87/V87-1,""),"")</f>
        <v>0.140481262478148</v>
      </c>
      <c r="AB88" s="255">
        <f>IF(AND(ISNUMBER(AB87),ISNUMBER(W87)),IFERROR(AB87/W87-1,""),"")</f>
        <v>0.0131811854474213</v>
      </c>
      <c r="AC88" s="255">
        <f>IF(AND(ISNUMBER(AC87),ISNUMBER(X87)),IFERROR(AC87/X87-1,""),"")</f>
        <v>0.050758183602156</v>
      </c>
      <c r="AD88" s="255">
        <f>IF(AND(ISNUMBER(AD87),ISNUMBER(Y87)),IFERROR(AD87/Y87-1,""),"")</f>
        <v>0.0975829184909733</v>
      </c>
      <c r="AE88" s="255">
        <f>IF(AND(ISNUMBER(AE87),ISNUMBER(Z87)),IFERROR(AE87/Z87-1,""),"")</f>
        <v>0.104994242251231</v>
      </c>
      <c r="AF88" s="255">
        <f>IF(AND(ISNUMBER(AF87),ISNUMBER(AA87)),IFERROR(AF87/AA87-1,""),"")</f>
        <v>-0.0326328221192908</v>
      </c>
      <c r="AG88" s="255">
        <f>IF(AND(ISNUMBER(AG87),ISNUMBER(AB87)),IFERROR(AG87/AB87-1,""),"")</f>
        <v>0.0737032702354299</v>
      </c>
      <c r="AH88" s="255">
        <f>IF(AND(ISNUMBER(AH87),ISNUMBER(AC87)),IFERROR(AH87/AC87-1,""),"")</f>
        <v>0.0576532071035996</v>
      </c>
      <c r="AI88" s="255">
        <f>IF(AND(ISNUMBER(AI87),ISNUMBER(AD87)),IFERROR(AI87/AD87-1,""),"")</f>
        <v>0.0715892531876139</v>
      </c>
      <c r="AJ88" s="255">
        <f>IF(AND(ISNUMBER(AJ87),ISNUMBER(AE87)),IFERROR(AJ87/AE87-1,""),"")</f>
        <v>0.129084237536015</v>
      </c>
      <c r="AK88" s="255">
        <f>IF(AND(ISNUMBER(AK87),ISNUMBER(AF87)),IFERROR(AK87/AF87-1,""),"")</f>
        <v>0.123466357268406</v>
      </c>
      <c r="AL88" s="255">
        <f>IF(AND(ISNUMBER(AL87),ISNUMBER(AG87)),IFERROR(AL87/AG87-1,""),"")</f>
        <v>0.104997926581229</v>
      </c>
      <c r="AM88" s="255">
        <f>IF(AND(ISNUMBER(AM87),ISNUMBER(AH87)),IFERROR(AM87/AH87-1,""),"")</f>
        <v>0.107604951462664</v>
      </c>
      <c r="AN88" s="255">
        <f>IF(AND(ISNUMBER(AN87),ISNUMBER(AI87)),IFERROR(AN87/AI87-1,""),"")</f>
        <v>0.114460672868125</v>
      </c>
      <c r="AO88" s="255">
        <f>IF(AND(ISNUMBER(AO87),ISNUMBER(AJ87)),IFERROR(AO87/AJ87-1,""),"")</f>
        <v>0.0790202359438139</v>
      </c>
      <c r="AP88" s="255">
        <f>IF(AND(ISNUMBER(AP87),ISNUMBER(AK87)),IFERROR(AP87/AK87-1,""),"")</f>
        <v>0.210955472919597</v>
      </c>
      <c r="AQ88" s="255">
        <f>IF(AND(ISNUMBER(AQ87),ISNUMBER(AL87)),IFERROR(AQ87/AL87-1,""),"")</f>
        <v>0.0913288847747069</v>
      </c>
      <c r="AR88" s="255">
        <f>IF(AND(ISNUMBER(AR87),ISNUMBER(AM87)),IFERROR(AR87/AM87-1,""),"")</f>
        <v>0.123594275890458</v>
      </c>
      <c r="AS88" s="255">
        <f>IF(AND(ISNUMBER(AS87),ISNUMBER(AN87)),IFERROR(AS87/AN87-1,""),"")</f>
        <v>0.138216094198036</v>
      </c>
      <c r="AT88" s="255">
        <f>IF(AND(ISNUMBER(AT87),ISNUMBER(AO87)),IFERROR(AT87/AO87-1,""),"")</f>
        <v>0.106877664124442</v>
      </c>
      <c r="AU88" s="255">
        <f>IF(AND(ISNUMBER(AU87),ISNUMBER(AP87)),IFERROR(AU87/AP87-1,""),"")</f>
        <v>-0.00164837437827969</v>
      </c>
      <c r="AV88" s="255">
        <f>IF(AND(ISNUMBER(AV87),ISNUMBER(AQ87)),IFERROR(AV87/AQ87-1,""),"")</f>
        <v>0.226013938377699</v>
      </c>
      <c r="AW88" s="255">
        <f>IF(AND(ISNUMBER(AW87),ISNUMBER(AR87)),IFERROR(AW87/AR87-1,""),"")</f>
        <v>0.115921878003556</v>
      </c>
      <c r="AX88" s="255">
        <f>IF(AND(ISNUMBER(AX87),ISNUMBER(AS87)),IFERROR(AX87/AS87-1,""),"")</f>
        <v>0.0465990405488703</v>
      </c>
      <c r="AY88" s="255">
        <f>IF(AND(ISNUMBER(AY87),ISNUMBER(AT87)),IFERROR(AY87/AT87-1,""),"")</f>
        <v>0.0759487094564098</v>
      </c>
      <c r="AZ88" s="255">
        <f>IF(AND(ISNUMBER(AZ87),ISNUMBER(AU87)),IFERROR(AZ87/AU87-1,""),"")</f>
        <v>0.0779425686336384</v>
      </c>
      <c r="BA88" s="255">
        <f>IF(AND(ISNUMBER(BA87),ISNUMBER(AV87)),IFERROR(BA87/AV87-1,""),"")</f>
        <v>-0.106259816858819</v>
      </c>
      <c r="BB88" s="255">
        <f>IF(AND(ISNUMBER(BB87),ISNUMBER(AW87)),IFERROR(BB87/AW87-1,""),"")</f>
        <v>0.0169740808087988</v>
      </c>
      <c r="BC88" s="255">
        <f>IF(AND(ISNUMBER(BC87),ISNUMBER(AX87)),IFERROR(BC87/AX87-1,""),"")</f>
        <v>0.0318391621374203</v>
      </c>
      <c r="BD88" s="255">
        <f>IF(AND(ISNUMBER(BD87),ISNUMBER(AY87)),IFERROR(BD87/AY87-1,""),"")</f>
        <v>0.0779633088987539</v>
      </c>
      <c r="BE88" s="255">
        <f>IF(AND(ISNUMBER(BE87),ISNUMBER(AZ87)),IFERROR(BE87/AZ87-1,""),"")</f>
        <v>0.0318820523738557</v>
      </c>
      <c r="BF88" s="255">
        <f>IF(AND(ISNUMBER(BF87),ISNUMBER(BA87)),IFERROR(BF87/BA87-1,""),"")</f>
        <v>0.0423549735935225</v>
      </c>
      <c r="BG88" s="255">
        <f>IF(AND(ISNUMBER(BG87),ISNUMBER(BB87)),IFERROR(BG87/BB87-1,""),"")</f>
        <v>0.0461316667375598</v>
      </c>
      <c r="BH88" s="255">
        <f>IF(AND(ISNUMBER(BH87),ISNUMBER(BC87)),IFERROR(BH87/BC87-1,""),"")</f>
        <v>0.0698254441449184</v>
      </c>
      <c r="BI88" s="255">
        <f>IF(AND(ISNUMBER(BI87),ISNUMBER(BD87)),IFERROR(BI87/BD87-1,""),"")</f>
        <v>0.0645893699519871</v>
      </c>
      <c r="BJ88" s="255">
        <f>IF(AND(ISNUMBER(BJ87),ISNUMBER(BE87)),IFERROR(BJ87/BE87-1,""),"")</f>
        <v>0.142483794982892</v>
      </c>
      <c r="BK88" s="255">
        <f>IF(AND(ISNUMBER(BK87),ISNUMBER(BF87)),IFERROR(BK87/BF87-1,""),"")</f>
        <v>0.11752038721369</v>
      </c>
      <c r="BL88" s="255">
        <f>IF(AND(ISNUMBER(BL87),ISNUMBER(BG87)),IFERROR(BL87/BG87-1,""),"")</f>
        <v>0.0989544533751552</v>
      </c>
      <c r="BM88" s="255">
        <f>IF(AND(ISNUMBER(BM87),ISNUMBER(BH87)),IFERROR(BM87/BH87-1,""),"")</f>
        <v>0.107834836315133</v>
      </c>
      <c r="BN88" s="255">
        <f>IF(AND(ISNUMBER(BN87),ISNUMBER(BI87)),IFERROR(BN87/BI87-1,""),"")</f>
        <v>0.140804068730836</v>
      </c>
      <c r="BO88" s="255">
        <f>IF(AND(ISNUMBER(BO87),ISNUMBER(BJ87)),IFERROR(BO87/BJ87-1,""),"")</f>
        <v>0.123306946785456</v>
      </c>
      <c r="BP88" s="255">
        <f>IF(AND(ISNUMBER(BP87),ISNUMBER(BK87)),IFERROR(BP87/BK87-1,""),"")</f>
        <v>0.164409993508376</v>
      </c>
      <c r="BQ88" s="255">
        <f>IF(AND(ISNUMBER(BQ87),ISNUMBER(BL87)),IFERROR(BQ87/BL87-1,""),"")</f>
        <v>0.134761360160205</v>
      </c>
      <c r="BR88" s="255">
        <f>IF(AND(ISNUMBER(BR87),ISNUMBER(BM87)),IFERROR(BR87/BM87-1,""),"")</f>
        <v>0.151570830683219</v>
      </c>
      <c r="BS88" s="255">
        <f>IF(AND(ISNUMBER(BS87),ISNUMBER(BN87)),IFERROR(BS87/BN87-1,""),"")</f>
        <v>0.149664944710691</v>
      </c>
      <c r="BT88" s="255">
        <f>IF(AND(ISNUMBER(BT87),ISNUMBER(BO87)),IFERROR(BT87/BO87-1,""),"")</f>
        <v>0.197758619534709</v>
      </c>
      <c r="BU88" s="255">
        <f>IF(AND(ISNUMBER(BU87),ISNUMBER(BP87)),IFERROR(BU87/BP87-1,""),"")</f>
        <v>0.136493546844598</v>
      </c>
      <c r="BV88" s="255">
        <f>IF(AND(ISNUMBER(BV87),ISNUMBER(BQ87)),IFERROR(BV87/BQ87-1,""),"")</f>
        <v>0.159149264698176</v>
      </c>
      <c r="BW88" s="255">
        <f>IF(AND(ISNUMBER(BW87),ISNUMBER(BR87)),IFERROR(BW87/BR87-1,""),"")</f>
        <v>0.163627809295221</v>
      </c>
      <c r="BX88" s="255">
        <f>IF(AND(ISNUMBER(BX87),ISNUMBER(BS87)),IFERROR(BX87/BS87-1,""),"")</f>
        <v>0.386862762789858</v>
      </c>
      <c r="BY88" s="255">
        <f>IF(AND(ISNUMBER(BY87),ISNUMBER(BT87)),IFERROR(BY87/BT87-1,""),"")</f>
        <v>0.256840319528723</v>
      </c>
      <c r="BZ88" s="256">
        <f>IF(AND(ISNUMBER(BZ87),ISNUMBER(BU87)),IFERROR(BZ87/BU87-1,""),"")</f>
        <v>0.264517179801881</v>
      </c>
      <c r="CA88" s="256">
        <f>IF(AND(ISNUMBER(CA87),ISNUMBER(BV87)),IFERROR(CA87/BV87-1,""),"")</f>
        <v>0.270801845827124</v>
      </c>
      <c r="CB88" s="256">
        <f>IF(AND(ISNUMBER(CB87),ISNUMBER(CA87)),IFERROR(CB87/CA87-1,""),"")</f>
        <v>0.106251902135555</v>
      </c>
      <c r="CC88" s="256">
        <f>IF(AND(ISNUMBER(CC87),ISNUMBER(CB87)),IFERROR(CC87/CB87-1,""),"")</f>
        <v>0.103398259650363</v>
      </c>
      <c r="CD88" s="256">
        <f>IF(AND(ISNUMBER(CD87),ISNUMBER(CC87)),IFERROR(CD87/CC87-1,""),"")</f>
        <v>0.0944278092312785</v>
      </c>
      <c r="CE88" s="256">
        <f>IF(AND(ISNUMBER(CE87),ISNUMBER(CD87)),IFERROR(CE87/CD87-1,""),"")</f>
        <v>0.0879847816999895</v>
      </c>
      <c r="CF88" s="256">
        <f>IF(AND(ISNUMBER(CF87),ISNUMBER(CE87)),IFERROR(CF87/CE87-1,""),"")</f>
        <v>0.0813837456313145</v>
      </c>
      <c r="CG88" s="153" t="n"/>
    </row>
    <row r="89" ht="15" customHeight="1" s="251">
      <c r="B89" s="57" t="inlineStr">
        <is>
          <t xml:space="preserve">  Check: segment build vs consolidated revenue (should be 0)</t>
        </is>
      </c>
      <c r="C89" s="262">
        <f>IF(AND(ISNUMBER(C87),ISNUMBER(C127)),IF(ABS(C87-C127)&lt;=0.15,0,ROUND(C87-C127,1)),"")</f>
        <v>0</v>
      </c>
      <c r="D89" s="262">
        <f>IF(AND(ISNUMBER(D87),ISNUMBER(D127)),IF(ABS(D87-D127)&lt;=0.15,0,ROUND(D87-D127,1)),"")</f>
        <v>0</v>
      </c>
      <c r="E89" s="262">
        <f>IF(AND(ISNUMBER(E87),ISNUMBER(E127)),IF(ABS(E87-E127)&lt;=0.15,0,ROUND(E87-E127,1)),"")</f>
        <v>0</v>
      </c>
      <c r="F89" s="262">
        <f>IF(AND(ISNUMBER(F87),ISNUMBER(F127)),IF(ABS(F87-F127)&lt;=0.15,0,ROUND(F87-F127,1)),"")</f>
        <v>0</v>
      </c>
      <c r="G89" s="262">
        <f>IF(AND(ISNUMBER(G87),ISNUMBER(G127)),IF(ABS(G87-G127)&lt;=0.15,0,ROUND(G87-G127,1)),"")</f>
        <v>0</v>
      </c>
      <c r="H89" s="262">
        <f>IF(AND(ISNUMBER(H87),ISNUMBER(H127)),IF(ABS(H87-H127)&lt;=0.15,0,ROUND(H87-H127,1)),"")</f>
        <v>0</v>
      </c>
      <c r="I89" s="262">
        <f>IF(AND(ISNUMBER(I87),ISNUMBER(I127)),IF(ABS(I87-I127)&lt;=0.15,0,ROUND(I87-I127,1)),"")</f>
        <v>0</v>
      </c>
      <c r="J89" s="262">
        <f>IF(AND(ISNUMBER(J87),ISNUMBER(J127)),IF(ABS(J87-J127)&lt;=0.15,0,ROUND(J87-J127,1)),"")</f>
        <v>0</v>
      </c>
      <c r="K89" s="262">
        <f>IF(AND(ISNUMBER(K87),ISNUMBER(K127)),IF(ABS(K87-K127)&lt;=0.15,0,ROUND(K87-K127,1)),"")</f>
        <v>0</v>
      </c>
      <c r="L89" s="262">
        <f>IF(AND(ISNUMBER(L87),ISNUMBER(L127)),IF(ABS(L87-L127)&lt;=0.15,0,ROUND(L87-L127,1)),"")</f>
        <v>0</v>
      </c>
      <c r="M89" s="262">
        <f>IF(AND(ISNUMBER(M87),ISNUMBER(M127)),IF(ABS(M87-M127)&lt;=0.15,0,ROUND(M87-M127,1)),"")</f>
        <v>0</v>
      </c>
      <c r="N89" s="262">
        <f>IF(AND(ISNUMBER(N87),ISNUMBER(N127)),IF(ABS(N87-N127)&lt;=0.15,0,ROUND(N87-N127,1)),"")</f>
        <v>0</v>
      </c>
      <c r="O89" s="262">
        <f>IF(AND(ISNUMBER(O87),ISNUMBER(O127)),IF(ABS(O87-O127)&lt;=0.15,0,ROUND(O87-O127,1)),"")</f>
        <v>0</v>
      </c>
      <c r="P89" s="262">
        <f>IF(AND(ISNUMBER(P87),ISNUMBER(P127)),IF(ABS(P87-P127)&lt;=0.15,0,ROUND(P87-P127,1)),"")</f>
        <v>0</v>
      </c>
      <c r="Q89" s="262">
        <f>IF(AND(ISNUMBER(Q87),ISNUMBER(Q127)),IF(ABS(Q87-Q127)&lt;=0.15,0,ROUND(Q87-Q127,1)),"")</f>
        <v>0</v>
      </c>
      <c r="R89" s="262">
        <f>IF(AND(ISNUMBER(R87),ISNUMBER(R127)),IF(ABS(R87-R127)&lt;=0.15,0,ROUND(R87-R127,1)),"")</f>
        <v>0</v>
      </c>
      <c r="S89" s="262">
        <f>IF(AND(ISNUMBER(S87),ISNUMBER(S127)),IF(ABS(S87-S127)&lt;=0.15,0,ROUND(S87-S127,1)),"")</f>
        <v>0</v>
      </c>
      <c r="T89" s="262">
        <f>IF(AND(ISNUMBER(T87),ISNUMBER(T127)),IF(ABS(T87-T127)&lt;=0.15,0,ROUND(T87-T127,1)),"")</f>
        <v>0</v>
      </c>
      <c r="U89" s="262">
        <f>IF(AND(ISNUMBER(U87),ISNUMBER(U127)),IF(ABS(U87-U127)&lt;=0.15,0,ROUND(U87-U127,1)),"")</f>
        <v>0</v>
      </c>
      <c r="V89" s="262">
        <f>IF(AND(ISNUMBER(V87),ISNUMBER(V127)),IF(ABS(V87-V127)&lt;=0.15,0,ROUND(V87-V127,1)),"")</f>
        <v>0</v>
      </c>
      <c r="W89" s="262">
        <f>IF(AND(ISNUMBER(W87),ISNUMBER(W127)),IF(ABS(W87-W127)&lt;=0.15,0,ROUND(W87-W127,1)),"")</f>
        <v>0</v>
      </c>
      <c r="X89" s="262">
        <f>IF(AND(ISNUMBER(X87),ISNUMBER(X127)),IF(ABS(X87-X127)&lt;=0.15,0,ROUND(X87-X127,1)),"")</f>
        <v>0</v>
      </c>
      <c r="Y89" s="262">
        <f>IF(AND(ISNUMBER(Y87),ISNUMBER(Y127)),IF(ABS(Y87-Y127)&lt;=0.15,0,ROUND(Y87-Y127,1)),"")</f>
        <v>0</v>
      </c>
      <c r="Z89" s="262">
        <f>IF(AND(ISNUMBER(Z87),ISNUMBER(Z127)),IF(ABS(Z87-Z127)&lt;=0.15,0,ROUND(Z87-Z127,1)),"")</f>
        <v>0</v>
      </c>
      <c r="AA89" s="262">
        <f>IF(AND(ISNUMBER(AA87),ISNUMBER(AA127)),IF(ABS(AA87-AA127)&lt;=0.15,0,ROUND(AA87-AA127,1)),"")</f>
        <v>0</v>
      </c>
      <c r="AB89" s="262">
        <f>IF(AND(ISNUMBER(AB87),ISNUMBER(AB127)),IF(ABS(AB87-AB127)&lt;=0.15,0,ROUND(AB87-AB127,1)),"")</f>
        <v>0</v>
      </c>
      <c r="AC89" s="262">
        <f>IF(AND(ISNUMBER(AC87),ISNUMBER(AC127)),IF(ABS(AC87-AC127)&lt;=0.15,0,ROUND(AC87-AC127,1)),"")</f>
        <v>0</v>
      </c>
      <c r="AD89" s="262">
        <f>IF(AND(ISNUMBER(AD87),ISNUMBER(AD127)),IF(ABS(AD87-AD127)&lt;=0.15,0,ROUND(AD87-AD127,1)),"")</f>
        <v>0</v>
      </c>
      <c r="AE89" s="262">
        <f>IF(AND(ISNUMBER(AE87),ISNUMBER(AE127)),IF(ABS(AE87-AE127)&lt;=0.15,0,ROUND(AE87-AE127,1)),"")</f>
        <v>0</v>
      </c>
      <c r="AF89" s="262">
        <f>IF(AND(ISNUMBER(AF87),ISNUMBER(AF127)),IF(ABS(AF87-AF127)&lt;=0.15,0,ROUND(AF87-AF127,1)),"")</f>
        <v>0</v>
      </c>
      <c r="AG89" s="262">
        <f>IF(AND(ISNUMBER(AG87),ISNUMBER(AG127)),IF(ABS(AG87-AG127)&lt;=0.15,0,ROUND(AG87-AG127,1)),"")</f>
        <v>0</v>
      </c>
      <c r="AH89" s="262">
        <f>IF(AND(ISNUMBER(AH87),ISNUMBER(AH127)),IF(ABS(AH87-AH127)&lt;=0.15,0,ROUND(AH87-AH127,1)),"")</f>
        <v>0</v>
      </c>
      <c r="AI89" s="262">
        <f>IF(AND(ISNUMBER(AI87),ISNUMBER(AI127)),IF(ABS(AI87-AI127)&lt;=0.15,0,ROUND(AI87-AI127,1)),"")</f>
        <v>0</v>
      </c>
      <c r="AJ89" s="262">
        <f>IF(AND(ISNUMBER(AJ87),ISNUMBER(AJ127)),IF(ABS(AJ87-AJ127)&lt;=0.15,0,ROUND(AJ87-AJ127,1)),"")</f>
        <v>0</v>
      </c>
      <c r="AK89" s="262">
        <f>IF(AND(ISNUMBER(AK87),ISNUMBER(AK127)),IF(ABS(AK87-AK127)&lt;=0.15,0,ROUND(AK87-AK127,1)),"")</f>
        <v>0</v>
      </c>
      <c r="AL89" s="262">
        <f>IF(AND(ISNUMBER(AL87),ISNUMBER(AL127)),IF(ABS(AL87-AL127)&lt;=0.15,0,ROUND(AL87-AL127,1)),"")</f>
        <v>0</v>
      </c>
      <c r="AM89" s="262">
        <f>IF(AND(ISNUMBER(AM87),ISNUMBER(AM127)),IF(ABS(AM87-AM127)&lt;=0.15,0,ROUND(AM87-AM127,1)),"")</f>
        <v>0</v>
      </c>
      <c r="AN89" s="262">
        <f>IF(AND(ISNUMBER(AN87),ISNUMBER(AN127)),IF(ABS(AN87-AN127)&lt;=0.15,0,ROUND(AN87-AN127,1)),"")</f>
        <v>0</v>
      </c>
      <c r="AO89" s="262">
        <f>IF(AND(ISNUMBER(AO87),ISNUMBER(AO127)),IF(ABS(AO87-AO127)&lt;=0.15,0,ROUND(AO87-AO127,1)),"")</f>
        <v>0</v>
      </c>
      <c r="AP89" s="262">
        <f>IF(AND(ISNUMBER(AP87),ISNUMBER(AP127)),IF(ABS(AP87-AP127)&lt;=0.15,0,ROUND(AP87-AP127,1)),"")</f>
        <v>0</v>
      </c>
      <c r="AQ89" s="262">
        <f>IF(AND(ISNUMBER(AQ87),ISNUMBER(AQ127)),IF(ABS(AQ87-AQ127)&lt;=0.15,0,ROUND(AQ87-AQ127,1)),"")</f>
        <v>0</v>
      </c>
      <c r="AR89" s="262">
        <f>IF(AND(ISNUMBER(AR87),ISNUMBER(AR127)),IF(ABS(AR87-AR127)&lt;=0.15,0,ROUND(AR87-AR127,1)),"")</f>
        <v>0</v>
      </c>
      <c r="AS89" s="262">
        <f>IF(AND(ISNUMBER(AS87),ISNUMBER(AS127)),IF(ABS(AS87-AS127)&lt;=0.15,0,ROUND(AS87-AS127,1)),"")</f>
        <v>0</v>
      </c>
      <c r="AT89" s="262">
        <f>IF(AND(ISNUMBER(AT87),ISNUMBER(AT127)),IF(ABS(AT87-AT127)&lt;=0.15,0,ROUND(AT87-AT127,1)),"")</f>
        <v>0</v>
      </c>
      <c r="AU89" s="262">
        <f>IF(AND(ISNUMBER(AU87),ISNUMBER(AU127)),IF(ABS(AU87-AU127)&lt;=0.15,0,ROUND(AU87-AU127,1)),"")</f>
        <v>0</v>
      </c>
      <c r="AV89" s="262">
        <f>IF(AND(ISNUMBER(AV87),ISNUMBER(AV127)),IF(ABS(AV87-AV127)&lt;=0.15,0,ROUND(AV87-AV127,1)),"")</f>
        <v>0</v>
      </c>
      <c r="AW89" s="262">
        <f>IF(AND(ISNUMBER(AW87),ISNUMBER(AW127)),IF(ABS(AW87-AW127)&lt;=0.15,0,ROUND(AW87-AW127,1)),"")</f>
        <v>0</v>
      </c>
      <c r="AX89" s="262">
        <f>IF(AND(ISNUMBER(AX87),ISNUMBER(AX127)),IF(ABS(AX87-AX127)&lt;=0.15,0,ROUND(AX87-AX127,1)),"")</f>
        <v>0</v>
      </c>
      <c r="AY89" s="262">
        <f>IF(AND(ISNUMBER(AY87),ISNUMBER(AY127)),IF(ABS(AY87-AY127)&lt;=0.15,0,ROUND(AY87-AY127,1)),"")</f>
        <v>0</v>
      </c>
      <c r="AZ89" s="262">
        <f>IF(AND(ISNUMBER(AZ87),ISNUMBER(AZ127)),IF(ABS(AZ87-AZ127)&lt;=0.15,0,ROUND(AZ87-AZ127,1)),"")</f>
        <v>0</v>
      </c>
      <c r="BA89" s="262">
        <f>IF(AND(ISNUMBER(BA87),ISNUMBER(BA127)),IF(ABS(BA87-BA127)&lt;=0.15,0,ROUND(BA87-BA127,1)),"")</f>
        <v>0</v>
      </c>
      <c r="BB89" s="262">
        <f>IF(AND(ISNUMBER(BB87),ISNUMBER(BB127)),IF(ABS(BB87-BB127)&lt;=0.15,0,ROUND(BB87-BB127,1)),"")</f>
        <v>0</v>
      </c>
      <c r="BC89" s="262">
        <f>IF(AND(ISNUMBER(BC87),ISNUMBER(BC127)),IF(ABS(BC87-BC127)&lt;=0.15,0,ROUND(BC87-BC127,1)),"")</f>
        <v>0</v>
      </c>
      <c r="BD89" s="262">
        <f>IF(AND(ISNUMBER(BD87),ISNUMBER(BD127)),IF(ABS(BD87-BD127)&lt;=0.15,0,ROUND(BD87-BD127,1)),"")</f>
        <v>0</v>
      </c>
      <c r="BE89" s="262">
        <f>IF(AND(ISNUMBER(BE87),ISNUMBER(BE127)),IF(ABS(BE87-BE127)&lt;=0.15,0,ROUND(BE87-BE127,1)),"")</f>
        <v>0</v>
      </c>
      <c r="BF89" s="262">
        <f>IF(AND(ISNUMBER(BF87),ISNUMBER(BF127)),IF(ABS(BF87-BF127)&lt;=0.15,0,ROUND(BF87-BF127,1)),"")</f>
        <v>0</v>
      </c>
      <c r="BG89" s="262">
        <f>IF(AND(ISNUMBER(BG87),ISNUMBER(BG127)),IF(ABS(BG87-BG127)&lt;=0.15,0,ROUND(BG87-BG127,1)),"")</f>
        <v>0</v>
      </c>
      <c r="BH89" s="262">
        <f>IF(AND(ISNUMBER(BH87),ISNUMBER(BH127)),IF(ABS(BH87-BH127)&lt;=0.15,0,ROUND(BH87-BH127,1)),"")</f>
        <v>0</v>
      </c>
      <c r="BI89" s="262">
        <f>IF(AND(ISNUMBER(BI87),ISNUMBER(BI127)),IF(ABS(BI87-BI127)&lt;=0.15,0,ROUND(BI87-BI127,1)),"")</f>
        <v>0</v>
      </c>
      <c r="BJ89" s="262">
        <f>IF(AND(ISNUMBER(BJ87),ISNUMBER(BJ127)),IF(ABS(BJ87-BJ127)&lt;=0.15,0,ROUND(BJ87-BJ127,1)),"")</f>
        <v>0</v>
      </c>
      <c r="BK89" s="262">
        <f>IF(AND(ISNUMBER(BK87),ISNUMBER(BK127)),IF(ABS(BK87-BK127)&lt;=0.15,0,ROUND(BK87-BK127,1)),"")</f>
        <v>0</v>
      </c>
      <c r="BL89" s="262">
        <f>IF(AND(ISNUMBER(BL87),ISNUMBER(BL127)),IF(ABS(BL87-BL127)&lt;=0.15,0,ROUND(BL87-BL127,1)),"")</f>
        <v>0</v>
      </c>
      <c r="BM89" s="262">
        <f>IF(AND(ISNUMBER(BM87),ISNUMBER(BM127)),IF(ABS(BM87-BM127)&lt;=0.15,0,ROUND(BM87-BM127,1)),"")</f>
        <v>0</v>
      </c>
      <c r="BN89" s="262">
        <f>IF(AND(ISNUMBER(BN87),ISNUMBER(BN127)),IF(ABS(BN87-BN127)&lt;=0.15,0,ROUND(BN87-BN127,1)),"")</f>
        <v>0</v>
      </c>
      <c r="BO89" s="262">
        <f>IF(AND(ISNUMBER(BO87),ISNUMBER(BO127)),IF(ABS(BO87-BO127)&lt;=0.15,0,ROUND(BO87-BO127,1)),"")</f>
        <v>0</v>
      </c>
      <c r="BP89" s="262">
        <f>IF(AND(ISNUMBER(BP87),ISNUMBER(BP127)),IF(ABS(BP87-BP127)&lt;=0.15,0,ROUND(BP87-BP127,1)),"")</f>
        <v>0</v>
      </c>
      <c r="BQ89" s="262">
        <f>IF(AND(ISNUMBER(BQ87),ISNUMBER(BQ127)),IF(ABS(BQ87-BQ127)&lt;=0.15,0,ROUND(BQ87-BQ127,1)),"")</f>
        <v>0</v>
      </c>
      <c r="BR89" s="262">
        <f>IF(AND(ISNUMBER(BR87),ISNUMBER(BR127)),IF(ABS(BR87-BR127)&lt;=0.15,0,ROUND(BR87-BR127,1)),"")</f>
        <v>0</v>
      </c>
      <c r="BS89" s="262">
        <f>IF(AND(ISNUMBER(BS87),ISNUMBER(BS127)),IF(ABS(BS87-BS127)&lt;=0.15,0,ROUND(BS87-BS127,1)),"")</f>
        <v>0</v>
      </c>
      <c r="BT89" s="262">
        <f>IF(AND(ISNUMBER(BT87),ISNUMBER(BT127)),IF(ABS(BT87-BT127)&lt;=0.15,0,ROUND(BT87-BT127,1)),"")</f>
        <v>0</v>
      </c>
      <c r="BU89" s="262">
        <f>IF(AND(ISNUMBER(BU87),ISNUMBER(BU127)),IF(ABS(BU87-BU127)&lt;=0.15,0,ROUND(BU87-BU127,1)),"")</f>
        <v>0</v>
      </c>
      <c r="BV89" s="262">
        <f>IF(AND(ISNUMBER(BV87),ISNUMBER(BV127)),IF(ABS(BV87-BV127)&lt;=0.15,0,ROUND(BV87-BV127,1)),"")</f>
        <v>0</v>
      </c>
      <c r="BW89" s="262">
        <f>IF(AND(ISNUMBER(BW87),ISNUMBER(BW127)),IF(ABS(BW87-BW127)&lt;=0.15,0,ROUND(BW87-BW127,1)),"")</f>
        <v>0</v>
      </c>
      <c r="BX89" s="262">
        <f>IF(AND(ISNUMBER(BX87),ISNUMBER(BX127)),IF(ABS(BX87-BX127)&lt;=0.15,0,ROUND(BX87-BX127,1)),"")</f>
        <v>0</v>
      </c>
      <c r="BY89" s="262">
        <f>IF(AND(ISNUMBER(BY87),ISNUMBER(BY127)),IF(ABS(BY87-BY127)&lt;=0.15,0,ROUND(BY87-BY127,1)),"")</f>
        <v>0</v>
      </c>
      <c r="BZ89" s="274">
        <f>IF(AND(ISNUMBER(BZ87),ISNUMBER(BZ127)),IF(ABS(BZ87-BZ127)&lt;=0.15,0,ROUND(BZ87-BZ127,1)),"")</f>
        <v>0</v>
      </c>
      <c r="CA89" s="274">
        <f>IF(AND(ISNUMBER(CA87),ISNUMBER(CA127)),IF(ABS(CA87-CA127)&lt;=0.15,0,ROUND(CA87-CA127,1)),"")</f>
        <v>0</v>
      </c>
      <c r="CB89" s="274">
        <f>IF(AND(ISNUMBER(CB87),ISNUMBER(CB127)),IF(ABS(CB87-CB127)&lt;=0.15,0,ROUND(CB87-CB127,1)),"")</f>
        <v>0</v>
      </c>
      <c r="CC89" s="274">
        <f>IF(AND(ISNUMBER(CC87),ISNUMBER(CC127)),IF(ABS(CC87-CC127)&lt;=0.15,0,ROUND(CC87-CC127,1)),"")</f>
        <v>0</v>
      </c>
      <c r="CD89" s="274">
        <f>IF(AND(ISNUMBER(CD87),ISNUMBER(CD127)),IF(ABS(CD87-CD127)&lt;=0.15,0,ROUND(CD87-CD127,1)),"")</f>
        <v>0</v>
      </c>
      <c r="CE89" s="274">
        <f>IF(AND(ISNUMBER(CE87),ISNUMBER(CE127)),IF(ABS(CE87-CE127)&lt;=0.15,0,ROUND(CE87-CE127,1)),"")</f>
        <v>0</v>
      </c>
      <c r="CF89" s="274">
        <f>IF(AND(ISNUMBER(CF87),ISNUMBER(CF127)),IF(ABS(CF87-CF127)&lt;=0.15,0,ROUND(CF87-CF127,1)),"")</f>
        <v>0</v>
      </c>
      <c r="CG89" s="153" t="n"/>
    </row>
    <row r="90" ht="15" customHeight="1" s="251">
      <c r="B90" s="55" t="inlineStr">
        <is>
          <t>Non-GAAP operating income (segment build: segment operating income + unallocated corporate)</t>
        </is>
      </c>
      <c r="C90" s="273">
        <f>IF(ISNUMBER(C23),C23+C44+C62+N(C79),"")</f>
        <v>214.47</v>
      </c>
      <c r="D90" s="273">
        <f>IF(ISNUMBER(D23),D23+D44+D62+N(D79),"")</f>
        <v>185.649</v>
      </c>
      <c r="E90" s="273">
        <f>IF(ISNUMBER(E23),E23+E44+E62+N(E79),"")</f>
        <v>160.173</v>
      </c>
      <c r="F90" s="273">
        <f>IF(ISNUMBER(F23),F23+F44+F62+N(F79),"")</f>
        <v>148.386</v>
      </c>
      <c r="G90" s="273">
        <f>IF(ISNUMBER(G23),G23+G44+G62+N(G79),"")</f>
        <v>143.172</v>
      </c>
      <c r="H90" s="273">
        <f>IF(ISNUMBER(H23),H23+H44+H62+N(H79),"")</f>
        <v>162.969</v>
      </c>
      <c r="I90" s="273">
        <f>IF(ISNUMBER(I23),I23+I44+I62+N(I79),"")</f>
        <v>201.656</v>
      </c>
      <c r="J90" s="273">
        <f>IF(ISNUMBER(J23),J23+J44+J62+N(J79),"")</f>
        <v>55.487</v>
      </c>
      <c r="K90" s="273">
        <f>IF(ISNUMBER(K23),K23+K44+K62+N(K79),"")</f>
        <v>43.223</v>
      </c>
      <c r="L90" s="273">
        <f>IF(ISNUMBER(L23),L23+L44+L62+N(L79),"")</f>
        <v>45.534</v>
      </c>
      <c r="M90" s="273">
        <f>IF(ISNUMBER(M23),M23+M44+M62+N(M79),"")</f>
        <v>60.22</v>
      </c>
      <c r="N90" s="273">
        <f>IF(ISNUMBER(N23),N23+N44+N62+N(N79),"")</f>
        <v>204.464</v>
      </c>
      <c r="O90" s="273">
        <f>IF(ISNUMBER(O23),O23+O44+O62+N(O79),"")</f>
        <v>49.178</v>
      </c>
      <c r="P90" s="273">
        <f>IF(ISNUMBER(P23),P23+P44+P62+N(P79),"")</f>
        <v>50.696</v>
      </c>
      <c r="Q90" s="273">
        <f>IF(ISNUMBER(Q23),Q23+Q44+Q62+N(Q79),"")</f>
        <v>49.406</v>
      </c>
      <c r="R90" s="273">
        <f>IF(ISNUMBER(R23),R23+R44+R62+N(R79),"")</f>
        <v>65.148</v>
      </c>
      <c r="S90" s="273">
        <f>IF(ISNUMBER(S23),S23+S44+S62+N(S79),"")</f>
        <v>214.428</v>
      </c>
      <c r="T90" s="273">
        <f>IF(ISNUMBER(T23),T23+T44+T62+N(T79),"")</f>
        <v>36.606</v>
      </c>
      <c r="U90" s="273">
        <f>IF(ISNUMBER(U23),U23+U44+U62+N(U79),"")</f>
        <v>49.716</v>
      </c>
      <c r="V90" s="273">
        <f>IF(ISNUMBER(V23),V23+V44+V62+N(V79),"")</f>
        <v>55.075</v>
      </c>
      <c r="W90" s="273">
        <f>IF(ISNUMBER(W23),W23+W44+W62+N(W79),"")</f>
        <v>73.331</v>
      </c>
      <c r="X90" s="273">
        <f>IF(ISNUMBER(X23),X23+X44+X62+N(X79),"")</f>
        <v>214.728</v>
      </c>
      <c r="Y90" s="273">
        <f>IF(ISNUMBER(Y23),Y23+Y44+Y62+N(Y79),"")</f>
        <v>49.114</v>
      </c>
      <c r="Z90" s="273">
        <f>IF(ISNUMBER(Z23),Z23+Z44+Z62+N(Z79),"")</f>
        <v>55.631</v>
      </c>
      <c r="AA90" s="273">
        <f>IF(ISNUMBER(AA23),AA23+AA44+AA62+N(AA79),"")</f>
        <v>72.209</v>
      </c>
      <c r="AB90" s="273">
        <f>IF(ISNUMBER(AB23),AB23+AB44+AB62+N(AB79),"")</f>
        <v>62.129</v>
      </c>
      <c r="AC90" s="273">
        <f>IF(ISNUMBER(AC23),AC23+AC44+AC62+N(AC79),"")</f>
        <v>239.083</v>
      </c>
      <c r="AD90" s="273">
        <f>IF(ISNUMBER(AD23),AD23+AD44+AD62+N(AD79),"")</f>
        <v>52.766</v>
      </c>
      <c r="AE90" s="273">
        <f>IF(ISNUMBER(AE23),AE23+AE44+AE62+N(AE79),"")</f>
        <v>58.065</v>
      </c>
      <c r="AF90" s="273">
        <f>IF(ISNUMBER(AF23),AF23+AF44+AF62+N(AF79),"")</f>
        <v>63.58</v>
      </c>
      <c r="AG90" s="273">
        <f>IF(ISNUMBER(AG23),AG23+AG44+AG62+N(AG79),"")</f>
        <v>81.191</v>
      </c>
      <c r="AH90" s="273">
        <f>IF(ISNUMBER(AH23),AH23+AH44+AH62+N(AH79),"")</f>
        <v>255.602</v>
      </c>
      <c r="AI90" s="273">
        <f>IF(ISNUMBER(AI23),AI23+AI44+AI62+N(AI79),"")</f>
        <v>58.202</v>
      </c>
      <c r="AJ90" s="273">
        <f>IF(ISNUMBER(AJ23),AJ23+AJ44+AJ62+N(AJ79),"")</f>
        <v>69.002</v>
      </c>
      <c r="AK90" s="273">
        <f>IF(ISNUMBER(AK23),AK23+AK44+AK62+N(AK79),"")</f>
        <v>68.83</v>
      </c>
      <c r="AL90" s="273">
        <f>IF(ISNUMBER(AL23),AL23+AL44+AL62+N(AL79),"")</f>
        <v>91.812</v>
      </c>
      <c r="AM90" s="273">
        <f>IF(ISNUMBER(AM23),AM23+AM44+AM62+N(AM79),"")</f>
        <v>287.845</v>
      </c>
      <c r="AN90" s="273">
        <f>IF(ISNUMBER(AN23),AN23+AN44+AN62+N(AN79),"")</f>
        <v>72.36</v>
      </c>
      <c r="AO90" s="273">
        <f>IF(ISNUMBER(AO23),AO23+AO44+AO62+N(AO79),"")</f>
        <v>70.534</v>
      </c>
      <c r="AP90" s="273">
        <f>IF(ISNUMBER(AP23),AP23+AP44+AP62+N(AP79),"")</f>
        <v>106.751</v>
      </c>
      <c r="AQ90" s="273">
        <f>IF(ISNUMBER(AQ23),AQ23+AQ44+AQ62+N(AQ79),"")</f>
        <v>93.002</v>
      </c>
      <c r="AR90" s="273">
        <f>IF(ISNUMBER(AR23),AR23+AR44+AR62+N(AR79),"")</f>
        <v>342.647</v>
      </c>
      <c r="AS90" s="273">
        <f>IF(ISNUMBER(AS23),AS23+AS44+AS62+N(AS79),"")</f>
        <v>79.927</v>
      </c>
      <c r="AT90" s="273">
        <f>IF(ISNUMBER(AT23),AT23+AT44+AT62+N(AT79),"")</f>
        <v>99.716</v>
      </c>
      <c r="AU90" s="273">
        <f>IF(ISNUMBER(AU23),AU23+AU44+AU62+N(AU79),"")</f>
        <v>106.183</v>
      </c>
      <c r="AV90" s="273">
        <f>IF(ISNUMBER(AV23),AV23+AV44+AV62+N(AV79),"")</f>
        <v>153.846</v>
      </c>
      <c r="AW90" s="273">
        <f>IF(ISNUMBER(AW23),AW23+AW44+AW62+N(AW79),"")</f>
        <v>439.672</v>
      </c>
      <c r="AX90" s="273">
        <f>IF(ISNUMBER(AX23),AX23+AX44+AX62+N(AX79),"")</f>
        <v>113.456</v>
      </c>
      <c r="AY90" s="273">
        <f>IF(ISNUMBER(AY23),AY23+AY44+AY62+N(AY79),"")</f>
        <v>130.35</v>
      </c>
      <c r="AZ90" s="273">
        <f>IF(ISNUMBER(AZ23),AZ23+AZ44+AZ62+N(AZ79),"")</f>
        <v>133.15</v>
      </c>
      <c r="BA90" s="273">
        <f>IF(ISNUMBER(BA23),BA23+BA44+BA62+N(BA79),"")</f>
        <v>152.063</v>
      </c>
      <c r="BB90" s="273">
        <f>IF(ISNUMBER(BB23),BB23+BB44+BB62+N(BB79),"")</f>
        <v>529.019</v>
      </c>
      <c r="BC90" s="273">
        <f>IF(ISNUMBER(BC23),BC23+BC44+BC62+N(BC79),"")</f>
        <v>146.008</v>
      </c>
      <c r="BD90" s="273">
        <f>IF(ISNUMBER(BD23),BD23+BD44+BD62+N(BD79),"")</f>
        <v>180.536</v>
      </c>
      <c r="BE90" s="273">
        <f>IF(ISNUMBER(BE23),BE23+BE44+BE62+N(BE79),"")</f>
        <v>169.696</v>
      </c>
      <c r="BF90" s="273">
        <f>IF(ISNUMBER(BF23),BF23+BF44+BF62+N(BF79),"")</f>
        <v>163.59</v>
      </c>
      <c r="BG90" s="273">
        <f>IF(ISNUMBER(BG23),BG23+BG44+BG62+N(BG79),"")</f>
        <v>659.83</v>
      </c>
      <c r="BH90" s="273">
        <f>IF(ISNUMBER(BH23),BH23+BH44+BH62+N(BH79),"")</f>
        <v>168.375</v>
      </c>
      <c r="BI90" s="273">
        <f>IF(ISNUMBER(BI23),BI23+BI44+BI62+N(BI79),"")</f>
        <v>187.089</v>
      </c>
      <c r="BJ90" s="273">
        <f>IF(ISNUMBER(BJ23),BJ23+BJ44+BJ62+N(BJ79),"")</f>
        <v>210.301</v>
      </c>
      <c r="BK90" s="273">
        <f>IF(ISNUMBER(BK23),BK23+BK44+BK62+N(BK79),"")</f>
        <v>200.071</v>
      </c>
      <c r="BL90" s="273">
        <f>IF(ISNUMBER(BL23),BL23+BL44+BL62+N(BL79),"")</f>
        <v>765.836</v>
      </c>
      <c r="BM90" s="273">
        <f>IF(ISNUMBER(BM23),BM23+BM44+BM62+N(BM79),"")</f>
        <v>183.208</v>
      </c>
      <c r="BN90" s="273">
        <f>IF(ISNUMBER(BN23),BN23+BN44+BN62+N(BN79),"")</f>
        <v>230.564</v>
      </c>
      <c r="BO90" s="273">
        <f>IF(ISNUMBER(BO23),BO23+BO44+BO62+N(BO79),"")</f>
        <v>232.961</v>
      </c>
      <c r="BP90" s="273">
        <f>IF(ISNUMBER(BP23),BP23+BP44+BP62+N(BP79),"")</f>
        <v>237.252</v>
      </c>
      <c r="BQ90" s="273">
        <f>IF(ISNUMBER(BQ23),BQ23+BQ44+BQ62+N(BQ79),"")</f>
        <v>883.985</v>
      </c>
      <c r="BR90" s="273">
        <f>IF(ISNUMBER(BR23),BR23+BR44+BR62+N(BR79),"")</f>
        <v>220.182</v>
      </c>
      <c r="BS90" s="273">
        <f>IF(ISNUMBER(BS23),BS23+BS44+BS62+N(BS79),"")</f>
        <v>287.352</v>
      </c>
      <c r="BT90" s="273">
        <f>IF(ISNUMBER(BT23),BT23+BT44+BT62+N(BT79),"")</f>
        <v>304.448</v>
      </c>
      <c r="BU90" s="273">
        <f>IF(ISNUMBER(BU23),BU23+BU44+BU62+N(BU79),"")</f>
        <v>280.457</v>
      </c>
      <c r="BV90" s="273">
        <f>IF(ISNUMBER(BV23),BV23+BV44+BV62+N(BV79),"")</f>
        <v>1092.439</v>
      </c>
      <c r="BW90" s="273">
        <f>IF(ISNUMBER(BW23),BW23+BW44+BW62+N(BW79),"")</f>
        <v>278.318</v>
      </c>
      <c r="BX90" s="273">
        <f>IF(ISNUMBER(BX23),BX23+BX44+BX62+N(BX79),"")</f>
        <v>447.775</v>
      </c>
      <c r="BY90" s="273">
        <f>IF(ISNUMBER(BY23),BY23+BY44+BY62+N(BY79),"")</f>
        <v>414.959</v>
      </c>
      <c r="BZ90" s="273">
        <f>IF(ISNUMBER(BZ23),BZ23+BZ44+BZ62+N(BZ79),"")</f>
        <v>375.455581988028</v>
      </c>
      <c r="CA90" s="273">
        <f>IF(ISNUMBER(CA23),CA23+CA44+CA62+N(CA79),"")</f>
        <v>1516.50758198803</v>
      </c>
      <c r="CB90" s="273">
        <f>IF(ISNUMBER(CB23),CB23+CB44+CB62+N(CB79),"")</f>
        <v>1756.51119204402</v>
      </c>
      <c r="CC90" s="273">
        <f>IF(ISNUMBER(CC23),CC23+CC44+CC62+N(CC79),"")</f>
        <v>1965.54300256576</v>
      </c>
      <c r="CD90" s="273">
        <f>IF(ISNUMBER(CD23),CD23+CD44+CD62+N(CD79),"")</f>
        <v>2170.57155950686</v>
      </c>
      <c r="CE90" s="273">
        <f>IF(ISNUMBER(CE23),CE23+CE44+CE62+N(CE79),"")</f>
        <v>2366.81968809248</v>
      </c>
      <c r="CF90" s="273">
        <f>IF(ISNUMBER(CF23),CF23+CF44+CF62+N(CF79),"")</f>
        <v>2562.46874114279</v>
      </c>
      <c r="CG90" s="153" t="inlineStr">
        <is>
          <t>Σ segment operating income + unallocated corporate expenses (+ future acquisitions). Model measure: FICO publishes no non-GAAP operating income; = GAAP operating income + its non-GAAP adjusting items. Drives the GAAP P&amp;L below.</t>
        </is>
      </c>
      <c r="CI90" s="20">
        <f>IFERROR((CF90/CA90)^(1/5)-1,"n/m")</f>
        <v>0.110613116016551</v>
      </c>
      <c r="CJ90" s="20">
        <f>IFERROR((BV90/AW90)^(1/5)-1,"n/m")</f>
        <v>0.199647566601627</v>
      </c>
      <c r="CK90" s="20">
        <f>IFERROR((BV90/X90)^(1/10)-1,"n/m")</f>
        <v>0.176659625100953</v>
      </c>
      <c r="CL90" s="20">
        <f>IFERROR((BV90/C90)^(1/19)-1,"n/m")</f>
        <v>0.0894621313053856</v>
      </c>
    </row>
    <row r="91" ht="15" customHeight="1" s="251">
      <c r="B91" s="25" t="inlineStr">
        <is>
          <t xml:space="preserve">  Non-GAAP operating margin %</t>
        </is>
      </c>
      <c r="C91" s="215">
        <f>IF(AND(ISNUMBER(C90),ISNUMBER(C127)),IFERROR(C90/C127,""),"")</f>
        <v>0.259848673011334</v>
      </c>
      <c r="D91" s="215">
        <f>IF(AND(ISNUMBER(D90),ISNUMBER(D127)),IFERROR(D90/D127,""),"")</f>
        <v>0.225785540890936</v>
      </c>
      <c r="E91" s="215">
        <f>IF(AND(ISNUMBER(E90),ISNUMBER(E127)),IFERROR(E90/E127,""),"")</f>
        <v>0.215042921854568</v>
      </c>
      <c r="F91" s="215">
        <f>IF(AND(ISNUMBER(F90),ISNUMBER(F127)),IFERROR(F90/F127,""),"")</f>
        <v>0.235258864657899</v>
      </c>
      <c r="G91" s="215">
        <f>IF(AND(ISNUMBER(G90),ISNUMBER(G127)),IFERROR(G90/G127,""),"")</f>
        <v>0.236396689138651</v>
      </c>
      <c r="H91" s="215">
        <f>IF(AND(ISNUMBER(H90),ISNUMBER(H127)),IFERROR(H90/H127,""),"")</f>
        <v>0.262987688866727</v>
      </c>
      <c r="I91" s="215">
        <f>IF(AND(ISNUMBER(I90),ISNUMBER(I127)),IFERROR(I90/I127,""),"")</f>
        <v>0.298121146087581</v>
      </c>
      <c r="J91" s="215">
        <f>IF(AND(ISNUMBER(J90),ISNUMBER(J127)),IFERROR(J90/J127,""),"")</f>
        <v>0.292006104620566</v>
      </c>
      <c r="K91" s="215">
        <f>IF(AND(ISNUMBER(K90),ISNUMBER(K127)),IFERROR(K90/K127,""),"")</f>
        <v>0.241031646451973</v>
      </c>
      <c r="L91" s="215">
        <f>IF(AND(ISNUMBER(L90),ISNUMBER(L127)),IFERROR(L90/L127,""),"")</f>
        <v>0.247774416124328</v>
      </c>
      <c r="M91" s="215">
        <f>IF(AND(ISNUMBER(M90),ISNUMBER(M127)),IFERROR(M90/M127,""),"")</f>
        <v>0.316402822510732</v>
      </c>
      <c r="N91" s="215">
        <f>IF(AND(ISNUMBER(N90),ISNUMBER(N127)),IFERROR(N90/N127,""),"")</f>
        <v>0.275022732041687</v>
      </c>
      <c r="O91" s="215">
        <f>IF(AND(ISNUMBER(O90),ISNUMBER(O127)),IFERROR(O90/O127,""),"")</f>
        <v>0.266774436783604</v>
      </c>
      <c r="P91" s="215">
        <f>IF(AND(ISNUMBER(P90),ISNUMBER(P127)),IFERROR(P90/P127,""),"")</f>
        <v>0.273349796723857</v>
      </c>
      <c r="Q91" s="215">
        <f>IF(AND(ISNUMBER(Q90),ISNUMBER(Q127)),IFERROR(Q90/Q127,""),"")</f>
        <v>0.250017711654269</v>
      </c>
      <c r="R91" s="215">
        <f>IF(AND(ISNUMBER(R90),ISNUMBER(R127)),IFERROR(R90/R127,""),"")</f>
        <v>0.294028975041748</v>
      </c>
      <c r="S91" s="215">
        <f>IF(AND(ISNUMBER(S90),ISNUMBER(S127)),IFERROR(S90/S127,""),"")</f>
        <v>0.271777029981559</v>
      </c>
      <c r="T91" s="215">
        <f>IF(AND(ISNUMBER(T90),ISNUMBER(T127)),IFERROR(T90/T127,""),"")</f>
        <v>0.193120548667898</v>
      </c>
      <c r="U91" s="215">
        <f>IF(AND(ISNUMBER(U90),ISNUMBER(U127)),IFERROR(U90/U127,""),"")</f>
        <v>0.240047511213902</v>
      </c>
      <c r="V91" s="215">
        <f>IF(AND(ISNUMBER(V90),ISNUMBER(V127)),IFERROR(V90/V127,""),"")</f>
        <v>0.263056083604788</v>
      </c>
      <c r="W91" s="215">
        <f>IF(AND(ISNUMBER(W90),ISNUMBER(W127)),IFERROR(W90/W127,""),"")</f>
        <v>0.315055250992456</v>
      </c>
      <c r="X91" s="215">
        <f>IF(AND(ISNUMBER(X90),ISNUMBER(X127)),IFERROR(X90/X127,""),"")</f>
        <v>0.256000076301204</v>
      </c>
      <c r="Y91" s="215">
        <f>IF(AND(ISNUMBER(Y90),ISNUMBER(Y127)),IFERROR(Y90/Y127,""),"")</f>
        <v>0.245476718846838</v>
      </c>
      <c r="Z91" s="215">
        <f>IF(AND(ISNUMBER(Z90),ISNUMBER(Z127)),IFERROR(Z90/Z127,""),"")</f>
        <v>0.269167497266279</v>
      </c>
      <c r="AA91" s="215">
        <f>IF(AND(ISNUMBER(AA90),ISNUMBER(AA127)),IFERROR(AA90/AA127,""),"")</f>
        <v>0.302410607342385</v>
      </c>
      <c r="AB91" s="215">
        <f>IF(AND(ISNUMBER(AB90),ISNUMBER(AB127)),IFERROR(AB90/AB127,""),"")</f>
        <v>0.26345494945383</v>
      </c>
      <c r="AC91" s="215">
        <f>IF(AND(ISNUMBER(AC90),ISNUMBER(AC127)),IFERROR(AC90/AC127,""),"")</f>
        <v>0.27126722913329</v>
      </c>
      <c r="AD91" s="215">
        <f>IF(AND(ISNUMBER(AD90),ISNUMBER(AD127)),IFERROR(AD90/AD127,""),"")</f>
        <v>0.24028233151184</v>
      </c>
      <c r="AE91" s="215">
        <f>IF(AND(ISNUMBER(AE90),ISNUMBER(AE127)),IFERROR(AE90/AE127,""),"")</f>
        <v>0.254249533667866</v>
      </c>
      <c r="AF91" s="215">
        <f>IF(AND(ISNUMBER(AF90),ISNUMBER(AF127)),IFERROR(AF90/AF127,""),"")</f>
        <v>0.275254777345813</v>
      </c>
      <c r="AG91" s="215">
        <f>IF(AND(ISNUMBER(AG90),ISNUMBER(AG127)),IFERROR(AG90/AG127,""),"")</f>
        <v>0.320653225647203</v>
      </c>
      <c r="AH91" s="215">
        <f>IF(AND(ISNUMBER(AH90),ISNUMBER(AH127)),IFERROR(AH90/AH127,""),"")</f>
        <v>0.274201351900782</v>
      </c>
      <c r="AI91" s="215">
        <f>IF(AND(ISNUMBER(AI90),ISNUMBER(AI127)),IFERROR(AI90/AI127,""),"")</f>
        <v>0.247330242519792</v>
      </c>
      <c r="AJ91" s="215">
        <f>IF(AND(ISNUMBER(AJ90),ISNUMBER(AJ127)),IFERROR(AJ90/AJ127,""),"")</f>
        <v>0.267596894414755</v>
      </c>
      <c r="AK91" s="215">
        <f>IF(AND(ISNUMBER(AK90),ISNUMBER(AK127)),IFERROR(AK90/AK127,""),"")</f>
        <v>0.265235737269031</v>
      </c>
      <c r="AL91" s="215">
        <f>IF(AND(ISNUMBER(AL90),ISNUMBER(AL127)),IFERROR(AL90/AL127,""),"")</f>
        <v>0.328144936756365</v>
      </c>
      <c r="AM91" s="215">
        <f>IF(AND(ISNUMBER(AM90),ISNUMBER(AM127)),IFERROR(AM90/AM127,""),"")</f>
        <v>0.278791254025521</v>
      </c>
      <c r="AN91" s="215">
        <f>IF(AND(ISNUMBER(AN90),ISNUMBER(AN127)),IFERROR(AN90/AN127,""),"")</f>
        <v>0.275913611128058</v>
      </c>
      <c r="AO91" s="215">
        <f>IF(AND(ISNUMBER(AO90),ISNUMBER(AO127)),IFERROR(AO90/AO127,""),"")</f>
        <v>0.253506041677149</v>
      </c>
      <c r="AP91" s="215">
        <f>IF(AND(ISNUMBER(AP90),ISNUMBER(AP127)),IFERROR(AP90/AP127,""),"")</f>
        <v>0.339701956092144</v>
      </c>
      <c r="AQ91" s="215">
        <f>IF(AND(ISNUMBER(AQ90),ISNUMBER(AQ127)),IFERROR(AQ90/AQ127,""),"")</f>
        <v>0.3045810626703</v>
      </c>
      <c r="AR91" s="215">
        <f>IF(AND(ISNUMBER(AR90),ISNUMBER(AR127)),IFERROR(AR90/AR127,""),"")</f>
        <v>0.29536421100904</v>
      </c>
      <c r="AS91" s="215">
        <f>IF(AND(ISNUMBER(AS90),ISNUMBER(AS127)),IFERROR(AS90/AS127,""),"")</f>
        <v>0.26775855599925</v>
      </c>
      <c r="AT91" s="215">
        <f>IF(AND(ISNUMBER(AT90),ISNUMBER(AT127)),IFERROR(AT90/AT127,""),"")</f>
        <v>0.32378373288394</v>
      </c>
      <c r="AU91" s="215">
        <f>IF(AND(ISNUMBER(AU90),ISNUMBER(AU127)),IFERROR(AU90/AU127,""),"")</f>
        <v>0.338452368430279</v>
      </c>
      <c r="AV91" s="215">
        <f>IF(AND(ISNUMBER(AV90),ISNUMBER(AV127)),IFERROR(AV90/AV127,""),"")</f>
        <v>0.410961758326299</v>
      </c>
      <c r="AW91" s="215">
        <f>IF(AND(ISNUMBER(AW90),ISNUMBER(AW127)),IFERROR(AW90/AW127,""),"")</f>
        <v>0.339629928887145</v>
      </c>
      <c r="AX91" s="215">
        <f>IF(AND(ISNUMBER(AX90),ISNUMBER(AX127)),IFERROR(AX90/AX127,""),"")</f>
        <v>0.363159141395712</v>
      </c>
      <c r="AY91" s="215">
        <f>IF(AND(ISNUMBER(AY90),ISNUMBER(AY127)),IFERROR(AY90/AY127,""),"")</f>
        <v>0.393377615350026</v>
      </c>
      <c r="AZ91" s="215">
        <f>IF(AND(ISNUMBER(AZ90),ISNUMBER(AZ127)),IFERROR(AZ90/AZ127,""),"")</f>
        <v>0.393720578146808</v>
      </c>
      <c r="BA91" s="215">
        <f>IF(AND(ISNUMBER(BA90),ISNUMBER(BA127)),IFERROR(BA90/BA127,""),"")</f>
        <v>0.454493285551607</v>
      </c>
      <c r="BB91" s="215">
        <f>IF(AND(ISNUMBER(BB90),ISNUMBER(BB127)),IFERROR(BB90/BB127,""),"")</f>
        <v>0.401826459739802</v>
      </c>
      <c r="BC91" s="215">
        <f>IF(AND(ISNUMBER(BC90),ISNUMBER(BC127)),IFERROR(BC90/BC127,""),"")</f>
        <v>0.45293320221739</v>
      </c>
      <c r="BD91" s="215">
        <f>IF(AND(ISNUMBER(BD90),ISNUMBER(BD127)),IFERROR(BD90/BD127,""),"")</f>
        <v>0.505427007656882</v>
      </c>
      <c r="BE91" s="215">
        <f>IF(AND(ISNUMBER(BE90),ISNUMBER(BE127)),IFERROR(BE90/BE127,""),"")</f>
        <v>0.486282331229977</v>
      </c>
      <c r="BF91" s="215">
        <f>IF(AND(ISNUMBER(BF90),ISNUMBER(BF127)),IFERROR(BF90/BF127,""),"")</f>
        <v>0.469077958870015</v>
      </c>
      <c r="BG91" s="215">
        <f>IF(AND(ISNUMBER(BG90),ISNUMBER(BG127)),IFERROR(BG90/BG127,""),"")</f>
        <v>0.479085437132879</v>
      </c>
      <c r="BH91" s="215">
        <f>IF(AND(ISNUMBER(BH90),ISNUMBER(BH127)),IFERROR(BH90/BH127,""),"")</f>
        <v>0.488227448023893</v>
      </c>
      <c r="BI91" s="215">
        <f>IF(AND(ISNUMBER(BI90),ISNUMBER(BI127)),IFERROR(BI90/BI127,""),"")</f>
        <v>0.491995077130219</v>
      </c>
      <c r="BJ91" s="215">
        <f>IF(AND(ISNUMBER(BJ90),ISNUMBER(BJ127)),IFERROR(BJ90/BJ127,""),"")</f>
        <v>0.527482643069267</v>
      </c>
      <c r="BK91" s="215">
        <f>IF(AND(ISNUMBER(BK90),ISNUMBER(BK127)),IFERROR(BK90/BK127,""),"")</f>
        <v>0.513354014158411</v>
      </c>
      <c r="BL91" s="215">
        <f>IF(AND(ISNUMBER(BL90),ISNUMBER(BL127)),IFERROR(BL90/BL127,""),"")</f>
        <v>0.505984247702597</v>
      </c>
      <c r="BM91" s="215">
        <f>IF(AND(ISNUMBER(BM90),ISNUMBER(BM127)),IFERROR(BM90/BM127,""),"")</f>
        <v>0.479528031010917</v>
      </c>
      <c r="BN91" s="215">
        <f>IF(AND(ISNUMBER(BN90),ISNUMBER(BN127)),IFERROR(BN90/BN127,""),"")</f>
        <v>0.531487359644452</v>
      </c>
      <c r="BO91" s="215">
        <f>IF(AND(ISNUMBER(BO90),ISNUMBER(BO127)),IFERROR(BO90/BO127,""),"")</f>
        <v>0.520177559847181</v>
      </c>
      <c r="BP91" s="215">
        <f>IF(AND(ISNUMBER(BP90),ISNUMBER(BP127)),IFERROR(BP90/BP127,""),"")</f>
        <v>0.522801442897783</v>
      </c>
      <c r="BQ91" s="215">
        <f>IF(AND(ISNUMBER(BQ90),ISNUMBER(BQ127)),IFERROR(BQ90/BQ127,""),"")</f>
        <v>0.514685076092007</v>
      </c>
      <c r="BR91" s="215">
        <f>IF(AND(ISNUMBER(BR90),ISNUMBER(BR127)),IFERROR(BR90/BR127,""),"")</f>
        <v>0.500450032729653</v>
      </c>
      <c r="BS91" s="215">
        <f>IF(AND(ISNUMBER(BS90),ISNUMBER(BS127)),IFERROR(BS90/BS127,""),"")</f>
        <v>0.576161689073356</v>
      </c>
      <c r="BT91" s="215">
        <f>IF(AND(ISNUMBER(BT90),ISNUMBER(BT127)),IFERROR(BT90/BT127,""),"")</f>
        <v>0.56756056411547</v>
      </c>
      <c r="BU91" s="215">
        <f>IF(AND(ISNUMBER(BU90),ISNUMBER(BU127)),IFERROR(BU90/BU127,""),"")</f>
        <v>0.543783725092147</v>
      </c>
      <c r="BV91" s="215">
        <f>IF(AND(ISNUMBER(BV90),ISNUMBER(BV127)),IFERROR(BV90/BV127,""),"")</f>
        <v>0.548724702629857</v>
      </c>
      <c r="BW91" s="215">
        <f>IF(AND(ISNUMBER(BW90),ISNUMBER(BW127)),IFERROR(BW90/BW127,""),"")</f>
        <v>0.543633376891509</v>
      </c>
      <c r="BX91" s="215">
        <f>IF(AND(ISNUMBER(BX90),ISNUMBER(BX127)),IFERROR(BX90/BX127,""),"")</f>
        <v>0.647375870529163</v>
      </c>
      <c r="BY91" s="215">
        <f>IF(AND(ISNUMBER(BY90),ISNUMBER(BY127)),IFERROR(BY90/BY127,""),"")</f>
        <v>0.615494491150836</v>
      </c>
      <c r="BZ91" s="256">
        <f>IF(AND(ISNUMBER(BZ90),ISNUMBER(BZ127)),IFERROR(BZ90/BZ127,""),"")</f>
        <v>0.575696716818816</v>
      </c>
      <c r="CA91" s="256">
        <f>IF(AND(ISNUMBER(CA90),ISNUMBER(CA127)),IFERROR(CA90/CA127,""),"")</f>
        <v>0.599410111457719</v>
      </c>
      <c r="CB91" s="256">
        <f>IF(AND(ISNUMBER(CB90),ISNUMBER(CB127)),IFERROR(CB90/CB127,""),"")</f>
        <v>0.627590512699791</v>
      </c>
      <c r="CC91" s="256">
        <f>IF(AND(ISNUMBER(CC90),ISNUMBER(CC127)),IFERROR(CC90/CC127,""),"")</f>
        <v>0.636466725412819</v>
      </c>
      <c r="CD91" s="256">
        <f>IF(AND(ISNUMBER(CD90),ISNUMBER(CD127)),IFERROR(CD90/CD127,""),"")</f>
        <v>0.642214552104601</v>
      </c>
      <c r="CE91" s="256">
        <f>IF(AND(ISNUMBER(CE90),ISNUMBER(CE127)),IFERROR(CE90/CE127,""),"")</f>
        <v>0.643647944195756</v>
      </c>
      <c r="CF91" s="256">
        <f>IF(AND(ISNUMBER(CF90),ISNUMBER(CF127)),IFERROR(CF90/CF127,""),"")</f>
        <v>0.644409526496989</v>
      </c>
      <c r="CG91" s="153" t="n"/>
      <c r="CI91" s="37">
        <f>IFERROR(AVERAGE(CB91,CC91,CD91,CE91,CF91),"n/m")</f>
        <v>0.638865852181991</v>
      </c>
      <c r="CJ91" s="37">
        <f>IFERROR(AVERAGE(BB91,BG91,BL91,BQ91,BV91),"n/m")</f>
        <v>0.490061184659428</v>
      </c>
      <c r="CK91" s="37">
        <f>IFERROR(AVERAGE(AC91,AH91,AM91,AR91,AW91,BB91,BG91,BL91,BQ91,BV91),"n/m")</f>
        <v>0.390955989825292</v>
      </c>
      <c r="CL91" s="37">
        <f>IFERROR(AVERAGE(C91,D91,E91,F91,G91,H91,I91,N91,S91,X91,AC91,AH91,AM91,AR91,AW91,BB91,BG91,BL91,BQ91,BV91),"n/m")</f>
        <v>0.322290063054253</v>
      </c>
    </row>
    <row r="92" ht="15" customHeight="1" s="251">
      <c r="B92" s="22" t="inlineStr">
        <is>
          <t xml:space="preserve">  Non-GAAP operating income y/y %</t>
        </is>
      </c>
      <c r="C92" s="23" t="n"/>
      <c r="D92" s="255">
        <f>IF(AND(ISNUMBER(D90),ISNUMBER(C90)),IFERROR(D90/C90-1,""),"")</f>
        <v>-0.134382431109246</v>
      </c>
      <c r="E92" s="255">
        <f>IF(AND(ISNUMBER(E90),ISNUMBER(D90)),IFERROR(E90/D90-1,""),"")</f>
        <v>-0.137226702002165</v>
      </c>
      <c r="F92" s="255">
        <f>IF(AND(ISNUMBER(F90),ISNUMBER(E90)),IFERROR(F90/E90-1,""),"")</f>
        <v>-0.0735891816972897</v>
      </c>
      <c r="G92" s="255">
        <f>IF(AND(ISNUMBER(G90),ISNUMBER(F90)),IFERROR(G90/F90-1,""),"")</f>
        <v>-0.0351380858032431</v>
      </c>
      <c r="H92" s="255">
        <f>IF(AND(ISNUMBER(H90),ISNUMBER(G90)),IFERROR(H90/G90-1,""),"")</f>
        <v>0.138274243567178</v>
      </c>
      <c r="I92" s="255">
        <f>IF(AND(ISNUMBER(I90),ISNUMBER(H90)),IFERROR(I90/H90-1,""),"")</f>
        <v>0.237388705827489</v>
      </c>
      <c r="J92" s="23" t="n"/>
      <c r="K92" s="23" t="n"/>
      <c r="L92" s="23" t="n"/>
      <c r="M92" s="23" t="n"/>
      <c r="N92" s="255">
        <f>IF(AND(ISNUMBER(N90),ISNUMBER(I90)),IFERROR(N90/I90-1,""),"")</f>
        <v>0.0139247034553893</v>
      </c>
      <c r="O92" s="255">
        <f>IF(AND(ISNUMBER(O90),ISNUMBER(J90)),IFERROR(O90/J90-1,""),"")</f>
        <v>-0.113702308648873</v>
      </c>
      <c r="P92" s="255">
        <f>IF(AND(ISNUMBER(P90),ISNUMBER(K90)),IFERROR(P90/K90-1,""),"")</f>
        <v>0.172894061032321</v>
      </c>
      <c r="Q92" s="255">
        <f>IF(AND(ISNUMBER(Q90),ISNUMBER(L90)),IFERROR(Q90/L90-1,""),"")</f>
        <v>0.0850353581938776</v>
      </c>
      <c r="R92" s="255">
        <f>IF(AND(ISNUMBER(R90),ISNUMBER(M90)),IFERROR(R90/M90-1,""),"")</f>
        <v>0.0818332779807374</v>
      </c>
      <c r="S92" s="255">
        <f>IF(AND(ISNUMBER(S90),ISNUMBER(N90)),IFERROR(S90/N90-1,""),"")</f>
        <v>0.0487322951717664</v>
      </c>
      <c r="T92" s="255">
        <f>IF(AND(ISNUMBER(T90),ISNUMBER(O90)),IFERROR(T90/O90-1,""),"")</f>
        <v>-0.255642767090976</v>
      </c>
      <c r="U92" s="255">
        <f>IF(AND(ISNUMBER(U90),ISNUMBER(P90)),IFERROR(U90/P90-1,""),"")</f>
        <v>-0.0193309136815528</v>
      </c>
      <c r="V92" s="255">
        <f>IF(AND(ISNUMBER(V90),ISNUMBER(Q90)),IFERROR(V90/Q90-1,""),"")</f>
        <v>0.114743148605432</v>
      </c>
      <c r="W92" s="255">
        <f>IF(AND(ISNUMBER(W90),ISNUMBER(R90)),IFERROR(W90/R90-1,""),"")</f>
        <v>0.125606311782403</v>
      </c>
      <c r="X92" s="255">
        <f>IF(AND(ISNUMBER(X90),ISNUMBER(S90)),IFERROR(X90/S90-1,""),"")</f>
        <v>0.00139907101684456</v>
      </c>
      <c r="Y92" s="255">
        <f>IF(AND(ISNUMBER(Y90),ISNUMBER(T90)),IFERROR(Y90/T90-1,""),"")</f>
        <v>0.341692618696389</v>
      </c>
      <c r="Z92" s="255">
        <f>IF(AND(ISNUMBER(Z90),ISNUMBER(U90)),IFERROR(Z90/U90-1,""),"")</f>
        <v>0.118975782444284</v>
      </c>
      <c r="AA92" s="255">
        <f>IF(AND(ISNUMBER(AA90),ISNUMBER(V90)),IFERROR(AA90/V90-1,""),"")</f>
        <v>0.311103041307308</v>
      </c>
      <c r="AB92" s="255">
        <f>IF(AND(ISNUMBER(AB90),ISNUMBER(W90)),IFERROR(AB90/W90-1,""),"")</f>
        <v>-0.1527594059811</v>
      </c>
      <c r="AC92" s="255">
        <f>IF(AND(ISNUMBER(AC90),ISNUMBER(X90)),IFERROR(AC90/X90-1,""),"")</f>
        <v>0.113422562497671</v>
      </c>
      <c r="AD92" s="255">
        <f>IF(AND(ISNUMBER(AD90),ISNUMBER(Y90)),IFERROR(AD90/Y90-1,""),"")</f>
        <v>0.0743576169727573</v>
      </c>
      <c r="AE92" s="255">
        <f>IF(AND(ISNUMBER(AE90),ISNUMBER(Z90)),IFERROR(AE90/Z90-1,""),"")</f>
        <v>0.0437525839909403</v>
      </c>
      <c r="AF92" s="255">
        <f>IF(AND(ISNUMBER(AF90),ISNUMBER(AA90)),IFERROR(AF90/AA90-1,""),"")</f>
        <v>-0.119500339292886</v>
      </c>
      <c r="AG92" s="255">
        <f>IF(AND(ISNUMBER(AG90),ISNUMBER(AB90)),IFERROR(AG90/AB90-1,""),"")</f>
        <v>0.306813243412899</v>
      </c>
      <c r="AH92" s="255">
        <f>IF(AND(ISNUMBER(AH90),ISNUMBER(AC90)),IFERROR(AH90/AC90-1,""),"")</f>
        <v>0.0690931601159432</v>
      </c>
      <c r="AI92" s="255">
        <f>IF(AND(ISNUMBER(AI90),ISNUMBER(AD90)),IFERROR(AI90/AD90-1,""),"")</f>
        <v>0.103020884660577</v>
      </c>
      <c r="AJ92" s="255">
        <f>IF(AND(ISNUMBER(AJ90),ISNUMBER(AE90)),IFERROR(AJ90/AE90-1,""),"")</f>
        <v>0.188357874795488</v>
      </c>
      <c r="AK92" s="255">
        <f>IF(AND(ISNUMBER(AK90),ISNUMBER(AF90)),IFERROR(AK90/AF90-1,""),"")</f>
        <v>0.0825731362063542</v>
      </c>
      <c r="AL92" s="255">
        <f>IF(AND(ISNUMBER(AL90),ISNUMBER(AG90)),IFERROR(AL90/AG90-1,""),"")</f>
        <v>0.130814991809437</v>
      </c>
      <c r="AM92" s="255">
        <f>IF(AND(ISNUMBER(AM90),ISNUMBER(AH90)),IFERROR(AM90/AH90-1,""),"")</f>
        <v>0.126145335326015</v>
      </c>
      <c r="AN92" s="255">
        <f>IF(AND(ISNUMBER(AN90),ISNUMBER(AI90)),IFERROR(AN90/AI90-1,""),"")</f>
        <v>0.243256245489845</v>
      </c>
      <c r="AO92" s="255">
        <f>IF(AND(ISNUMBER(AO90),ISNUMBER(AJ90)),IFERROR(AO90/AJ90-1,""),"")</f>
        <v>0.0222022550071017</v>
      </c>
      <c r="AP92" s="255">
        <f>IF(AND(ISNUMBER(AP90),ISNUMBER(AK90)),IFERROR(AP90/AK90-1,""),"")</f>
        <v>0.550937091384571</v>
      </c>
      <c r="AQ92" s="255">
        <f>IF(AND(ISNUMBER(AQ90),ISNUMBER(AL90)),IFERROR(AQ90/AL90-1,""),"")</f>
        <v>0.0129612686794756</v>
      </c>
      <c r="AR92" s="255">
        <f>IF(AND(ISNUMBER(AR90),ISNUMBER(AM90)),IFERROR(AR90/AM90-1,""),"")</f>
        <v>0.190387187548854</v>
      </c>
      <c r="AS92" s="255">
        <f>IF(AND(ISNUMBER(AS90),ISNUMBER(AN90)),IFERROR(AS90/AN90-1,""),"")</f>
        <v>0.104574350469873</v>
      </c>
      <c r="AT92" s="255">
        <f>IF(AND(ISNUMBER(AT90),ISNUMBER(AO90)),IFERROR(AT90/AO90-1,""),"")</f>
        <v>0.413729548870049</v>
      </c>
      <c r="AU92" s="255">
        <f>IF(AND(ISNUMBER(AU90),ISNUMBER(AP90)),IFERROR(AU90/AP90-1,""),"")</f>
        <v>-0.00532079324783852</v>
      </c>
      <c r="AV92" s="255">
        <f>IF(AND(ISNUMBER(AV90),ISNUMBER(AQ90)),IFERROR(AV90/AQ90-1,""),"")</f>
        <v>0.654222489838928</v>
      </c>
      <c r="AW92" s="255">
        <f>IF(AND(ISNUMBER(AW90),ISNUMBER(AR90)),IFERROR(AW90/AR90-1,""),"")</f>
        <v>0.283163138740453</v>
      </c>
      <c r="AX92" s="255">
        <f>IF(AND(ISNUMBER(AX90),ISNUMBER(AS90)),IFERROR(AX90/AS90-1,""),"")</f>
        <v>0.419495289451625</v>
      </c>
      <c r="AY92" s="255">
        <f>IF(AND(ISNUMBER(AY90),ISNUMBER(AT90)),IFERROR(AY90/AT90-1,""),"")</f>
        <v>0.307212483453006</v>
      </c>
      <c r="AZ92" s="255">
        <f>IF(AND(ISNUMBER(AZ90),ISNUMBER(AU90)),IFERROR(AZ90/AU90-1,""),"")</f>
        <v>0.253967207556765</v>
      </c>
      <c r="BA92" s="255">
        <f>IF(AND(ISNUMBER(BA90),ISNUMBER(AV90)),IFERROR(BA90/AV90-1,""),"")</f>
        <v>-0.0115895115895117</v>
      </c>
      <c r="BB92" s="255">
        <f>IF(AND(ISNUMBER(BB90),ISNUMBER(AW90)),IFERROR(BB90/AW90-1,""),"")</f>
        <v>0.203212849578777</v>
      </c>
      <c r="BC92" s="255">
        <f>IF(AND(ISNUMBER(BC90),ISNUMBER(AX90)),IFERROR(BC90/AX90-1,""),"")</f>
        <v>0.286912988295022</v>
      </c>
      <c r="BD92" s="255">
        <f>IF(AND(ISNUMBER(BD90),ISNUMBER(AY90)),IFERROR(BD90/AY90-1,""),"")</f>
        <v>0.385009589566552</v>
      </c>
      <c r="BE92" s="255">
        <f>IF(AND(ISNUMBER(BE90),ISNUMBER(AZ90)),IFERROR(BE90/AZ90-1,""),"")</f>
        <v>0.274472399549381</v>
      </c>
      <c r="BF92" s="255">
        <f>IF(AND(ISNUMBER(BF90),ISNUMBER(BA90)),IFERROR(BF90/BA90-1,""),"")</f>
        <v>0.0758041075080724</v>
      </c>
      <c r="BG92" s="255">
        <f>IF(AND(ISNUMBER(BG90),ISNUMBER(BB90)),IFERROR(BG90/BB90-1,""),"")</f>
        <v>0.247270891971744</v>
      </c>
      <c r="BH92" s="255">
        <f>IF(AND(ISNUMBER(BH90),ISNUMBER(BC90)),IFERROR(BH90/BC90-1,""),"")</f>
        <v>0.153190236151444</v>
      </c>
      <c r="BI92" s="255">
        <f>IF(AND(ISNUMBER(BI90),ISNUMBER(BD90)),IFERROR(BI90/BD90-1,""),"")</f>
        <v>0.0362974697567244</v>
      </c>
      <c r="BJ92" s="255">
        <f>IF(AND(ISNUMBER(BJ90),ISNUMBER(BE90)),IFERROR(BJ90/BE90-1,""),"")</f>
        <v>0.239280831604752</v>
      </c>
      <c r="BK92" s="255">
        <f>IF(AND(ISNUMBER(BK90),ISNUMBER(BF90)),IFERROR(BK90/BF90-1,""),"")</f>
        <v>0.223002628522526</v>
      </c>
      <c r="BL92" s="255">
        <f>IF(AND(ISNUMBER(BL90),ISNUMBER(BG90)),IFERROR(BL90/BG90-1,""),"")</f>
        <v>0.160656532743282</v>
      </c>
      <c r="BM92" s="255">
        <f>IF(AND(ISNUMBER(BM90),ISNUMBER(BH90)),IFERROR(BM90/BH90-1,""),"")</f>
        <v>0.0880950259836675</v>
      </c>
      <c r="BN92" s="255">
        <f>IF(AND(ISNUMBER(BN90),ISNUMBER(BI90)),IFERROR(BN90/BI90-1,""),"")</f>
        <v>0.232376034935245</v>
      </c>
      <c r="BO92" s="255">
        <f>IF(AND(ISNUMBER(BO90),ISNUMBER(BJ90)),IFERROR(BO90/BJ90-1,""),"")</f>
        <v>0.107750319779744</v>
      </c>
      <c r="BP92" s="255">
        <f>IF(AND(ISNUMBER(BP90),ISNUMBER(BK90)),IFERROR(BP90/BK90-1,""),"")</f>
        <v>0.185839027145363</v>
      </c>
      <c r="BQ92" s="255">
        <f>IF(AND(ISNUMBER(BQ90),ISNUMBER(BL90)),IFERROR(BQ90/BL90-1,""),"")</f>
        <v>0.154274544419432</v>
      </c>
      <c r="BR92" s="255">
        <f>IF(AND(ISNUMBER(BR90),ISNUMBER(BM90)),IFERROR(BR90/BM90-1,""),"")</f>
        <v>0.20181433125191</v>
      </c>
      <c r="BS92" s="255">
        <f>IF(AND(ISNUMBER(BS90),ISNUMBER(BN90)),IFERROR(BS90/BN90-1,""),"")</f>
        <v>0.246300376468139</v>
      </c>
      <c r="BT92" s="255">
        <f>IF(AND(ISNUMBER(BT90),ISNUMBER(BO90)),IFERROR(BT90/BO90-1,""),"")</f>
        <v>0.306862522053048</v>
      </c>
      <c r="BU92" s="255">
        <f>IF(AND(ISNUMBER(BU90),ISNUMBER(BP90)),IFERROR(BU90/BP90-1,""),"")</f>
        <v>0.18210594641984</v>
      </c>
      <c r="BV92" s="255">
        <f>IF(AND(ISNUMBER(BV90),ISNUMBER(BQ90)),IFERROR(BV90/BQ90-1,""),"")</f>
        <v>0.235811693637335</v>
      </c>
      <c r="BW92" s="255">
        <f>IF(AND(ISNUMBER(BW90),ISNUMBER(BR90)),IFERROR(BW90/BR90-1,""),"")</f>
        <v>0.264036115577114</v>
      </c>
      <c r="BX92" s="255">
        <f>IF(AND(ISNUMBER(BX90),ISNUMBER(BS90)),IFERROR(BX90/BS90-1,""),"")</f>
        <v>0.558280436537765</v>
      </c>
      <c r="BY92" s="255">
        <f>IF(AND(ISNUMBER(BY90),ISNUMBER(BT90)),IFERROR(BY90/BT90-1,""),"")</f>
        <v>0.362988096489384</v>
      </c>
      <c r="BZ92" s="256">
        <f>IF(AND(ISNUMBER(BZ90),ISNUMBER(BU90)),IFERROR(BZ90/BU90-1,""),"")</f>
        <v>0.338727797801546</v>
      </c>
      <c r="CA92" s="256">
        <f>IF(AND(ISNUMBER(CA90),ISNUMBER(BV90)),IFERROR(CA90/BV90-1,""),"")</f>
        <v>0.388185136184289</v>
      </c>
      <c r="CB92" s="256">
        <f>IF(AND(ISNUMBER(CB90),ISNUMBER(CA90)),IFERROR(CB90/CA90-1,""),"")</f>
        <v>0.158260738625101</v>
      </c>
      <c r="CC92" s="256">
        <f>IF(AND(ISNUMBER(CC90),ISNUMBER(CB90)),IFERROR(CC90/CB90-1,""),"")</f>
        <v>0.119003973028199</v>
      </c>
      <c r="CD92" s="256">
        <f>IF(AND(ISNUMBER(CD90),ISNUMBER(CC90)),IFERROR(CD90/CC90-1,""),"")</f>
        <v>0.10431140741946</v>
      </c>
      <c r="CE92" s="256">
        <f>IF(AND(ISNUMBER(CE90),ISNUMBER(CD90)),IFERROR(CE90/CD90-1,""),"")</f>
        <v>0.0904131115724212</v>
      </c>
      <c r="CF92" s="256">
        <f>IF(AND(ISNUMBER(CF90),ISNUMBER(CE90)),IFERROR(CF90/CE90-1,""),"")</f>
        <v>0.0826632692108427</v>
      </c>
      <c r="CG92" s="153" t="n"/>
    </row>
    <row r="93" ht="15" customHeight="1" s="251">
      <c r="B93" s="57" t="inlineStr">
        <is>
          <t xml:space="preserve">  Check: segment build vs non-GAAP operating income bridge (should be 0)</t>
        </is>
      </c>
      <c r="C93" s="262">
        <f>IF(AND(ISNUMBER(C90),ISNUMBER(C167)),IF(ABS(C90-C167)&lt;=0.15,0,ROUND(C90-C167,1)),"")</f>
        <v>0</v>
      </c>
      <c r="D93" s="262">
        <f>IF(AND(ISNUMBER(D90),ISNUMBER(D167)),IF(ABS(D90-D167)&lt;=0.15,0,ROUND(D90-D167,1)),"")</f>
        <v>0</v>
      </c>
      <c r="E93" s="262">
        <f>IF(AND(ISNUMBER(E90),ISNUMBER(E167)),IF(ABS(E90-E167)&lt;=0.15,0,ROUND(E90-E167,1)),"")</f>
        <v>0</v>
      </c>
      <c r="F93" s="262">
        <f>IF(AND(ISNUMBER(F90),ISNUMBER(F167)),IF(ABS(F90-F167)&lt;=0.15,0,ROUND(F90-F167,1)),"")</f>
        <v>0</v>
      </c>
      <c r="G93" s="262">
        <f>IF(AND(ISNUMBER(G90),ISNUMBER(G167)),IF(ABS(G90-G167)&lt;=0.15,0,ROUND(G90-G167,1)),"")</f>
        <v>0</v>
      </c>
      <c r="H93" s="262">
        <f>IF(AND(ISNUMBER(H90),ISNUMBER(H167)),IF(ABS(H90-H167)&lt;=0.15,0,ROUND(H90-H167,1)),"")</f>
        <v>0</v>
      </c>
      <c r="I93" s="262">
        <f>IF(AND(ISNUMBER(I90),ISNUMBER(I167)),IF(ABS(I90-I167)&lt;=0.15,0,ROUND(I90-I167,1)),"")</f>
        <v>0</v>
      </c>
      <c r="J93" s="262">
        <f>IF(AND(ISNUMBER(J90),ISNUMBER(J167)),IF(ABS(J90-J167)&lt;=0.15,0,ROUND(J90-J167,1)),"")</f>
        <v>0</v>
      </c>
      <c r="K93" s="262">
        <f>IF(AND(ISNUMBER(K90),ISNUMBER(K167)),IF(ABS(K90-K167)&lt;=0.15,0,ROUND(K90-K167,1)),"")</f>
        <v>0</v>
      </c>
      <c r="L93" s="262">
        <f>IF(AND(ISNUMBER(L90),ISNUMBER(L167)),IF(ABS(L90-L167)&lt;=0.15,0,ROUND(L90-L167,1)),"")</f>
        <v>0</v>
      </c>
      <c r="M93" s="262">
        <f>IF(AND(ISNUMBER(M90),ISNUMBER(M167)),IF(ABS(M90-M167)&lt;=0.15,0,ROUND(M90-M167,1)),"")</f>
        <v>0</v>
      </c>
      <c r="N93" s="262">
        <f>IF(AND(ISNUMBER(N90),ISNUMBER(N167)),IF(ABS(N90-N167)&lt;=0.15,0,ROUND(N90-N167,1)),"")</f>
        <v>0</v>
      </c>
      <c r="O93" s="262">
        <f>IF(AND(ISNUMBER(O90),ISNUMBER(O167)),IF(ABS(O90-O167)&lt;=0.15,0,ROUND(O90-O167,1)),"")</f>
        <v>0</v>
      </c>
      <c r="P93" s="262">
        <f>IF(AND(ISNUMBER(P90),ISNUMBER(P167)),IF(ABS(P90-P167)&lt;=0.15,0,ROUND(P90-P167,1)),"")</f>
        <v>0</v>
      </c>
      <c r="Q93" s="262">
        <f>IF(AND(ISNUMBER(Q90),ISNUMBER(Q167)),IF(ABS(Q90-Q167)&lt;=0.15,0,ROUND(Q90-Q167,1)),"")</f>
        <v>0</v>
      </c>
      <c r="R93" s="262">
        <f>IF(AND(ISNUMBER(R90),ISNUMBER(R167)),IF(ABS(R90-R167)&lt;=0.15,0,ROUND(R90-R167,1)),"")</f>
        <v>0</v>
      </c>
      <c r="S93" s="262">
        <f>IF(AND(ISNUMBER(S90),ISNUMBER(S167)),IF(ABS(S90-S167)&lt;=0.15,0,ROUND(S90-S167,1)),"")</f>
        <v>0</v>
      </c>
      <c r="T93" s="262">
        <f>IF(AND(ISNUMBER(T90),ISNUMBER(T167)),IF(ABS(T90-T167)&lt;=0.15,0,ROUND(T90-T167,1)),"")</f>
        <v>0</v>
      </c>
      <c r="U93" s="262">
        <f>IF(AND(ISNUMBER(U90),ISNUMBER(U167)),IF(ABS(U90-U167)&lt;=0.15,0,ROUND(U90-U167,1)),"")</f>
        <v>0</v>
      </c>
      <c r="V93" s="262">
        <f>IF(AND(ISNUMBER(V90),ISNUMBER(V167)),IF(ABS(V90-V167)&lt;=0.15,0,ROUND(V90-V167,1)),"")</f>
        <v>0</v>
      </c>
      <c r="W93" s="262">
        <f>IF(AND(ISNUMBER(W90),ISNUMBER(W167)),IF(ABS(W90-W167)&lt;=0.15,0,ROUND(W90-W167,1)),"")</f>
        <v>0</v>
      </c>
      <c r="X93" s="262">
        <f>IF(AND(ISNUMBER(X90),ISNUMBER(X167)),IF(ABS(X90-X167)&lt;=0.15,0,ROUND(X90-X167,1)),"")</f>
        <v>0</v>
      </c>
      <c r="Y93" s="262">
        <f>IF(AND(ISNUMBER(Y90),ISNUMBER(Y167)),IF(ABS(Y90-Y167)&lt;=0.15,0,ROUND(Y90-Y167,1)),"")</f>
        <v>0</v>
      </c>
      <c r="Z93" s="262">
        <f>IF(AND(ISNUMBER(Z90),ISNUMBER(Z167)),IF(ABS(Z90-Z167)&lt;=0.15,0,ROUND(Z90-Z167,1)),"")</f>
        <v>0</v>
      </c>
      <c r="AA93" s="262">
        <f>IF(AND(ISNUMBER(AA90),ISNUMBER(AA167)),IF(ABS(AA90-AA167)&lt;=0.15,0,ROUND(AA90-AA167,1)),"")</f>
        <v>0</v>
      </c>
      <c r="AB93" s="262">
        <f>IF(AND(ISNUMBER(AB90),ISNUMBER(AB167)),IF(ABS(AB90-AB167)&lt;=0.15,0,ROUND(AB90-AB167,1)),"")</f>
        <v>0</v>
      </c>
      <c r="AC93" s="262">
        <f>IF(AND(ISNUMBER(AC90),ISNUMBER(AC167)),IF(ABS(AC90-AC167)&lt;=0.15,0,ROUND(AC90-AC167,1)),"")</f>
        <v>0</v>
      </c>
      <c r="AD93" s="262">
        <f>IF(AND(ISNUMBER(AD90),ISNUMBER(AD167)),IF(ABS(AD90-AD167)&lt;=0.15,0,ROUND(AD90-AD167,1)),"")</f>
        <v>0</v>
      </c>
      <c r="AE93" s="262">
        <f>IF(AND(ISNUMBER(AE90),ISNUMBER(AE167)),IF(ABS(AE90-AE167)&lt;=0.15,0,ROUND(AE90-AE167,1)),"")</f>
        <v>0</v>
      </c>
      <c r="AF93" s="262">
        <f>IF(AND(ISNUMBER(AF90),ISNUMBER(AF167)),IF(ABS(AF90-AF167)&lt;=0.15,0,ROUND(AF90-AF167,1)),"")</f>
        <v>0</v>
      </c>
      <c r="AG93" s="262">
        <f>IF(AND(ISNUMBER(AG90),ISNUMBER(AG167)),IF(ABS(AG90-AG167)&lt;=0.15,0,ROUND(AG90-AG167,1)),"")</f>
        <v>0</v>
      </c>
      <c r="AH93" s="262">
        <f>IF(AND(ISNUMBER(AH90),ISNUMBER(AH167)),IF(ABS(AH90-AH167)&lt;=0.15,0,ROUND(AH90-AH167,1)),"")</f>
        <v>0</v>
      </c>
      <c r="AI93" s="262">
        <f>IF(AND(ISNUMBER(AI90),ISNUMBER(AI167)),IF(ABS(AI90-AI167)&lt;=0.15,0,ROUND(AI90-AI167,1)),"")</f>
        <v>0</v>
      </c>
      <c r="AJ93" s="262">
        <f>IF(AND(ISNUMBER(AJ90),ISNUMBER(AJ167)),IF(ABS(AJ90-AJ167)&lt;=0.15,0,ROUND(AJ90-AJ167,1)),"")</f>
        <v>0</v>
      </c>
      <c r="AK93" s="262">
        <f>IF(AND(ISNUMBER(AK90),ISNUMBER(AK167)),IF(ABS(AK90-AK167)&lt;=0.15,0,ROUND(AK90-AK167,1)),"")</f>
        <v>0</v>
      </c>
      <c r="AL93" s="262">
        <f>IF(AND(ISNUMBER(AL90),ISNUMBER(AL167)),IF(ABS(AL90-AL167)&lt;=0.15,0,ROUND(AL90-AL167,1)),"")</f>
        <v>0</v>
      </c>
      <c r="AM93" s="262">
        <f>IF(AND(ISNUMBER(AM90),ISNUMBER(AM167)),IF(ABS(AM90-AM167)&lt;=0.15,0,ROUND(AM90-AM167,1)),"")</f>
        <v>0</v>
      </c>
      <c r="AN93" s="262">
        <f>IF(AND(ISNUMBER(AN90),ISNUMBER(AN167)),IF(ABS(AN90-AN167)&lt;=0.15,0,ROUND(AN90-AN167,1)),"")</f>
        <v>0</v>
      </c>
      <c r="AO93" s="262">
        <f>IF(AND(ISNUMBER(AO90),ISNUMBER(AO167)),IF(ABS(AO90-AO167)&lt;=0.15,0,ROUND(AO90-AO167,1)),"")</f>
        <v>0</v>
      </c>
      <c r="AP93" s="262">
        <f>IF(AND(ISNUMBER(AP90),ISNUMBER(AP167)),IF(ABS(AP90-AP167)&lt;=0.15,0,ROUND(AP90-AP167,1)),"")</f>
        <v>0</v>
      </c>
      <c r="AQ93" s="262">
        <f>IF(AND(ISNUMBER(AQ90),ISNUMBER(AQ167)),IF(ABS(AQ90-AQ167)&lt;=0.15,0,ROUND(AQ90-AQ167,1)),"")</f>
        <v>0</v>
      </c>
      <c r="AR93" s="262">
        <f>IF(AND(ISNUMBER(AR90),ISNUMBER(AR167)),IF(ABS(AR90-AR167)&lt;=0.15,0,ROUND(AR90-AR167,1)),"")</f>
        <v>0</v>
      </c>
      <c r="AS93" s="262">
        <f>IF(AND(ISNUMBER(AS90),ISNUMBER(AS167)),IF(ABS(AS90-AS167)&lt;=0.15,0,ROUND(AS90-AS167,1)),"")</f>
        <v>0</v>
      </c>
      <c r="AT93" s="262">
        <f>IF(AND(ISNUMBER(AT90),ISNUMBER(AT167)),IF(ABS(AT90-AT167)&lt;=0.15,0,ROUND(AT90-AT167,1)),"")</f>
        <v>0</v>
      </c>
      <c r="AU93" s="262">
        <f>IF(AND(ISNUMBER(AU90),ISNUMBER(AU167)),IF(ABS(AU90-AU167)&lt;=0.15,0,ROUND(AU90-AU167,1)),"")</f>
        <v>0</v>
      </c>
      <c r="AV93" s="262">
        <f>IF(AND(ISNUMBER(AV90),ISNUMBER(AV167)),IF(ABS(AV90-AV167)&lt;=0.15,0,ROUND(AV90-AV167,1)),"")</f>
        <v>0</v>
      </c>
      <c r="AW93" s="262">
        <f>IF(AND(ISNUMBER(AW90),ISNUMBER(AW167)),IF(ABS(AW90-AW167)&lt;=0.15,0,ROUND(AW90-AW167,1)),"")</f>
        <v>0</v>
      </c>
      <c r="AX93" s="262">
        <f>IF(AND(ISNUMBER(AX90),ISNUMBER(AX167)),IF(ABS(AX90-AX167)&lt;=0.15,0,ROUND(AX90-AX167,1)),"")</f>
        <v>0</v>
      </c>
      <c r="AY93" s="262">
        <f>IF(AND(ISNUMBER(AY90),ISNUMBER(AY167)),IF(ABS(AY90-AY167)&lt;=0.15,0,ROUND(AY90-AY167,1)),"")</f>
        <v>0</v>
      </c>
      <c r="AZ93" s="262">
        <f>IF(AND(ISNUMBER(AZ90),ISNUMBER(AZ167)),IF(ABS(AZ90-AZ167)&lt;=0.15,0,ROUND(AZ90-AZ167,1)),"")</f>
        <v>0</v>
      </c>
      <c r="BA93" s="262">
        <f>IF(AND(ISNUMBER(BA90),ISNUMBER(BA167)),IF(ABS(BA90-BA167)&lt;=0.15,0,ROUND(BA90-BA167,1)),"")</f>
        <v>0</v>
      </c>
      <c r="BB93" s="262">
        <f>IF(AND(ISNUMBER(BB90),ISNUMBER(BB167)),IF(ABS(BB90-BB167)&lt;=0.15,0,ROUND(BB90-BB167,1)),"")</f>
        <v>0</v>
      </c>
      <c r="BC93" s="262">
        <f>IF(AND(ISNUMBER(BC90),ISNUMBER(BC167)),IF(ABS(BC90-BC167)&lt;=0.15,0,ROUND(BC90-BC167,1)),"")</f>
        <v>0</v>
      </c>
      <c r="BD93" s="262">
        <f>IF(AND(ISNUMBER(BD90),ISNUMBER(BD167)),IF(ABS(BD90-BD167)&lt;=0.15,0,ROUND(BD90-BD167,1)),"")</f>
        <v>0</v>
      </c>
      <c r="BE93" s="262">
        <f>IF(AND(ISNUMBER(BE90),ISNUMBER(BE167)),IF(ABS(BE90-BE167)&lt;=0.15,0,ROUND(BE90-BE167,1)),"")</f>
        <v>0</v>
      </c>
      <c r="BF93" s="262">
        <f>IF(AND(ISNUMBER(BF90),ISNUMBER(BF167)),IF(ABS(BF90-BF167)&lt;=0.15,0,ROUND(BF90-BF167,1)),"")</f>
        <v>0</v>
      </c>
      <c r="BG93" s="262">
        <f>IF(AND(ISNUMBER(BG90),ISNUMBER(BG167)),IF(ABS(BG90-BG167)&lt;=0.15,0,ROUND(BG90-BG167,1)),"")</f>
        <v>0</v>
      </c>
      <c r="BH93" s="262">
        <f>IF(AND(ISNUMBER(BH90),ISNUMBER(BH167)),IF(ABS(BH90-BH167)&lt;=0.15,0,ROUND(BH90-BH167,1)),"")</f>
        <v>0</v>
      </c>
      <c r="BI93" s="262">
        <f>IF(AND(ISNUMBER(BI90),ISNUMBER(BI167)),IF(ABS(BI90-BI167)&lt;=0.15,0,ROUND(BI90-BI167,1)),"")</f>
        <v>0</v>
      </c>
      <c r="BJ93" s="262">
        <f>IF(AND(ISNUMBER(BJ90),ISNUMBER(BJ167)),IF(ABS(BJ90-BJ167)&lt;=0.15,0,ROUND(BJ90-BJ167,1)),"")</f>
        <v>0</v>
      </c>
      <c r="BK93" s="262">
        <f>IF(AND(ISNUMBER(BK90),ISNUMBER(BK167)),IF(ABS(BK90-BK167)&lt;=0.15,0,ROUND(BK90-BK167,1)),"")</f>
        <v>0</v>
      </c>
      <c r="BL93" s="262">
        <f>IF(AND(ISNUMBER(BL90),ISNUMBER(BL167)),IF(ABS(BL90-BL167)&lt;=0.15,0,ROUND(BL90-BL167,1)),"")</f>
        <v>0</v>
      </c>
      <c r="BM93" s="262">
        <f>IF(AND(ISNUMBER(BM90),ISNUMBER(BM167)),IF(ABS(BM90-BM167)&lt;=0.15,0,ROUND(BM90-BM167,1)),"")</f>
        <v>0</v>
      </c>
      <c r="BN93" s="262">
        <f>IF(AND(ISNUMBER(BN90),ISNUMBER(BN167)),IF(ABS(BN90-BN167)&lt;=0.15,0,ROUND(BN90-BN167,1)),"")</f>
        <v>0</v>
      </c>
      <c r="BO93" s="262">
        <f>IF(AND(ISNUMBER(BO90),ISNUMBER(BO167)),IF(ABS(BO90-BO167)&lt;=0.15,0,ROUND(BO90-BO167,1)),"")</f>
        <v>0</v>
      </c>
      <c r="BP93" s="262">
        <f>IF(AND(ISNUMBER(BP90),ISNUMBER(BP167)),IF(ABS(BP90-BP167)&lt;=0.15,0,ROUND(BP90-BP167,1)),"")</f>
        <v>0</v>
      </c>
      <c r="BQ93" s="262">
        <f>IF(AND(ISNUMBER(BQ90),ISNUMBER(BQ167)),IF(ABS(BQ90-BQ167)&lt;=0.15,0,ROUND(BQ90-BQ167,1)),"")</f>
        <v>0</v>
      </c>
      <c r="BR93" s="262">
        <f>IF(AND(ISNUMBER(BR90),ISNUMBER(BR167)),IF(ABS(BR90-BR167)&lt;=0.15,0,ROUND(BR90-BR167,1)),"")</f>
        <v>0</v>
      </c>
      <c r="BS93" s="262">
        <f>IF(AND(ISNUMBER(BS90),ISNUMBER(BS167)),IF(ABS(BS90-BS167)&lt;=0.15,0,ROUND(BS90-BS167,1)),"")</f>
        <v>0</v>
      </c>
      <c r="BT93" s="262">
        <f>IF(AND(ISNUMBER(BT90),ISNUMBER(BT167)),IF(ABS(BT90-BT167)&lt;=0.15,0,ROUND(BT90-BT167,1)),"")</f>
        <v>0</v>
      </c>
      <c r="BU93" s="262">
        <f>IF(AND(ISNUMBER(BU90),ISNUMBER(BU167)),IF(ABS(BU90-BU167)&lt;=0.15,0,ROUND(BU90-BU167,1)),"")</f>
        <v>0</v>
      </c>
      <c r="BV93" s="262">
        <f>IF(AND(ISNUMBER(BV90),ISNUMBER(BV167)),IF(ABS(BV90-BV167)&lt;=0.15,0,ROUND(BV90-BV167,1)),"")</f>
        <v>0</v>
      </c>
      <c r="BW93" s="262">
        <f>IF(AND(ISNUMBER(BW90),ISNUMBER(BW167)),IF(ABS(BW90-BW167)&lt;=0.15,0,ROUND(BW90-BW167,1)),"")</f>
        <v>0</v>
      </c>
      <c r="BX93" s="262">
        <f>IF(AND(ISNUMBER(BX90),ISNUMBER(BX167)),IF(ABS(BX90-BX167)&lt;=0.15,0,ROUND(BX90-BX167,1)),"")</f>
        <v>0</v>
      </c>
      <c r="BY93" s="262">
        <f>IF(AND(ISNUMBER(BY90),ISNUMBER(BY167)),IF(ABS(BY90-BY167)&lt;=0.15,0,ROUND(BY90-BY167,1)),"")</f>
        <v>0</v>
      </c>
      <c r="BZ93" s="274">
        <f>IF(AND(ISNUMBER(BZ90),ISNUMBER(BZ167)),IF(ABS(BZ90-BZ167)&lt;=0.15,0,ROUND(BZ90-BZ167,1)),"")</f>
        <v>0</v>
      </c>
      <c r="CA93" s="274">
        <f>IF(AND(ISNUMBER(CA90),ISNUMBER(CA167)),IF(ABS(CA90-CA167)&lt;=0.15,0,ROUND(CA90-CA167,1)),"")</f>
        <v>0</v>
      </c>
      <c r="CB93" s="274">
        <f>IF(AND(ISNUMBER(CB90),ISNUMBER(CB167)),IF(ABS(CB90-CB167)&lt;=0.15,0,ROUND(CB90-CB167,1)),"")</f>
        <v>0</v>
      </c>
      <c r="CC93" s="274">
        <f>IF(AND(ISNUMBER(CC90),ISNUMBER(CC167)),IF(ABS(CC90-CC167)&lt;=0.15,0,ROUND(CC90-CC167,1)),"")</f>
        <v>0</v>
      </c>
      <c r="CD93" s="274">
        <f>IF(AND(ISNUMBER(CD90),ISNUMBER(CD167)),IF(ABS(CD90-CD167)&lt;=0.15,0,ROUND(CD90-CD167,1)),"")</f>
        <v>0</v>
      </c>
      <c r="CE93" s="274">
        <f>IF(AND(ISNUMBER(CE90),ISNUMBER(CE167)),IF(ABS(CE90-CE167)&lt;=0.15,0,ROUND(CE90-CE167,1)),"")</f>
        <v>0</v>
      </c>
      <c r="CF93" s="274">
        <f>IF(AND(ISNUMBER(CF90),ISNUMBER(CF167)),IF(ABS(CF90-CF167)&lt;=0.15,0,ROUND(CF90-CF167,1)),"")</f>
        <v>0</v>
      </c>
      <c r="CG93" s="153" t="n"/>
    </row>
    <row r="94" ht="15" customHeight="1" s="251">
      <c r="B94" s="156" t="inlineStr">
        <is>
          <t xml:space="preserve">  Memo: FY26 revenue guidance (scenario end-point)</t>
        </is>
      </c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153" t="n"/>
      <c r="CA94" s="274">
        <f>CHOOSE(MATCH($CG$2,{"Bull","Base","Bear"},0),$CP$12,$CQ$12,$CR$12)</f>
        <v>2530</v>
      </c>
      <c r="CB94" s="153" t="n"/>
      <c r="CC94" s="153" t="n"/>
      <c r="CD94" s="153" t="n"/>
      <c r="CE94" s="153" t="n"/>
      <c r="CF94" s="153" t="n"/>
      <c r="CG94" s="153" t="inlineStr">
        <is>
          <t>Company FY26 revenue guidance $2.53bn (raised 29-Jul-2026 from $2.45bn; $2.35bn initial, 5-Nov-2025). Drives the revenue calibration.</t>
        </is>
      </c>
    </row>
    <row r="95" ht="15" customHeight="1" s="251">
      <c r="B95" s="25" t="inlineStr">
        <is>
          <t xml:space="preserve">  Revenue before calibration (Q4/26E helper)</t>
        </is>
      </c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  <c r="AA95" s="34" t="n"/>
      <c r="AB95" s="34" t="n"/>
      <c r="AC95" s="34" t="n"/>
      <c r="AD95" s="34" t="n"/>
      <c r="AE95" s="34" t="n"/>
      <c r="AF95" s="34" t="n"/>
      <c r="AG95" s="34" t="n"/>
      <c r="AH95" s="34" t="n"/>
      <c r="AI95" s="34" t="n"/>
      <c r="AJ95" s="34" t="n"/>
      <c r="AK95" s="34" t="n"/>
      <c r="AL95" s="34" t="n"/>
      <c r="AM95" s="34" t="n"/>
      <c r="AN95" s="34" t="n"/>
      <c r="AO95" s="34" t="n"/>
      <c r="AP95" s="34" t="n"/>
      <c r="AQ95" s="34" t="n"/>
      <c r="AR95" s="34" t="n"/>
      <c r="AS95" s="34" t="n"/>
      <c r="AT95" s="34" t="n"/>
      <c r="AU95" s="34" t="n"/>
      <c r="AV95" s="34" t="n"/>
      <c r="AW95" s="34" t="n"/>
      <c r="AX95" s="34" t="n"/>
      <c r="AY95" s="34" t="n"/>
      <c r="AZ95" s="34" t="n"/>
      <c r="BA95" s="34" t="n"/>
      <c r="BB95" s="34" t="n"/>
      <c r="BC95" s="34" t="n"/>
      <c r="BD95" s="34" t="n"/>
      <c r="BE95" s="34" t="n"/>
      <c r="BF95" s="34" t="n"/>
      <c r="BG95" s="34" t="n"/>
      <c r="BH95" s="34" t="n"/>
      <c r="BI95" s="34" t="n"/>
      <c r="BJ95" s="34" t="n"/>
      <c r="BK95" s="34" t="n"/>
      <c r="BL95" s="34" t="n"/>
      <c r="BM95" s="34" t="n"/>
      <c r="BN95" s="34" t="n"/>
      <c r="BO95" s="34" t="n"/>
      <c r="BP95" s="34" t="n"/>
      <c r="BQ95" s="34" t="n"/>
      <c r="BR95" s="34" t="n"/>
      <c r="BS95" s="34" t="n"/>
      <c r="BT95" s="34" t="n"/>
      <c r="BU95" s="34" t="n"/>
      <c r="BV95" s="34" t="n"/>
      <c r="BW95" s="34" t="n"/>
      <c r="BX95" s="34" t="n"/>
      <c r="BY95" s="34" t="n"/>
      <c r="BZ95" s="254">
        <f>BU11*(1+BZ13)+BU14*(1+BZ16)+BU29*(1+BZ31)+BU32*(1+BZ34)+BU35*(1+BZ37)</f>
        <v>669.07159319483</v>
      </c>
      <c r="CA95" s="35" t="n"/>
      <c r="CB95" s="35" t="n"/>
      <c r="CC95" s="35" t="n"/>
      <c r="CD95" s="35" t="n"/>
      <c r="CE95" s="35" t="n"/>
      <c r="CF95" s="35" t="n"/>
      <c r="CG95" s="19" t="n"/>
    </row>
    <row r="96" ht="15" customHeight="1" s="251">
      <c r="B96" s="25" t="inlineStr">
        <is>
          <t xml:space="preserve">  Revenue sensitivity to +1.00 of growth (Q4/26E helper)</t>
        </is>
      </c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  <c r="AA96" s="34" t="n"/>
      <c r="AB96" s="34" t="n"/>
      <c r="AC96" s="34" t="n"/>
      <c r="AD96" s="34" t="n"/>
      <c r="AE96" s="34" t="n"/>
      <c r="AF96" s="34" t="n"/>
      <c r="AG96" s="34" t="n"/>
      <c r="AH96" s="34" t="n"/>
      <c r="AI96" s="34" t="n"/>
      <c r="AJ96" s="34" t="n"/>
      <c r="AK96" s="34" t="n"/>
      <c r="AL96" s="34" t="n"/>
      <c r="AM96" s="34" t="n"/>
      <c r="AN96" s="34" t="n"/>
      <c r="AO96" s="34" t="n"/>
      <c r="AP96" s="34" t="n"/>
      <c r="AQ96" s="34" t="n"/>
      <c r="AR96" s="34" t="n"/>
      <c r="AS96" s="34" t="n"/>
      <c r="AT96" s="34" t="n"/>
      <c r="AU96" s="34" t="n"/>
      <c r="AV96" s="34" t="n"/>
      <c r="AW96" s="34" t="n"/>
      <c r="AX96" s="34" t="n"/>
      <c r="AY96" s="34" t="n"/>
      <c r="AZ96" s="34" t="n"/>
      <c r="BA96" s="34" t="n"/>
      <c r="BB96" s="34" t="n"/>
      <c r="BC96" s="34" t="n"/>
      <c r="BD96" s="34" t="n"/>
      <c r="BE96" s="34" t="n"/>
      <c r="BF96" s="34" t="n"/>
      <c r="BG96" s="34" t="n"/>
      <c r="BH96" s="34" t="n"/>
      <c r="BI96" s="34" t="n"/>
      <c r="BJ96" s="34" t="n"/>
      <c r="BK96" s="34" t="n"/>
      <c r="BL96" s="34" t="n"/>
      <c r="BM96" s="34" t="n"/>
      <c r="BN96" s="34" t="n"/>
      <c r="BO96" s="34" t="n"/>
      <c r="BP96" s="34" t="n"/>
      <c r="BQ96" s="34" t="n"/>
      <c r="BR96" s="34" t="n"/>
      <c r="BS96" s="34" t="n"/>
      <c r="BT96" s="34" t="n"/>
      <c r="BU96" s="34" t="n"/>
      <c r="BV96" s="34" t="n"/>
      <c r="BW96" s="34" t="n"/>
      <c r="BX96" s="34" t="n"/>
      <c r="BY96" s="34" t="n"/>
      <c r="BZ96" s="254">
        <f>BU11+BU14+BU29+BU32+BU35</f>
        <v>515.751</v>
      </c>
      <c r="CA96" s="35" t="n"/>
      <c r="CB96" s="35" t="n"/>
      <c r="CC96" s="35" t="n"/>
      <c r="CD96" s="35" t="n"/>
      <c r="CE96" s="35" t="n"/>
      <c r="CF96" s="35" t="n"/>
      <c r="CG96" s="19" t="n"/>
    </row>
    <row r="97" ht="15" customHeight="1" s="251">
      <c r="B97" s="25" t="inlineStr">
        <is>
          <t xml:space="preserve">  Guidance calibration: Δ y/y growth applied to all revenue streams (Q4/26E)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  <c r="AV97" s="36" t="n"/>
      <c r="AW97" s="36" t="n"/>
      <c r="AX97" s="36" t="n"/>
      <c r="AY97" s="36" t="n"/>
      <c r="AZ97" s="36" t="n"/>
      <c r="BA97" s="36" t="n"/>
      <c r="BB97" s="36" t="n"/>
      <c r="BC97" s="36" t="n"/>
      <c r="BD97" s="36" t="n"/>
      <c r="BE97" s="36" t="n"/>
      <c r="BF97" s="36" t="n"/>
      <c r="BG97" s="36" t="n"/>
      <c r="BH97" s="36" t="n"/>
      <c r="BI97" s="36" t="n"/>
      <c r="BJ97" s="36" t="n"/>
      <c r="BK97" s="36" t="n"/>
      <c r="BL97" s="36" t="n"/>
      <c r="BM97" s="36" t="n"/>
      <c r="BN97" s="36" t="n"/>
      <c r="BO97" s="36" t="n"/>
      <c r="BP97" s="36" t="n"/>
      <c r="BQ97" s="36" t="n"/>
      <c r="BR97" s="36" t="n"/>
      <c r="BS97" s="36" t="n"/>
      <c r="BT97" s="36" t="n"/>
      <c r="BU97" s="36" t="n"/>
      <c r="BV97" s="36" t="n"/>
      <c r="BW97" s="36" t="n"/>
      <c r="BX97" s="36" t="n"/>
      <c r="BY97" s="36" t="n"/>
      <c r="BZ97" s="256">
        <f>(CA94-SUM(BW87:BY87)-BZ95)/BZ96</f>
        <v>-0.0327592058858432</v>
      </c>
      <c r="CA97" s="24" t="n"/>
      <c r="CB97" s="46" t="n"/>
      <c r="CC97" s="46" t="n"/>
      <c r="CD97" s="46" t="n"/>
      <c r="CE97" s="46" t="n"/>
      <c r="CF97" s="46" t="n"/>
      <c r="CG97" s="19" t="inlineStr">
        <is>
          <t>Solves the uniform growth shift (vs 9M FY26 y/y rates) so that FY26 revenue = the guidance end-point for the active scenario.</t>
        </is>
      </c>
    </row>
    <row r="98" ht="15" customHeight="1" s="251">
      <c r="B98" s="57" t="inlineStr">
        <is>
          <t xml:space="preserve">  Check: FY26 revenue vs guidance end-point (should be 0)</t>
        </is>
      </c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  <c r="AQ98" s="44" t="n"/>
      <c r="AR98" s="44" t="n"/>
      <c r="AS98" s="44" t="n"/>
      <c r="AT98" s="44" t="n"/>
      <c r="AU98" s="44" t="n"/>
      <c r="AV98" s="44" t="n"/>
      <c r="AW98" s="44" t="n"/>
      <c r="AX98" s="44" t="n"/>
      <c r="AY98" s="44" t="n"/>
      <c r="AZ98" s="44" t="n"/>
      <c r="BA98" s="44" t="n"/>
      <c r="BB98" s="44" t="n"/>
      <c r="BC98" s="44" t="n"/>
      <c r="BD98" s="44" t="n"/>
      <c r="BE98" s="44" t="n"/>
      <c r="BF98" s="44" t="n"/>
      <c r="BG98" s="44" t="n"/>
      <c r="BH98" s="44" t="n"/>
      <c r="BI98" s="44" t="n"/>
      <c r="BJ98" s="44" t="n"/>
      <c r="BK98" s="44" t="n"/>
      <c r="BL98" s="44" t="n"/>
      <c r="BM98" s="44" t="n"/>
      <c r="BN98" s="44" t="n"/>
      <c r="BO98" s="44" t="n"/>
      <c r="BP98" s="44" t="n"/>
      <c r="BQ98" s="44" t="n"/>
      <c r="BR98" s="44" t="n"/>
      <c r="BS98" s="44" t="n"/>
      <c r="BT98" s="44" t="n"/>
      <c r="BU98" s="44" t="n"/>
      <c r="BV98" s="44" t="n"/>
      <c r="BW98" s="44" t="n"/>
      <c r="BX98" s="44" t="n"/>
      <c r="BY98" s="44" t="n"/>
      <c r="BZ98" s="153" t="n"/>
      <c r="CA98" s="274">
        <f>ROUND(CA87-CA94,1)</f>
        <v>0</v>
      </c>
      <c r="CB98" s="153" t="n"/>
      <c r="CC98" s="153" t="n"/>
      <c r="CD98" s="153" t="n"/>
      <c r="CE98" s="153" t="n"/>
      <c r="CF98" s="153" t="n"/>
      <c r="CG98" s="153" t="n"/>
    </row>
    <row r="99" ht="15" customHeight="1" s="251">
      <c r="B99" s="156" t="inlineStr">
        <is>
          <t xml:space="preserve">  Memo: FY26 non-GAAP EPS guidance (scenario end-point, $)</t>
        </is>
      </c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  <c r="AL99" s="27" t="n"/>
      <c r="AM99" s="27" t="n"/>
      <c r="AN99" s="27" t="n"/>
      <c r="AO99" s="27" t="n"/>
      <c r="AP99" s="27" t="n"/>
      <c r="AQ99" s="27" t="n"/>
      <c r="AR99" s="27" t="n"/>
      <c r="AS99" s="27" t="n"/>
      <c r="AT99" s="27" t="n"/>
      <c r="AU99" s="27" t="n"/>
      <c r="AV99" s="27" t="n"/>
      <c r="AW99" s="27" t="n"/>
      <c r="AX99" s="27" t="n"/>
      <c r="AY99" s="27" t="n"/>
      <c r="AZ99" s="27" t="n"/>
      <c r="BA99" s="27" t="n"/>
      <c r="BB99" s="27" t="n"/>
      <c r="BC99" s="27" t="n"/>
      <c r="BD99" s="27" t="n"/>
      <c r="BE99" s="27" t="n"/>
      <c r="BF99" s="27" t="n"/>
      <c r="BG99" s="27" t="n"/>
      <c r="BH99" s="27" t="n"/>
      <c r="BI99" s="27" t="n"/>
      <c r="BJ99" s="27" t="n"/>
      <c r="BK99" s="27" t="n"/>
      <c r="BL99" s="27" t="n"/>
      <c r="BM99" s="27" t="n"/>
      <c r="BN99" s="27" t="n"/>
      <c r="BO99" s="27" t="n"/>
      <c r="BP99" s="27" t="n"/>
      <c r="BQ99" s="27" t="n"/>
      <c r="BR99" s="27" t="n"/>
      <c r="BS99" s="27" t="n"/>
      <c r="BT99" s="27" t="n"/>
      <c r="BU99" s="27" t="n"/>
      <c r="BV99" s="27" t="n"/>
      <c r="BW99" s="27" t="n"/>
      <c r="BX99" s="27" t="n"/>
      <c r="BY99" s="27" t="n"/>
      <c r="BZ99" s="153" t="n"/>
      <c r="CA99" s="275">
        <f>CHOOSE(MATCH($CG$2,{"Bull","Base","Bear"},0),$CP$13,$CQ$13,$CR$13)</f>
        <v>42.43</v>
      </c>
      <c r="CB99" s="153" t="n"/>
      <c r="CC99" s="153" t="n"/>
      <c r="CD99" s="153" t="n"/>
      <c r="CE99" s="153" t="n"/>
      <c r="CF99" s="153" t="n"/>
      <c r="CG99" s="153" t="inlineStr">
        <is>
          <t>Company FY26 non-GAAP EPS guidance $42.43 (raised 29-Jul-2026 from $40.45; $38.17 initial). Drives the segment-margin calibration.</t>
        </is>
      </c>
    </row>
    <row r="100" ht="15" customHeight="1" s="251">
      <c r="B100" s="156" t="inlineStr">
        <is>
          <t xml:space="preserve">  Non-GAAP net income required (FY26E diluted shares × EPS guidance)</t>
        </is>
      </c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  <c r="AQ100" s="44" t="n"/>
      <c r="AR100" s="44" t="n"/>
      <c r="AS100" s="44" t="n"/>
      <c r="AT100" s="44" t="n"/>
      <c r="AU100" s="44" t="n"/>
      <c r="AV100" s="44" t="n"/>
      <c r="AW100" s="44" t="n"/>
      <c r="AX100" s="44" t="n"/>
      <c r="AY100" s="44" t="n"/>
      <c r="AZ100" s="44" t="n"/>
      <c r="BA100" s="44" t="n"/>
      <c r="BB100" s="44" t="n"/>
      <c r="BC100" s="44" t="n"/>
      <c r="BD100" s="44" t="n"/>
      <c r="BE100" s="44" t="n"/>
      <c r="BF100" s="44" t="n"/>
      <c r="BG100" s="44" t="n"/>
      <c r="BH100" s="44" t="n"/>
      <c r="BI100" s="44" t="n"/>
      <c r="BJ100" s="44" t="n"/>
      <c r="BK100" s="44" t="n"/>
      <c r="BL100" s="44" t="n"/>
      <c r="BM100" s="44" t="n"/>
      <c r="BN100" s="44" t="n"/>
      <c r="BO100" s="44" t="n"/>
      <c r="BP100" s="44" t="n"/>
      <c r="BQ100" s="44" t="n"/>
      <c r="BR100" s="44" t="n"/>
      <c r="BS100" s="44" t="n"/>
      <c r="BT100" s="44" t="n"/>
      <c r="BU100" s="44" t="n"/>
      <c r="BV100" s="44" t="n"/>
      <c r="BW100" s="44" t="n"/>
      <c r="BX100" s="44" t="n"/>
      <c r="BY100" s="44" t="n"/>
      <c r="BZ100" s="35" t="n"/>
      <c r="CA100" s="254">
        <f>CA99*CA204</f>
        <v>972.859408581081</v>
      </c>
      <c r="CB100" s="35" t="n"/>
      <c r="CC100" s="35" t="n"/>
      <c r="CD100" s="35" t="n"/>
      <c r="CE100" s="35" t="n"/>
      <c r="CF100" s="35" t="n"/>
      <c r="CG100" s="153" t="n"/>
    </row>
    <row r="101" ht="15" customHeight="1" s="251">
      <c r="B101" s="156" t="inlineStr">
        <is>
          <t xml:space="preserve">  Q4/26E non-GAAP operating income required ((NI − 9M actual) ÷ (1 − Q4 non-GAAP tax rate) + Q4 net interest − other income)</t>
        </is>
      </c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  <c r="AQ101" s="44" t="n"/>
      <c r="AR101" s="44" t="n"/>
      <c r="AS101" s="44" t="n"/>
      <c r="AT101" s="44" t="n"/>
      <c r="AU101" s="44" t="n"/>
      <c r="AV101" s="44" t="n"/>
      <c r="AW101" s="44" t="n"/>
      <c r="AX101" s="44" t="n"/>
      <c r="AY101" s="44" t="n"/>
      <c r="AZ101" s="44" t="n"/>
      <c r="BA101" s="44" t="n"/>
      <c r="BB101" s="44" t="n"/>
      <c r="BC101" s="44" t="n"/>
      <c r="BD101" s="44" t="n"/>
      <c r="BE101" s="44" t="n"/>
      <c r="BF101" s="44" t="n"/>
      <c r="BG101" s="44" t="n"/>
      <c r="BH101" s="44" t="n"/>
      <c r="BI101" s="44" t="n"/>
      <c r="BJ101" s="44" t="n"/>
      <c r="BK101" s="44" t="n"/>
      <c r="BL101" s="44" t="n"/>
      <c r="BM101" s="44" t="n"/>
      <c r="BN101" s="44" t="n"/>
      <c r="BO101" s="44" t="n"/>
      <c r="BP101" s="44" t="n"/>
      <c r="BQ101" s="44" t="n"/>
      <c r="BR101" s="44" t="n"/>
      <c r="BS101" s="44" t="n"/>
      <c r="BT101" s="44" t="n"/>
      <c r="BU101" s="44" t="n"/>
      <c r="BV101" s="44" t="n"/>
      <c r="BW101" s="44" t="n"/>
      <c r="BX101" s="44" t="n"/>
      <c r="BY101" s="44" t="n"/>
      <c r="BZ101" s="35" t="n"/>
      <c r="CA101" s="254">
        <f>(CA100-SUM(BW201:BY201))/(1-$CQ$26)+BZ139-BZ140-BZ196</f>
        <v>375.455581988028</v>
      </c>
      <c r="CB101" s="35" t="n"/>
      <c r="CC101" s="35" t="n"/>
      <c r="CD101" s="35" t="n"/>
      <c r="CE101" s="35" t="n"/>
      <c r="CF101" s="35" t="n"/>
      <c r="CG101" s="153" t="n"/>
    </row>
    <row r="102" ht="15" customHeight="1" s="251">
      <c r="B102" s="25" t="inlineStr">
        <is>
          <t xml:space="preserve">  Non-GAAP operating income before margin calibration (Q4/26E helper)</t>
        </is>
      </c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  <c r="AA102" s="34" t="n"/>
      <c r="AB102" s="34" t="n"/>
      <c r="AC102" s="34" t="n"/>
      <c r="AD102" s="34" t="n"/>
      <c r="AE102" s="34" t="n"/>
      <c r="AF102" s="34" t="n"/>
      <c r="AG102" s="34" t="n"/>
      <c r="AH102" s="34" t="n"/>
      <c r="AI102" s="34" t="n"/>
      <c r="AJ102" s="34" t="n"/>
      <c r="AK102" s="34" t="n"/>
      <c r="AL102" s="34" t="n"/>
      <c r="AM102" s="34" t="n"/>
      <c r="AN102" s="34" t="n"/>
      <c r="AO102" s="34" t="n"/>
      <c r="AP102" s="34" t="n"/>
      <c r="AQ102" s="34" t="n"/>
      <c r="AR102" s="34" t="n"/>
      <c r="AS102" s="34" t="n"/>
      <c r="AT102" s="34" t="n"/>
      <c r="AU102" s="34" t="n"/>
      <c r="AV102" s="34" t="n"/>
      <c r="AW102" s="34" t="n"/>
      <c r="AX102" s="34" t="n"/>
      <c r="AY102" s="34" t="n"/>
      <c r="AZ102" s="34" t="n"/>
      <c r="BA102" s="34" t="n"/>
      <c r="BB102" s="34" t="n"/>
      <c r="BC102" s="34" t="n"/>
      <c r="BD102" s="34" t="n"/>
      <c r="BE102" s="34" t="n"/>
      <c r="BF102" s="34" t="n"/>
      <c r="BG102" s="34" t="n"/>
      <c r="BH102" s="34" t="n"/>
      <c r="BI102" s="34" t="n"/>
      <c r="BJ102" s="34" t="n"/>
      <c r="BK102" s="34" t="n"/>
      <c r="BL102" s="34" t="n"/>
      <c r="BM102" s="34" t="n"/>
      <c r="BN102" s="34" t="n"/>
      <c r="BO102" s="34" t="n"/>
      <c r="BP102" s="34" t="n"/>
      <c r="BQ102" s="34" t="n"/>
      <c r="BR102" s="34" t="n"/>
      <c r="BS102" s="34" t="n"/>
      <c r="BT102" s="34" t="n"/>
      <c r="BU102" s="34" t="n"/>
      <c r="BV102" s="34" t="n"/>
      <c r="BW102" s="34" t="n"/>
      <c r="BX102" s="34" t="n"/>
      <c r="BY102" s="34" t="n"/>
      <c r="BZ102" s="254">
        <f>BZ17*BZ25+BZ38*BZ46+BZ62</f>
        <v>391.988725728936</v>
      </c>
      <c r="CA102" s="35" t="n"/>
      <c r="CB102" s="35" t="n"/>
      <c r="CC102" s="35" t="n"/>
      <c r="CD102" s="35" t="n"/>
      <c r="CE102" s="35" t="n"/>
      <c r="CF102" s="35" t="n"/>
      <c r="CG102" s="19" t="n"/>
    </row>
    <row r="103" ht="15" customHeight="1" s="251">
      <c r="B103" s="25" t="inlineStr">
        <is>
          <t xml:space="preserve">  Segment revenue (Q4/26E helper)</t>
        </is>
      </c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  <c r="AA103" s="34" t="n"/>
      <c r="AB103" s="34" t="n"/>
      <c r="AC103" s="34" t="n"/>
      <c r="AD103" s="34" t="n"/>
      <c r="AE103" s="34" t="n"/>
      <c r="AF103" s="34" t="n"/>
      <c r="AG103" s="34" t="n"/>
      <c r="AH103" s="34" t="n"/>
      <c r="AI103" s="34" t="n"/>
      <c r="AJ103" s="34" t="n"/>
      <c r="AK103" s="34" t="n"/>
      <c r="AL103" s="34" t="n"/>
      <c r="AM103" s="34" t="n"/>
      <c r="AN103" s="34" t="n"/>
      <c r="AO103" s="34" t="n"/>
      <c r="AP103" s="34" t="n"/>
      <c r="AQ103" s="34" t="n"/>
      <c r="AR103" s="34" t="n"/>
      <c r="AS103" s="34" t="n"/>
      <c r="AT103" s="34" t="n"/>
      <c r="AU103" s="34" t="n"/>
      <c r="AV103" s="34" t="n"/>
      <c r="AW103" s="34" t="n"/>
      <c r="AX103" s="34" t="n"/>
      <c r="AY103" s="34" t="n"/>
      <c r="AZ103" s="34" t="n"/>
      <c r="BA103" s="34" t="n"/>
      <c r="BB103" s="34" t="n"/>
      <c r="BC103" s="34" t="n"/>
      <c r="BD103" s="34" t="n"/>
      <c r="BE103" s="34" t="n"/>
      <c r="BF103" s="34" t="n"/>
      <c r="BG103" s="34" t="n"/>
      <c r="BH103" s="34" t="n"/>
      <c r="BI103" s="34" t="n"/>
      <c r="BJ103" s="34" t="n"/>
      <c r="BK103" s="34" t="n"/>
      <c r="BL103" s="34" t="n"/>
      <c r="BM103" s="34" t="n"/>
      <c r="BN103" s="34" t="n"/>
      <c r="BO103" s="34" t="n"/>
      <c r="BP103" s="34" t="n"/>
      <c r="BQ103" s="34" t="n"/>
      <c r="BR103" s="34" t="n"/>
      <c r="BS103" s="34" t="n"/>
      <c r="BT103" s="34" t="n"/>
      <c r="BU103" s="34" t="n"/>
      <c r="BV103" s="34" t="n"/>
      <c r="BW103" s="34" t="n"/>
      <c r="BX103" s="34" t="n"/>
      <c r="BY103" s="34" t="n"/>
      <c r="BZ103" s="254">
        <f>BZ17+BZ38</f>
        <v>652.176</v>
      </c>
      <c r="CA103" s="35" t="n"/>
      <c r="CB103" s="35" t="n"/>
      <c r="CC103" s="35" t="n"/>
      <c r="CD103" s="35" t="n"/>
      <c r="CE103" s="35" t="n"/>
      <c r="CF103" s="35" t="n"/>
      <c r="CG103" s="19" t="n"/>
    </row>
    <row r="104" ht="15" customHeight="1" s="251">
      <c r="B104" s="25" t="inlineStr">
        <is>
          <t xml:space="preserve">  Guidance calibration: Δ segment operating margin (Q4/26E)</t>
        </is>
      </c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  <c r="AV104" s="36" t="n"/>
      <c r="AW104" s="36" t="n"/>
      <c r="AX104" s="36" t="n"/>
      <c r="AY104" s="36" t="n"/>
      <c r="AZ104" s="36" t="n"/>
      <c r="BA104" s="36" t="n"/>
      <c r="BB104" s="36" t="n"/>
      <c r="BC104" s="36" t="n"/>
      <c r="BD104" s="36" t="n"/>
      <c r="BE104" s="36" t="n"/>
      <c r="BF104" s="36" t="n"/>
      <c r="BG104" s="36" t="n"/>
      <c r="BH104" s="36" t="n"/>
      <c r="BI104" s="36" t="n"/>
      <c r="BJ104" s="36" t="n"/>
      <c r="BK104" s="36" t="n"/>
      <c r="BL104" s="36" t="n"/>
      <c r="BM104" s="36" t="n"/>
      <c r="BN104" s="36" t="n"/>
      <c r="BO104" s="36" t="n"/>
      <c r="BP104" s="36" t="n"/>
      <c r="BQ104" s="36" t="n"/>
      <c r="BR104" s="36" t="n"/>
      <c r="BS104" s="36" t="n"/>
      <c r="BT104" s="36" t="n"/>
      <c r="BU104" s="36" t="n"/>
      <c r="BV104" s="36" t="n"/>
      <c r="BW104" s="36" t="n"/>
      <c r="BX104" s="36" t="n"/>
      <c r="BY104" s="36" t="n"/>
      <c r="BZ104" s="256">
        <f>(CA101-BZ102)/BZ103</f>
        <v>-0.025350739280359</v>
      </c>
      <c r="CA104" s="24" t="n"/>
      <c r="CB104" s="46" t="n"/>
      <c r="CC104" s="46" t="n"/>
      <c r="CD104" s="46" t="n"/>
      <c r="CE104" s="46" t="n"/>
      <c r="CF104" s="46" t="n"/>
      <c r="CG104" s="19" t="inlineStr">
        <is>
          <t>Solves the uniform segment-margin shift so that FY26 non-GAAP EPS = the guidance end-point for the active scenario.</t>
        </is>
      </c>
    </row>
    <row r="105" ht="15" customHeight="1" s="251">
      <c r="B105" s="57" t="inlineStr">
        <is>
          <t xml:space="preserve">  Check: FY26 non-GAAP EPS vs guidance end-point (should be 0.00)</t>
        </is>
      </c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  <c r="AE105" s="44" t="n"/>
      <c r="AF105" s="44" t="n"/>
      <c r="AG105" s="44" t="n"/>
      <c r="AH105" s="44" t="n"/>
      <c r="AI105" s="44" t="n"/>
      <c r="AJ105" s="44" t="n"/>
      <c r="AK105" s="44" t="n"/>
      <c r="AL105" s="44" t="n"/>
      <c r="AM105" s="44" t="n"/>
      <c r="AN105" s="44" t="n"/>
      <c r="AO105" s="44" t="n"/>
      <c r="AP105" s="44" t="n"/>
      <c r="AQ105" s="44" t="n"/>
      <c r="AR105" s="44" t="n"/>
      <c r="AS105" s="44" t="n"/>
      <c r="AT105" s="44" t="n"/>
      <c r="AU105" s="44" t="n"/>
      <c r="AV105" s="44" t="n"/>
      <c r="AW105" s="44" t="n"/>
      <c r="AX105" s="44" t="n"/>
      <c r="AY105" s="44" t="n"/>
      <c r="AZ105" s="44" t="n"/>
      <c r="BA105" s="44" t="n"/>
      <c r="BB105" s="44" t="n"/>
      <c r="BC105" s="44" t="n"/>
      <c r="BD105" s="44" t="n"/>
      <c r="BE105" s="44" t="n"/>
      <c r="BF105" s="44" t="n"/>
      <c r="BG105" s="44" t="n"/>
      <c r="BH105" s="44" t="n"/>
      <c r="BI105" s="44" t="n"/>
      <c r="BJ105" s="44" t="n"/>
      <c r="BK105" s="44" t="n"/>
      <c r="BL105" s="44" t="n"/>
      <c r="BM105" s="44" t="n"/>
      <c r="BN105" s="44" t="n"/>
      <c r="BO105" s="44" t="n"/>
      <c r="BP105" s="44" t="n"/>
      <c r="BQ105" s="44" t="n"/>
      <c r="BR105" s="44" t="n"/>
      <c r="BS105" s="44" t="n"/>
      <c r="BT105" s="44" t="n"/>
      <c r="BU105" s="44" t="n"/>
      <c r="BV105" s="44" t="n"/>
      <c r="BW105" s="44" t="n"/>
      <c r="BX105" s="44" t="n"/>
      <c r="BY105" s="44" t="n"/>
      <c r="BZ105" s="153" t="n"/>
      <c r="CA105" s="275">
        <f>ROUND(CA205-CA99,2)</f>
        <v>0</v>
      </c>
      <c r="CB105" s="153" t="n"/>
      <c r="CC105" s="153" t="n"/>
      <c r="CD105" s="153" t="n"/>
      <c r="CE105" s="153" t="n"/>
      <c r="CF105" s="153" t="n"/>
      <c r="CG105" s="153" t="n"/>
    </row>
    <row r="106" ht="15" customHeight="1" s="251">
      <c r="B106" s="156" t="inlineStr">
        <is>
          <t xml:space="preserve">  Memo: FY26 GAAP net income guidance ($850m, 29-Jul-2026) — information, not forced</t>
        </is>
      </c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  <c r="AA106" s="34" t="n"/>
      <c r="AB106" s="34" t="n"/>
      <c r="AC106" s="34" t="n"/>
      <c r="AD106" s="34" t="n"/>
      <c r="AE106" s="34" t="n"/>
      <c r="AF106" s="34" t="n"/>
      <c r="AG106" s="34" t="n"/>
      <c r="AH106" s="34" t="n"/>
      <c r="AI106" s="34" t="n"/>
      <c r="AJ106" s="34" t="n"/>
      <c r="AK106" s="34" t="n"/>
      <c r="AL106" s="34" t="n"/>
      <c r="AM106" s="34" t="n"/>
      <c r="AN106" s="34" t="n"/>
      <c r="AO106" s="34" t="n"/>
      <c r="AP106" s="34" t="n"/>
      <c r="AQ106" s="34" t="n"/>
      <c r="AR106" s="34" t="n"/>
      <c r="AS106" s="34" t="n"/>
      <c r="AT106" s="34" t="n"/>
      <c r="AU106" s="34" t="n"/>
      <c r="AV106" s="34" t="n"/>
      <c r="AW106" s="34" t="n"/>
      <c r="AX106" s="34" t="n"/>
      <c r="AY106" s="34" t="n"/>
      <c r="AZ106" s="34" t="n"/>
      <c r="BA106" s="34" t="n"/>
      <c r="BB106" s="34" t="n"/>
      <c r="BC106" s="34" t="n"/>
      <c r="BD106" s="34" t="n"/>
      <c r="BE106" s="34" t="n"/>
      <c r="BF106" s="34" t="n"/>
      <c r="BG106" s="34" t="n"/>
      <c r="BH106" s="34" t="n"/>
      <c r="BI106" s="34" t="n"/>
      <c r="BJ106" s="34" t="n"/>
      <c r="BK106" s="34" t="n"/>
      <c r="BL106" s="34" t="n"/>
      <c r="BM106" s="34" t="n"/>
      <c r="BN106" s="34" t="n"/>
      <c r="BO106" s="34" t="n"/>
      <c r="BP106" s="34" t="n"/>
      <c r="BQ106" s="34" t="n"/>
      <c r="BR106" s="34" t="n"/>
      <c r="BS106" s="34" t="n"/>
      <c r="BT106" s="34" t="n"/>
      <c r="BU106" s="34" t="n"/>
      <c r="BV106" s="34" t="n"/>
      <c r="BW106" s="34" t="n"/>
      <c r="BX106" s="34" t="n"/>
      <c r="BY106" s="34" t="n"/>
      <c r="BZ106" s="153" t="n"/>
      <c r="CA106" s="274">
        <f>CHOOSE(MATCH($CG$2,{"Bull","Base","Bear"},0),$CP$14,$CQ$14,$CR$14)</f>
        <v>850</v>
      </c>
      <c r="CB106" s="153" t="n"/>
      <c r="CC106" s="153" t="n"/>
      <c r="CD106" s="153" t="n"/>
      <c r="CE106" s="153" t="n"/>
      <c r="CF106" s="153" t="n"/>
      <c r="CG106" s="153" t="n"/>
    </row>
    <row r="107" ht="15" customHeight="1" s="251">
      <c r="B107" s="156" t="inlineStr">
        <is>
          <t xml:space="preserve">    Model FY26 GAAP net income − guidance (Q4 restructuring of $27m announced 6-Oct-2026 is not in the guidance)</t>
        </is>
      </c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  <c r="AE107" s="44" t="n"/>
      <c r="AF107" s="44" t="n"/>
      <c r="AG107" s="44" t="n"/>
      <c r="AH107" s="44" t="n"/>
      <c r="AI107" s="44" t="n"/>
      <c r="AJ107" s="44" t="n"/>
      <c r="AK107" s="44" t="n"/>
      <c r="AL107" s="44" t="n"/>
      <c r="AM107" s="44" t="n"/>
      <c r="AN107" s="44" t="n"/>
      <c r="AO107" s="44" t="n"/>
      <c r="AP107" s="44" t="n"/>
      <c r="AQ107" s="44" t="n"/>
      <c r="AR107" s="44" t="n"/>
      <c r="AS107" s="44" t="n"/>
      <c r="AT107" s="44" t="n"/>
      <c r="AU107" s="44" t="n"/>
      <c r="AV107" s="44" t="n"/>
      <c r="AW107" s="44" t="n"/>
      <c r="AX107" s="44" t="n"/>
      <c r="AY107" s="44" t="n"/>
      <c r="AZ107" s="44" t="n"/>
      <c r="BA107" s="44" t="n"/>
      <c r="BB107" s="44" t="n"/>
      <c r="BC107" s="44" t="n"/>
      <c r="BD107" s="44" t="n"/>
      <c r="BE107" s="44" t="n"/>
      <c r="BF107" s="44" t="n"/>
      <c r="BG107" s="44" t="n"/>
      <c r="BH107" s="44" t="n"/>
      <c r="BI107" s="44" t="n"/>
      <c r="BJ107" s="44" t="n"/>
      <c r="BK107" s="44" t="n"/>
      <c r="BL107" s="44" t="n"/>
      <c r="BM107" s="44" t="n"/>
      <c r="BN107" s="44" t="n"/>
      <c r="BO107" s="44" t="n"/>
      <c r="BP107" s="44" t="n"/>
      <c r="BQ107" s="44" t="n"/>
      <c r="BR107" s="44" t="n"/>
      <c r="BS107" s="44" t="n"/>
      <c r="BT107" s="44" t="n"/>
      <c r="BU107" s="44" t="n"/>
      <c r="BV107" s="44" t="n"/>
      <c r="BW107" s="44" t="n"/>
      <c r="BX107" s="44" t="n"/>
      <c r="BY107" s="44" t="n"/>
      <c r="BZ107" s="35" t="n"/>
      <c r="CA107" s="254">
        <f>CA146-CA106</f>
        <v>-24.7180914189188</v>
      </c>
      <c r="CB107" s="35" t="n"/>
      <c r="CC107" s="35" t="n"/>
      <c r="CD107" s="35" t="n"/>
      <c r="CE107" s="35" t="n"/>
      <c r="CF107" s="35" t="n"/>
      <c r="CG107" s="153" t="n"/>
    </row>
    <row r="108" ht="15" customHeight="1" s="251">
      <c r="B108" s="156" t="inlineStr">
        <is>
          <t xml:space="preserve">  Memo: FY26 GAAP EPS guidance ($) — information</t>
        </is>
      </c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27" t="n"/>
      <c r="AT108" s="27" t="n"/>
      <c r="AU108" s="27" t="n"/>
      <c r="AV108" s="27" t="n"/>
      <c r="AW108" s="27" t="n"/>
      <c r="AX108" s="27" t="n"/>
      <c r="AY108" s="27" t="n"/>
      <c r="AZ108" s="27" t="n"/>
      <c r="BA108" s="27" t="n"/>
      <c r="BB108" s="27" t="n"/>
      <c r="BC108" s="27" t="n"/>
      <c r="BD108" s="27" t="n"/>
      <c r="BE108" s="27" t="n"/>
      <c r="BF108" s="27" t="n"/>
      <c r="BG108" s="27" t="n"/>
      <c r="BH108" s="27" t="n"/>
      <c r="BI108" s="27" t="n"/>
      <c r="BJ108" s="27" t="n"/>
      <c r="BK108" s="27" t="n"/>
      <c r="BL108" s="27" t="n"/>
      <c r="BM108" s="27" t="n"/>
      <c r="BN108" s="27" t="n"/>
      <c r="BO108" s="27" t="n"/>
      <c r="BP108" s="27" t="n"/>
      <c r="BQ108" s="27" t="n"/>
      <c r="BR108" s="27" t="n"/>
      <c r="BS108" s="27" t="n"/>
      <c r="BT108" s="27" t="n"/>
      <c r="BU108" s="27" t="n"/>
      <c r="BV108" s="27" t="n"/>
      <c r="BW108" s="27" t="n"/>
      <c r="BX108" s="27" t="n"/>
      <c r="BY108" s="27" t="n"/>
      <c r="BZ108" s="153" t="n"/>
      <c r="CA108" s="275">
        <f>CHOOSE(MATCH($CG$2,{"Bull","Base","Bear"},0),$CP$15,$CQ$15,$CR$15)</f>
        <v>36.86</v>
      </c>
      <c r="CB108" s="153" t="n"/>
      <c r="CC108" s="153" t="n"/>
      <c r="CD108" s="153" t="n"/>
      <c r="CE108" s="153" t="n"/>
      <c r="CF108" s="153" t="n"/>
      <c r="CG108" s="153" t="n"/>
    </row>
    <row r="109" ht="15" customHeight="1" s="251">
      <c r="B109" s="156" t="inlineStr">
        <is>
          <t xml:space="preserve">    Model FY26 GAAP EPS − guidance ($)</t>
        </is>
      </c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  <c r="AE109" s="44" t="n"/>
      <c r="AF109" s="44" t="n"/>
      <c r="AG109" s="44" t="n"/>
      <c r="AH109" s="44" t="n"/>
      <c r="AI109" s="44" t="n"/>
      <c r="AJ109" s="44" t="n"/>
      <c r="AK109" s="44" t="n"/>
      <c r="AL109" s="44" t="n"/>
      <c r="AM109" s="44" t="n"/>
      <c r="AN109" s="44" t="n"/>
      <c r="AO109" s="44" t="n"/>
      <c r="AP109" s="44" t="n"/>
      <c r="AQ109" s="44" t="n"/>
      <c r="AR109" s="44" t="n"/>
      <c r="AS109" s="44" t="n"/>
      <c r="AT109" s="44" t="n"/>
      <c r="AU109" s="44" t="n"/>
      <c r="AV109" s="44" t="n"/>
      <c r="AW109" s="44" t="n"/>
      <c r="AX109" s="44" t="n"/>
      <c r="AY109" s="44" t="n"/>
      <c r="AZ109" s="44" t="n"/>
      <c r="BA109" s="44" t="n"/>
      <c r="BB109" s="44" t="n"/>
      <c r="BC109" s="44" t="n"/>
      <c r="BD109" s="44" t="n"/>
      <c r="BE109" s="44" t="n"/>
      <c r="BF109" s="44" t="n"/>
      <c r="BG109" s="44" t="n"/>
      <c r="BH109" s="44" t="n"/>
      <c r="BI109" s="44" t="n"/>
      <c r="BJ109" s="44" t="n"/>
      <c r="BK109" s="44" t="n"/>
      <c r="BL109" s="44" t="n"/>
      <c r="BM109" s="44" t="n"/>
      <c r="BN109" s="44" t="n"/>
      <c r="BO109" s="44" t="n"/>
      <c r="BP109" s="44" t="n"/>
      <c r="BQ109" s="44" t="n"/>
      <c r="BR109" s="44" t="n"/>
      <c r="BS109" s="44" t="n"/>
      <c r="BT109" s="44" t="n"/>
      <c r="BU109" s="44" t="n"/>
      <c r="BV109" s="44" t="n"/>
      <c r="BW109" s="44" t="n"/>
      <c r="BX109" s="44" t="n"/>
      <c r="BY109" s="44" t="n"/>
      <c r="BZ109" s="35" t="n"/>
      <c r="CA109" s="276">
        <f>CA154-CA108</f>
        <v>-0.866401056276693</v>
      </c>
      <c r="CB109" s="35" t="n"/>
      <c r="CC109" s="35" t="n"/>
      <c r="CD109" s="35" t="n"/>
      <c r="CE109" s="35" t="n"/>
      <c r="CF109" s="35" t="n"/>
      <c r="CG109" s="153" t="n"/>
    </row>
    <row r="110" ht="15" customHeight="1" s="251">
      <c r="CO110" s="11" t="n"/>
      <c r="CP110" s="12" t="n"/>
      <c r="CQ110" s="12" t="n"/>
      <c r="CR110" s="12" t="n"/>
      <c r="CS110" s="13" t="n"/>
    </row>
    <row r="111" ht="15" customHeight="1" s="251">
      <c r="B111" s="14" t="inlineStr">
        <is>
          <t>Cost drivers, D&amp;A &amp; adjusting items</t>
        </is>
      </c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  <c r="BK111" s="14" t="n"/>
      <c r="BL111" s="14" t="n"/>
      <c r="BM111" s="14" t="n"/>
      <c r="BN111" s="14" t="n"/>
      <c r="BO111" s="14" t="n"/>
      <c r="BP111" s="14" t="n"/>
      <c r="BQ111" s="14" t="n"/>
      <c r="BR111" s="14" t="n"/>
      <c r="BS111" s="14" t="n"/>
      <c r="BT111" s="14" t="n"/>
      <c r="BU111" s="14" t="n"/>
      <c r="BV111" s="14" t="n"/>
      <c r="BW111" s="14" t="n"/>
      <c r="BX111" s="14" t="n"/>
      <c r="BY111" s="14" t="n"/>
      <c r="BZ111" s="14" t="n"/>
      <c r="CA111" s="14" t="n"/>
      <c r="CB111" s="14" t="n"/>
      <c r="CC111" s="14" t="n"/>
      <c r="CD111" s="14" t="n"/>
      <c r="CE111" s="14" t="n"/>
      <c r="CF111" s="14" t="n"/>
      <c r="CG111" s="15" t="inlineStr">
        <is>
          <t>COST DRIVERS — inputs that drive forecast cost lines (Q4/26E: point estimates; 2027E+: % of revenue or schedules)</t>
        </is>
      </c>
    </row>
    <row r="112" ht="15" customHeight="1" s="251">
      <c r="B112" s="25" t="inlineStr">
        <is>
          <t xml:space="preserve">  Depreciation &amp; amortization (cash-flow statement)</t>
        </is>
      </c>
      <c r="C112" s="253" t="n">
        <v>48.805</v>
      </c>
      <c r="D112" s="253" t="n">
        <v>50.224</v>
      </c>
      <c r="E112" s="253" t="n">
        <v>39.494</v>
      </c>
      <c r="F112" s="253" t="n">
        <v>38.419</v>
      </c>
      <c r="G112" s="253" t="n">
        <v>30.918</v>
      </c>
      <c r="H112" s="253" t="n">
        <v>24.197</v>
      </c>
      <c r="I112" s="253" t="n">
        <v>21.549</v>
      </c>
      <c r="J112" s="253" t="n">
        <v>7.973</v>
      </c>
      <c r="K112" s="253" t="n">
        <v>8.460000000000001</v>
      </c>
      <c r="L112" s="253" t="n">
        <v>8.727</v>
      </c>
      <c r="M112" s="253" t="n">
        <v>8.054</v>
      </c>
      <c r="N112" s="253" t="n">
        <v>33.214</v>
      </c>
      <c r="O112" s="253" t="n">
        <v>8.167</v>
      </c>
      <c r="P112" s="253" t="n">
        <v>7.845</v>
      </c>
      <c r="Q112" s="253" t="n">
        <v>8.183999999999999</v>
      </c>
      <c r="R112" s="253" t="n">
        <v>8.436</v>
      </c>
      <c r="S112" s="253" t="n">
        <v>32.632</v>
      </c>
      <c r="T112" s="253" t="n">
        <v>8.106999999999999</v>
      </c>
      <c r="U112" s="253" t="n">
        <v>8.94</v>
      </c>
      <c r="V112" s="253" t="n">
        <v>9.045999999999999</v>
      </c>
      <c r="W112" s="253" t="n">
        <v>7.796</v>
      </c>
      <c r="X112" s="253" t="n">
        <v>33.889</v>
      </c>
      <c r="Y112" s="253" t="n">
        <v>7.441</v>
      </c>
      <c r="Z112" s="253" t="n">
        <v>7.727</v>
      </c>
      <c r="AA112" s="253" t="n">
        <v>7.959</v>
      </c>
      <c r="AB112" s="253" t="n">
        <v>8.506</v>
      </c>
      <c r="AC112" s="253" t="n">
        <v>31.633</v>
      </c>
      <c r="AD112" s="253" t="n">
        <v>9.058</v>
      </c>
      <c r="AE112" s="253" t="n">
        <v>9.178000000000001</v>
      </c>
      <c r="AF112" s="253" t="n">
        <v>9.191000000000001</v>
      </c>
      <c r="AG112" s="253" t="n">
        <v>8.787000000000001</v>
      </c>
      <c r="AH112" s="253" t="n">
        <v>36.214</v>
      </c>
      <c r="AI112" s="253" t="n">
        <v>7.731</v>
      </c>
      <c r="AJ112" s="253" t="n">
        <v>7.364</v>
      </c>
      <c r="AK112" s="253" t="n">
        <v>7.234</v>
      </c>
      <c r="AL112" s="253" t="n">
        <v>7.853</v>
      </c>
      <c r="AM112" s="253" t="n">
        <v>30.182</v>
      </c>
      <c r="AN112" s="253" t="n">
        <v>7.967</v>
      </c>
      <c r="AO112" s="253" t="n">
        <v>7.819</v>
      </c>
      <c r="AP112" s="253" t="n">
        <v>7.948</v>
      </c>
      <c r="AQ112" s="253" t="n">
        <v>7.878</v>
      </c>
      <c r="AR112" s="253" t="n">
        <v>31.612</v>
      </c>
      <c r="AS112" s="253" t="n">
        <v>7.856</v>
      </c>
      <c r="AT112" s="253" t="n">
        <v>7.679</v>
      </c>
      <c r="AU112" s="253" t="n">
        <v>8.013999999999999</v>
      </c>
      <c r="AV112" s="253" t="n">
        <v>6.818</v>
      </c>
      <c r="AW112" s="253" t="n">
        <v>30.367</v>
      </c>
      <c r="AX112" s="253" t="n">
        <v>7.026</v>
      </c>
      <c r="AY112" s="253" t="n">
        <v>6.675</v>
      </c>
      <c r="AZ112" s="253" t="n">
        <v>6.365</v>
      </c>
      <c r="BA112" s="253" t="n">
        <v>5.526</v>
      </c>
      <c r="BB112" s="253" t="n">
        <v>25.592</v>
      </c>
      <c r="BC112" s="253" t="n">
        <v>5.227</v>
      </c>
      <c r="BD112" s="253" t="n">
        <v>5.429</v>
      </c>
      <c r="BE112" s="253" t="n">
        <v>5.163</v>
      </c>
      <c r="BF112" s="253" t="n">
        <v>4.646</v>
      </c>
      <c r="BG112" s="253" t="n">
        <v>20.465</v>
      </c>
      <c r="BH112" s="253" t="n">
        <v>4.28</v>
      </c>
      <c r="BI112" s="253" t="n">
        <v>4.014</v>
      </c>
      <c r="BJ112" s="253" t="n">
        <v>3.348</v>
      </c>
      <c r="BK112" s="253" t="n">
        <v>2.996</v>
      </c>
      <c r="BL112" s="253" t="n">
        <v>14.638</v>
      </c>
      <c r="BM112" s="253" t="n">
        <v>2.824</v>
      </c>
      <c r="BN112" s="253" t="n">
        <v>3.354</v>
      </c>
      <c r="BO112" s="253" t="n">
        <v>3.834</v>
      </c>
      <c r="BP112" s="253" t="n">
        <v>3.815</v>
      </c>
      <c r="BQ112" s="253" t="n">
        <v>13.827</v>
      </c>
      <c r="BR112" s="253" t="n">
        <v>3.535</v>
      </c>
      <c r="BS112" s="253" t="n">
        <v>3.415</v>
      </c>
      <c r="BT112" s="253" t="n">
        <v>3.981</v>
      </c>
      <c r="BU112" s="253" t="n">
        <v>4.021</v>
      </c>
      <c r="BV112" s="253" t="n">
        <v>14.952</v>
      </c>
      <c r="BW112" s="253" t="n">
        <v>4.017</v>
      </c>
      <c r="BX112" s="253" t="n">
        <v>3.888</v>
      </c>
      <c r="BY112" s="253" t="n">
        <v>4.218</v>
      </c>
      <c r="BZ112" s="254">
        <f>$CQ$21</f>
        <v>4.3</v>
      </c>
      <c r="CA112" s="254">
        <f>SUM(BW112:BZ112)</f>
        <v>16.423</v>
      </c>
      <c r="CB112" s="254">
        <f>CB127*CB113+N(CB84)</f>
        <v>22.3905384992236</v>
      </c>
      <c r="CC112" s="254">
        <f>CC127*CC113+N(CC84)</f>
        <v>24.7056812126778</v>
      </c>
      <c r="CD112" s="254">
        <f>CD127*CD113+N(CD84)</f>
        <v>27.0385845651573</v>
      </c>
      <c r="CE112" s="254">
        <f>CE127*CE113+N(CE84)</f>
        <v>29.4175685255994</v>
      </c>
      <c r="CF112" s="254">
        <f>CF127*CF113+N(CF84)</f>
        <v>31.8116804395785</v>
      </c>
      <c r="CG112" s="19" t="inlineStr">
        <is>
          <t>Includes amortization of capitalized software and of acquired intangibles. 2027E+: % of revenue + future-acquisition amortization.</t>
        </is>
      </c>
      <c r="CI112" s="20">
        <f>IFERROR((CF112/CA112)^(1/5)-1,"n/m")</f>
        <v>0.14137097338174</v>
      </c>
      <c r="CJ112" s="20">
        <f>IFERROR((BV112/AW112)^(1/5)-1,"n/m")</f>
        <v>-0.13212040073445</v>
      </c>
      <c r="CK112" s="20">
        <f>IFERROR((BV112/X112)^(1/10)-1,"n/m")</f>
        <v>-0.07856638146253</v>
      </c>
      <c r="CL112" s="20">
        <f>IFERROR((BV112/C112)^(1/19)-1,"n/m")</f>
        <v>-0.0603638098041385</v>
      </c>
    </row>
    <row r="113" ht="15" customHeight="1" s="251">
      <c r="B113" s="25" t="inlineStr">
        <is>
          <t xml:space="preserve">  D&amp;A (excl. future-acquisition amortization) % of revenue</t>
        </is>
      </c>
      <c r="C113" s="215">
        <f>IF(AND(ISNUMBER(C112),ISNUMBER(C127)),IFERROR(C112/C127,""),"")</f>
        <v>0.059131414586274</v>
      </c>
      <c r="D113" s="215">
        <f>IF(AND(ISNUMBER(D112),ISNUMBER(D127)),IFERROR(D112/D127,""),"")</f>
        <v>0.0610822197033455</v>
      </c>
      <c r="E113" s="215">
        <f>IF(AND(ISNUMBER(E112),ISNUMBER(E127)),IFERROR(E112/E127,""),"")</f>
        <v>0.0530233257523072</v>
      </c>
      <c r="F113" s="215">
        <f>IF(AND(ISNUMBER(F112),ISNUMBER(F127)),IFERROR(F112/F127,""),"")</f>
        <v>0.0609114762935306</v>
      </c>
      <c r="G113" s="215">
        <f>IF(AND(ISNUMBER(G112),ISNUMBER(G127)),IFERROR(G112/G127,""),"")</f>
        <v>0.0510498759170006</v>
      </c>
      <c r="H113" s="215">
        <f>IF(AND(ISNUMBER(H112),ISNUMBER(H127)),IFERROR(H112/H127,""),"")</f>
        <v>0.0390473839043511</v>
      </c>
      <c r="I113" s="215">
        <f>IF(AND(ISNUMBER(I112),ISNUMBER(I127)),IFERROR(I112/I127,""),"")</f>
        <v>0.0318572845689753</v>
      </c>
      <c r="J113" s="215">
        <f>IF(AND(ISNUMBER(J112),ISNUMBER(J127)),IFERROR(J112/J127,""),"")</f>
        <v>0.0419587411851384</v>
      </c>
      <c r="K113" s="215">
        <f>IF(AND(ISNUMBER(K112),ISNUMBER(K127)),IFERROR(K112/K127,""),"")</f>
        <v>0.0471769134253451</v>
      </c>
      <c r="L113" s="215">
        <f>IF(AND(ISNUMBER(L112),ISNUMBER(L127)),IFERROR(L112/L127,""),"")</f>
        <v>0.0474881918899506</v>
      </c>
      <c r="M113" s="215">
        <f>IF(AND(ISNUMBER(M112),ISNUMBER(M127)),IFERROR(M112/M127,""),"")</f>
        <v>0.0423166445118139</v>
      </c>
      <c r="N113" s="215">
        <f>IF(AND(ISNUMBER(N112),ISNUMBER(N127)),IFERROR(N112/N127,""),"")</f>
        <v>0.0446758599168196</v>
      </c>
      <c r="O113" s="215">
        <f>IF(AND(ISNUMBER(O112),ISNUMBER(O127)),IFERROR(O112/O127,""),"")</f>
        <v>0.044303282468008</v>
      </c>
      <c r="P113" s="215">
        <f>IF(AND(ISNUMBER(P112),ISNUMBER(P127)),IFERROR(P112/P127,""),"")</f>
        <v>0.0422997703033506</v>
      </c>
      <c r="Q113" s="215">
        <f>IF(AND(ISNUMBER(Q112),ISNUMBER(Q127)),IFERROR(Q112/Q127,""),"")</f>
        <v>0.0414149081524214</v>
      </c>
      <c r="R113" s="215">
        <f>IF(AND(ISNUMBER(R112),ISNUMBER(R127)),IFERROR(R112/R127,""),"")</f>
        <v>0.0380737464458185</v>
      </c>
      <c r="S113" s="215">
        <f>IF(AND(ISNUMBER(S112),ISNUMBER(S127)),IFERROR(S112/S127,""),"")</f>
        <v>0.0413594681774685</v>
      </c>
      <c r="T113" s="215">
        <f>IF(AND(ISNUMBER(T112),ISNUMBER(T127)),IFERROR(T112/T127,""),"")</f>
        <v>0.0427697177525719</v>
      </c>
      <c r="U113" s="215">
        <f>IF(AND(ISNUMBER(U112),ISNUMBER(U127)),IFERROR(U112/U127,""),"")</f>
        <v>0.0431656760449811</v>
      </c>
      <c r="V113" s="215">
        <f>IF(AND(ISNUMBER(V112),ISNUMBER(V127)),IFERROR(V112/V127,""),"")</f>
        <v>0.0432066333597623</v>
      </c>
      <c r="W113" s="215">
        <f>IF(AND(ISNUMBER(W112),ISNUMBER(W127)),IFERROR(W112/W127,""),"")</f>
        <v>0.0334943030469676</v>
      </c>
      <c r="X113" s="215">
        <f>IF(AND(ISNUMBER(X112),ISNUMBER(X127)),IFERROR(X112/X127,""),"")</f>
        <v>0.0404026796028999</v>
      </c>
      <c r="Y113" s="215">
        <f>IF(AND(ISNUMBER(Y112),ISNUMBER(Y127)),IFERROR(Y112/Y127,""),"")</f>
        <v>0.0371908674703613</v>
      </c>
      <c r="Z113" s="215">
        <f>IF(AND(ISNUMBER(Z112),ISNUMBER(Z127)),IFERROR(Z112/Z127,""),"")</f>
        <v>0.0373866594412565</v>
      </c>
      <c r="AA113" s="215">
        <f>IF(AND(ISNUMBER(AA112),ISNUMBER(AA127)),IFERROR(AA112/AA127,""),"")</f>
        <v>0.0333322165358618</v>
      </c>
      <c r="AB113" s="215">
        <f>IF(AND(ISNUMBER(AB112),ISNUMBER(AB127)),IFERROR(AB112/AB127,""),"")</f>
        <v>0.0360692719994572</v>
      </c>
      <c r="AC113" s="215">
        <f>IF(AND(ISNUMBER(AC112),ISNUMBER(AC127)),IFERROR(AC112/AC127,""),"")</f>
        <v>0.0358912857006703</v>
      </c>
      <c r="AD113" s="215">
        <f>IF(AND(ISNUMBER(AD112),ISNUMBER(AD127)),IFERROR(AD112/AD127,""),"")</f>
        <v>0.041247723132969</v>
      </c>
      <c r="AE113" s="215">
        <f>IF(AND(ISNUMBER(AE112),ISNUMBER(AE127)),IFERROR(AE112/AE127,""),"")</f>
        <v>0.0401877588909615</v>
      </c>
      <c r="AF113" s="215">
        <f>IF(AND(ISNUMBER(AF112),ISNUMBER(AF127)),IFERROR(AF112/AF127,""),"")</f>
        <v>0.0397902903206255</v>
      </c>
      <c r="AG113" s="215">
        <f>IF(AND(ISNUMBER(AG112),ISNUMBER(AG127)),IFERROR(AG112/AG127,""),"")</f>
        <v>0.0347031061787879</v>
      </c>
      <c r="AH113" s="215">
        <f>IF(AND(ISNUMBER(AH112),ISNUMBER(AH127)),IFERROR(AH112/AH127,""),"")</f>
        <v>0.0388491786360628</v>
      </c>
      <c r="AI113" s="215">
        <f>IF(AND(ISNUMBER(AI112),ISNUMBER(AI127)),IFERROR(AI112/AI127,""),"")</f>
        <v>0.0328529965451447</v>
      </c>
      <c r="AJ113" s="215">
        <f>IF(AND(ISNUMBER(AJ112),ISNUMBER(AJ127)),IFERROR(AJ112/AJ127,""),"")</f>
        <v>0.0285583538226466</v>
      </c>
      <c r="AK113" s="215">
        <f>IF(AND(ISNUMBER(AK112),ISNUMBER(AK127)),IFERROR(AK112/AK127,""),"")</f>
        <v>0.0278761488217953</v>
      </c>
      <c r="AL113" s="215">
        <f>IF(AND(ISNUMBER(AL112),ISNUMBER(AL127)),IFERROR(AL112/AL127,""),"")</f>
        <v>0.0280673788649385</v>
      </c>
      <c r="AM113" s="215">
        <f>IF(AND(ISNUMBER(AM112),ISNUMBER(AM127)),IFERROR(AM112/AM127,""),"")</f>
        <v>0.0292326690718904</v>
      </c>
      <c r="AN113" s="215">
        <f>IF(AND(ISNUMBER(AN112),ISNUMBER(AN127)),IFERROR(AN112/AN127,""),"")</f>
        <v>0.0303787139283753</v>
      </c>
      <c r="AO113" s="215">
        <f>IF(AND(ISNUMBER(AO112),ISNUMBER(AO127)),IFERROR(AO112/AO127,""),"")</f>
        <v>0.0281022448730206</v>
      </c>
      <c r="AP113" s="215">
        <f>IF(AND(ISNUMBER(AP112),ISNUMBER(AP127)),IFERROR(AP112/AP127,""),"")</f>
        <v>0.0252920454798583</v>
      </c>
      <c r="AQ113" s="215">
        <f>IF(AND(ISNUMBER(AQ112),ISNUMBER(AQ127)),IFERROR(AQ112/AQ127,""),"")</f>
        <v>0.0258004087193461</v>
      </c>
      <c r="AR113" s="215">
        <f>IF(AND(ISNUMBER(AR112),ISNUMBER(AR127)),IFERROR(AR112/AR127,""),"")</f>
        <v>0.0272497743695925</v>
      </c>
      <c r="AS113" s="215">
        <f>IF(AND(ISNUMBER(AS112),ISNUMBER(AS127)),IFERROR(AS112/AS127,""),"")</f>
        <v>0.0263179052877013</v>
      </c>
      <c r="AT113" s="215">
        <f>IF(AND(ISNUMBER(AT112),ISNUMBER(AT127)),IFERROR(AT112/AT127,""),"")</f>
        <v>0.0249341658792549</v>
      </c>
      <c r="AU113" s="215">
        <f>IF(AND(ISNUMBER(AU112),ISNUMBER(AU127)),IFERROR(AU112/AU127,""),"")</f>
        <v>0.0255441763804023</v>
      </c>
      <c r="AV113" s="215">
        <f>IF(AND(ISNUMBER(AV112),ISNUMBER(AV127)),IFERROR(AV112/AV127,""),"")</f>
        <v>0.0182126104563571</v>
      </c>
      <c r="AW113" s="215">
        <f>IF(AND(ISNUMBER(AW112),ISNUMBER(AW127)),IFERROR(AW112/AW127,""),"")</f>
        <v>0.0234573546883038</v>
      </c>
      <c r="AX113" s="215">
        <f>IF(AND(ISNUMBER(AX112),ISNUMBER(AX127)),IFERROR(AX112/AX127,""),"")</f>
        <v>0.0224893890798748</v>
      </c>
      <c r="AY113" s="215">
        <f>IF(AND(ISNUMBER(AY112),ISNUMBER(AY127)),IFERROR(AY112/AY127,""),"")</f>
        <v>0.0201441931911118</v>
      </c>
      <c r="AZ113" s="215">
        <f>IF(AND(ISNUMBER(AZ112),ISNUMBER(AZ127)),IFERROR(AZ112/AZ127,""),"")</f>
        <v>0.0188211151325905</v>
      </c>
      <c r="BA113" s="215">
        <f>IF(AND(ISNUMBER(BA112),ISNUMBER(BA127)),IFERROR(BA112/BA127,""),"")</f>
        <v>0.0165163773959358</v>
      </c>
      <c r="BB113" s="215">
        <f>IF(AND(ISNUMBER(BB112),ISNUMBER(BB127)),IFERROR(BB112/BB127,""),"")</f>
        <v>0.0194388911507167</v>
      </c>
      <c r="BC113" s="215">
        <f>IF(AND(ISNUMBER(BC112),ISNUMBER(BC127)),IFERROR(BC112/BC127,""),"")</f>
        <v>0.016214740616886</v>
      </c>
      <c r="BD113" s="215">
        <f>IF(AND(ISNUMBER(BD112),ISNUMBER(BD127)),IFERROR(BD112/BD127,""),"")</f>
        <v>0.0151989809487815</v>
      </c>
      <c r="BE113" s="215">
        <f>IF(AND(ISNUMBER(BE112),ISNUMBER(BE127)),IFERROR(BE112/BE127,""),"")</f>
        <v>0.0147951376351851</v>
      </c>
      <c r="BF113" s="215">
        <f>IF(AND(ISNUMBER(BF112),ISNUMBER(BF127)),IFERROR(BF112/BF127,""),"")</f>
        <v>0.0133219401975065</v>
      </c>
      <c r="BG113" s="215">
        <f>IF(AND(ISNUMBER(BG112),ISNUMBER(BG127)),IFERROR(BG112/BG127,""),"")</f>
        <v>0.0148591053315617</v>
      </c>
      <c r="BH113" s="215">
        <f>IF(AND(ISNUMBER(BH112),ISNUMBER(BH127)),IFERROR(BH112/BH127,""),"")</f>
        <v>0.0124104735117581</v>
      </c>
      <c r="BI113" s="215">
        <f>IF(AND(ISNUMBER(BI112),ISNUMBER(BI127)),IFERROR(BI112/BI127,""),"")</f>
        <v>0.0105557688565373</v>
      </c>
      <c r="BJ113" s="215">
        <f>IF(AND(ISNUMBER(BJ112),ISNUMBER(BJ127)),IFERROR(BJ112/BJ127,""),"")</f>
        <v>0.00839754394413677</v>
      </c>
      <c r="BK113" s="215">
        <f>IF(AND(ISNUMBER(BK112),ISNUMBER(BK127)),IFERROR(BK112/BK127,""),"")</f>
        <v>0.00768731413557487</v>
      </c>
      <c r="BL113" s="215">
        <f>IF(AND(ISNUMBER(BL112),ISNUMBER(BL127)),IFERROR(BL112/BL127,""),"")</f>
        <v>0.0096712578383239</v>
      </c>
      <c r="BM113" s="215">
        <f>IF(AND(ISNUMBER(BM112),ISNUMBER(BM127)),IFERROR(BM112/BM127,""),"")</f>
        <v>0.0073915285335511</v>
      </c>
      <c r="BN113" s="215">
        <f>IF(AND(ISNUMBER(BN112),ISNUMBER(BN127)),IFERROR(BN112/BN127,""),"")</f>
        <v>0.00773151317745828</v>
      </c>
      <c r="BO113" s="215">
        <f>IF(AND(ISNUMBER(BO112),ISNUMBER(BO127)),IFERROR(BO112/BO127,""),"")</f>
        <v>0.00856092120335202</v>
      </c>
      <c r="BP113" s="215">
        <f>IF(AND(ISNUMBER(BP112),ISNUMBER(BP127)),IFERROR(BP112/BP127,""),"")</f>
        <v>0.00840662040638242</v>
      </c>
      <c r="BQ113" s="215">
        <f>IF(AND(ISNUMBER(BQ112),ISNUMBER(BQ127)),IFERROR(BQ112/BQ127,""),"")</f>
        <v>0.00805053315058986</v>
      </c>
      <c r="BR113" s="215">
        <f>IF(AND(ISNUMBER(BR112),ISNUMBER(BR127)),IFERROR(BR112/BR127,""),"")</f>
        <v>0.00803467524910903</v>
      </c>
      <c r="BS113" s="215">
        <f>IF(AND(ISNUMBER(BS112),ISNUMBER(BS127)),IFERROR(BS112/BS127,""),"")</f>
        <v>0.00684732372903446</v>
      </c>
      <c r="BT113" s="215">
        <f>IF(AND(ISNUMBER(BT112),ISNUMBER(BT127)),IFERROR(BT112/BT127,""),"")</f>
        <v>0.00742149268756467</v>
      </c>
      <c r="BU113" s="215">
        <f>IF(AND(ISNUMBER(BU112),ISNUMBER(BU127)),IFERROR(BU112/BU127,""),"")</f>
        <v>0.00779639787416796</v>
      </c>
      <c r="BV113" s="215">
        <f>IF(AND(ISNUMBER(BV112),ISNUMBER(BV127)),IFERROR(BV112/BV127,""),"")</f>
        <v>0.00751028822087239</v>
      </c>
      <c r="BW113" s="215">
        <f>IF(AND(ISNUMBER(BW112),ISNUMBER(BW127)),IFERROR(BW112/BW127,""),"")</f>
        <v>0.00784633144451021</v>
      </c>
      <c r="BX113" s="215">
        <f>IF(AND(ISNUMBER(BX112),ISNUMBER(BX127)),IFERROR(BX112/BX127,""),"")</f>
        <v>0.00562112084108623</v>
      </c>
      <c r="BY113" s="215">
        <f>IF(AND(ISNUMBER(BY112),ISNUMBER(BY127)),IFERROR(BY112/BY127,""),"")</f>
        <v>0.00625641512456466</v>
      </c>
      <c r="BZ113" s="256">
        <f>IF(AND(ISNUMBER(BZ112),ISNUMBER(BZ127)),IFERROR(BZ112/BZ127,""),"")</f>
        <v>0.00659331223473418</v>
      </c>
      <c r="CA113" s="256">
        <f>IF(AND(ISNUMBER(CA112),ISNUMBER(CA127)),IFERROR(CA112/CA127,""),"")</f>
        <v>0.00649130434782609</v>
      </c>
      <c r="CB113" s="265" t="n">
        <v>0.008</v>
      </c>
      <c r="CC113" s="265" t="n">
        <v>0.008</v>
      </c>
      <c r="CD113" s="265" t="n">
        <v>0.008</v>
      </c>
      <c r="CE113" s="265" t="n">
        <v>0.008</v>
      </c>
      <c r="CF113" s="265" t="n">
        <v>0.008</v>
      </c>
      <c r="CG113" s="153" t="n"/>
    </row>
    <row r="114" ht="15" customHeight="1" s="251">
      <c r="B114" s="25" t="inlineStr">
        <is>
          <t xml:space="preserve">  Depreciation &amp; software amortization (D&amp;A − amortization of acquired intangibles)</t>
        </is>
      </c>
      <c r="C114" s="262">
        <f>IF(ISNUMBER(C112),C112-N(C132),"")</f>
        <v>23.614</v>
      </c>
      <c r="D114" s="262">
        <f>IF(ISNUMBER(D112),D112-N(D132),"")</f>
        <v>26.998</v>
      </c>
      <c r="E114" s="262">
        <f>IF(ISNUMBER(E112),E112-N(E132),"")</f>
        <v>25.451</v>
      </c>
      <c r="F114" s="262">
        <f>IF(ISNUMBER(F112),F112-N(F132),"")</f>
        <v>25.528</v>
      </c>
      <c r="G114" s="262">
        <f>IF(ISNUMBER(G112),G112-N(G132),"")</f>
        <v>20.017</v>
      </c>
      <c r="H114" s="262">
        <f>IF(ISNUMBER(H112),H112-N(H132),"")</f>
        <v>16.456</v>
      </c>
      <c r="I114" s="262">
        <f>IF(ISNUMBER(I112),I112-N(I132),"")</f>
        <v>14.605</v>
      </c>
      <c r="J114" s="262">
        <f>IF(ISNUMBER(J112),J112-N(J132),"")</f>
        <v>4.601</v>
      </c>
      <c r="K114" s="262">
        <f>IF(ISNUMBER(K112),K112-N(K132),"")</f>
        <v>4.856</v>
      </c>
      <c r="L114" s="262">
        <f>IF(ISNUMBER(L112),L112-N(L132),"")</f>
        <v>5.25</v>
      </c>
      <c r="M114" s="262">
        <f>IF(ISNUMBER(M112),M112-N(M132),"")</f>
        <v>4.972</v>
      </c>
      <c r="N114" s="262">
        <f>IF(ISNUMBER(N112),N112-N(N132),"")</f>
        <v>19.679</v>
      </c>
      <c r="O114" s="262">
        <f>IF(ISNUMBER(O112),O112-N(O132),"")</f>
        <v>5.154</v>
      </c>
      <c r="P114" s="262">
        <f>IF(ISNUMBER(P112),P112-N(P132),"")</f>
        <v>4.937</v>
      </c>
      <c r="Q114" s="262">
        <f>IF(ISNUMBER(Q112),Q112-N(Q132),"")</f>
        <v>5.165</v>
      </c>
      <c r="R114" s="262">
        <f>IF(ISNUMBER(R112),R112-N(R132),"")</f>
        <v>5.459</v>
      </c>
      <c r="S114" s="262">
        <f>IF(ISNUMBER(S112),S112-N(S132),"")</f>
        <v>20.715</v>
      </c>
      <c r="T114" s="262">
        <f>IF(ISNUMBER(T112),T112-N(T132),"")</f>
        <v>5.175</v>
      </c>
      <c r="U114" s="262">
        <f>IF(ISNUMBER(U112),U112-N(U132),"")</f>
        <v>5.425</v>
      </c>
      <c r="V114" s="262">
        <f>IF(ISNUMBER(V112),V112-N(V132),"")</f>
        <v>5.447</v>
      </c>
      <c r="W114" s="262">
        <f>IF(ISNUMBER(W112),W112-N(W132),"")</f>
        <v>4.169</v>
      </c>
      <c r="X114" s="262">
        <f>IF(ISNUMBER(X112),X112-N(X132),"")</f>
        <v>20.216</v>
      </c>
      <c r="Y114" s="262">
        <f>IF(ISNUMBER(Y112),Y112-N(Y132),"")</f>
        <v>3.861</v>
      </c>
      <c r="Z114" s="262">
        <f>IF(ISNUMBER(Z112),Z112-N(Z132),"")</f>
        <v>4.22</v>
      </c>
      <c r="AA114" s="262">
        <f>IF(ISNUMBER(AA112),AA112-N(AA132),"")</f>
        <v>4.473</v>
      </c>
      <c r="AB114" s="262">
        <f>IF(ISNUMBER(AB112),AB112-N(AB132),"")</f>
        <v>5.097</v>
      </c>
      <c r="AC114" s="262">
        <f>IF(ISNUMBER(AC112),AC112-N(AC132),"")</f>
        <v>17.651</v>
      </c>
      <c r="AD114" s="262">
        <f>IF(ISNUMBER(AD112),AD112-N(AD132),"")</f>
        <v>5.738</v>
      </c>
      <c r="AE114" s="262">
        <f>IF(ISNUMBER(AE112),AE112-N(AE132),"")</f>
        <v>5.866</v>
      </c>
      <c r="AF114" s="262">
        <f>IF(ISNUMBER(AF112),AF112-N(AF132),"")</f>
        <v>5.826</v>
      </c>
      <c r="AG114" s="262">
        <f>IF(ISNUMBER(AG112),AG112-N(AG132),"")</f>
        <v>6.075</v>
      </c>
      <c r="AH114" s="262">
        <f>IF(ISNUMBER(AH112),AH112-N(AH132),"")</f>
        <v>23.505</v>
      </c>
      <c r="AI114" s="262">
        <f>IF(ISNUMBER(AI112),AI112-N(AI132),"")</f>
        <v>5.943</v>
      </c>
      <c r="AJ114" s="262">
        <f>IF(ISNUMBER(AJ112),AJ112-N(AJ132),"")</f>
        <v>5.68</v>
      </c>
      <c r="AK114" s="262">
        <f>IF(ISNUMBER(AK112),AK112-N(AK132),"")</f>
        <v>5.663</v>
      </c>
      <c r="AL114" s="262">
        <f>IF(ISNUMBER(AL112),AL112-N(AL132),"")</f>
        <v>6.302</v>
      </c>
      <c r="AM114" s="262">
        <f>IF(ISNUMBER(AM112),AM112-N(AM132),"")</f>
        <v>23.588</v>
      </c>
      <c r="AN114" s="262">
        <f>IF(ISNUMBER(AN112),AN112-N(AN132),"")</f>
        <v>6.465</v>
      </c>
      <c r="AO114" s="262">
        <f>IF(ISNUMBER(AO112),AO112-N(AO132),"")</f>
        <v>6.316</v>
      </c>
      <c r="AP114" s="262">
        <f>IF(ISNUMBER(AP112),AP112-N(AP132),"")</f>
        <v>6.5</v>
      </c>
      <c r="AQ114" s="262">
        <f>IF(ISNUMBER(AQ112),AQ112-N(AQ132),"")</f>
        <v>6.205</v>
      </c>
      <c r="AR114" s="262">
        <f>IF(ISNUMBER(AR112),AR112-N(AR132),"")</f>
        <v>25.486</v>
      </c>
      <c r="AS114" s="262">
        <f>IF(ISNUMBER(AS112),AS112-N(AS132),"")</f>
        <v>6.06</v>
      </c>
      <c r="AT114" s="262">
        <f>IF(ISNUMBER(AT112),AT112-N(AT132),"")</f>
        <v>6.477</v>
      </c>
      <c r="AU114" s="262">
        <f>IF(ISNUMBER(AU112),AU112-N(AU132),"")</f>
        <v>6.966</v>
      </c>
      <c r="AV114" s="262">
        <f>IF(ISNUMBER(AV112),AV112-N(AV132),"")</f>
        <v>5.871</v>
      </c>
      <c r="AW114" s="262">
        <f>IF(ISNUMBER(AW112),AW112-N(AW132),"")</f>
        <v>25.374</v>
      </c>
      <c r="AX114" s="262">
        <f>IF(ISNUMBER(AX112),AX112-N(AX132),"")</f>
        <v>6.089</v>
      </c>
      <c r="AY114" s="262">
        <f>IF(ISNUMBER(AY112),AY112-N(AY132),"")</f>
        <v>5.73</v>
      </c>
      <c r="AZ114" s="262">
        <f>IF(ISNUMBER(AZ112),AZ112-N(AZ132),"")</f>
        <v>5.555</v>
      </c>
      <c r="BA114" s="262">
        <f>IF(ISNUMBER(BA112),BA112-N(BA132),"")</f>
        <v>4.963</v>
      </c>
      <c r="BB114" s="262">
        <f>IF(ISNUMBER(BB112),BB112-N(BB132),"")</f>
        <v>22.337</v>
      </c>
      <c r="BC114" s="262">
        <f>IF(ISNUMBER(BC112),BC112-N(BC132),"")</f>
        <v>4.683</v>
      </c>
      <c r="BD114" s="262">
        <f>IF(ISNUMBER(BD112),BD112-N(BD132),"")</f>
        <v>4.886</v>
      </c>
      <c r="BE114" s="262">
        <f>IF(ISNUMBER(BE112),BE112-N(BE132),"")</f>
        <v>4.631</v>
      </c>
      <c r="BF114" s="262">
        <f>IF(ISNUMBER(BF112),BF112-N(BF132),"")</f>
        <v>4.204</v>
      </c>
      <c r="BG114" s="262">
        <f>IF(ISNUMBER(BG112),BG112-N(BG132),"")</f>
        <v>18.404</v>
      </c>
      <c r="BH114" s="262">
        <f>IF(ISNUMBER(BH112),BH112-N(BH132),"")</f>
        <v>4.005</v>
      </c>
      <c r="BI114" s="262">
        <f>IF(ISNUMBER(BI112),BI112-N(BI132),"")</f>
        <v>3.739</v>
      </c>
      <c r="BJ114" s="262">
        <f>IF(ISNUMBER(BJ112),BJ112-N(BJ132),"")</f>
        <v>3.073</v>
      </c>
      <c r="BK114" s="262">
        <f>IF(ISNUMBER(BK112),BK112-N(BK132),"")</f>
        <v>2.721</v>
      </c>
      <c r="BL114" s="262">
        <f>IF(ISNUMBER(BL112),BL112-N(BL132),"")</f>
        <v>13.538</v>
      </c>
      <c r="BM114" s="262">
        <f>IF(ISNUMBER(BM112),BM112-N(BM132),"")</f>
        <v>2.549</v>
      </c>
      <c r="BN114" s="262">
        <f>IF(ISNUMBER(BN112),BN112-N(BN132),"")</f>
        <v>3.079</v>
      </c>
      <c r="BO114" s="262">
        <f>IF(ISNUMBER(BO112),BO112-N(BO132),"")</f>
        <v>3.559</v>
      </c>
      <c r="BP114" s="262">
        <f>IF(ISNUMBER(BP112),BP112-N(BP132),"")</f>
        <v>3.723</v>
      </c>
      <c r="BQ114" s="262">
        <f>IF(ISNUMBER(BQ112),BQ112-N(BQ132),"")</f>
        <v>12.91</v>
      </c>
      <c r="BR114" s="262">
        <f>IF(ISNUMBER(BR112),BR112-N(BR132),"")</f>
        <v>3.535</v>
      </c>
      <c r="BS114" s="262">
        <f>IF(ISNUMBER(BS112),BS112-N(BS132),"")</f>
        <v>3.415</v>
      </c>
      <c r="BT114" s="262">
        <f>IF(ISNUMBER(BT112),BT112-N(BT132),"")</f>
        <v>3.981</v>
      </c>
      <c r="BU114" s="262">
        <f>IF(ISNUMBER(BU112),BU112-N(BU132),"")</f>
        <v>4.021</v>
      </c>
      <c r="BV114" s="262">
        <f>IF(ISNUMBER(BV112),BV112-N(BV132),"")</f>
        <v>14.952</v>
      </c>
      <c r="BW114" s="262">
        <f>IF(ISNUMBER(BW112),BW112-N(BW132),"")</f>
        <v>4.017</v>
      </c>
      <c r="BX114" s="262">
        <f>IF(ISNUMBER(BX112),BX112-N(BX132),"")</f>
        <v>3.888</v>
      </c>
      <c r="BY114" s="262">
        <f>IF(ISNUMBER(BY112),BY112-N(BY132),"")</f>
        <v>4.218</v>
      </c>
      <c r="BZ114" s="254">
        <f>IF(ISNUMBER(BZ112),BZ112-N(BZ132),"")</f>
        <v>4.3</v>
      </c>
      <c r="CA114" s="254">
        <f>IF(ISNUMBER(CA112),CA112-N(CA132),"")</f>
        <v>16.423</v>
      </c>
      <c r="CB114" s="254">
        <f>IF(ISNUMBER(CB112),CB112-N(CB132),"")</f>
        <v>22.3905384992236</v>
      </c>
      <c r="CC114" s="254">
        <f>IF(ISNUMBER(CC112),CC112-N(CC132),"")</f>
        <v>24.7056812126778</v>
      </c>
      <c r="CD114" s="254">
        <f>IF(ISNUMBER(CD112),CD112-N(CD132),"")</f>
        <v>27.0385845651573</v>
      </c>
      <c r="CE114" s="254">
        <f>IF(ISNUMBER(CE112),CE112-N(CE132),"")</f>
        <v>29.4175685255994</v>
      </c>
      <c r="CF114" s="254">
        <f>IF(ISNUMBER(CF112),CF112-N(CF132),"")</f>
        <v>31.8116804395785</v>
      </c>
      <c r="CG114" s="19" t="n"/>
    </row>
    <row r="115" ht="15" customHeight="1" s="251">
      <c r="B115" s="25" t="inlineStr">
        <is>
          <t xml:space="preserve">  SG&amp;A % of revenue (balancing line of the GAAP cost structure)</t>
        </is>
      </c>
      <c r="C115" s="215">
        <f>IF(AND(ISNUMBER(C131),ISNUMBER(C127)),IFERROR(C131/C127,""),"")</f>
        <v>0.316035935616364</v>
      </c>
      <c r="D115" s="215">
        <f>IF(AND(ISNUMBER(D131),ISNUMBER(D127)),IFERROR(D131/D127,""),"")</f>
        <v>0.347273775412412</v>
      </c>
      <c r="E115" s="215">
        <f>IF(AND(ISNUMBER(E131),ISNUMBER(E127)),IFERROR(E131/E127,""),"")</f>
        <v>0.329786719868106</v>
      </c>
      <c r="F115" s="215">
        <f>IF(AND(ISNUMBER(F131),ISNUMBER(F127)),IFERROR(F131/F127,""),"")</f>
        <v>0.331865204880021</v>
      </c>
      <c r="G115" s="215">
        <f>IF(AND(ISNUMBER(G131),ISNUMBER(G127)),IFERROR(G131/G127,""),"")</f>
        <v>0.371940235419216</v>
      </c>
      <c r="H115" s="215">
        <f>IF(AND(ISNUMBER(H131),ISNUMBER(H127)),IFERROR(H131/H127,""),"")</f>
        <v>0.360853855923109</v>
      </c>
      <c r="I115" s="215">
        <f>IF(AND(ISNUMBER(I131),ISNUMBER(I127)),IFERROR(I131/I127,""),"")</f>
        <v>0.35262254535993</v>
      </c>
      <c r="J115" s="215">
        <f>IF(AND(ISNUMBER(J131),ISNUMBER(J127)),IFERROR(J131/J127,""),"")</f>
        <v>0.366619303231239</v>
      </c>
      <c r="K115" s="215">
        <f>IF(AND(ISNUMBER(K131),ISNUMBER(K127)),IFERROR(K131/K127,""),"")</f>
        <v>0.377181095775826</v>
      </c>
      <c r="L115" s="215">
        <f>IF(AND(ISNUMBER(L131),ISNUMBER(L127)),IFERROR(L131/L127,""),"")</f>
        <v>0.373642339420586</v>
      </c>
      <c r="M115" s="215">
        <f>IF(AND(ISNUMBER(M131),ISNUMBER(M127)),IFERROR(M131/M127,""),"")</f>
        <v>0.327998654946487</v>
      </c>
      <c r="N115" s="215">
        <f>IF(AND(ISNUMBER(N131),ISNUMBER(N127)),IFERROR(N131/N127,""),"")</f>
        <v>0.361015759088781</v>
      </c>
      <c r="O115" s="215">
        <f>IF(AND(ISNUMBER(O131),ISNUMBER(O127)),IFERROR(O131/O127,""),"")</f>
        <v>0.363393239775853</v>
      </c>
      <c r="P115" s="215">
        <f>IF(AND(ISNUMBER(P131),ISNUMBER(P127)),IFERROR(P131/P127,""),"")</f>
        <v>0.355566099794028</v>
      </c>
      <c r="Q115" s="215">
        <f>IF(AND(ISNUMBER(Q131),ISNUMBER(Q127)),IFERROR(Q131/Q127,""),"")</f>
        <v>0.362112241283336</v>
      </c>
      <c r="R115" s="215">
        <f>IF(AND(ISNUMBER(R131),ISNUMBER(R127)),IFERROR(R131/R127,""),"")</f>
        <v>0.332684930270343</v>
      </c>
      <c r="S115" s="215">
        <f>IF(AND(ISNUMBER(S131),ISNUMBER(S127)),IFERROR(S131/S127,""),"")</f>
        <v>0.352608731471447</v>
      </c>
      <c r="T115" s="215">
        <f>IF(AND(ISNUMBER(T131),ISNUMBER(T127)),IFERROR(T131/T127,""),"")</f>
        <v>0.384072804009496</v>
      </c>
      <c r="U115" s="215">
        <f>IF(AND(ISNUMBER(U131),ISNUMBER(U127)),IFERROR(U131/U127,""),"")</f>
        <v>0.35663829191392</v>
      </c>
      <c r="V115" s="215">
        <f>IF(AND(ISNUMBER(V131),ISNUMBER(V127)),IFERROR(V131/V127,""),"")</f>
        <v>0.356528758251101</v>
      </c>
      <c r="W115" s="215">
        <f>IF(AND(ISNUMBER(W131),ISNUMBER(W127)),IFERROR(W131/W127,""),"")</f>
        <v>0.338092251112753</v>
      </c>
      <c r="X115" s="215">
        <f>IF(AND(ISNUMBER(X131),ISNUMBER(X127)),IFERROR(X131/X127,""),"")</f>
        <v>0.357664277087822</v>
      </c>
      <c r="Y115" s="215">
        <f>IF(AND(ISNUMBER(Y131),ISNUMBER(Y127)),IFERROR(Y131/Y127,""),"")</f>
        <v>0.394040264699414</v>
      </c>
      <c r="Z115" s="215">
        <f>IF(AND(ISNUMBER(Z131),ISNUMBER(Z127)),IFERROR(Z131/Z127,""),"")</f>
        <v>0.374984275055884</v>
      </c>
      <c r="AA115" s="215">
        <f>IF(AND(ISNUMBER(AA131),ISNUMBER(AA127)),IFERROR(AA131/AA127,""),"")</f>
        <v>0.365075509469047</v>
      </c>
      <c r="AB115" s="215">
        <f>IF(AND(ISNUMBER(AB131),ISNUMBER(AB127)),IFERROR(AB131/AB127,""),"")</f>
        <v>0.362257446231088</v>
      </c>
      <c r="AC115" s="215">
        <f>IF(AND(ISNUMBER(AC131),ISNUMBER(AC127)),IFERROR(AC131/AC127,""),"")</f>
        <v>0.373220355906126</v>
      </c>
      <c r="AD115" s="215">
        <f>IF(AND(ISNUMBER(AD131),ISNUMBER(AD127)),IFERROR(AD131/AD127,""),"")</f>
        <v>0.38804189435337</v>
      </c>
      <c r="AE115" s="215">
        <f>IF(AND(ISNUMBER(AE131),ISNUMBER(AE127)),IFERROR(AE131/AE127,""),"")</f>
        <v>0.377580152203803</v>
      </c>
      <c r="AF115" s="215">
        <f>IF(AND(ISNUMBER(AF131),ISNUMBER(AF127)),IFERROR(AF131/AF127,""),"")</f>
        <v>0.364043708276692</v>
      </c>
      <c r="AG115" s="215">
        <f>IF(AND(ISNUMBER(AG131),ISNUMBER(AG127)),IFERROR(AG131/AG127,""),"")</f>
        <v>0.332781738117336</v>
      </c>
      <c r="AH115" s="215">
        <f>IF(AND(ISNUMBER(AH131),ISNUMBER(AH127)),IFERROR(AH131/AH127,""),"")</f>
        <v>0.364521883907317</v>
      </c>
      <c r="AI115" s="215">
        <f>IF(AND(ISNUMBER(AI131),ISNUMBER(AI127)),IFERROR(AI131/AI127,""),"")</f>
        <v>0.383714160657145</v>
      </c>
      <c r="AJ115" s="215">
        <f>IF(AND(ISNUMBER(AJ131),ISNUMBER(AJ127)),IFERROR(AJ131/AJ127,""),"")</f>
        <v>0.376397086768687</v>
      </c>
      <c r="AK115" s="215">
        <f>IF(AND(ISNUMBER(AK131),ISNUMBER(AK127)),IFERROR(AK131/AK127,""),"")</f>
        <v>0.380281690140845</v>
      </c>
      <c r="AL115" s="215">
        <f>IF(AND(ISNUMBER(AL131),ISNUMBER(AL127)),IFERROR(AL131/AL127,""),"")</f>
        <v>0.337123066860621</v>
      </c>
      <c r="AM115" s="215">
        <f>IF(AND(ISNUMBER(AM131),ISNUMBER(AM127)),IFERROR(AM131/AM127,""),"")</f>
        <v>0.368398266301848</v>
      </c>
      <c r="AN115" s="215">
        <f>IF(AND(ISNUMBER(AN131),ISNUMBER(AN127)),IFERROR(AN131/AN127,""),"")</f>
        <v>0.382290586297358</v>
      </c>
      <c r="AO115" s="215">
        <f>IF(AND(ISNUMBER(AO131),ISNUMBER(AO127)),IFERROR(AO131/AO127,""),"")</f>
        <v>0.377128603980822</v>
      </c>
      <c r="AP115" s="215">
        <f>IF(AND(ISNUMBER(AP131),ISNUMBER(AP127)),IFERROR(AP131/AP127,""),"")</f>
        <v>0.327466435851825</v>
      </c>
      <c r="AQ115" s="215">
        <f>IF(AND(ISNUMBER(AQ131),ISNUMBER(AQ127)),IFERROR(AQ131/AQ127,""),"")</f>
        <v>0.347123244602809</v>
      </c>
      <c r="AR115" s="215">
        <f>IF(AND(ISNUMBER(AR131),ISNUMBER(AR127)),IFERROR(AR131/AR127,""),"")</f>
        <v>0.356945149614295</v>
      </c>
      <c r="AS115" s="215">
        <f>IF(AND(ISNUMBER(AS131),ISNUMBER(AS127)),IFERROR(AS131/AS127,""),"")</f>
        <v>0.375274703186557</v>
      </c>
      <c r="AT115" s="215">
        <f>IF(AND(ISNUMBER(AT131),ISNUMBER(AT127)),IFERROR(AT131/AT127,""),"")</f>
        <v>0.33595695698621</v>
      </c>
      <c r="AU115" s="215">
        <f>IF(AND(ISNUMBER(AU131),ISNUMBER(AU127)),IFERROR(AU131/AU127,""),"")</f>
        <v>0.318208911455993</v>
      </c>
      <c r="AV115" s="215">
        <f>IF(AND(ISNUMBER(AV131),ISNUMBER(AV127)),IFERROR(AV131/AV127,""),"")</f>
        <v>0.282116488048809</v>
      </c>
      <c r="AW115" s="215">
        <f>IF(AND(ISNUMBER(AW131),ISNUMBER(AW127)),IFERROR(AW131/AW127,""),"")</f>
        <v>0.325152445383072</v>
      </c>
      <c r="AX115" s="215">
        <f>IF(AND(ISNUMBER(AX131),ISNUMBER(AX127)),IFERROR(AX131/AX127,""),"")</f>
        <v>0.300597924548836</v>
      </c>
      <c r="AY115" s="215">
        <f>IF(AND(ISNUMBER(AY131),ISNUMBER(AY127)),IFERROR(AY131/AY127,""),"")</f>
        <v>0.293552952821847</v>
      </c>
      <c r="AZ115" s="215">
        <f>IF(AND(ISNUMBER(AZ131),ISNUMBER(AZ127)),IFERROR(AZ131/AZ127,""),"")</f>
        <v>0.318551439453079</v>
      </c>
      <c r="BA115" s="215">
        <f>IF(AND(ISNUMBER(BA131),ISNUMBER(BA127)),IFERROR(BA131/BA127,""),"")</f>
        <v>0.291021199903161</v>
      </c>
      <c r="BB115" s="215">
        <f>IF(AND(ISNUMBER(BB131),ISNUMBER(BB127)),IFERROR(BB131/BB127,""),"")</f>
        <v>0.301002783061003</v>
      </c>
      <c r="BC115" s="215">
        <f>IF(AND(ISNUMBER(BC131),ISNUMBER(BC127)),IFERROR(BC131/BC127,""),"")</f>
        <v>0.304155899752141</v>
      </c>
      <c r="BD115" s="215">
        <f>IF(AND(ISNUMBER(BD131),ISNUMBER(BD127)),IFERROR(BD131/BD127,""),"")</f>
        <v>0.26991979171041</v>
      </c>
      <c r="BE115" s="215">
        <f>IF(AND(ISNUMBER(BE131),ISNUMBER(BE127)),IFERROR(BE131/BE127,""),"")</f>
        <v>0.267212278560089</v>
      </c>
      <c r="BF115" s="215">
        <f>IF(AND(ISNUMBER(BF131),ISNUMBER(BF127)),IFERROR(BF131/BF127,""),"")</f>
        <v>0.275709108009222</v>
      </c>
      <c r="BG115" s="215">
        <f>IF(AND(ISNUMBER(BG131),ISNUMBER(BG127)),IFERROR(BG131/BG127,""),"")</f>
        <v>0.278712961147778</v>
      </c>
      <c r="BH115" s="215">
        <f>IF(AND(ISNUMBER(BH131),ISNUMBER(BH127)),IFERROR(BH131/BH127,""),"")</f>
        <v>0.26965233276307</v>
      </c>
      <c r="BI115" s="215">
        <f>IF(AND(ISNUMBER(BI131),ISNUMBER(BI127)),IFERROR(BI131/BI127,""),"")</f>
        <v>0.263389311692342</v>
      </c>
      <c r="BJ115" s="215">
        <f>IF(AND(ISNUMBER(BJ131),ISNUMBER(BJ127)),IFERROR(BJ131/BJ127,""),"")</f>
        <v>0.271091680712738</v>
      </c>
      <c r="BK115" s="215">
        <f>IF(AND(ISNUMBER(BK131),ISNUMBER(BK127)),IFERROR(BK131/BK127,""),"")</f>
        <v>0.254869359279302</v>
      </c>
      <c r="BL115" s="215">
        <f>IF(AND(ISNUMBER(BL131),ISNUMBER(BL127)),IFERROR(BL131/BL127,""),"")</f>
        <v>0.264651413854913</v>
      </c>
      <c r="BM115" s="215">
        <f>IF(AND(ISNUMBER(BM131),ISNUMBER(BM127)),IFERROR(BM131/BM127,""),"")</f>
        <v>0.27307038965186</v>
      </c>
      <c r="BN115" s="215">
        <f>IF(AND(ISNUMBER(BN131),ISNUMBER(BN127)),IFERROR(BN131/BN127,""),"")</f>
        <v>0.255566389816717</v>
      </c>
      <c r="BO115" s="215">
        <f>IF(AND(ISNUMBER(BO131),ISNUMBER(BO127)),IFERROR(BO131/BO127,""),"")</f>
        <v>0.2788462182566</v>
      </c>
      <c r="BP115" s="215">
        <f>IF(AND(ISNUMBER(BP131),ISNUMBER(BP127)),IFERROR(BP131/BP127,""),"")</f>
        <v>0.270503670046209</v>
      </c>
      <c r="BQ115" s="215">
        <f>IF(AND(ISNUMBER(BQ131),ISNUMBER(BQ127)),IFERROR(BQ131/BQ127,""),"")</f>
        <v>0.269477143286332</v>
      </c>
      <c r="BR115" s="215">
        <f>IF(AND(ISNUMBER(BR131),ISNUMBER(BR127)),IFERROR(BR131/BR127,""),"")</f>
        <v>0.290816604843989</v>
      </c>
      <c r="BS115" s="215">
        <f>IF(AND(ISNUMBER(BS131),ISNUMBER(BS127)),IFERROR(BS131/BS127,""),"")</f>
        <v>0.241450870702878</v>
      </c>
      <c r="BT115" s="215">
        <f>IF(AND(ISNUMBER(BT131),ISNUMBER(BT127)),IFERROR(BT131/BT127,""),"")</f>
        <v>0.259340249620164</v>
      </c>
      <c r="BU115" s="215">
        <f>IF(AND(ISNUMBER(BU131),ISNUMBER(BU127)),IFERROR(BU131/BU127,""),"")</f>
        <v>0.243419789782279</v>
      </c>
      <c r="BV115" s="215">
        <f>IF(AND(ISNUMBER(BV131),ISNUMBER(BV127)),IFERROR(BV131/BV127,""),"")</f>
        <v>0.257690485913438</v>
      </c>
      <c r="BW115" s="215">
        <f>IF(AND(ISNUMBER(BW131),ISNUMBER(BW127)),IFERROR(BW131/BW127,""),"")</f>
        <v>0.274898966518803</v>
      </c>
      <c r="BX115" s="215">
        <f>IF(AND(ISNUMBER(BX131),ISNUMBER(BX127)),IFERROR(BX131/BX127,""),"")</f>
        <v>0.208329899649692</v>
      </c>
      <c r="BY115" s="215">
        <f>IF(AND(ISNUMBER(BY131),ISNUMBER(BY127)),IFERROR(BY131/BY127,""),"")</f>
        <v>0.253393712139641</v>
      </c>
      <c r="BZ115" s="256">
        <f>IF(AND(ISNUMBER(BZ131),ISNUMBER(BZ127)),IFERROR(BZ131/BZ127,""),"")</f>
        <v>0.27092214044072</v>
      </c>
      <c r="CA115" s="256">
        <f>IF(AND(ISNUMBER(CA131),ISNUMBER(CA127)),IFERROR(CA131/CA127,""),"")</f>
        <v>0.249943841052991</v>
      </c>
      <c r="CB115" s="256">
        <f>IF(AND(ISNUMBER(CB131),ISNUMBER(CB127)),IFERROR(CB131/CB127,""),"")</f>
        <v>0.229409487300209</v>
      </c>
      <c r="CC115" s="256">
        <f>IF(AND(ISNUMBER(CC131),ISNUMBER(CC127)),IFERROR(CC131/CC127,""),"")</f>
        <v>0.220533274587181</v>
      </c>
      <c r="CD115" s="256">
        <f>IF(AND(ISNUMBER(CD131),ISNUMBER(CD127)),IFERROR(CD131/CD127,""),"")</f>
        <v>0.214785447895399</v>
      </c>
      <c r="CE115" s="256">
        <f>IF(AND(ISNUMBER(CE131),ISNUMBER(CE127)),IFERROR(CE131/CE127,""),"")</f>
        <v>0.213352055804244</v>
      </c>
      <c r="CF115" s="256">
        <f>IF(AND(ISNUMBER(CF131),ISNUMBER(CF127)),IFERROR(CF131/CF127,""),"")</f>
        <v>0.212590473503011</v>
      </c>
      <c r="CG115" s="153" t="n"/>
      <c r="CI115" s="37">
        <f>IFERROR(AVERAGE(CB115,CC115,CD115,CE115,CF115),"n/m")</f>
        <v>0.218134147818009</v>
      </c>
      <c r="CJ115" s="37">
        <f>IFERROR(AVERAGE(BB115,BG115,BL115,BQ115,BV115),"n/m")</f>
        <v>0.274306957452693</v>
      </c>
      <c r="CK115" s="37">
        <f>IFERROR(AVERAGE(AC115,AH115,AM115,AR115,AW115,BB115,BG115,BL115,BQ115,BV115),"n/m")</f>
        <v>0.315977288837612</v>
      </c>
      <c r="CL115" s="37">
        <f>IFERROR(AVERAGE(C115,D115,E115,F115,G115,H115,I115,N115,S115,X115,AC115,AH115,AM115,AR115,AW115,BB115,BG115,BL115,BQ115,BV115),"n/m")</f>
        <v>0.332071996425166</v>
      </c>
    </row>
    <row r="116" ht="15" customHeight="1" s="251">
      <c r="B116" s="25" t="inlineStr">
        <is>
          <t xml:space="preserve">  Cost of revenues % of revenue</t>
        </is>
      </c>
      <c r="C116" s="215">
        <f>IF(AND(ISNUMBER(C129),ISNUMBER(C127)),IFERROR(C129/C127,""),"")</f>
        <v>0.341639153586595</v>
      </c>
      <c r="D116" s="215">
        <f>IF(AND(ISNUMBER(D129),ISNUMBER(D127)),IFERROR(D129/D127,""),"")</f>
        <v>0.356931586551793</v>
      </c>
      <c r="E116" s="215">
        <f>IF(AND(ISNUMBER(E129),ISNUMBER(E127)),IFERROR(E129/E127,""),"")</f>
        <v>0.369094385117918</v>
      </c>
      <c r="F116" s="215">
        <f>IF(AND(ISNUMBER(F129),ISNUMBER(F127)),IFERROR(F129/F127,""),"")</f>
        <v>0.327313372493995</v>
      </c>
      <c r="G116" s="215">
        <f>IF(AND(ISNUMBER(G129),ISNUMBER(G127)),IFERROR(G129/G127,""),"")</f>
        <v>0.298743649311558</v>
      </c>
      <c r="H116" s="215">
        <f>IF(AND(ISNUMBER(H129),ISNUMBER(H127)),IFERROR(H129/H127,""),"")</f>
        <v>0.300911917867684</v>
      </c>
      <c r="I116" s="215">
        <f>IF(AND(ISNUMBER(I129),ISNUMBER(I127)),IFERROR(I129/I127,""),"")</f>
        <v>0.292637890787274</v>
      </c>
      <c r="J116" s="215">
        <f>IF(AND(ISNUMBER(J129),ISNUMBER(J127)),IFERROR(J129/J127,""),"")</f>
        <v>0.295484685822545</v>
      </c>
      <c r="K116" s="215">
        <f>IF(AND(ISNUMBER(K129),ISNUMBER(K127)),IFERROR(K129/K127,""),"")</f>
        <v>0.328208559877318</v>
      </c>
      <c r="L116" s="215">
        <f>IF(AND(ISNUMBER(L129),ISNUMBER(L127)),IFERROR(L129/L127,""),"")</f>
        <v>0.313731145114599</v>
      </c>
      <c r="M116" s="215">
        <f>IF(AND(ISNUMBER(M129),ISNUMBER(M127)),IFERROR(M129/M127,""),"")</f>
        <v>0.298481035270876</v>
      </c>
      <c r="N116" s="215">
        <f>IF(AND(ISNUMBER(N129),ISNUMBER(N127)),IFERROR(N129/N127,""),"")</f>
        <v>0.308655393008754</v>
      </c>
      <c r="O116" s="215">
        <f>IF(AND(ISNUMBER(O129),ISNUMBER(O127)),IFERROR(O129/O127,""),"")</f>
        <v>0.310936677823405</v>
      </c>
      <c r="P116" s="215">
        <f>IF(AND(ISNUMBER(P129),ISNUMBER(P127)),IFERROR(P129/P127,""),"")</f>
        <v>0.313719252461421</v>
      </c>
      <c r="Q116" s="215">
        <f>IF(AND(ISNUMBER(Q129),ISNUMBER(Q127)),IFERROR(Q129/Q127,""),"")</f>
        <v>0.317554779616416</v>
      </c>
      <c r="R116" s="215">
        <f>IF(AND(ISNUMBER(R129),ISNUMBER(R127)),IFERROR(R129/R127,""),"")</f>
        <v>0.320562350498714</v>
      </c>
      <c r="S116" s="215">
        <f>IF(AND(ISNUMBER(S129),ISNUMBER(S127)),IFERROR(S129/S127,""),"")</f>
        <v>0.315951507316362</v>
      </c>
      <c r="T116" s="215">
        <f>IF(AND(ISNUMBER(T129),ISNUMBER(T127)),IFERROR(T129/T127,""),"")</f>
        <v>0.349775784753363</v>
      </c>
      <c r="U116" s="215">
        <f>IF(AND(ISNUMBER(U129),ISNUMBER(U127)),IFERROR(U129/U127,""),"")</f>
        <v>0.342771197775085</v>
      </c>
      <c r="V116" s="215">
        <f>IF(AND(ISNUMBER(V129),ISNUMBER(V127)),IFERROR(V129/V127,""),"")</f>
        <v>0.316202248693675</v>
      </c>
      <c r="W116" s="215">
        <f>IF(AND(ISNUMBER(W129),ISNUMBER(W127)),IFERROR(W129/W127,""),"")</f>
        <v>0.28803553936311</v>
      </c>
      <c r="X116" s="215">
        <f>IF(AND(ISNUMBER(X129),ISNUMBER(X127)),IFERROR(X129/X127,""),"")</f>
        <v>0.322533533782954</v>
      </c>
      <c r="Y116" s="215">
        <f>IF(AND(ISNUMBER(Y129),ISNUMBER(Y127)),IFERROR(Y129/Y127,""),"")</f>
        <v>0.310846878186289</v>
      </c>
      <c r="Z116" s="215">
        <f>IF(AND(ISNUMBER(Z129),ISNUMBER(Z127)),IFERROR(Z129/Z127,""),"")</f>
        <v>0.301425405703558</v>
      </c>
      <c r="AA116" s="215">
        <f>IF(AND(ISNUMBER(AA129),ISNUMBER(AA127)),IFERROR(AA129/AA127,""),"")</f>
        <v>0.278015562572766</v>
      </c>
      <c r="AB116" s="215">
        <f>IF(AND(ISNUMBER(AB129),ISNUMBER(AB127)),IFERROR(AB129/AB127,""),"")</f>
        <v>0.315056991654793</v>
      </c>
      <c r="AC116" s="215">
        <f>IF(AND(ISNUMBER(AC129),ISNUMBER(AC127)),IFERROR(AC129/AC127,""),"")</f>
        <v>0.30086934224082</v>
      </c>
      <c r="AD116" s="215">
        <f>IF(AND(ISNUMBER(AD129),ISNUMBER(AD127)),IFERROR(AD129/AD127,""),"")</f>
        <v>0.318747723132969</v>
      </c>
      <c r="AE116" s="215">
        <f>IF(AND(ISNUMBER(AE129),ISNUMBER(AE127)),IFERROR(AE129/AE127,""),"")</f>
        <v>0.315840404942683</v>
      </c>
      <c r="AF116" s="215">
        <f>IF(AND(ISNUMBER(AF129),ISNUMBER(AF127)),IFERROR(AF129/AF127,""),"")</f>
        <v>0.302152511407618</v>
      </c>
      <c r="AG116" s="215">
        <f>IF(AND(ISNUMBER(AG129),ISNUMBER(AG127)),IFERROR(AG129/AG127,""),"")</f>
        <v>0.297000454177445</v>
      </c>
      <c r="AH116" s="215">
        <f>IF(AND(ISNUMBER(AH129),ISNUMBER(AH127)),IFERROR(AH129/AH127,""),"")</f>
        <v>0.308016035718845</v>
      </c>
      <c r="AI116" s="215">
        <f>IF(AND(ISNUMBER(AI129),ISNUMBER(AI127)),IFERROR(AI129/AI127,""),"")</f>
        <v>0.315989648182695</v>
      </c>
      <c r="AJ116" s="215">
        <f>IF(AND(ISNUMBER(AJ129),ISNUMBER(AJ127)),IFERROR(AJ129/AJ127,""),"")</f>
        <v>0.304504804970177</v>
      </c>
      <c r="AK116" s="215">
        <f>IF(AND(ISNUMBER(AK129),ISNUMBER(AK127)),IFERROR(AK129/AK127,""),"")</f>
        <v>0.302075104525924</v>
      </c>
      <c r="AL116" s="215">
        <f>IF(AND(ISNUMBER(AL129),ISNUMBER(AL127)),IFERROR(AL129/AL127,""),"")</f>
        <v>0.283894049486938</v>
      </c>
      <c r="AM116" s="215">
        <f>IF(AND(ISNUMBER(AM129),ISNUMBER(AM127)),IFERROR(AM129/AM127,""),"")</f>
        <v>0.300926414683164</v>
      </c>
      <c r="AN116" s="215">
        <f>IF(AND(ISNUMBER(AN129),ISNUMBER(AN127)),IFERROR(AN129/AN127,""),"")</f>
        <v>0.290044841681411</v>
      </c>
      <c r="AO116" s="215">
        <f>IF(AND(ISNUMBER(AO129),ISNUMBER(AO127)),IFERROR(AO129/AO127,""),"")</f>
        <v>0.307539696801972</v>
      </c>
      <c r="AP116" s="215">
        <f>IF(AND(ISNUMBER(AP129),ISNUMBER(AP127)),IFERROR(AP129/AP127,""),"")</f>
        <v>0.277534693825597</v>
      </c>
      <c r="AQ116" s="215">
        <f>IF(AND(ISNUMBER(AQ129),ISNUMBER(AQ127)),IFERROR(AQ129/AQ127,""),"")</f>
        <v>0.288186438901698</v>
      </c>
      <c r="AR116" s="215">
        <f>IF(AND(ISNUMBER(AR129),ISNUMBER(AR127)),IFERROR(AR129/AR127,""),"")</f>
        <v>0.290362844727489</v>
      </c>
      <c r="AS116" s="215">
        <f>IF(AND(ISNUMBER(AS129),ISNUMBER(AS127)),IFERROR(AS129/AS127,""),"")</f>
        <v>0.304042826896792</v>
      </c>
      <c r="AT116" s="215">
        <f>IF(AND(ISNUMBER(AT129),ISNUMBER(AT127)),IFERROR(AT129/AT127,""),"")</f>
        <v>0.286192531114943</v>
      </c>
      <c r="AU116" s="215">
        <f>IF(AND(ISNUMBER(AU129),ISNUMBER(AU127)),IFERROR(AU129/AU127,""),"")</f>
        <v>0.282308729452939</v>
      </c>
      <c r="AV116" s="215">
        <f>IF(AND(ISNUMBER(AV129),ISNUMBER(AV127)),IFERROR(AV129/AV127,""),"")</f>
        <v>0.250232399106733</v>
      </c>
      <c r="AW116" s="215">
        <f>IF(AND(ISNUMBER(AW129),ISNUMBER(AW127)),IFERROR(AW129/AW127,""),"")</f>
        <v>0.2789684850938</v>
      </c>
      <c r="AX116" s="215">
        <f>IF(AND(ISNUMBER(AX129),ISNUMBER(AX127)),IFERROR(AX129/AX127,""),"")</f>
        <v>0.286568463641194</v>
      </c>
      <c r="AY116" s="215">
        <f>IF(AND(ISNUMBER(AY129),ISNUMBER(AY127)),IFERROR(AY129/AY127,""),"")</f>
        <v>0.266576332157375</v>
      </c>
      <c r="AZ116" s="215">
        <f>IF(AND(ISNUMBER(AZ129),ISNUMBER(AZ127)),IFERROR(AZ129/AZ127,""),"")</f>
        <v>0.243181226787784</v>
      </c>
      <c r="BA116" s="215">
        <f>IF(AND(ISNUMBER(BA129),ISNUMBER(BA127)),IFERROR(BA129/BA127,""),"")</f>
        <v>0.216276073968025</v>
      </c>
      <c r="BB116" s="215">
        <f>IF(AND(ISNUMBER(BB129),ISNUMBER(BB127)),IFERROR(BB129/BB127,""),"")</f>
        <v>0.252527845801406</v>
      </c>
      <c r="BC116" s="215">
        <f>IF(AND(ISNUMBER(BC129),ISNUMBER(BC127)),IFERROR(BC129/BC127,""),"")</f>
        <v>0.214675472529245</v>
      </c>
      <c r="BD116" s="215">
        <f>IF(AND(ISNUMBER(BD129),ISNUMBER(BD127)),IFERROR(BD129/BD127,""),"")</f>
        <v>0.200993854897185</v>
      </c>
      <c r="BE116" s="215">
        <f>IF(AND(ISNUMBER(BE129),ISNUMBER(BE127)),IFERROR(BE129/BE127,""),"")</f>
        <v>0.225497612947966</v>
      </c>
      <c r="BF116" s="215">
        <f>IF(AND(ISNUMBER(BF129),ISNUMBER(BF127)),IFERROR(BF129/BF127,""),"")</f>
        <v>0.236520352804891</v>
      </c>
      <c r="BG116" s="215">
        <f>IF(AND(ISNUMBER(BG129),ISNUMBER(BG127)),IFERROR(BG129/BG127,""),"")</f>
        <v>0.219400698483231</v>
      </c>
      <c r="BH116" s="215">
        <f>IF(AND(ISNUMBER(BH129),ISNUMBER(BH127)),IFERROR(BH129/BH127,""),"")</f>
        <v>0.222022791196683</v>
      </c>
      <c r="BI116" s="215">
        <f>IF(AND(ISNUMBER(BI129),ISNUMBER(BI127)),IFERROR(BI129/BI127,""),"")</f>
        <v>0.209868881256804</v>
      </c>
      <c r="BJ116" s="215">
        <f>IF(AND(ISNUMBER(BJ129),ISNUMBER(BJ127)),IFERROR(BJ129/BJ127,""),"")</f>
        <v>0.180206075929047</v>
      </c>
      <c r="BK116" s="215">
        <f>IF(AND(ISNUMBER(BK129),ISNUMBER(BK127)),IFERROR(BK129/BK127,""),"")</f>
        <v>0.212535248490633</v>
      </c>
      <c r="BL116" s="215">
        <f>IF(AND(ISNUMBER(BL129),ISNUMBER(BL127)),IFERROR(BL129/BL127,""),"")</f>
        <v>0.205511255935521</v>
      </c>
      <c r="BM116" s="215">
        <f>IF(AND(ISNUMBER(BM129),ISNUMBER(BM127)),IFERROR(BM129/BM127,""),"")</f>
        <v>0.218450553448551</v>
      </c>
      <c r="BN116" s="215">
        <f>IF(AND(ISNUMBER(BN129),ISNUMBER(BN127)),IFERROR(BN129/BN127,""),"")</f>
        <v>0.200424610831034</v>
      </c>
      <c r="BO116" s="215">
        <f>IF(AND(ISNUMBER(BO129),ISNUMBER(BO127)),IFERROR(BO129/BO127,""),"")</f>
        <v>0.196997202181985</v>
      </c>
      <c r="BP116" s="215">
        <f>IF(AND(ISNUMBER(BP129),ISNUMBER(BP127)),IFERROR(BP129/BP127,""),"")</f>
        <v>0.197382599287365</v>
      </c>
      <c r="BQ116" s="215">
        <f>IF(AND(ISNUMBER(BQ129),ISNUMBER(BQ127)),IFERROR(BQ129/BQ127,""),"")</f>
        <v>0.20273696002273</v>
      </c>
      <c r="BR116" s="215">
        <f>IF(AND(ISNUMBER(BR129),ISNUMBER(BR127)),IFERROR(BR129/BR127,""),"")</f>
        <v>0.1985258018765</v>
      </c>
      <c r="BS116" s="215">
        <f>IF(AND(ISNUMBER(BS129),ISNUMBER(BS127)),IFERROR(BS129/BS127,""),"")</f>
        <v>0.175704532467142</v>
      </c>
      <c r="BT116" s="215">
        <f>IF(AND(ISNUMBER(BT129),ISNUMBER(BT127)),IFERROR(BT129/BT127,""),"")</f>
        <v>0.163252332615605</v>
      </c>
      <c r="BU116" s="215">
        <f>IF(AND(ISNUMBER(BU129),ISNUMBER(BU127)),IFERROR(BU129/BU127,""),"")</f>
        <v>0.176782982485734</v>
      </c>
      <c r="BV116" s="215">
        <f>IF(AND(ISNUMBER(BV129),ISNUMBER(BV127)),IFERROR(BV129/BV127,""),"")</f>
        <v>0.177672162256783</v>
      </c>
      <c r="BW116" s="215">
        <f>IF(AND(ISNUMBER(BW129),ISNUMBER(BW127)),IFERROR(BW129/BW127,""),"")</f>
        <v>0.170445289564203</v>
      </c>
      <c r="BX116" s="215">
        <f>IF(AND(ISNUMBER(BX129),ISNUMBER(BX127)),IFERROR(BX129/BX127,""),"")</f>
        <v>0.131852006066415</v>
      </c>
      <c r="BY116" s="215">
        <f>IF(AND(ISNUMBER(BY129),ISNUMBER(BY127)),IFERROR(BY129/BY127,""),"")</f>
        <v>0.129069339709399</v>
      </c>
      <c r="BZ116" s="256">
        <f>BU116+IFERROR(SUM(BW129:BY129)/SUM(BW127:BY127)-SUM(BR129:BT129)/SUM(BR127:BT127),0)</f>
        <v>0.140174737022593</v>
      </c>
      <c r="CA116" s="256">
        <f>IF(AND(ISNUMBER(CA129),ISNUMBER(CA127)),IFERROR(CA129/CA127,""),"")</f>
        <v>0.141065454265789</v>
      </c>
      <c r="CB116" s="265" t="n">
        <v>0.135</v>
      </c>
      <c r="CC116" s="265" t="n">
        <v>0.135</v>
      </c>
      <c r="CD116" s="265" t="n">
        <v>0.135</v>
      </c>
      <c r="CE116" s="265" t="n">
        <v>0.135</v>
      </c>
      <c r="CF116" s="265" t="n">
        <v>0.135</v>
      </c>
      <c r="CG116" s="153" t="inlineStr">
        <is>
          <t>Q4/26E: prior-year quarter ratio + 9M FY26 y/y drift; 2027E+ input. SG&amp;A is implied: revenue − operating income − other cost lines.</t>
        </is>
      </c>
      <c r="CI116" s="37">
        <f>IFERROR(AVERAGE(CB116,CC116,CD116,CE116,CF116),"n/m")</f>
        <v>0.135</v>
      </c>
      <c r="CJ116" s="37">
        <f>IFERROR(AVERAGE(BB116,BG116,BL116,BQ116,BV116),"n/m")</f>
        <v>0.211569784499935</v>
      </c>
      <c r="CK116" s="37">
        <f>IFERROR(AVERAGE(AC116,AH116,AM116,AR116,AW116,BB116,BG116,BL116,BQ116,BV116),"n/m")</f>
        <v>0.253699204496379</v>
      </c>
      <c r="CL116" s="37">
        <f>IFERROR(AVERAGE(C116,D116,E116,F116,G116,H116,I116,N116,S116,X116,AC116,AH116,AM116,AR116,AW116,BB116,BG116,BL116,BQ116,BV116),"n/m")</f>
        <v>0.288570221739434</v>
      </c>
    </row>
    <row r="117" ht="15" customHeight="1" s="251">
      <c r="B117" s="25" t="inlineStr">
        <is>
          <t xml:space="preserve">  Research &amp; development % of revenue</t>
        </is>
      </c>
      <c r="C117" s="215">
        <f>IF(AND(ISNUMBER(C130),ISNUMBER(C127)),IFERROR(C130/C127,""),"")</f>
        <v>0.102944757773833</v>
      </c>
      <c r="D117" s="215">
        <f>IF(AND(ISNUMBER(D130),ISNUMBER(D127)),IFERROR(D130/D127,""),"")</f>
        <v>0.0858622098764832</v>
      </c>
      <c r="E117" s="215">
        <f>IF(AND(ISNUMBER(E130),ISNUMBER(E127)),IFERROR(E130/E127,""),"")</f>
        <v>0.104443626970552</v>
      </c>
      <c r="F117" s="215">
        <f>IF(AND(ISNUMBER(F130),ISNUMBER(F127)),IFERROR(F130/F127,""),"")</f>
        <v>0.116730481105377</v>
      </c>
      <c r="G117" s="215">
        <f>IF(AND(ISNUMBER(G130),ISNUMBER(G127)),IFERROR(G130/G127,""),"")</f>
        <v>0.12149236431363</v>
      </c>
      <c r="H117" s="215">
        <f>IF(AND(ISNUMBER(H130),ISNUMBER(H127)),IFERROR(H130/H127,""),"")</f>
        <v>0.100259326139333</v>
      </c>
      <c r="I117" s="215">
        <f>IF(AND(ISNUMBER(I130),ISNUMBER(I127)),IFERROR(I130/I127,""),"")</f>
        <v>0.0880026255760079</v>
      </c>
      <c r="J117" s="215">
        <f>IF(AND(ISNUMBER(J130),ISNUMBER(J127)),IFERROR(J130/J127,""),"")</f>
        <v>0.0765814124828965</v>
      </c>
      <c r="K117" s="215">
        <f>IF(AND(ISNUMBER(K130),ISNUMBER(K127)),IFERROR(K130/K127,""),"")</f>
        <v>0.0893405827408337</v>
      </c>
      <c r="L117" s="215">
        <f>IF(AND(ISNUMBER(L130),ISNUMBER(L127)),IFERROR(L130/L127,""),"")</f>
        <v>0.101049126091026</v>
      </c>
      <c r="M117" s="215">
        <f>IF(AND(ISNUMBER(M130),ISNUMBER(M127)),IFERROR(M130/M127,""),"")</f>
        <v>0.0936493508540564</v>
      </c>
      <c r="N117" s="215">
        <f>IF(AND(ISNUMBER(N130),ISNUMBER(N127)),IFERROR(N130/N127,""),"")</f>
        <v>0.0900767240034219</v>
      </c>
      <c r="O117" s="215">
        <f>IF(AND(ISNUMBER(O130),ISNUMBER(O127)),IFERROR(O130/O127,""),"")</f>
        <v>0.098143135350949</v>
      </c>
      <c r="P117" s="215">
        <f>IF(AND(ISNUMBER(P130),ISNUMBER(P127)),IFERROR(P130/P127,""),"")</f>
        <v>0.106167301118288</v>
      </c>
      <c r="Q117" s="215">
        <f>IF(AND(ISNUMBER(Q130),ISNUMBER(Q127)),IFERROR(Q130/Q127,""),"")</f>
        <v>0.117605384342898</v>
      </c>
      <c r="R117" s="215">
        <f>IF(AND(ISNUMBER(R130),ISNUMBER(R127)),IFERROR(R130/R127,""),"")</f>
        <v>0.101155391072799</v>
      </c>
      <c r="S117" s="215">
        <f>IF(AND(ISNUMBER(S130),ISNUMBER(S127)),IFERROR(S130/S127,""),"")</f>
        <v>0.105749792454863</v>
      </c>
      <c r="T117" s="215">
        <f>IF(AND(ISNUMBER(T130),ISNUMBER(T127)),IFERROR(T130/T127,""),"")</f>
        <v>0.119424953838037</v>
      </c>
      <c r="U117" s="215">
        <f>IF(AND(ISNUMBER(U130),ISNUMBER(U127)),IFERROR(U130/U127,""),"")</f>
        <v>0.117527485526945</v>
      </c>
      <c r="V117" s="215">
        <f>IF(AND(ISNUMBER(V130),ISNUMBER(V127)),IFERROR(V130/V127,""),"")</f>
        <v>0.122321675916816</v>
      </c>
      <c r="W117" s="215">
        <f>IF(AND(ISNUMBER(W130),ISNUMBER(W127)),IFERROR(W130/W127,""),"")</f>
        <v>0.112718898760934</v>
      </c>
      <c r="X117" s="215">
        <f>IF(AND(ISNUMBER(X130),ISNUMBER(X127)),IFERROR(X130/X127,""),"")</f>
        <v>0.117818596272448</v>
      </c>
      <c r="Y117" s="215">
        <f>IF(AND(ISNUMBER(Y130),ISNUMBER(Y127)),IFERROR(Y130/Y127,""),"")</f>
        <v>0.123108218876827</v>
      </c>
      <c r="Z117" s="215">
        <f>IF(AND(ISNUMBER(Z130),ISNUMBER(Z127)),IFERROR(Z130/Z127,""),"")</f>
        <v>0.120225665044175</v>
      </c>
      <c r="AA117" s="215">
        <f>IF(AND(ISNUMBER(AA130),ISNUMBER(AA127)),IFERROR(AA130/AA127,""),"")</f>
        <v>0.110634145524295</v>
      </c>
      <c r="AB117" s="215">
        <f>IF(AND(ISNUMBER(AB130),ISNUMBER(AB127)),IFERROR(AB130/AB127,""),"")</f>
        <v>0.117770031888188</v>
      </c>
      <c r="AC117" s="215">
        <f>IF(AND(ISNUMBER(AC130),ISNUMBER(AC127)),IFERROR(AC130/AC127,""),"")</f>
        <v>0.117624433259659</v>
      </c>
      <c r="AD117" s="215">
        <f>IF(AND(ISNUMBER(AD130),ISNUMBER(AD127)),IFERROR(AD130/AD127,""),"")</f>
        <v>0.119043715846995</v>
      </c>
      <c r="AE117" s="215">
        <f>IF(AND(ISNUMBER(AE130),ISNUMBER(AE127)),IFERROR(AE130/AE127,""),"")</f>
        <v>0.116749424200229</v>
      </c>
      <c r="AF117" s="215">
        <f>IF(AND(ISNUMBER(AF130),ISNUMBER(AF127)),IFERROR(AF130/AF127,""),"")</f>
        <v>0.120522455906419</v>
      </c>
      <c r="AG117" s="215">
        <f>IF(AND(ISNUMBER(AG130),ISNUMBER(AG127)),IFERROR(AG130/AG127,""),"")</f>
        <v>0.119373630062597</v>
      </c>
      <c r="AH117" s="215">
        <f>IF(AND(ISNUMBER(AH130),ISNUMBER(AH127)),IFERROR(AH130/AH127,""),"")</f>
        <v>0.118937660445692</v>
      </c>
      <c r="AI117" s="215">
        <f>IF(AND(ISNUMBER(AI130),ISNUMBER(AI127)),IFERROR(AI130/AI127,""),"")</f>
        <v>0.123125432919289</v>
      </c>
      <c r="AJ117" s="215">
        <f>IF(AND(ISNUMBER(AJ130),ISNUMBER(AJ127)),IFERROR(AJ130/AJ127,""),"")</f>
        <v>0.126112046164943</v>
      </c>
      <c r="AK117" s="215">
        <f>IF(AND(ISNUMBER(AK130),ISNUMBER(AK127)),IFERROR(AK130/AK127,""),"")</f>
        <v>0.12517292537716</v>
      </c>
      <c r="AL117" s="215">
        <f>IF(AND(ISNUMBER(AL130),ISNUMBER(AL127)),IFERROR(AL130/AL127,""),"")</f>
        <v>0.122973934115107</v>
      </c>
      <c r="AM117" s="215">
        <f>IF(AND(ISNUMBER(AM130),ISNUMBER(AM127)),IFERROR(AM130/AM127,""),"")</f>
        <v>0.124344899392237</v>
      </c>
      <c r="AN117" s="215">
        <f>IF(AND(ISNUMBER(AN130),ISNUMBER(AN127)),IFERROR(AN130/AN127,""),"")</f>
        <v>0.135081752181075</v>
      </c>
      <c r="AO117" s="215">
        <f>IF(AND(ISNUMBER(AO130),ISNUMBER(AO127)),IFERROR(AO130/AO127,""),"")</f>
        <v>0.135439953420502</v>
      </c>
      <c r="AP117" s="215">
        <f>IF(AND(ISNUMBER(AP130),ISNUMBER(AP127)),IFERROR(AP130/AP127,""),"")</f>
        <v>0.11765192570223</v>
      </c>
      <c r="AQ117" s="215">
        <f>IF(AND(ISNUMBER(AQ130),ISNUMBER(AQ127)),IFERROR(AQ130/AQ127,""),"")</f>
        <v>0.12902169356529</v>
      </c>
      <c r="AR117" s="215">
        <f>IF(AND(ISNUMBER(AR130),ISNUMBER(AR127)),IFERROR(AR130/AR127,""),"")</f>
        <v>0.128851125307413</v>
      </c>
      <c r="AS117" s="215">
        <f>IF(AND(ISNUMBER(AS130),ISNUMBER(AS127)),IFERROR(AS130/AS127,""),"")</f>
        <v>0.130460563342535</v>
      </c>
      <c r="AT117" s="215">
        <f>IF(AND(ISNUMBER(AT130),ISNUMBER(AT127)),IFERROR(AT130/AT127,""),"")</f>
        <v>0.128060758967565</v>
      </c>
      <c r="AU117" s="215">
        <f>IF(AND(ISNUMBER(AU130),ISNUMBER(AU127)),IFERROR(AU130/AU127,""),"")</f>
        <v>0.131995244333521</v>
      </c>
      <c r="AV117" s="215">
        <f>IF(AND(ISNUMBER(AV130),ISNUMBER(AV127)),IFERROR(AV130/AV127,""),"")</f>
        <v>0.124763594012117</v>
      </c>
      <c r="AW117" s="215">
        <f>IF(AND(ISNUMBER(AW130),ISNUMBER(AW127)),IFERROR(AW130/AW127,""),"")</f>
        <v>0.128614156757266</v>
      </c>
      <c r="AX117" s="215">
        <f>IF(AND(ISNUMBER(AX130),ISNUMBER(AX127)),IFERROR(AX130/AX127,""),"")</f>
        <v>0.130119008751208</v>
      </c>
      <c r="AY117" s="215">
        <f>IF(AND(ISNUMBER(AY130),ISNUMBER(AY127)),IFERROR(AY130/AY127,""),"")</f>
        <v>0.131614764561913</v>
      </c>
      <c r="AZ117" s="215">
        <f>IF(AND(ISNUMBER(AZ130),ISNUMBER(AZ127)),IFERROR(AZ130/AZ127,""),"")</f>
        <v>0.135506115014312</v>
      </c>
      <c r="BA117" s="215">
        <f>IF(AND(ISNUMBER(BA130),ISNUMBER(BA127)),IFERROR(BA130/BA127,""),"")</f>
        <v>0.122967209341945</v>
      </c>
      <c r="BB117" s="215">
        <f>IF(AND(ISNUMBER(BB130),ISNUMBER(BB127)),IFERROR(BB130/BB127,""),"")</f>
        <v>0.130061768155219</v>
      </c>
      <c r="BC117" s="215">
        <f>IF(AND(ISNUMBER(BC130),ISNUMBER(BC127)),IFERROR(BC130/BC127,""),"")</f>
        <v>0.120920334655867</v>
      </c>
      <c r="BD117" s="215">
        <f>IF(AND(ISNUMBER(BD130),ISNUMBER(BD127)),IFERROR(BD130/BD127,""),"")</f>
        <v>0.101868727165834</v>
      </c>
      <c r="BE117" s="215">
        <f>IF(AND(ISNUMBER(BE130),ISNUMBER(BE127)),IFERROR(BE130/BE127,""),"")</f>
        <v>0.102818039579787</v>
      </c>
      <c r="BF117" s="215">
        <f>IF(AND(ISNUMBER(BF130),ISNUMBER(BF127)),IFERROR(BF130/BF127,""),"")</f>
        <v>0.101824239852272</v>
      </c>
      <c r="BG117" s="215">
        <f>IF(AND(ISNUMBER(BG130),ISNUMBER(BG127)),IFERROR(BG130/BG127,""),"")</f>
        <v>0.106557174700676</v>
      </c>
      <c r="BH117" s="215">
        <f>IF(AND(ISNUMBER(BH130),ISNUMBER(BH127)),IFERROR(BH130/BH127,""),"")</f>
        <v>0.106222634615942</v>
      </c>
      <c r="BI117" s="215">
        <f>IF(AND(ISNUMBER(BI130),ISNUMBER(BI127)),IFERROR(BI130/BI127,""),"")</f>
        <v>0.105889035569838</v>
      </c>
      <c r="BJ117" s="215">
        <f>IF(AND(ISNUMBER(BJ130),ISNUMBER(BJ127)),IFERROR(BJ130/BJ127,""),"")</f>
        <v>0.103978549642828</v>
      </c>
      <c r="BK117" s="215">
        <f>IF(AND(ISNUMBER(BK130),ISNUMBER(BK127)),IFERROR(BK130/BK127,""),"")</f>
        <v>0.106729478899657</v>
      </c>
      <c r="BL117" s="215">
        <f>IF(AND(ISNUMBER(BL130),ISNUMBER(BL127)),IFERROR(BL130/BL127,""),"")</f>
        <v>0.105678213638469</v>
      </c>
      <c r="BM117" s="215">
        <f>IF(AND(ISNUMBER(BM130),ISNUMBER(BM127)),IFERROR(BM130/BM127,""),"")</f>
        <v>0.111592712120379</v>
      </c>
      <c r="BN117" s="215">
        <f>IF(AND(ISNUMBER(BN130),ISNUMBER(BN127)),IFERROR(BN130/BN127,""),"")</f>
        <v>0.0942350204813639</v>
      </c>
      <c r="BO117" s="215">
        <f>IF(AND(ISNUMBER(BO130),ISNUMBER(BO127)),IFERROR(BO130/BO127,""),"")</f>
        <v>0.0987319386668274</v>
      </c>
      <c r="BP117" s="215">
        <f>IF(AND(ISNUMBER(BP130),ISNUMBER(BP127)),IFERROR(BP130/BP127,""),"")</f>
        <v>0.0974154324837101</v>
      </c>
      <c r="BQ117" s="215">
        <f>IF(AND(ISNUMBER(BQ130),ISNUMBER(BQ127)),IFERROR(BQ130/BQ127,""),"")</f>
        <v>0.100109110429769</v>
      </c>
      <c r="BR117" s="215">
        <f>IF(AND(ISNUMBER(BR130),ISNUMBER(BR127)),IFERROR(BR130/BR127,""),"")</f>
        <v>0.102609735253473</v>
      </c>
      <c r="BS117" s="215">
        <f>IF(AND(ISNUMBER(BS130),ISNUMBER(BS127)),IFERROR(BS130/BS127,""),"")</f>
        <v>0.0903024652370497</v>
      </c>
      <c r="BT117" s="215">
        <f>IF(AND(ISNUMBER(BT130),ISNUMBER(BT127)),IFERROR(BT130/BT127,""),"")</f>
        <v>0.0880139444273557</v>
      </c>
      <c r="BU117" s="215">
        <f>IF(AND(ISNUMBER(BU130),ISNUMBER(BU127)),IFERROR(BU130/BU127,""),"")</f>
        <v>0.0987937977822632</v>
      </c>
      <c r="BV117" s="215">
        <f>IF(AND(ISNUMBER(BV130),ISNUMBER(BV127)),IFERROR(BV130/BV127,""),"")</f>
        <v>0.0946054210498029</v>
      </c>
      <c r="BW117" s="215">
        <f>IF(AND(ISNUMBER(BW130),ISNUMBER(BW127)),IFERROR(BW130/BW127,""),"")</f>
        <v>0.097492181991136</v>
      </c>
      <c r="BX117" s="215">
        <f>IF(AND(ISNUMBER(BX130),ISNUMBER(BX127)),IFERROR(BX130/BX127,""),"")</f>
        <v>0.0779496788240754</v>
      </c>
      <c r="BY117" s="215">
        <f>IF(AND(ISNUMBER(BY130),ISNUMBER(BY127)),IFERROR(BY130/BY127,""),"")</f>
        <v>0.0796632393338357</v>
      </c>
      <c r="BZ117" s="256">
        <f>IFERROR(SUM(BW130:BY130)/SUM(BW127:BY127),"")</f>
        <v>0.0838928461879282</v>
      </c>
      <c r="CA117" s="256">
        <f>IF(AND(ISNUMBER(CA130),ISNUMBER(CA127)),IFERROR(CA130/CA127,""),"")</f>
        <v>0.0838928461879282</v>
      </c>
      <c r="CB117" s="265" t="n">
        <v>0.08</v>
      </c>
      <c r="CC117" s="265" t="n">
        <v>0.08</v>
      </c>
      <c r="CD117" s="265" t="n">
        <v>0.08</v>
      </c>
      <c r="CE117" s="265" t="n">
        <v>0.08</v>
      </c>
      <c r="CF117" s="265" t="n">
        <v>0.08</v>
      </c>
      <c r="CG117" s="153" t="n"/>
      <c r="CI117" s="37">
        <f>IFERROR(AVERAGE(CB117,CC117,CD117,CE117,CF117),"n/m")</f>
        <v>0.08</v>
      </c>
      <c r="CJ117" s="37">
        <f>IFERROR(AVERAGE(BB117,BG117,BL117,BQ117,BV117),"n/m")</f>
        <v>0.107402337594787</v>
      </c>
      <c r="CK117" s="37">
        <f>IFERROR(AVERAGE(AC117,AH117,AM117,AR117,AW117,BB117,BG117,BL117,BQ117,BV117),"n/m")</f>
        <v>0.11553839631362</v>
      </c>
      <c r="CL117" s="37">
        <f>IFERROR(AVERAGE(C117,D117,E117,F117,G117,H117,I117,N117,S117,X117,AC117,AH117,AM117,AR117,AW117,BB117,BG117,BL117,BQ117,BV117),"n/m")</f>
        <v>0.109438223381108</v>
      </c>
    </row>
    <row r="118" ht="15" customHeight="1" s="251">
      <c r="B118" s="25" t="inlineStr">
        <is>
          <t xml:space="preserve">  Adjusting items (pre-tax; unallocated in the segment summary and excluded from non-GAAP; forecast inputs):</t>
        </is>
      </c>
      <c r="CG118" s="153" t="n"/>
    </row>
    <row r="119" ht="15" customHeight="1" s="251">
      <c r="B119" s="25" t="inlineStr">
        <is>
          <t xml:space="preserve">  Share-based compensation</t>
        </is>
      </c>
      <c r="C119" s="253" t="n">
        <v>42.085</v>
      </c>
      <c r="D119" s="253" t="n">
        <v>36.261</v>
      </c>
      <c r="E119" s="253" t="n">
        <v>27.724</v>
      </c>
      <c r="F119" s="253" t="n">
        <v>19.935</v>
      </c>
      <c r="G119" s="253" t="n">
        <v>17.305</v>
      </c>
      <c r="H119" s="253" t="n">
        <v>15.5</v>
      </c>
      <c r="I119" s="253" t="n">
        <v>21.229</v>
      </c>
      <c r="J119" s="253" t="n">
        <v>5.832</v>
      </c>
      <c r="K119" s="253" t="n">
        <v>6.413</v>
      </c>
      <c r="L119" s="253" t="n">
        <v>6.652</v>
      </c>
      <c r="M119" s="253" t="n">
        <v>6.953</v>
      </c>
      <c r="N119" s="253" t="n">
        <v>25.85</v>
      </c>
      <c r="O119" s="253" t="n">
        <v>7.235</v>
      </c>
      <c r="P119" s="253" t="n">
        <v>9.051</v>
      </c>
      <c r="Q119" s="253" t="n">
        <v>9.345000000000001</v>
      </c>
      <c r="R119" s="253" t="n">
        <v>10.731</v>
      </c>
      <c r="S119" s="253" t="n">
        <v>36.362</v>
      </c>
      <c r="T119" s="253" t="n">
        <v>8.794</v>
      </c>
      <c r="U119" s="253" t="n">
        <v>11.802</v>
      </c>
      <c r="V119" s="253" t="n">
        <v>12.166</v>
      </c>
      <c r="W119" s="253" t="n">
        <v>12.546</v>
      </c>
      <c r="X119" s="253" t="n">
        <v>45.308</v>
      </c>
      <c r="Y119" s="253" t="n">
        <v>14.7</v>
      </c>
      <c r="Z119" s="253" t="n">
        <v>13.6</v>
      </c>
      <c r="AA119" s="253" t="n">
        <v>13.404</v>
      </c>
      <c r="AB119" s="253" t="n">
        <v>13.805</v>
      </c>
      <c r="AC119" s="253" t="n">
        <v>55.509</v>
      </c>
      <c r="AD119" s="253" t="n">
        <v>14.519</v>
      </c>
      <c r="AE119" s="253" t="n">
        <v>14.712</v>
      </c>
      <c r="AF119" s="253" t="n">
        <v>14.315</v>
      </c>
      <c r="AG119" s="253" t="n">
        <v>17.676</v>
      </c>
      <c r="AH119" s="253" t="n">
        <v>61.222</v>
      </c>
      <c r="AI119" s="253" t="n">
        <v>16.51</v>
      </c>
      <c r="AJ119" s="253" t="n">
        <v>19.239</v>
      </c>
      <c r="AK119" s="253" t="n">
        <v>18.883</v>
      </c>
      <c r="AL119" s="253" t="n">
        <v>20.183</v>
      </c>
      <c r="AM119" s="253" t="n">
        <v>74.81399999999999</v>
      </c>
      <c r="AN119" s="253" t="n">
        <v>21.854</v>
      </c>
      <c r="AO119" s="253" t="n">
        <v>20.482</v>
      </c>
      <c r="AP119" s="253" t="n">
        <v>19.595</v>
      </c>
      <c r="AQ119" s="253" t="n">
        <v>21.042</v>
      </c>
      <c r="AR119" s="253" t="n">
        <v>82.973</v>
      </c>
      <c r="AS119" s="253" t="n">
        <v>23.145</v>
      </c>
      <c r="AT119" s="253" t="n">
        <v>22.788</v>
      </c>
      <c r="AU119" s="253" t="n">
        <v>22.264</v>
      </c>
      <c r="AV119" s="253" t="n">
        <v>25.484</v>
      </c>
      <c r="AW119" s="253" t="n">
        <v>93.681</v>
      </c>
      <c r="AX119" s="253" t="n">
        <v>25.132</v>
      </c>
      <c r="AY119" s="253" t="n">
        <v>28.206</v>
      </c>
      <c r="AZ119" s="253" t="n">
        <v>30.761</v>
      </c>
      <c r="BA119" s="253" t="n">
        <v>28.358</v>
      </c>
      <c r="BB119" s="253" t="n">
        <v>112.457</v>
      </c>
      <c r="BC119" s="253" t="n">
        <v>29.878</v>
      </c>
      <c r="BD119" s="253" t="n">
        <v>27.936</v>
      </c>
      <c r="BE119" s="253" t="n">
        <v>28.549</v>
      </c>
      <c r="BF119" s="253" t="n">
        <v>28.992</v>
      </c>
      <c r="BG119" s="253" t="n">
        <v>115.355</v>
      </c>
      <c r="BH119" s="253" t="n">
        <v>29.702</v>
      </c>
      <c r="BI119" s="253" t="n">
        <v>27.053</v>
      </c>
      <c r="BJ119" s="253" t="n">
        <v>32.995</v>
      </c>
      <c r="BK119" s="253" t="n">
        <v>34.097</v>
      </c>
      <c r="BL119" s="253" t="n">
        <v>123.847</v>
      </c>
      <c r="BM119" s="253" t="n">
        <v>31.574</v>
      </c>
      <c r="BN119" s="253" t="n">
        <v>35.448</v>
      </c>
      <c r="BO119" s="253" t="n">
        <v>42.435</v>
      </c>
      <c r="BP119" s="253" t="n">
        <v>39.982</v>
      </c>
      <c r="BQ119" s="253" t="n">
        <v>149.439</v>
      </c>
      <c r="BR119" s="253" t="n">
        <v>40.654</v>
      </c>
      <c r="BS119" s="253" t="n">
        <v>41.704</v>
      </c>
      <c r="BT119" s="253" t="n">
        <v>41.93</v>
      </c>
      <c r="BU119" s="253" t="n">
        <v>32.379</v>
      </c>
      <c r="BV119" s="253" t="n">
        <v>156.667</v>
      </c>
      <c r="BW119" s="253" t="n">
        <v>44.269</v>
      </c>
      <c r="BX119" s="253" t="n">
        <v>45.31</v>
      </c>
      <c r="BY119" s="253" t="n">
        <v>52.331</v>
      </c>
      <c r="BZ119" s="254">
        <f>$CQ$22</f>
        <v>46.1</v>
      </c>
      <c r="CA119" s="254">
        <f>SUM(BW119:BZ119)</f>
        <v>188.01</v>
      </c>
      <c r="CB119" s="254">
        <f>CB127*CB120</f>
        <v>201.514846493013</v>
      </c>
      <c r="CC119" s="254">
        <f>CC127*CC120</f>
        <v>222.3511309141</v>
      </c>
      <c r="CD119" s="254">
        <f>CD127*CD120</f>
        <v>243.347261086416</v>
      </c>
      <c r="CE119" s="254">
        <f>CE127*CE120</f>
        <v>264.758116730395</v>
      </c>
      <c r="CF119" s="254">
        <f>CF127*CF120</f>
        <v>286.305123956207</v>
      </c>
      <c r="CG119" s="19" t="inlineStr">
        <is>
          <t>Q4/26E: FY26 guidance ($188m) − 9M actual. 2027E+: % of revenue. FICO excludes share-based compensation from non-GAAP; the DCF deducts it.</t>
        </is>
      </c>
      <c r="CI119" s="20">
        <f>IFERROR((CF119/CA119)^(1/5)-1,"n/m")</f>
        <v>0.0877513581880169</v>
      </c>
      <c r="CJ119" s="20">
        <f>IFERROR((BV119/AW119)^(1/5)-1,"n/m")</f>
        <v>0.108320080544491</v>
      </c>
      <c r="CK119" s="20">
        <f>IFERROR((BV119/X119)^(1/10)-1,"n/m")</f>
        <v>0.13208819965514</v>
      </c>
      <c r="CL119" s="20">
        <f>IFERROR((BV119/C119)^(1/19)-1,"n/m")</f>
        <v>0.0716297139596342</v>
      </c>
    </row>
    <row r="120" ht="15" customHeight="1" s="251">
      <c r="B120" s="25" t="inlineStr">
        <is>
          <t xml:space="preserve">  Share-based compensation % of revenue</t>
        </is>
      </c>
      <c r="C120" s="215">
        <f>IF(AND(ISNUMBER(C119),ISNUMBER(C127)),IFERROR(C119/C127,""),"")</f>
        <v>0.0509895621936961</v>
      </c>
      <c r="D120" s="215">
        <f>IF(AND(ISNUMBER(D119),ISNUMBER(D127)),IFERROR(D119/D127,""),"")</f>
        <v>0.0441004772352463</v>
      </c>
      <c r="E120" s="215">
        <f>IF(AND(ISNUMBER(E119),ISNUMBER(E127)),IFERROR(E119/E127,""),"")</f>
        <v>0.0372213167356298</v>
      </c>
      <c r="F120" s="215">
        <f>IF(AND(ISNUMBER(F119),ISNUMBER(F127)),IFERROR(F119/F127,""),"")</f>
        <v>0.0316059834954458</v>
      </c>
      <c r="G120" s="215">
        <f>IF(AND(ISNUMBER(G119),ISNUMBER(G127)),IFERROR(G119/G127,""),"")</f>
        <v>0.028572938183055</v>
      </c>
      <c r="H120" s="215">
        <f>IF(AND(ISNUMBER(H119),ISNUMBER(H127)),IFERROR(H119/H127,""),"")</f>
        <v>0.0250127887968526</v>
      </c>
      <c r="I120" s="215">
        <f>IF(AND(ISNUMBER(I119),ISNUMBER(I127)),IFERROR(I119/I127,""),"")</f>
        <v>0.031384207810793</v>
      </c>
      <c r="J120" s="215">
        <f>IF(AND(ISNUMBER(J119),ISNUMBER(J127)),IFERROR(J119/J127,""),"")</f>
        <v>0.0306915061572466</v>
      </c>
      <c r="K120" s="215">
        <f>IF(AND(ISNUMBER(K119),ISNUMBER(K127)),IFERROR(K119/K127,""),"")</f>
        <v>0.0357618848459501</v>
      </c>
      <c r="L120" s="215">
        <f>IF(AND(ISNUMBER(L119),ISNUMBER(L127)),IFERROR(L119/L127,""),"")</f>
        <v>0.0361970267505387</v>
      </c>
      <c r="M120" s="215">
        <f>IF(AND(ISNUMBER(M119),ISNUMBER(M127)),IFERROR(M119/M127,""),"")</f>
        <v>0.0365318635821507</v>
      </c>
      <c r="N120" s="215">
        <f>IF(AND(ISNUMBER(N119),ISNUMBER(N127)),IFERROR(N119/N127,""),"")</f>
        <v>0.0347706081426442</v>
      </c>
      <c r="O120" s="215">
        <f>IF(AND(ISNUMBER(O119),ISNUMBER(O127)),IFERROR(O119/O127,""),"")</f>
        <v>0.0392474897338114</v>
      </c>
      <c r="P120" s="215">
        <f>IF(AND(ISNUMBER(P119),ISNUMBER(P127)),IFERROR(P119/P127,""),"")</f>
        <v>0.0488024500975941</v>
      </c>
      <c r="Q120" s="215">
        <f>IF(AND(ISNUMBER(Q119),ISNUMBER(Q127)),IFERROR(Q119/Q127,""),"")</f>
        <v>0.0472901168969182</v>
      </c>
      <c r="R120" s="215">
        <f>IF(AND(ISNUMBER(R119),ISNUMBER(R127)),IFERROR(R119/R127,""),"")</f>
        <v>0.0484316468836034</v>
      </c>
      <c r="S120" s="215">
        <f>IF(AND(ISNUMBER(S119),ISNUMBER(S127)),IFERROR(S119/S127,""),"")</f>
        <v>0.0460870612242311</v>
      </c>
      <c r="T120" s="215">
        <f>IF(AND(ISNUMBER(T119),ISNUMBER(T127)),IFERROR(T119/T127,""),"")</f>
        <v>0.0463940912687945</v>
      </c>
      <c r="U120" s="215">
        <f>IF(AND(ISNUMBER(U119),ISNUMBER(U127)),IFERROR(U119/U127,""),"")</f>
        <v>0.0569844864298509</v>
      </c>
      <c r="V120" s="215">
        <f>IF(AND(ISNUMBER(V119),ISNUMBER(V127)),IFERROR(V119/V127,""),"")</f>
        <v>0.0581087664663795</v>
      </c>
      <c r="W120" s="215">
        <f>IF(AND(ISNUMBER(W119),ISNUMBER(W127)),IFERROR(W119/W127,""),"")</f>
        <v>0.053901940229253</v>
      </c>
      <c r="X120" s="215">
        <f>IF(AND(ISNUMBER(X119),ISNUMBER(X127)),IFERROR(X119/X127,""),"")</f>
        <v>0.0540164834444271</v>
      </c>
      <c r="Y120" s="215">
        <f>IF(AND(ISNUMBER(Y119),ISNUMBER(Y127)),IFERROR(Y119/Y127,""),"")</f>
        <v>0.0734720806093684</v>
      </c>
      <c r="Z120" s="215">
        <f>IF(AND(ISNUMBER(Z119),ISNUMBER(Z127)),IFERROR(Z119/Z127,""),"")</f>
        <v>0.0658028430698962</v>
      </c>
      <c r="AA120" s="215">
        <f>IF(AND(ISNUMBER(AA119),ISNUMBER(AA127)),IFERROR(AA119/AA127,""),"")</f>
        <v>0.0561358249084924</v>
      </c>
      <c r="AB120" s="215">
        <f>IF(AND(ISNUMBER(AB119),ISNUMBER(AB127)),IFERROR(AB119/AB127,""),"")</f>
        <v>0.0585394192278988</v>
      </c>
      <c r="AC120" s="215">
        <f>IF(AND(ISNUMBER(AC119),ISNUMBER(AC127)),IFERROR(AC119/AC127,""),"")</f>
        <v>0.0629813605398954</v>
      </c>
      <c r="AD120" s="215">
        <f>IF(AND(ISNUMBER(AD119),ISNUMBER(AD127)),IFERROR(AD119/AD127,""),"")</f>
        <v>0.0661156648451731</v>
      </c>
      <c r="AE120" s="215">
        <f>IF(AND(ISNUMBER(AE119),ISNUMBER(AE127)),IFERROR(AE119/AE127,""),"")</f>
        <v>0.0644195150145811</v>
      </c>
      <c r="AF120" s="215">
        <f>IF(AND(ISNUMBER(AF119),ISNUMBER(AF127)),IFERROR(AF119/AF127,""),"")</f>
        <v>0.0619734529365416</v>
      </c>
      <c r="AG120" s="215">
        <f>IF(AND(ISNUMBER(AG119),ISNUMBER(AG127)),IFERROR(AG119/AG127,""),"")</f>
        <v>0.0698090480045813</v>
      </c>
      <c r="AH120" s="215">
        <f>IF(AND(ISNUMBER(AH119),ISNUMBER(AH127)),IFERROR(AH119/AH127,""),"")</f>
        <v>0.0656769319726359</v>
      </c>
      <c r="AI120" s="215">
        <f>IF(AND(ISNUMBER(AI119),ISNUMBER(AI127)),IFERROR(AI119/AI127,""),"")</f>
        <v>0.0701594842789211</v>
      </c>
      <c r="AJ120" s="215">
        <f>IF(AND(ISNUMBER(AJ119),ISNUMBER(AJ127)),IFERROR(AJ119/AJ127,""),"")</f>
        <v>0.0746108323185629</v>
      </c>
      <c r="AK120" s="215">
        <f>IF(AND(ISNUMBER(AK119),ISNUMBER(AK127)),IFERROR(AK119/AK127,""),"")</f>
        <v>0.0727654573129612</v>
      </c>
      <c r="AL120" s="215">
        <f>IF(AND(ISNUMBER(AL119),ISNUMBER(AL127)),IFERROR(AL119/AL127,""),"")</f>
        <v>0.0721359872190314</v>
      </c>
      <c r="AM120" s="215">
        <f>IF(AND(ISNUMBER(AM119),ISNUMBER(AM127)),IFERROR(AM119/AM127,""),"")</f>
        <v>0.07246083440277</v>
      </c>
      <c r="AN120" s="215">
        <f>IF(AND(ISNUMBER(AN119),ISNUMBER(AN127)),IFERROR(AN119/AN127,""),"")</f>
        <v>0.0833307912879019</v>
      </c>
      <c r="AO120" s="215">
        <f>IF(AND(ISNUMBER(AO119),ISNUMBER(AO127)),IFERROR(AO119/AO127,""),"")</f>
        <v>0.073614295880446</v>
      </c>
      <c r="AP120" s="215">
        <f>IF(AND(ISNUMBER(AP119),ISNUMBER(AP127)),IFERROR(AP119/AP127,""),"")</f>
        <v>0.0623550114717947</v>
      </c>
      <c r="AQ120" s="215">
        <f>IF(AND(ISNUMBER(AQ119),ISNUMBER(AQ127)),IFERROR(AQ119/AQ127,""),"")</f>
        <v>0.0689124397400964</v>
      </c>
      <c r="AR120" s="215">
        <f>IF(AND(ISNUMBER(AR119),ISNUMBER(AR127)),IFERROR(AR119/AR127,""),"")</f>
        <v>0.0715233306582374</v>
      </c>
      <c r="AS120" s="215">
        <f>IF(AND(ISNUMBER(AS119),ISNUMBER(AS127)),IFERROR(AS119/AS127,""),"")</f>
        <v>0.0775366494251333</v>
      </c>
      <c r="AT120" s="215">
        <f>IF(AND(ISNUMBER(AT119),ISNUMBER(AT127)),IFERROR(AT119/AT127,""),"")</f>
        <v>0.0739939799526579</v>
      </c>
      <c r="AU120" s="215">
        <f>IF(AND(ISNUMBER(AU119),ISNUMBER(AU127)),IFERROR(AU119/AU127,""),"")</f>
        <v>0.0709652536727324</v>
      </c>
      <c r="AV120" s="215">
        <f>IF(AND(ISNUMBER(AV119),ISNUMBER(AV127)),IFERROR(AV119/AV127,""),"")</f>
        <v>0.0680742394939576</v>
      </c>
      <c r="AW120" s="215">
        <f>IF(AND(ISNUMBER(AW119),ISNUMBER(AW127)),IFERROR(AW119/AW127,""),"")</f>
        <v>0.0723650161212827</v>
      </c>
      <c r="AX120" s="215">
        <f>IF(AND(ISNUMBER(AX119),ISNUMBER(AX127)),IFERROR(AX119/AX127,""),"")</f>
        <v>0.0804445383369503</v>
      </c>
      <c r="AY120" s="215">
        <f>IF(AND(ISNUMBER(AY119),ISNUMBER(AY127)),IFERROR(AY119/AY127,""),"")</f>
        <v>0.085121664891161</v>
      </c>
      <c r="AZ120" s="215">
        <f>IF(AND(ISNUMBER(AZ119),ISNUMBER(AZ127)),IFERROR(AZ119/AZ127,""),"")</f>
        <v>0.0909593594019823</v>
      </c>
      <c r="BA120" s="215">
        <f>IF(AND(ISNUMBER(BA119),ISNUMBER(BA127)),IFERROR(BA119/BA127,""),"")</f>
        <v>0.0847577687647388</v>
      </c>
      <c r="BB120" s="215">
        <f>IF(AND(ISNUMBER(BB119),ISNUMBER(BB127)),IFERROR(BB119/BB127,""),"")</f>
        <v>0.0854188567574301</v>
      </c>
      <c r="BC120" s="215">
        <f>IF(AND(ISNUMBER(BC119),ISNUMBER(BC127)),IFERROR(BC119/BC127,""),"")</f>
        <v>0.0926849091546434</v>
      </c>
      <c r="BD120" s="215">
        <f>IF(AND(ISNUMBER(BD119),ISNUMBER(BD127)),IFERROR(BD119/BD127,""),"")</f>
        <v>0.0782093814303112</v>
      </c>
      <c r="BE120" s="215">
        <f>IF(AND(ISNUMBER(BE119),ISNUMBER(BE127)),IFERROR(BE119/BE127,""),"")</f>
        <v>0.0818102623178189</v>
      </c>
      <c r="BF120" s="215">
        <f>IF(AND(ISNUMBER(BF119),ISNUMBER(BF127)),IFERROR(BF119/BF127,""),"")</f>
        <v>0.0831316595363988</v>
      </c>
      <c r="BG120" s="215">
        <f>IF(AND(ISNUMBER(BG119),ISNUMBER(BG127)),IFERROR(BG119/BG127,""),"")</f>
        <v>0.083756271464564</v>
      </c>
      <c r="BH120" s="215">
        <f>IF(AND(ISNUMBER(BH119),ISNUMBER(BH127)),IFERROR(BH119/BH127,""),"")</f>
        <v>0.0861252065995883</v>
      </c>
      <c r="BI120" s="215">
        <f>IF(AND(ISNUMBER(BI119),ISNUMBER(BI127)),IFERROR(BI119/BI127,""),"")</f>
        <v>0.0711423056492034</v>
      </c>
      <c r="BJ120" s="215">
        <f>IF(AND(ISNUMBER(BJ119),ISNUMBER(BJ127)),IFERROR(BJ119/BJ127,""),"")</f>
        <v>0.0827589493538807</v>
      </c>
      <c r="BK120" s="215">
        <f>IF(AND(ISNUMBER(BK119),ISNUMBER(BK127)),IFERROR(BK119/BK127,""),"")</f>
        <v>0.0874881008280028</v>
      </c>
      <c r="BL120" s="215">
        <f>IF(AND(ISNUMBER(BL119),ISNUMBER(BL127)),IFERROR(BL119/BL127,""),"")</f>
        <v>0.0818251311315002</v>
      </c>
      <c r="BM120" s="215">
        <f>IF(AND(ISNUMBER(BM119),ISNUMBER(BM127)),IFERROR(BM119/BM127,""),"")</f>
        <v>0.0826416862317077</v>
      </c>
      <c r="BN120" s="215">
        <f>IF(AND(ISNUMBER(BN119),ISNUMBER(BN127)),IFERROR(BN119/BN127,""),"")</f>
        <v>0.0817133807735662</v>
      </c>
      <c r="BO120" s="215">
        <f>IF(AND(ISNUMBER(BO119),ISNUMBER(BO127)),IFERROR(BO119/BO127,""),"")</f>
        <v>0.0947529189525934</v>
      </c>
      <c r="BP120" s="215">
        <f>IF(AND(ISNUMBER(BP119),ISNUMBER(BP127)),IFERROR(BP119/BP127,""),"")</f>
        <v>0.0881031447150674</v>
      </c>
      <c r="BQ120" s="215">
        <f>IF(AND(ISNUMBER(BQ119),ISNUMBER(BQ127)),IFERROR(BQ119/BQ127,""),"")</f>
        <v>0.0870082898308381</v>
      </c>
      <c r="BR120" s="215">
        <f>IF(AND(ISNUMBER(BR119),ISNUMBER(BR127)),IFERROR(BR119/BR127,""),"")</f>
        <v>0.0924021747036148</v>
      </c>
      <c r="BS120" s="215">
        <f>IF(AND(ISNUMBER(BS119),ISNUMBER(BS127)),IFERROR(BS119/BS127,""),"")</f>
        <v>0.0836195574804255</v>
      </c>
      <c r="BT120" s="215">
        <f>IF(AND(ISNUMBER(BT119),ISNUMBER(BT127)),IFERROR(BT119/BT127,""),"")</f>
        <v>0.0781670907785949</v>
      </c>
      <c r="BU120" s="215">
        <f>IF(AND(ISNUMBER(BU119),ISNUMBER(BU127)),IFERROR(BU119/BU127,""),"")</f>
        <v>0.0627802951424234</v>
      </c>
      <c r="BV120" s="215">
        <f>IF(AND(ISNUMBER(BV119),ISNUMBER(BV127)),IFERROR(BV119/BV127,""),"")</f>
        <v>0.0786927718498806</v>
      </c>
      <c r="BW120" s="215">
        <f>IF(AND(ISNUMBER(BW119),ISNUMBER(BW127)),IFERROR(BW119/BW127,""),"")</f>
        <v>0.0864698149656515</v>
      </c>
      <c r="BX120" s="215">
        <f>IF(AND(ISNUMBER(BX119),ISNUMBER(BX127)),IFERROR(BX119/BX127,""),"")</f>
        <v>0.065507455069346</v>
      </c>
      <c r="BY120" s="215">
        <f>IF(AND(ISNUMBER(BY119),ISNUMBER(BY127)),IFERROR(BY119/BY127,""),"")</f>
        <v>0.0776207823337111</v>
      </c>
      <c r="BZ120" s="256">
        <f>IF(AND(ISNUMBER(BZ119),ISNUMBER(BZ127)),IFERROR(BZ119/BZ127,""),"")</f>
        <v>0.0706864404700572</v>
      </c>
      <c r="CA120" s="256">
        <f>IF(AND(ISNUMBER(CA119),ISNUMBER(CA127)),IFERROR(CA119/CA127,""),"")</f>
        <v>0.0743122529644269</v>
      </c>
      <c r="CB120" s="265" t="n">
        <v>0.07199999999999999</v>
      </c>
      <c r="CC120" s="265" t="n">
        <v>0.07199999999999999</v>
      </c>
      <c r="CD120" s="265" t="n">
        <v>0.07199999999999999</v>
      </c>
      <c r="CE120" s="265" t="n">
        <v>0.07199999999999999</v>
      </c>
      <c r="CF120" s="265" t="n">
        <v>0.07199999999999999</v>
      </c>
      <c r="CG120" s="153" t="n"/>
      <c r="CI120" s="37">
        <f>IFERROR(AVERAGE(CB120,CC120,CD120,CE120,CF120),"n/m")</f>
        <v>0.072</v>
      </c>
      <c r="CJ120" s="37">
        <f>IFERROR(AVERAGE(BB120,BG120,BL120,BQ120,BV120),"n/m")</f>
        <v>0.0833402642068426</v>
      </c>
      <c r="CK120" s="37">
        <f>IFERROR(AVERAGE(AC120,AH120,AM120,AR120,AW120,BB120,BG120,BL120,BQ120,BV120),"n/m")</f>
        <v>0.0761708794729034</v>
      </c>
      <c r="CL120" s="37">
        <f>IFERROR(AVERAGE(C120,D120,E120,F120,G120,H120,I120,N120,S120,X120,AC120,AH120,AM120,AR120,AW120,BB120,BG120,BL120,BQ120,BV120),"n/m")</f>
        <v>0.0572735110995528</v>
      </c>
    </row>
    <row r="121" ht="15" customHeight="1" s="251">
      <c r="B121" s="25" t="inlineStr">
        <is>
          <t xml:space="preserve">  Amortization of acquired intangibles (unallocated)</t>
        </is>
      </c>
      <c r="C121" s="253" t="n">
        <v>0</v>
      </c>
      <c r="D121" s="253" t="n">
        <v>0</v>
      </c>
      <c r="E121" s="253" t="n">
        <v>0</v>
      </c>
      <c r="F121" s="253" t="n">
        <v>0</v>
      </c>
      <c r="G121" s="253" t="n">
        <v>10.901</v>
      </c>
      <c r="H121" s="253" t="n">
        <v>7.741</v>
      </c>
      <c r="I121" s="253" t="n">
        <v>6.944</v>
      </c>
      <c r="J121" s="253" t="n">
        <v>3.372</v>
      </c>
      <c r="K121" s="253" t="n">
        <v>3.604</v>
      </c>
      <c r="L121" s="253" t="n">
        <v>3.477</v>
      </c>
      <c r="M121" s="253" t="n">
        <v>3.082</v>
      </c>
      <c r="N121" s="253" t="n">
        <v>13.535</v>
      </c>
      <c r="O121" s="253" t="n">
        <v>3.013</v>
      </c>
      <c r="P121" s="253" t="n">
        <v>2.908</v>
      </c>
      <c r="Q121" s="253" t="n">
        <v>3.019</v>
      </c>
      <c r="R121" s="253" t="n">
        <v>2.977</v>
      </c>
      <c r="S121" s="253" t="n">
        <v>11.917</v>
      </c>
      <c r="T121" s="253" t="n">
        <v>2.932</v>
      </c>
      <c r="U121" s="253" t="n">
        <v>3.515</v>
      </c>
      <c r="V121" s="253" t="n">
        <v>3.599</v>
      </c>
      <c r="W121" s="253" t="n">
        <v>3.627</v>
      </c>
      <c r="X121" s="253" t="n">
        <v>13.673</v>
      </c>
      <c r="Y121" s="253" t="n">
        <v>3.58</v>
      </c>
      <c r="Z121" s="253" t="n">
        <v>3.507</v>
      </c>
      <c r="AA121" s="253" t="n">
        <v>3.486</v>
      </c>
      <c r="AB121" s="253" t="n">
        <v>3.409</v>
      </c>
      <c r="AC121" s="253" t="n">
        <v>13.982</v>
      </c>
      <c r="AD121" s="253" t="n">
        <v>3.32</v>
      </c>
      <c r="AE121" s="253" t="n">
        <v>3.312</v>
      </c>
      <c r="AF121" s="253" t="n">
        <v>3.365</v>
      </c>
      <c r="AG121" s="253" t="n">
        <v>2.712</v>
      </c>
      <c r="AH121" s="253" t="n">
        <v>12.709</v>
      </c>
      <c r="AI121" s="253" t="n">
        <v>1.788</v>
      </c>
      <c r="AJ121" s="253" t="n">
        <v>1.684</v>
      </c>
      <c r="AK121" s="253" t="n">
        <v>1.571</v>
      </c>
      <c r="AL121" s="253" t="n">
        <v>1.551</v>
      </c>
      <c r="AM121" s="253" t="n">
        <v>6.594</v>
      </c>
      <c r="AN121" s="253" t="n">
        <v>1.502</v>
      </c>
      <c r="AO121" s="253" t="n">
        <v>1.503</v>
      </c>
      <c r="AP121" s="253" t="n">
        <v>1.448</v>
      </c>
      <c r="AQ121" s="253" t="n">
        <v>1.673</v>
      </c>
      <c r="AR121" s="253" t="n">
        <v>6.126</v>
      </c>
      <c r="AS121" s="253" t="n">
        <v>1.796</v>
      </c>
      <c r="AT121" s="253" t="n">
        <v>1.202</v>
      </c>
      <c r="AU121" s="253" t="n">
        <v>1.048</v>
      </c>
      <c r="AV121" s="253" t="n">
        <v>0.947</v>
      </c>
      <c r="AW121" s="253" t="n">
        <v>4.993</v>
      </c>
      <c r="AX121" s="253" t="n">
        <v>0.9370000000000001</v>
      </c>
      <c r="AY121" s="253" t="n">
        <v>0.945</v>
      </c>
      <c r="AZ121" s="253" t="n">
        <v>0.8100000000000001</v>
      </c>
      <c r="BA121" s="253" t="n">
        <v>0.5629999999999999</v>
      </c>
      <c r="BB121" s="253" t="n">
        <v>3.255</v>
      </c>
      <c r="BC121" s="253" t="n">
        <v>0.544</v>
      </c>
      <c r="BD121" s="253" t="n">
        <v>0.543</v>
      </c>
      <c r="BE121" s="253" t="n">
        <v>0.532</v>
      </c>
      <c r="BF121" s="253" t="n">
        <v>0.442</v>
      </c>
      <c r="BG121" s="253" t="n">
        <v>2.061</v>
      </c>
      <c r="BH121" s="253" t="n">
        <v>0.275</v>
      </c>
      <c r="BI121" s="253" t="n">
        <v>0.275</v>
      </c>
      <c r="BJ121" s="253" t="n">
        <v>0.275</v>
      </c>
      <c r="BK121" s="253" t="n">
        <v>0.275</v>
      </c>
      <c r="BL121" s="253" t="n">
        <v>1.1</v>
      </c>
      <c r="BM121" s="253" t="n">
        <v>0.275</v>
      </c>
      <c r="BN121" s="253" t="n">
        <v>0.275</v>
      </c>
      <c r="BO121" s="253" t="n">
        <v>0.275</v>
      </c>
      <c r="BP121" s="253" t="n">
        <v>0.092</v>
      </c>
      <c r="BQ121" s="253" t="n">
        <v>0.917</v>
      </c>
      <c r="BR121" s="253" t="n">
        <v>0</v>
      </c>
      <c r="BS121" s="253" t="n">
        <v>0</v>
      </c>
      <c r="BT121" s="253" t="n">
        <v>0</v>
      </c>
      <c r="BU121" s="253" t="n">
        <v>0</v>
      </c>
      <c r="BV121" s="253" t="n">
        <v>0</v>
      </c>
      <c r="BW121" s="253" t="n">
        <v>0</v>
      </c>
      <c r="BX121" s="253" t="n">
        <v>0</v>
      </c>
      <c r="BY121" s="253" t="n">
        <v>0</v>
      </c>
      <c r="BZ121" s="277" t="n">
        <v>0</v>
      </c>
      <c r="CA121" s="254">
        <f>SUM(BW121:BZ121)</f>
        <v>0</v>
      </c>
      <c r="CB121" s="254">
        <f>N(CB84)</f>
        <v>0</v>
      </c>
      <c r="CC121" s="254">
        <f>N(CC84)</f>
        <v>0</v>
      </c>
      <c r="CD121" s="254">
        <f>N(CD84)</f>
        <v>0</v>
      </c>
      <c r="CE121" s="254">
        <f>N(CE84)</f>
        <v>0</v>
      </c>
      <c r="CF121" s="254">
        <f>N(CF84)</f>
        <v>0</v>
      </c>
      <c r="CG121" s="19" t="inlineStr">
        <is>
          <t>Fully amortized during FY2025 (FY2024 $0.9m); 2027E+: future acquisitions only. FY2006–09 amortization sat inside segment results (not adjusted).</t>
        </is>
      </c>
    </row>
    <row r="122" ht="15" customHeight="1" s="251">
      <c r="B122" s="25" t="inlineStr">
        <is>
          <t xml:space="preserve">  Restructuring, impairment &amp; acquisition-related charges</t>
        </is>
      </c>
      <c r="C122" s="253" t="n">
        <v>19.662</v>
      </c>
      <c r="D122" s="253" t="n">
        <v>2.455</v>
      </c>
      <c r="E122" s="253" t="n">
        <v>10.166</v>
      </c>
      <c r="F122" s="253" t="n">
        <v>8.711</v>
      </c>
      <c r="G122" s="253" t="n">
        <v>1.617</v>
      </c>
      <c r="H122" s="253" t="n">
        <v>12.391</v>
      </c>
      <c r="I122" s="253" t="n">
        <v>5.125</v>
      </c>
      <c r="J122" s="253" t="n">
        <v>3.289</v>
      </c>
      <c r="K122" s="253" t="n">
        <v>0</v>
      </c>
      <c r="L122" s="253" t="n">
        <v>0.197</v>
      </c>
      <c r="M122" s="253" t="n">
        <v>0</v>
      </c>
      <c r="N122" s="253" t="n">
        <v>3.486</v>
      </c>
      <c r="O122" s="253" t="n">
        <v>3.66</v>
      </c>
      <c r="P122" s="253" t="n">
        <v>0</v>
      </c>
      <c r="Q122" s="253" t="n">
        <v>0.621</v>
      </c>
      <c r="R122" s="253" t="n">
        <v>0</v>
      </c>
      <c r="S122" s="253" t="n">
        <v>4.281</v>
      </c>
      <c r="T122" s="253" t="n">
        <v>0</v>
      </c>
      <c r="U122" s="253" t="n">
        <v>0</v>
      </c>
      <c r="V122" s="253" t="n">
        <v>2.256</v>
      </c>
      <c r="W122" s="253" t="n">
        <v>15.986</v>
      </c>
      <c r="X122" s="253" t="n">
        <v>18.242</v>
      </c>
      <c r="Y122" s="253" t="n">
        <v>0</v>
      </c>
      <c r="Z122" s="253" t="n">
        <v>0</v>
      </c>
      <c r="AA122" s="253" t="n">
        <v>0</v>
      </c>
      <c r="AB122" s="253" t="n">
        <v>0</v>
      </c>
      <c r="AC122" s="253" t="n">
        <v>0</v>
      </c>
      <c r="AD122" s="253" t="n">
        <v>0</v>
      </c>
      <c r="AE122" s="253" t="n">
        <v>0</v>
      </c>
      <c r="AF122" s="253" t="n">
        <v>4.471</v>
      </c>
      <c r="AG122" s="253" t="n">
        <v>0</v>
      </c>
      <c r="AH122" s="253" t="n">
        <v>4.471</v>
      </c>
      <c r="AI122" s="253" t="n">
        <v>0</v>
      </c>
      <c r="AJ122" s="253" t="n">
        <v>0</v>
      </c>
      <c r="AK122" s="253" t="n">
        <v>0</v>
      </c>
      <c r="AL122" s="253" t="n">
        <v>0</v>
      </c>
      <c r="AM122" s="253" t="n">
        <v>0</v>
      </c>
      <c r="AN122" s="253" t="n">
        <v>0</v>
      </c>
      <c r="AO122" s="253" t="n">
        <v>0</v>
      </c>
      <c r="AP122" s="253" t="n">
        <v>0</v>
      </c>
      <c r="AQ122" s="253" t="n">
        <v>0</v>
      </c>
      <c r="AR122" s="253" t="n">
        <v>0</v>
      </c>
      <c r="AS122" s="253" t="n">
        <v>3.104</v>
      </c>
      <c r="AT122" s="253" t="n">
        <v>0</v>
      </c>
      <c r="AU122" s="253" t="n">
        <v>0</v>
      </c>
      <c r="AV122" s="253" t="n">
        <v>41.925</v>
      </c>
      <c r="AW122" s="253" t="n">
        <v>45.029</v>
      </c>
      <c r="AX122" s="253" t="n">
        <v>0</v>
      </c>
      <c r="AY122" s="253" t="n">
        <v>0</v>
      </c>
      <c r="AZ122" s="253" t="n">
        <v>0</v>
      </c>
      <c r="BA122" s="253" t="n">
        <v>7.957</v>
      </c>
      <c r="BB122" s="253" t="n">
        <v>7.957</v>
      </c>
      <c r="BC122" s="253" t="n">
        <v>0</v>
      </c>
      <c r="BD122" s="253" t="n">
        <v>0</v>
      </c>
      <c r="BE122" s="253" t="n">
        <v>0</v>
      </c>
      <c r="BF122" s="253" t="n">
        <v>0</v>
      </c>
      <c r="BG122" s="253" t="n">
        <v>0</v>
      </c>
      <c r="BH122" s="253" t="n">
        <v>0</v>
      </c>
      <c r="BI122" s="253" t="n">
        <v>0</v>
      </c>
      <c r="BJ122" s="253" t="n">
        <v>0</v>
      </c>
      <c r="BK122" s="253" t="n">
        <v>0</v>
      </c>
      <c r="BL122" s="253" t="n">
        <v>0</v>
      </c>
      <c r="BM122" s="253" t="n">
        <v>0</v>
      </c>
      <c r="BN122" s="253" t="n">
        <v>0</v>
      </c>
      <c r="BO122" s="253" t="n">
        <v>0</v>
      </c>
      <c r="BP122" s="253" t="n">
        <v>0</v>
      </c>
      <c r="BQ122" s="253" t="n">
        <v>0</v>
      </c>
      <c r="BR122" s="253" t="n">
        <v>0</v>
      </c>
      <c r="BS122" s="253" t="n">
        <v>0</v>
      </c>
      <c r="BT122" s="253" t="n">
        <v>0</v>
      </c>
      <c r="BU122" s="253" t="n">
        <v>10.922</v>
      </c>
      <c r="BV122" s="253" t="n">
        <v>10.922</v>
      </c>
      <c r="BW122" s="253" t="n">
        <v>0</v>
      </c>
      <c r="BX122" s="253" t="n">
        <v>0</v>
      </c>
      <c r="BY122" s="253" t="n">
        <v>0</v>
      </c>
      <c r="BZ122" s="254">
        <f>$CQ$23</f>
        <v>27</v>
      </c>
      <c r="CA122" s="254">
        <f>SUM(BW122:BZ122)</f>
        <v>27</v>
      </c>
      <c r="CB122" s="277" t="n">
        <v>5</v>
      </c>
      <c r="CC122" s="277" t="n">
        <v>0</v>
      </c>
      <c r="CD122" s="277" t="n">
        <v>0</v>
      </c>
      <c r="CE122" s="277" t="n">
        <v>0</v>
      </c>
      <c r="CF122" s="277" t="n">
        <v>0</v>
      </c>
      <c r="CG122" s="19" t="inlineStr">
        <is>
          <t>Workforce reduction of ~15% of positions (fewer layers, simpler operating structure, AI-driven product development); ~$27.0m pre-tax charges in Q4 FY26, substantially all cash; plan substantially complete by end of Q3 FY27. Announced after the 29-Jul-2026 guidance; restructuring is excluded from FICO's non-GAAP measures.</t>
        </is>
      </c>
    </row>
    <row r="123" ht="15" customHeight="1" s="251">
      <c r="B123" s="25" t="inlineStr">
        <is>
          <t xml:space="preserve">  (Gains) / losses on product-line and business sales</t>
        </is>
      </c>
      <c r="C123" s="253" t="n">
        <v>0</v>
      </c>
      <c r="D123" s="253" t="n">
        <v>-1.541</v>
      </c>
      <c r="E123" s="253" t="n">
        <v>0</v>
      </c>
      <c r="F123" s="253" t="n">
        <v>2.993</v>
      </c>
      <c r="G123" s="253" t="n">
        <v>0</v>
      </c>
      <c r="H123" s="253" t="n">
        <v>0</v>
      </c>
      <c r="I123" s="253" t="n">
        <v>0</v>
      </c>
      <c r="J123" s="253" t="n">
        <v>0</v>
      </c>
      <c r="K123" s="253" t="n">
        <v>0</v>
      </c>
      <c r="L123" s="253" t="n">
        <v>0</v>
      </c>
      <c r="M123" s="253" t="n">
        <v>0</v>
      </c>
      <c r="N123" s="253" t="n">
        <v>0</v>
      </c>
      <c r="O123" s="253" t="n">
        <v>0</v>
      </c>
      <c r="P123" s="253" t="n">
        <v>0</v>
      </c>
      <c r="Q123" s="253" t="n">
        <v>0</v>
      </c>
      <c r="R123" s="253" t="n">
        <v>0</v>
      </c>
      <c r="S123" s="253" t="n">
        <v>0</v>
      </c>
      <c r="T123" s="253" t="n">
        <v>0</v>
      </c>
      <c r="U123" s="253" t="n">
        <v>0</v>
      </c>
      <c r="V123" s="253" t="n">
        <v>0</v>
      </c>
      <c r="W123" s="253" t="n">
        <v>0</v>
      </c>
      <c r="X123" s="253" t="n">
        <v>0</v>
      </c>
      <c r="Y123" s="253" t="n">
        <v>0</v>
      </c>
      <c r="Z123" s="253" t="n">
        <v>0</v>
      </c>
      <c r="AA123" s="253" t="n">
        <v>0</v>
      </c>
      <c r="AB123" s="253" t="n">
        <v>0</v>
      </c>
      <c r="AC123" s="253" t="n">
        <v>0</v>
      </c>
      <c r="AD123" s="253" t="n">
        <v>0</v>
      </c>
      <c r="AE123" s="253" t="n">
        <v>0</v>
      </c>
      <c r="AF123" s="253" t="n">
        <v>0</v>
      </c>
      <c r="AG123" s="253" t="n">
        <v>0</v>
      </c>
      <c r="AH123" s="253" t="n">
        <v>0</v>
      </c>
      <c r="AI123" s="253" t="n">
        <v>0</v>
      </c>
      <c r="AJ123" s="253" t="n">
        <v>0</v>
      </c>
      <c r="AK123" s="253" t="n">
        <v>0</v>
      </c>
      <c r="AL123" s="253" t="n">
        <v>0</v>
      </c>
      <c r="AM123" s="253" t="n">
        <v>0</v>
      </c>
      <c r="AN123" s="253" t="n">
        <v>0</v>
      </c>
      <c r="AO123" s="253" t="n">
        <v>0</v>
      </c>
      <c r="AP123" s="253" t="n">
        <v>0</v>
      </c>
      <c r="AQ123" s="253" t="n">
        <v>0</v>
      </c>
      <c r="AR123" s="253" t="n">
        <v>0</v>
      </c>
      <c r="AS123" s="253" t="n">
        <v>0</v>
      </c>
      <c r="AT123" s="253" t="n">
        <v>0</v>
      </c>
      <c r="AU123" s="253" t="n">
        <v>0</v>
      </c>
      <c r="AV123" s="253" t="n">
        <v>0</v>
      </c>
      <c r="AW123" s="253" t="n">
        <v>0</v>
      </c>
      <c r="AX123" s="253" t="n">
        <v>-7.334</v>
      </c>
      <c r="AY123" s="253" t="n">
        <v>0</v>
      </c>
      <c r="AZ123" s="253" t="n">
        <v>-92.80500000000001</v>
      </c>
      <c r="BA123" s="253" t="n">
        <v>0</v>
      </c>
      <c r="BB123" s="253" t="n">
        <v>-100.139</v>
      </c>
      <c r="BC123" s="253" t="n">
        <v>0</v>
      </c>
      <c r="BD123" s="253" t="n">
        <v>0</v>
      </c>
      <c r="BE123" s="253" t="n">
        <v>0</v>
      </c>
      <c r="BF123" s="253" t="n">
        <v>0</v>
      </c>
      <c r="BG123" s="253" t="n">
        <v>0</v>
      </c>
      <c r="BH123" s="253" t="n">
        <v>-1.941</v>
      </c>
      <c r="BI123" s="253" t="n">
        <v>0</v>
      </c>
      <c r="BJ123" s="253" t="n">
        <v>0</v>
      </c>
      <c r="BK123" s="253" t="n">
        <v>0</v>
      </c>
      <c r="BL123" s="253" t="n">
        <v>-1.941</v>
      </c>
      <c r="BM123" s="253" t="n">
        <v>0</v>
      </c>
      <c r="BN123" s="253" t="n">
        <v>0</v>
      </c>
      <c r="BO123" s="253" t="n">
        <v>0</v>
      </c>
      <c r="BP123" s="253" t="n">
        <v>0</v>
      </c>
      <c r="BQ123" s="253" t="n">
        <v>0</v>
      </c>
      <c r="BR123" s="253" t="n">
        <v>0</v>
      </c>
      <c r="BS123" s="253" t="n">
        <v>0</v>
      </c>
      <c r="BT123" s="253" t="n">
        <v>0</v>
      </c>
      <c r="BU123" s="253" t="n">
        <v>0</v>
      </c>
      <c r="BV123" s="253" t="n">
        <v>0</v>
      </c>
      <c r="BW123" s="253" t="n">
        <v>0</v>
      </c>
      <c r="BX123" s="253" t="n">
        <v>0</v>
      </c>
      <c r="BY123" s="253" t="n">
        <v>0</v>
      </c>
      <c r="BZ123" s="254">
        <f>0</f>
        <v>0</v>
      </c>
      <c r="CA123" s="254">
        <f>SUM(BW123:BZ123)</f>
        <v>0</v>
      </c>
      <c r="CB123" s="254">
        <f>0</f>
        <v>0</v>
      </c>
      <c r="CC123" s="254">
        <f>0</f>
        <v>0</v>
      </c>
      <c r="CD123" s="254">
        <f>0</f>
        <v>0</v>
      </c>
      <c r="CE123" s="254">
        <f>0</f>
        <v>0</v>
      </c>
      <c r="CF123" s="254">
        <f>0</f>
        <v>0</v>
      </c>
      <c r="CG123" s="19" t="n"/>
    </row>
    <row r="124" ht="15" customHeight="1" s="251">
      <c r="B124" s="25" t="inlineStr">
        <is>
          <t xml:space="preserve">  Other income (expense), net — excl. interest (input)</t>
        </is>
      </c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  <c r="AA124" s="34" t="n"/>
      <c r="AB124" s="34" t="n"/>
      <c r="AC124" s="34" t="n"/>
      <c r="AD124" s="34" t="n"/>
      <c r="AE124" s="34" t="n"/>
      <c r="AF124" s="34" t="n"/>
      <c r="AG124" s="34" t="n"/>
      <c r="AH124" s="34" t="n"/>
      <c r="AI124" s="34" t="n"/>
      <c r="AJ124" s="34" t="n"/>
      <c r="AK124" s="34" t="n"/>
      <c r="AL124" s="34" t="n"/>
      <c r="AM124" s="34" t="n"/>
      <c r="AN124" s="34" t="n"/>
      <c r="AO124" s="34" t="n"/>
      <c r="AP124" s="34" t="n"/>
      <c r="AQ124" s="34" t="n"/>
      <c r="AR124" s="34" t="n"/>
      <c r="AS124" s="34" t="n"/>
      <c r="AT124" s="34" t="n"/>
      <c r="AU124" s="34" t="n"/>
      <c r="AV124" s="34" t="n"/>
      <c r="AW124" s="34" t="n"/>
      <c r="AX124" s="34" t="n"/>
      <c r="AY124" s="34" t="n"/>
      <c r="AZ124" s="34" t="n"/>
      <c r="BA124" s="34" t="n"/>
      <c r="BB124" s="34" t="n"/>
      <c r="BC124" s="34" t="n"/>
      <c r="BD124" s="34" t="n"/>
      <c r="BE124" s="34" t="n"/>
      <c r="BF124" s="34" t="n"/>
      <c r="BG124" s="34" t="n"/>
      <c r="BH124" s="34" t="n"/>
      <c r="BI124" s="34" t="n"/>
      <c r="BJ124" s="34" t="n"/>
      <c r="BK124" s="34" t="n"/>
      <c r="BL124" s="34" t="n"/>
      <c r="BM124" s="34" t="n"/>
      <c r="BN124" s="34" t="n"/>
      <c r="BO124" s="34" t="n"/>
      <c r="BP124" s="34" t="n"/>
      <c r="BQ124" s="34" t="n"/>
      <c r="BR124" s="34" t="n"/>
      <c r="BS124" s="34" t="n"/>
      <c r="BT124" s="34" t="n"/>
      <c r="BU124" s="34" t="n"/>
      <c r="BV124" s="34" t="n"/>
      <c r="BW124" s="34" t="n"/>
      <c r="BX124" s="34" t="n"/>
      <c r="BY124" s="34" t="n"/>
      <c r="BZ124" s="254">
        <f>$CQ$20</f>
        <v>3</v>
      </c>
      <c r="CA124" s="35" t="n"/>
      <c r="CB124" s="277" t="n">
        <v>12</v>
      </c>
      <c r="CC124" s="277" t="n">
        <v>12</v>
      </c>
      <c r="CD124" s="277" t="n">
        <v>12</v>
      </c>
      <c r="CE124" s="277" t="n">
        <v>12</v>
      </c>
      <c r="CF124" s="277" t="n">
        <v>12</v>
      </c>
      <c r="CG124" s="19" t="inlineStr">
        <is>
          <t>FX, investment income on marketable securities and rabbi-trust assets. 9M FY26 $9.9m; input (assumption).</t>
        </is>
      </c>
    </row>
    <row r="125" ht="15" customHeight="1" s="251">
      <c r="CO125" s="11" t="n"/>
      <c r="CP125" s="12" t="n"/>
      <c r="CQ125" s="12" t="n"/>
      <c r="CR125" s="12" t="n"/>
      <c r="CS125" s="13" t="n"/>
    </row>
    <row r="126" ht="15" customHeight="1" s="251">
      <c r="B126" s="10" t="inlineStr">
        <is>
          <t>CONDENSED CONSOLIDATED STATEMENTS OF INCOME (US GAAP)</t>
        </is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inlineStr">
        <is>
          <t>CONSOLIDATED IS — forecast logic (operating income = non-GAAP operating income − adjusting items; SG&amp;A implied)</t>
        </is>
      </c>
    </row>
    <row r="127" ht="15" customHeight="1" s="251">
      <c r="B127" s="55" t="inlineStr">
        <is>
          <t>Total revenues</t>
        </is>
      </c>
      <c r="C127" s="278" t="n">
        <v>825.365</v>
      </c>
      <c r="D127" s="278" t="n">
        <v>822.236</v>
      </c>
      <c r="E127" s="278" t="n">
        <v>744.842</v>
      </c>
      <c r="F127" s="278" t="n">
        <v>630.735</v>
      </c>
      <c r="G127" s="278" t="n">
        <v>605.643</v>
      </c>
      <c r="H127" s="278" t="n">
        <v>619.683</v>
      </c>
      <c r="I127" s="278" t="n">
        <v>676.423</v>
      </c>
      <c r="J127" s="278" t="n">
        <v>190.02</v>
      </c>
      <c r="K127" s="278" t="n">
        <v>179.325</v>
      </c>
      <c r="L127" s="278" t="n">
        <v>183.772</v>
      </c>
      <c r="M127" s="278" t="n">
        <v>190.327</v>
      </c>
      <c r="N127" s="278" t="n">
        <v>743.444</v>
      </c>
      <c r="O127" s="278" t="n">
        <v>184.343</v>
      </c>
      <c r="P127" s="278" t="n">
        <v>185.462</v>
      </c>
      <c r="Q127" s="278" t="n">
        <v>197.61</v>
      </c>
      <c r="R127" s="278" t="n">
        <v>221.57</v>
      </c>
      <c r="S127" s="278" t="n">
        <v>788.985</v>
      </c>
      <c r="T127" s="278" t="n">
        <v>189.55</v>
      </c>
      <c r="U127" s="278" t="n">
        <v>207.109</v>
      </c>
      <c r="V127" s="278" t="n">
        <v>209.366</v>
      </c>
      <c r="W127" s="278" t="n">
        <v>232.756</v>
      </c>
      <c r="X127" s="278" t="n">
        <v>838.7809999999999</v>
      </c>
      <c r="Y127" s="278" t="n">
        <v>200.076</v>
      </c>
      <c r="Z127" s="278" t="n">
        <v>206.678</v>
      </c>
      <c r="AA127" s="278" t="n">
        <v>238.778</v>
      </c>
      <c r="AB127" s="278" t="n">
        <v>235.824</v>
      </c>
      <c r="AC127" s="278" t="n">
        <v>881.356</v>
      </c>
      <c r="AD127" s="278" t="n">
        <v>219.6</v>
      </c>
      <c r="AE127" s="278" t="n">
        <v>228.378</v>
      </c>
      <c r="AF127" s="278" t="n">
        <v>230.986</v>
      </c>
      <c r="AG127" s="278" t="n">
        <v>253.205</v>
      </c>
      <c r="AH127" s="278" t="n">
        <v>932.169</v>
      </c>
      <c r="AI127" s="278" t="n">
        <v>235.321</v>
      </c>
      <c r="AJ127" s="278" t="n">
        <v>257.858</v>
      </c>
      <c r="AK127" s="278" t="n">
        <v>259.505</v>
      </c>
      <c r="AL127" s="278" t="n">
        <v>279.791</v>
      </c>
      <c r="AM127" s="278" t="n">
        <v>1032.475</v>
      </c>
      <c r="AN127" s="278" t="n">
        <v>262.256</v>
      </c>
      <c r="AO127" s="278" t="n">
        <v>278.234</v>
      </c>
      <c r="AP127" s="278" t="n">
        <v>314.249</v>
      </c>
      <c r="AQ127" s="278" t="n">
        <v>305.344</v>
      </c>
      <c r="AR127" s="278" t="n">
        <v>1160.083</v>
      </c>
      <c r="AS127" s="278" t="n">
        <v>298.504</v>
      </c>
      <c r="AT127" s="278" t="n">
        <v>307.971</v>
      </c>
      <c r="AU127" s="278" t="n">
        <v>313.731</v>
      </c>
      <c r="AV127" s="278" t="n">
        <v>374.356</v>
      </c>
      <c r="AW127" s="278" t="n">
        <v>1294.562</v>
      </c>
      <c r="AX127" s="278" t="n">
        <v>312.414</v>
      </c>
      <c r="AY127" s="278" t="n">
        <v>331.361</v>
      </c>
      <c r="AZ127" s="278" t="n">
        <v>338.184</v>
      </c>
      <c r="BA127" s="278" t="n">
        <v>334.577</v>
      </c>
      <c r="BB127" s="278" t="n">
        <v>1316.536</v>
      </c>
      <c r="BC127" s="278" t="n">
        <v>322.361</v>
      </c>
      <c r="BD127" s="278" t="n">
        <v>357.195</v>
      </c>
      <c r="BE127" s="278" t="n">
        <v>348.966</v>
      </c>
      <c r="BF127" s="278" t="n">
        <v>348.748</v>
      </c>
      <c r="BG127" s="278" t="n">
        <v>1377.27</v>
      </c>
      <c r="BH127" s="278" t="n">
        <v>344.87</v>
      </c>
      <c r="BI127" s="278" t="n">
        <v>380.266</v>
      </c>
      <c r="BJ127" s="278" t="n">
        <v>398.688</v>
      </c>
      <c r="BK127" s="278" t="n">
        <v>389.733</v>
      </c>
      <c r="BL127" s="278" t="n">
        <v>1513.557</v>
      </c>
      <c r="BM127" s="278" t="n">
        <v>382.059</v>
      </c>
      <c r="BN127" s="278" t="n">
        <v>433.809</v>
      </c>
      <c r="BO127" s="278" t="n">
        <v>447.849</v>
      </c>
      <c r="BP127" s="278" t="n">
        <v>453.809</v>
      </c>
      <c r="BQ127" s="278" t="n">
        <v>1717.526</v>
      </c>
      <c r="BR127" s="278" t="n">
        <v>439.968</v>
      </c>
      <c r="BS127" s="278" t="n">
        <v>498.735</v>
      </c>
      <c r="BT127" s="278" t="n">
        <v>536.415</v>
      </c>
      <c r="BU127" s="278" t="n">
        <v>515.751</v>
      </c>
      <c r="BV127" s="278" t="n">
        <v>1990.869</v>
      </c>
      <c r="BW127" s="278" t="n">
        <v>511.959</v>
      </c>
      <c r="BX127" s="278" t="n">
        <v>691.677</v>
      </c>
      <c r="BY127" s="278" t="n">
        <v>674.188</v>
      </c>
      <c r="BZ127" s="273">
        <f>BZ87</f>
        <v>652.176</v>
      </c>
      <c r="CA127" s="273">
        <f>SUM(BW127:BZ127)</f>
        <v>2530</v>
      </c>
      <c r="CB127" s="273">
        <f>CB87</f>
        <v>2798.81731240295</v>
      </c>
      <c r="CC127" s="273">
        <f>CC87</f>
        <v>3088.21015158473</v>
      </c>
      <c r="CD127" s="273">
        <f>CD87</f>
        <v>3379.82307064467</v>
      </c>
      <c r="CE127" s="273">
        <f>CE87</f>
        <v>3677.19606569992</v>
      </c>
      <c r="CF127" s="273">
        <f>CF87</f>
        <v>3976.46005494732</v>
      </c>
      <c r="CG127" s="153" t="inlineStr">
        <is>
          <t>Forecast linked to the segment build.</t>
        </is>
      </c>
      <c r="CI127" s="20">
        <f>IFERROR((CF127/CA127)^(1/5)-1,"n/m")</f>
        <v>0.0946498467468091</v>
      </c>
      <c r="CJ127" s="20">
        <f>IFERROR((BV127/AW127)^(1/5)-1,"n/m")</f>
        <v>0.0898932575216367</v>
      </c>
      <c r="CK127" s="20">
        <f>IFERROR((BV127/X127)^(1/10)-1,"n/m")</f>
        <v>0.0902834255108465</v>
      </c>
      <c r="CL127" s="20">
        <f>IFERROR((BV127/C127)^(1/19)-1,"n/m")</f>
        <v>0.0474327256245259</v>
      </c>
    </row>
    <row r="128" ht="15" customHeight="1" s="251">
      <c r="B128" s="158" t="inlineStr">
        <is>
          <t xml:space="preserve">  Memo: revenues by type as reported (label and amount)</t>
        </is>
      </c>
      <c r="C128" s="279" t="inlineStr"/>
      <c r="D128" s="279" t="inlineStr"/>
      <c r="E128" s="279" t="inlineStr"/>
      <c r="F128" s="279" t="inlineStr"/>
      <c r="G128" s="279" t="inlineStr">
        <is>
          <t>Transactional and maintenance 455.5; Professional services 102.9; License 47.3</t>
        </is>
      </c>
      <c r="H128" s="279" t="inlineStr">
        <is>
          <t>Transactional and maintenance 453.4; Professional services 115.9; License 50.3</t>
        </is>
      </c>
      <c r="I128" s="279" t="inlineStr">
        <is>
          <t>Transactional and maintenance 466.2; Professional services 125.0; License 85.3</t>
        </is>
      </c>
      <c r="J128" s="279" t="inlineStr">
        <is>
          <t>Transactional and maintenance 129.9; Professional services 32.3; License 27.8</t>
        </is>
      </c>
      <c r="K128" s="279" t="inlineStr">
        <is>
          <t>Transactional and maintenance 126.4; Professional services 34.1; License 18.8</t>
        </is>
      </c>
      <c r="L128" s="279" t="inlineStr">
        <is>
          <t>Transactional and maintenance 129.4; Professional services 32.3; License 22.0</t>
        </is>
      </c>
      <c r="M128" s="279" t="inlineStr">
        <is>
          <t>Transactional and maintenance 128.5; Professional services 36.4; License 25.3</t>
        </is>
      </c>
      <c r="N128" s="279" t="inlineStr">
        <is>
          <t>Transactional and maintenance 514.3; Professional services 135.2; License 93.9</t>
        </is>
      </c>
      <c r="O128" s="279" t="inlineStr">
        <is>
          <t>Transactional and maintenance 129.7; Professional services 34.3; License 20.4</t>
        </is>
      </c>
      <c r="P128" s="279" t="inlineStr">
        <is>
          <t>Transactional and maintenance 132.4; Professional services 34.6; License 18.5</t>
        </is>
      </c>
      <c r="Q128" s="279" t="inlineStr">
        <is>
          <t>Transactional and maintenance 132.3; Professional services 38.5; License 26.8</t>
        </is>
      </c>
      <c r="R128" s="279" t="inlineStr">
        <is>
          <t>Transactional and maintenance 133.3; Professional services 42.4; License 45.9</t>
        </is>
      </c>
      <c r="S128" s="279" t="inlineStr">
        <is>
          <t>Transactional and maintenance 527.6; Professional services 149.8; License 111.6</t>
        </is>
      </c>
      <c r="T128" s="279" t="inlineStr">
        <is>
          <t>Transactional and maintenance 131.4; Professional services 35.2; License 22.9</t>
        </is>
      </c>
      <c r="U128" s="279" t="inlineStr">
        <is>
          <t>Transactional and maintenance 138.7; Professional services 37.9; License 30.5</t>
        </is>
      </c>
      <c r="V128" s="279" t="inlineStr">
        <is>
          <t>Transactional and maintenance 144.7; Professional services 38.0; License 26.7</t>
        </is>
      </c>
      <c r="W128" s="279" t="inlineStr">
        <is>
          <t>Transactional and maintenance 149.4; Professional services 40.6; License 42.7</t>
        </is>
      </c>
      <c r="X128" s="279" t="inlineStr">
        <is>
          <t>Transactional and maintenance 564.2; Professional services 151.8; License 122.8</t>
        </is>
      </c>
      <c r="Y128" s="279" t="inlineStr">
        <is>
          <t>Transactional and maintenance 147.1; Professional services 34.2; License 18.9</t>
        </is>
      </c>
      <c r="Z128" s="279" t="inlineStr">
        <is>
          <t>Transactional and maintenance 150.7; Professional services 39.3; License 16.6</t>
        </is>
      </c>
      <c r="AA128" s="279" t="inlineStr">
        <is>
          <t>Transactional and maintenance 153.9; Professional services 44.3; License 40.6</t>
        </is>
      </c>
      <c r="AB128" s="279" t="inlineStr">
        <is>
          <t>Transactional and maintenance 154.2; Professional services 51.9; License 29.7</t>
        </is>
      </c>
      <c r="AC128" s="279" t="inlineStr">
        <is>
          <t>Transactional and maintenance 605.9; Professional services 169.7; License 105.7</t>
        </is>
      </c>
      <c r="AD128" s="279" t="inlineStr">
        <is>
          <t>Transactional and maintenance 153.7; Professional services 43.5; License 22.4</t>
        </is>
      </c>
      <c r="AE128" s="279" t="inlineStr">
        <is>
          <t>Transactional and maintenance 161.2; Professional services 41.3; License 25.8</t>
        </is>
      </c>
      <c r="AF128" s="279" t="inlineStr">
        <is>
          <t>Transactional and maintenance 166.7; Professional services 43.9; License 20.4</t>
        </is>
      </c>
      <c r="AG128" s="279" t="inlineStr">
        <is>
          <t>Transactional and maintenance 171.1; Professional services 50.9; License 31.3</t>
        </is>
      </c>
      <c r="AH128" s="279" t="inlineStr">
        <is>
          <t>Transactional and maintenance 652.7; Professional services 179.6; License 99.9</t>
        </is>
      </c>
      <c r="AI128" s="279" t="inlineStr">
        <is>
          <t>Transactional and maintenance 174.7; Professional services 42.6; License 18.0</t>
        </is>
      </c>
      <c r="AJ128" s="279" t="inlineStr">
        <is>
          <t>Transactional and maintenance 195.2; Professional services 46.1; License 16.6</t>
        </is>
      </c>
      <c r="AK128" s="279" t="inlineStr">
        <is>
          <t>Transactional and maintenance 195.5; Professional services 43.2; License 20.8</t>
        </is>
      </c>
      <c r="AL128" s="279" t="inlineStr">
        <is>
          <t>Transactional and maintenance 200.7; Professional services 44.9; License 34.2</t>
        </is>
      </c>
      <c r="AM128" s="279" t="inlineStr">
        <is>
          <t>Transactional and maintenance 766.1; Professional services 176.8; License 89.6</t>
        </is>
      </c>
      <c r="AN128" s="279" t="inlineStr">
        <is>
          <t>Transactional and maintenance 194.2; Professional services 40.8; License 27.3</t>
        </is>
      </c>
      <c r="AO128" s="279" t="inlineStr">
        <is>
          <t>Transactional and maintenance 211.8; Professional services 50.6; License 15.9</t>
        </is>
      </c>
      <c r="AP128" s="279" t="inlineStr">
        <is>
          <t>Transactional and maintenance 226.0; Professional services 44.6; License 43.6</t>
        </is>
      </c>
      <c r="AQ128" s="279" t="inlineStr">
        <is>
          <t>Transactional and maintenance 228.9; Professional services 48.1; License 28.3</t>
        </is>
      </c>
      <c r="AR128" s="279" t="inlineStr">
        <is>
          <t>Transactional and maintenance 860.9; Professional services 184.1; License 115.0</t>
        </is>
      </c>
      <c r="AS128" s="279" t="inlineStr">
        <is>
          <t>Transactional and maintenance 220.4; Professional services 44.0; License 34.1</t>
        </is>
      </c>
      <c r="AT128" s="279" t="inlineStr">
        <is>
          <t>Transactional and maintenance 240.7; Professional services 47.9; License 19.4</t>
        </is>
      </c>
      <c r="AU128" s="279" t="inlineStr">
        <is>
          <t>Transactional and maintenance 246.8; Professional services 43.6; License 23.3</t>
        </is>
      </c>
      <c r="AV128" s="279" t="inlineStr">
        <is>
          <t>Transactional and maintenance 266.0; Professional services 47.5; License 60.9</t>
        </is>
      </c>
      <c r="AW128" s="279" t="inlineStr">
        <is>
          <t>Transactional and maintenance 973.9; Professional services 183.0; License 137.6</t>
        </is>
      </c>
      <c r="AX128" s="279" t="inlineStr">
        <is>
          <t>Transactional and maintenance 252.2; Professional services 41.4; License 18.8</t>
        </is>
      </c>
      <c r="AY128" s="279" t="inlineStr">
        <is>
          <t>Transactional and maintenance 280.9; Professional services 37.8; License 12.6</t>
        </is>
      </c>
      <c r="AZ128" s="279" t="inlineStr">
        <is>
          <t>Transactional and maintenance 288.1; Professional services 35.9; License 14.2</t>
        </is>
      </c>
      <c r="BA128" s="279" t="inlineStr">
        <is>
          <t>On-premises and SaaS software 135.7; Professional services 30.4; Scores 168.6</t>
        </is>
      </c>
      <c r="BB128" s="279" t="inlineStr">
        <is>
          <t>On-premises and SaaS software 517.9; Professional services 144.5; Scores 654.1</t>
        </is>
      </c>
      <c r="BC128" s="279" t="inlineStr">
        <is>
          <t>On-premises and SaaS software 126.3; Professional services 26.5; Scores 169.5</t>
        </is>
      </c>
      <c r="BD128" s="279" t="inlineStr">
        <is>
          <t>On-premises and SaaS software 149.1; Professional services 24.4; Scores 183.7</t>
        </is>
      </c>
      <c r="BE128" s="279" t="inlineStr">
        <is>
          <t>On-premises and SaaS software 142.5; Professional services 27.1; Scores 179.4</t>
        </is>
      </c>
      <c r="BF128" s="279" t="inlineStr">
        <is>
          <t>On-premises and SaaS software 146.8; Professional services 27.9; Scores 174.1</t>
        </is>
      </c>
      <c r="BG128" s="279" t="inlineStr">
        <is>
          <t>On-premises and SaaS software 564.8; Professional services 105.9; Scores 706.6</t>
        </is>
      </c>
      <c r="BH128" s="279" t="inlineStr">
        <is>
          <t>On-premises and SaaS software 144.6; Professional services 22.3; Scores 178.0</t>
        </is>
      </c>
      <c r="BI128" s="279" t="inlineStr">
        <is>
          <t>On-premises and SaaS software 154.6; Professional services 27.2; Scores 198.5</t>
        </is>
      </c>
      <c r="BJ128" s="279" t="inlineStr">
        <is>
          <t>On-premises and SaaS software 172.1; Professional services 24.9; Scores 201.8</t>
        </is>
      </c>
      <c r="BK128" s="279" t="inlineStr">
        <is>
          <t>On-premises and SaaS software 169.0; Professional services 25.2; Scores 195.6</t>
        </is>
      </c>
      <c r="BL128" s="279" t="inlineStr">
        <is>
          <t>On-premises and SaaS software 640.2; Professional services 99.5; Scores 773.8</t>
        </is>
      </c>
      <c r="BM128" s="279" t="inlineStr">
        <is>
          <t>On-premises and SaaS software 168.7; Professional services 21.3; Scores 192.1</t>
        </is>
      </c>
      <c r="BN128" s="279" t="inlineStr">
        <is>
          <t>On-premises and SaaS software 177.2; Professional services 19.7; Scores 236.9</t>
        </is>
      </c>
      <c r="BO128" s="279" t="inlineStr">
        <is>
          <t>On-premises and SaaS software 183.8; Professional services 22.6; Scores 241.4</t>
        </is>
      </c>
      <c r="BP128" s="279" t="inlineStr">
        <is>
          <t>On-premises and SaaS software 181.7; Professional services 22.9; Scores 249.2</t>
        </is>
      </c>
      <c r="BQ128" s="279" t="inlineStr">
        <is>
          <t>On-premises and SaaS software 711.3; Professional services 86.5; Scores 919.6</t>
        </is>
      </c>
      <c r="BR128" s="279" t="inlineStr">
        <is>
          <t>On-premises and SaaS software 186.0; Professional services 18.3; Scores 235.7</t>
        </is>
      </c>
      <c r="BS128" s="279" t="inlineStr">
        <is>
          <t>On-premises and SaaS software 183.8; Professional services 17.9; Scores 297.0</t>
        </is>
      </c>
      <c r="BT128" s="279" t="inlineStr">
        <is>
          <t>On-premises and SaaS software 187.9; Professional services 24.2; Scores 324.3</t>
        </is>
      </c>
      <c r="BU128" s="279" t="inlineStr">
        <is>
          <t>On-premises and SaaS software 182.4; Professional services 21.8; Scores 311.6</t>
        </is>
      </c>
      <c r="BV128" s="279" t="inlineStr">
        <is>
          <t>On-premises and SaaS software 740.1; Professional services 82.1; Scores 1,168.6</t>
        </is>
      </c>
      <c r="BW128" s="279" t="inlineStr">
        <is>
          <t>On-premises and SaaS software 188.2; Professional services 19.2; Scores 304.5</t>
        </is>
      </c>
      <c r="BX128" s="279" t="inlineStr">
        <is>
          <t>On-premises and SaaS software 199.2; Professional services 17.5; Scores 475.0</t>
        </is>
      </c>
      <c r="BY128" s="279" t="inlineStr">
        <is>
          <t>On-premises and SaaS software 197.0; Professional services 18.3; Scores 458.9</t>
        </is>
      </c>
      <c r="BZ128" s="153" t="n"/>
      <c r="CA128" s="153" t="n"/>
      <c r="CB128" s="153" t="n"/>
      <c r="CC128" s="153" t="n"/>
      <c r="CD128" s="153" t="n"/>
      <c r="CE128" s="153" t="n"/>
      <c r="CF128" s="153" t="n"/>
      <c r="CG128" s="19" t="n"/>
    </row>
    <row r="129" ht="15" customHeight="1" s="251">
      <c r="B129" s="25" t="inlineStr">
        <is>
          <t>Cost of revenues</t>
        </is>
      </c>
      <c r="C129" s="253" t="n">
        <v>281.977</v>
      </c>
      <c r="D129" s="253" t="n">
        <v>293.482</v>
      </c>
      <c r="E129" s="253" t="n">
        <v>274.917</v>
      </c>
      <c r="F129" s="253" t="n">
        <v>206.448</v>
      </c>
      <c r="G129" s="253" t="n">
        <v>180.932</v>
      </c>
      <c r="H129" s="253" t="n">
        <v>186.47</v>
      </c>
      <c r="I129" s="253" t="n">
        <v>197.947</v>
      </c>
      <c r="J129" s="253" t="n">
        <v>56.148</v>
      </c>
      <c r="K129" s="253" t="n">
        <v>58.856</v>
      </c>
      <c r="L129" s="253" t="n">
        <v>57.655</v>
      </c>
      <c r="M129" s="253" t="n">
        <v>56.809</v>
      </c>
      <c r="N129" s="253" t="n">
        <v>229.468</v>
      </c>
      <c r="O129" s="253" t="n">
        <v>57.319</v>
      </c>
      <c r="P129" s="253" t="n">
        <v>58.183</v>
      </c>
      <c r="Q129" s="253" t="n">
        <v>62.752</v>
      </c>
      <c r="R129" s="253" t="n">
        <v>71.027</v>
      </c>
      <c r="S129" s="253" t="n">
        <v>249.281</v>
      </c>
      <c r="T129" s="253" t="n">
        <v>66.3</v>
      </c>
      <c r="U129" s="253" t="n">
        <v>70.991</v>
      </c>
      <c r="V129" s="253" t="n">
        <v>66.202</v>
      </c>
      <c r="W129" s="253" t="n">
        <v>67.042</v>
      </c>
      <c r="X129" s="253" t="n">
        <v>270.535</v>
      </c>
      <c r="Y129" s="253" t="n">
        <v>62.193</v>
      </c>
      <c r="Z129" s="253" t="n">
        <v>62.298</v>
      </c>
      <c r="AA129" s="253" t="n">
        <v>66.384</v>
      </c>
      <c r="AB129" s="253" t="n">
        <v>74.298</v>
      </c>
      <c r="AC129" s="253" t="n">
        <v>265.173</v>
      </c>
      <c r="AD129" s="253" t="n">
        <v>69.997</v>
      </c>
      <c r="AE129" s="253" t="n">
        <v>72.131</v>
      </c>
      <c r="AF129" s="253" t="n">
        <v>69.79300000000001</v>
      </c>
      <c r="AG129" s="253" t="n">
        <v>75.202</v>
      </c>
      <c r="AH129" s="253" t="n">
        <v>287.123</v>
      </c>
      <c r="AI129" s="253" t="n">
        <v>74.35899999999999</v>
      </c>
      <c r="AJ129" s="253" t="n">
        <v>78.51900000000001</v>
      </c>
      <c r="AK129" s="253" t="n">
        <v>78.39</v>
      </c>
      <c r="AL129" s="253" t="n">
        <v>79.431</v>
      </c>
      <c r="AM129" s="253" t="n">
        <v>310.699</v>
      </c>
      <c r="AN129" s="253" t="n">
        <v>76.066</v>
      </c>
      <c r="AO129" s="253" t="n">
        <v>85.568</v>
      </c>
      <c r="AP129" s="253" t="n">
        <v>87.215</v>
      </c>
      <c r="AQ129" s="253" t="n">
        <v>87.996</v>
      </c>
      <c r="AR129" s="253" t="n">
        <v>336.845</v>
      </c>
      <c r="AS129" s="253" t="n">
        <v>90.758</v>
      </c>
      <c r="AT129" s="253" t="n">
        <v>88.139</v>
      </c>
      <c r="AU129" s="253" t="n">
        <v>88.569</v>
      </c>
      <c r="AV129" s="253" t="n">
        <v>93.676</v>
      </c>
      <c r="AW129" s="253" t="n">
        <v>361.142</v>
      </c>
      <c r="AX129" s="253" t="n">
        <v>89.52800000000001</v>
      </c>
      <c r="AY129" s="253" t="n">
        <v>88.333</v>
      </c>
      <c r="AZ129" s="253" t="n">
        <v>82.23999999999999</v>
      </c>
      <c r="BA129" s="253" t="n">
        <v>72.361</v>
      </c>
      <c r="BB129" s="253" t="n">
        <v>332.462</v>
      </c>
      <c r="BC129" s="253" t="n">
        <v>69.203</v>
      </c>
      <c r="BD129" s="253" t="n">
        <v>71.794</v>
      </c>
      <c r="BE129" s="253" t="n">
        <v>78.691</v>
      </c>
      <c r="BF129" s="253" t="n">
        <v>82.486</v>
      </c>
      <c r="BG129" s="253" t="n">
        <v>302.174</v>
      </c>
      <c r="BH129" s="253" t="n">
        <v>76.569</v>
      </c>
      <c r="BI129" s="253" t="n">
        <v>79.806</v>
      </c>
      <c r="BJ129" s="253" t="n">
        <v>71.846</v>
      </c>
      <c r="BK129" s="253" t="n">
        <v>82.83199999999999</v>
      </c>
      <c r="BL129" s="253" t="n">
        <v>311.053</v>
      </c>
      <c r="BM129" s="253" t="n">
        <v>83.461</v>
      </c>
      <c r="BN129" s="253" t="n">
        <v>86.946</v>
      </c>
      <c r="BO129" s="253" t="n">
        <v>88.22499999999999</v>
      </c>
      <c r="BP129" s="253" t="n">
        <v>89.574</v>
      </c>
      <c r="BQ129" s="253" t="n">
        <v>348.206</v>
      </c>
      <c r="BR129" s="253" t="n">
        <v>87.345</v>
      </c>
      <c r="BS129" s="253" t="n">
        <v>87.63</v>
      </c>
      <c r="BT129" s="253" t="n">
        <v>87.571</v>
      </c>
      <c r="BU129" s="253" t="n">
        <v>91.176</v>
      </c>
      <c r="BV129" s="253" t="n">
        <v>353.722</v>
      </c>
      <c r="BW129" s="253" t="n">
        <v>87.261</v>
      </c>
      <c r="BX129" s="253" t="n">
        <v>91.199</v>
      </c>
      <c r="BY129" s="253" t="n">
        <v>87.017</v>
      </c>
      <c r="BZ129" s="254">
        <f>BZ127*BZ116</f>
        <v>91.4185992924466</v>
      </c>
      <c r="CA129" s="254">
        <f>SUM(BW129:BZ129)</f>
        <v>356.895599292447</v>
      </c>
      <c r="CB129" s="254">
        <f>CB127*CB116</f>
        <v>377.840337174399</v>
      </c>
      <c r="CC129" s="254">
        <f>CC127*CC116</f>
        <v>416.908370463938</v>
      </c>
      <c r="CD129" s="254">
        <f>CD127*CD116</f>
        <v>456.27611453703</v>
      </c>
      <c r="CE129" s="254">
        <f>CE127*CE116</f>
        <v>496.42146886949</v>
      </c>
      <c r="CF129" s="254">
        <f>CF127*CF116</f>
        <v>536.822107417888</v>
      </c>
      <c r="CG129" s="19" t="n"/>
      <c r="CI129" s="20">
        <f>IFERROR((CF129/CA129)^(1/5)-1,"n/m")</f>
        <v>0.0850702090425859</v>
      </c>
      <c r="CJ129" s="20">
        <f>IFERROR((BV129/AW129)^(1/5)-1,"n/m")</f>
        <v>-0.00414338019763028</v>
      </c>
      <c r="CK129" s="20">
        <f>IFERROR((BV129/X129)^(1/10)-1,"n/m")</f>
        <v>0.0271736294859837</v>
      </c>
      <c r="CL129" s="20">
        <f>IFERROR((BV129/C129)^(1/19)-1,"n/m")</f>
        <v>0.0120022871285976</v>
      </c>
    </row>
    <row r="130" ht="15" customHeight="1" s="251">
      <c r="B130" s="25" t="inlineStr">
        <is>
          <t>Research &amp; development</t>
        </is>
      </c>
      <c r="C130" s="253" t="n">
        <v>84.967</v>
      </c>
      <c r="D130" s="253" t="n">
        <v>70.599</v>
      </c>
      <c r="E130" s="253" t="n">
        <v>77.794</v>
      </c>
      <c r="F130" s="253" t="n">
        <v>73.626</v>
      </c>
      <c r="G130" s="253" t="n">
        <v>73.581</v>
      </c>
      <c r="H130" s="253" t="n">
        <v>62.129</v>
      </c>
      <c r="I130" s="253" t="n">
        <v>59.527</v>
      </c>
      <c r="J130" s="253" t="n">
        <v>14.552</v>
      </c>
      <c r="K130" s="253" t="n">
        <v>16.021</v>
      </c>
      <c r="L130" s="253" t="n">
        <v>18.57</v>
      </c>
      <c r="M130" s="253" t="n">
        <v>17.824</v>
      </c>
      <c r="N130" s="253" t="n">
        <v>66.967</v>
      </c>
      <c r="O130" s="253" t="n">
        <v>18.092</v>
      </c>
      <c r="P130" s="253" t="n">
        <v>19.69</v>
      </c>
      <c r="Q130" s="253" t="n">
        <v>23.24</v>
      </c>
      <c r="R130" s="253" t="n">
        <v>22.413</v>
      </c>
      <c r="S130" s="253" t="n">
        <v>83.435</v>
      </c>
      <c r="T130" s="253" t="n">
        <v>22.637</v>
      </c>
      <c r="U130" s="253" t="n">
        <v>24.341</v>
      </c>
      <c r="V130" s="253" t="n">
        <v>25.61</v>
      </c>
      <c r="W130" s="253" t="n">
        <v>26.236</v>
      </c>
      <c r="X130" s="253" t="n">
        <v>98.824</v>
      </c>
      <c r="Y130" s="253" t="n">
        <v>24.631</v>
      </c>
      <c r="Z130" s="253" t="n">
        <v>24.848</v>
      </c>
      <c r="AA130" s="253" t="n">
        <v>26.417</v>
      </c>
      <c r="AB130" s="253" t="n">
        <v>27.773</v>
      </c>
      <c r="AC130" s="253" t="n">
        <v>103.669</v>
      </c>
      <c r="AD130" s="253" t="n">
        <v>26.142</v>
      </c>
      <c r="AE130" s="253" t="n">
        <v>26.663</v>
      </c>
      <c r="AF130" s="253" t="n">
        <v>27.839</v>
      </c>
      <c r="AG130" s="253" t="n">
        <v>30.226</v>
      </c>
      <c r="AH130" s="253" t="n">
        <v>110.87</v>
      </c>
      <c r="AI130" s="253" t="n">
        <v>28.974</v>
      </c>
      <c r="AJ130" s="253" t="n">
        <v>32.519</v>
      </c>
      <c r="AK130" s="253" t="n">
        <v>32.483</v>
      </c>
      <c r="AL130" s="253" t="n">
        <v>34.407</v>
      </c>
      <c r="AM130" s="253" t="n">
        <v>128.383</v>
      </c>
      <c r="AN130" s="253" t="n">
        <v>35.426</v>
      </c>
      <c r="AO130" s="253" t="n">
        <v>37.684</v>
      </c>
      <c r="AP130" s="253" t="n">
        <v>36.972</v>
      </c>
      <c r="AQ130" s="253" t="n">
        <v>39.396</v>
      </c>
      <c r="AR130" s="253" t="n">
        <v>149.478</v>
      </c>
      <c r="AS130" s="253" t="n">
        <v>38.943</v>
      </c>
      <c r="AT130" s="253" t="n">
        <v>39.439</v>
      </c>
      <c r="AU130" s="253" t="n">
        <v>41.411</v>
      </c>
      <c r="AV130" s="253" t="n">
        <v>46.706</v>
      </c>
      <c r="AW130" s="253" t="n">
        <v>166.499</v>
      </c>
      <c r="AX130" s="253" t="n">
        <v>40.651</v>
      </c>
      <c r="AY130" s="253" t="n">
        <v>43.612</v>
      </c>
      <c r="AZ130" s="253" t="n">
        <v>45.826</v>
      </c>
      <c r="BA130" s="253" t="n">
        <v>41.142</v>
      </c>
      <c r="BB130" s="253" t="n">
        <v>171.231</v>
      </c>
      <c r="BC130" s="253" t="n">
        <v>38.98</v>
      </c>
      <c r="BD130" s="253" t="n">
        <v>36.387</v>
      </c>
      <c r="BE130" s="253" t="n">
        <v>35.88</v>
      </c>
      <c r="BF130" s="253" t="n">
        <v>35.511</v>
      </c>
      <c r="BG130" s="253" t="n">
        <v>146.758</v>
      </c>
      <c r="BH130" s="253" t="n">
        <v>36.633</v>
      </c>
      <c r="BI130" s="253" t="n">
        <v>40.266</v>
      </c>
      <c r="BJ130" s="253" t="n">
        <v>41.455</v>
      </c>
      <c r="BK130" s="253" t="n">
        <v>41.596</v>
      </c>
      <c r="BL130" s="253" t="n">
        <v>159.95</v>
      </c>
      <c r="BM130" s="253" t="n">
        <v>42.635</v>
      </c>
      <c r="BN130" s="253" t="n">
        <v>40.88</v>
      </c>
      <c r="BO130" s="253" t="n">
        <v>44.217</v>
      </c>
      <c r="BP130" s="253" t="n">
        <v>44.208</v>
      </c>
      <c r="BQ130" s="253" t="n">
        <v>171.94</v>
      </c>
      <c r="BR130" s="253" t="n">
        <v>45.145</v>
      </c>
      <c r="BS130" s="253" t="n">
        <v>45.037</v>
      </c>
      <c r="BT130" s="253" t="n">
        <v>47.212</v>
      </c>
      <c r="BU130" s="253" t="n">
        <v>50.953</v>
      </c>
      <c r="BV130" s="253" t="n">
        <v>188.347</v>
      </c>
      <c r="BW130" s="253" t="n">
        <v>49.912</v>
      </c>
      <c r="BX130" s="253" t="n">
        <v>53.916</v>
      </c>
      <c r="BY130" s="253" t="n">
        <v>53.708</v>
      </c>
      <c r="BZ130" s="254">
        <f>BZ127*BZ117</f>
        <v>54.7129008554582</v>
      </c>
      <c r="CA130" s="254">
        <f>SUM(BW130:BZ130)</f>
        <v>212.248900855458</v>
      </c>
      <c r="CB130" s="254">
        <f>CB127*CB117</f>
        <v>223.905384992236</v>
      </c>
      <c r="CC130" s="254">
        <f>CC127*CC117</f>
        <v>247.056812126778</v>
      </c>
      <c r="CD130" s="254">
        <f>CD127*CD117</f>
        <v>270.385845651573</v>
      </c>
      <c r="CE130" s="254">
        <f>CE127*CE117</f>
        <v>294.175685255994</v>
      </c>
      <c r="CF130" s="254">
        <f>CF127*CF117</f>
        <v>318.116804395785</v>
      </c>
      <c r="CG130" s="19" t="n"/>
      <c r="CI130" s="20">
        <f>IFERROR((CF130/CA130)^(1/5)-1,"n/m")</f>
        <v>0.084296940248193</v>
      </c>
      <c r="CJ130" s="20">
        <f>IFERROR((BV130/AW130)^(1/5)-1,"n/m")</f>
        <v>0.0249658967404673</v>
      </c>
      <c r="CK130" s="20">
        <f>IFERROR((BV130/X130)^(1/10)-1,"n/m")</f>
        <v>0.0666197668558333</v>
      </c>
      <c r="CL130" s="20">
        <f>IFERROR((BV130/C130)^(1/19)-1,"n/m")</f>
        <v>0.0427859717964498</v>
      </c>
    </row>
    <row r="131" ht="15" customHeight="1" s="251">
      <c r="B131" s="25" t="inlineStr">
        <is>
          <t>Selling, general &amp; administrative</t>
        </is>
      </c>
      <c r="C131" s="253" t="n">
        <v>260.845</v>
      </c>
      <c r="D131" s="253" t="n">
        <v>285.541</v>
      </c>
      <c r="E131" s="253" t="n">
        <v>245.639</v>
      </c>
      <c r="F131" s="253" t="n">
        <v>209.319</v>
      </c>
      <c r="G131" s="253" t="n">
        <v>225.263</v>
      </c>
      <c r="H131" s="253" t="n">
        <v>223.615</v>
      </c>
      <c r="I131" s="253" t="n">
        <v>238.522</v>
      </c>
      <c r="J131" s="253" t="n">
        <v>69.66500000000001</v>
      </c>
      <c r="K131" s="253" t="n">
        <v>67.63800000000001</v>
      </c>
      <c r="L131" s="253" t="n">
        <v>68.66500000000001</v>
      </c>
      <c r="M131" s="253" t="n">
        <v>62.427</v>
      </c>
      <c r="N131" s="253" t="n">
        <v>268.395</v>
      </c>
      <c r="O131" s="253" t="n">
        <v>66.989</v>
      </c>
      <c r="P131" s="253" t="n">
        <v>65.944</v>
      </c>
      <c r="Q131" s="253" t="n">
        <v>71.557</v>
      </c>
      <c r="R131" s="253" t="n">
        <v>73.71299999999999</v>
      </c>
      <c r="S131" s="253" t="n">
        <v>278.203</v>
      </c>
      <c r="T131" s="253" t="n">
        <v>72.801</v>
      </c>
      <c r="U131" s="253" t="n">
        <v>73.863</v>
      </c>
      <c r="V131" s="253" t="n">
        <v>74.645</v>
      </c>
      <c r="W131" s="253" t="n">
        <v>78.693</v>
      </c>
      <c r="X131" s="253" t="n">
        <v>300.002</v>
      </c>
      <c r="Y131" s="253" t="n">
        <v>78.83799999999999</v>
      </c>
      <c r="Z131" s="253" t="n">
        <v>77.501</v>
      </c>
      <c r="AA131" s="253" t="n">
        <v>87.172</v>
      </c>
      <c r="AB131" s="253" t="n">
        <v>85.429</v>
      </c>
      <c r="AC131" s="253" t="n">
        <v>328.94</v>
      </c>
      <c r="AD131" s="253" t="n">
        <v>85.214</v>
      </c>
      <c r="AE131" s="253" t="n">
        <v>86.23099999999999</v>
      </c>
      <c r="AF131" s="253" t="n">
        <v>84.089</v>
      </c>
      <c r="AG131" s="253" t="n">
        <v>84.262</v>
      </c>
      <c r="AH131" s="253" t="n">
        <v>339.796</v>
      </c>
      <c r="AI131" s="253" t="n">
        <v>90.29600000000001</v>
      </c>
      <c r="AJ131" s="253" t="n">
        <v>97.057</v>
      </c>
      <c r="AK131" s="253" t="n">
        <v>98.685</v>
      </c>
      <c r="AL131" s="253" t="n">
        <v>94.324</v>
      </c>
      <c r="AM131" s="253" t="n">
        <v>380.362</v>
      </c>
      <c r="AN131" s="253" t="n">
        <v>100.258</v>
      </c>
      <c r="AO131" s="253" t="n">
        <v>104.93</v>
      </c>
      <c r="AP131" s="253" t="n">
        <v>102.906</v>
      </c>
      <c r="AQ131" s="253" t="n">
        <v>105.992</v>
      </c>
      <c r="AR131" s="253" t="n">
        <v>414.086</v>
      </c>
      <c r="AS131" s="253" t="n">
        <v>112.021</v>
      </c>
      <c r="AT131" s="253" t="n">
        <v>103.465</v>
      </c>
      <c r="AU131" s="253" t="n">
        <v>99.83199999999999</v>
      </c>
      <c r="AV131" s="253" t="n">
        <v>105.612</v>
      </c>
      <c r="AW131" s="253" t="n">
        <v>420.93</v>
      </c>
      <c r="AX131" s="253" t="n">
        <v>93.911</v>
      </c>
      <c r="AY131" s="253" t="n">
        <v>97.27200000000001</v>
      </c>
      <c r="AZ131" s="253" t="n">
        <v>107.729</v>
      </c>
      <c r="BA131" s="253" t="n">
        <v>97.369</v>
      </c>
      <c r="BB131" s="253" t="n">
        <v>396.281</v>
      </c>
      <c r="BC131" s="253" t="n">
        <v>98.048</v>
      </c>
      <c r="BD131" s="253" t="n">
        <v>96.414</v>
      </c>
      <c r="BE131" s="253" t="n">
        <v>93.248</v>
      </c>
      <c r="BF131" s="253" t="n">
        <v>96.15300000000001</v>
      </c>
      <c r="BG131" s="253" t="n">
        <v>383.863</v>
      </c>
      <c r="BH131" s="253" t="n">
        <v>92.995</v>
      </c>
      <c r="BI131" s="253" t="n">
        <v>100.158</v>
      </c>
      <c r="BJ131" s="253" t="n">
        <v>108.081</v>
      </c>
      <c r="BK131" s="253" t="n">
        <v>99.331</v>
      </c>
      <c r="BL131" s="253" t="n">
        <v>400.565</v>
      </c>
      <c r="BM131" s="253" t="n">
        <v>104.329</v>
      </c>
      <c r="BN131" s="253" t="n">
        <v>110.867</v>
      </c>
      <c r="BO131" s="253" t="n">
        <v>124.881</v>
      </c>
      <c r="BP131" s="253" t="n">
        <v>122.757</v>
      </c>
      <c r="BQ131" s="253" t="n">
        <v>462.834</v>
      </c>
      <c r="BR131" s="253" t="n">
        <v>127.95</v>
      </c>
      <c r="BS131" s="253" t="n">
        <v>120.42</v>
      </c>
      <c r="BT131" s="253" t="n">
        <v>139.114</v>
      </c>
      <c r="BU131" s="253" t="n">
        <v>125.544</v>
      </c>
      <c r="BV131" s="253" t="n">
        <v>513.028</v>
      </c>
      <c r="BW131" s="253" t="n">
        <v>140.737</v>
      </c>
      <c r="BX131" s="253" t="n">
        <v>144.097</v>
      </c>
      <c r="BY131" s="253" t="n">
        <v>170.835</v>
      </c>
      <c r="BZ131" s="254">
        <f>BZ127-BZ129-BZ130-BZ132-BZ133-BZ134-BZ135</f>
        <v>176.688917864067</v>
      </c>
      <c r="CA131" s="254">
        <f>SUM(BW131:BZ131)</f>
        <v>632.357917864067</v>
      </c>
      <c r="CB131" s="254">
        <f>CB127-CB129-CB130-CB132-CB133-CB134-CB135</f>
        <v>642.075244685312</v>
      </c>
      <c r="CC131" s="254">
        <f>CC127-CC129-CC130-CC132-CC133-CC134-CC135</f>
        <v>681.053097342354</v>
      </c>
      <c r="CD131" s="254">
        <f>CD127-CD129-CD130-CD132-CD133-CD134-CD135</f>
        <v>725.936812035617</v>
      </c>
      <c r="CE131" s="254">
        <f>CE127-CE129-CE130-CE132-CE133-CE134-CE135</f>
        <v>784.537340212356</v>
      </c>
      <c r="CF131" s="254">
        <f>CF127-CF129-CF130-CF132-CF133-CF134-CF135</f>
        <v>845.35752594706</v>
      </c>
      <c r="CG131" s="19" t="inlineStr">
        <is>
          <t>Forecast = balancing line (revenue − operating income − other cost lines).</t>
        </is>
      </c>
      <c r="CI131" s="20">
        <f>IFERROR((CF131/CA131)^(1/5)-1,"n/m")</f>
        <v>0.0597794465526016</v>
      </c>
      <c r="CJ131" s="20">
        <f>IFERROR((BV131/AW131)^(1/5)-1,"n/m")</f>
        <v>0.0403662088857351</v>
      </c>
      <c r="CK131" s="20">
        <f>IFERROR((BV131/X131)^(1/10)-1,"n/m")</f>
        <v>0.0551196030557435</v>
      </c>
      <c r="CL131" s="20">
        <f>IFERROR((BV131/C131)^(1/19)-1,"n/m")</f>
        <v>0.0362414886874587</v>
      </c>
    </row>
    <row r="132" ht="15" customHeight="1" s="251">
      <c r="B132" s="25" t="inlineStr">
        <is>
          <t>Amortization of intangible assets</t>
        </is>
      </c>
      <c r="C132" s="253" t="n">
        <v>25.191</v>
      </c>
      <c r="D132" s="253" t="n">
        <v>23.226</v>
      </c>
      <c r="E132" s="253" t="n">
        <v>14.043</v>
      </c>
      <c r="F132" s="253" t="n">
        <v>12.891</v>
      </c>
      <c r="G132" s="253" t="n">
        <v>10.901</v>
      </c>
      <c r="H132" s="253" t="n">
        <v>7.741</v>
      </c>
      <c r="I132" s="253" t="n">
        <v>6.944</v>
      </c>
      <c r="J132" s="253" t="n">
        <v>3.372</v>
      </c>
      <c r="K132" s="253" t="n">
        <v>3.604</v>
      </c>
      <c r="L132" s="253" t="n">
        <v>3.477</v>
      </c>
      <c r="M132" s="253" t="n">
        <v>3.082</v>
      </c>
      <c r="N132" s="253" t="n">
        <v>13.535</v>
      </c>
      <c r="O132" s="253" t="n">
        <v>3.013</v>
      </c>
      <c r="P132" s="253" t="n">
        <v>2.908</v>
      </c>
      <c r="Q132" s="253" t="n">
        <v>3.019</v>
      </c>
      <c r="R132" s="253" t="n">
        <v>2.977</v>
      </c>
      <c r="S132" s="253" t="n">
        <v>11.917</v>
      </c>
      <c r="T132" s="253" t="n">
        <v>2.932</v>
      </c>
      <c r="U132" s="253" t="n">
        <v>3.515</v>
      </c>
      <c r="V132" s="253" t="n">
        <v>3.599</v>
      </c>
      <c r="W132" s="253" t="n">
        <v>3.627</v>
      </c>
      <c r="X132" s="253" t="n">
        <v>13.673</v>
      </c>
      <c r="Y132" s="253" t="n">
        <v>3.58</v>
      </c>
      <c r="Z132" s="253" t="n">
        <v>3.507</v>
      </c>
      <c r="AA132" s="253" t="n">
        <v>3.486</v>
      </c>
      <c r="AB132" s="253" t="n">
        <v>3.409</v>
      </c>
      <c r="AC132" s="253" t="n">
        <v>13.982</v>
      </c>
      <c r="AD132" s="253" t="n">
        <v>3.32</v>
      </c>
      <c r="AE132" s="253" t="n">
        <v>3.312</v>
      </c>
      <c r="AF132" s="253" t="n">
        <v>3.365</v>
      </c>
      <c r="AG132" s="253" t="n">
        <v>2.712</v>
      </c>
      <c r="AH132" s="253" t="n">
        <v>12.709</v>
      </c>
      <c r="AI132" s="253" t="n">
        <v>1.788</v>
      </c>
      <c r="AJ132" s="253" t="n">
        <v>1.684</v>
      </c>
      <c r="AK132" s="253" t="n">
        <v>1.571</v>
      </c>
      <c r="AL132" s="253" t="n">
        <v>1.551</v>
      </c>
      <c r="AM132" s="253" t="n">
        <v>6.594</v>
      </c>
      <c r="AN132" s="253" t="n">
        <v>1.502</v>
      </c>
      <c r="AO132" s="253" t="n">
        <v>1.503</v>
      </c>
      <c r="AP132" s="253" t="n">
        <v>1.448</v>
      </c>
      <c r="AQ132" s="253" t="n">
        <v>1.673</v>
      </c>
      <c r="AR132" s="253" t="n">
        <v>6.126</v>
      </c>
      <c r="AS132" s="253" t="n">
        <v>1.796</v>
      </c>
      <c r="AT132" s="253" t="n">
        <v>1.202</v>
      </c>
      <c r="AU132" s="253" t="n">
        <v>1.048</v>
      </c>
      <c r="AV132" s="253" t="n">
        <v>0.947</v>
      </c>
      <c r="AW132" s="253" t="n">
        <v>4.993</v>
      </c>
      <c r="AX132" s="253" t="n">
        <v>0.9370000000000001</v>
      </c>
      <c r="AY132" s="253" t="n">
        <v>0.945</v>
      </c>
      <c r="AZ132" s="253" t="n">
        <v>0.8100000000000001</v>
      </c>
      <c r="BA132" s="253" t="n">
        <v>0.5629999999999999</v>
      </c>
      <c r="BB132" s="253" t="n">
        <v>3.255</v>
      </c>
      <c r="BC132" s="253" t="n">
        <v>0.544</v>
      </c>
      <c r="BD132" s="253" t="n">
        <v>0.543</v>
      </c>
      <c r="BE132" s="253" t="n">
        <v>0.532</v>
      </c>
      <c r="BF132" s="253" t="n">
        <v>0.442</v>
      </c>
      <c r="BG132" s="253" t="n">
        <v>2.061</v>
      </c>
      <c r="BH132" s="253" t="n">
        <v>0.275</v>
      </c>
      <c r="BI132" s="253" t="n">
        <v>0.275</v>
      </c>
      <c r="BJ132" s="253" t="n">
        <v>0.275</v>
      </c>
      <c r="BK132" s="253" t="n">
        <v>0.275</v>
      </c>
      <c r="BL132" s="253" t="n">
        <v>1.1</v>
      </c>
      <c r="BM132" s="253" t="n">
        <v>0.275</v>
      </c>
      <c r="BN132" s="253" t="n">
        <v>0.275</v>
      </c>
      <c r="BO132" s="253" t="n">
        <v>0.275</v>
      </c>
      <c r="BP132" s="253" t="n">
        <v>0.092</v>
      </c>
      <c r="BQ132" s="253" t="n">
        <v>0.917</v>
      </c>
      <c r="BR132" s="253" t="n">
        <v>0</v>
      </c>
      <c r="BS132" s="253" t="n">
        <v>0</v>
      </c>
      <c r="BT132" s="253" t="n">
        <v>0</v>
      </c>
      <c r="BU132" s="253" t="n">
        <v>0</v>
      </c>
      <c r="BV132" s="253" t="n">
        <v>0</v>
      </c>
      <c r="BW132" s="253" t="n">
        <v>0</v>
      </c>
      <c r="BX132" s="253" t="n">
        <v>0</v>
      </c>
      <c r="BY132" s="253" t="n">
        <v>0</v>
      </c>
      <c r="BZ132" s="254">
        <f>BZ121</f>
        <v>0</v>
      </c>
      <c r="CA132" s="254">
        <f>SUM(BW132:BZ132)</f>
        <v>0</v>
      </c>
      <c r="CB132" s="254">
        <f>CB121</f>
        <v>0</v>
      </c>
      <c r="CC132" s="254">
        <f>CC121</f>
        <v>0</v>
      </c>
      <c r="CD132" s="254">
        <f>CD121</f>
        <v>0</v>
      </c>
      <c r="CE132" s="254">
        <f>CE121</f>
        <v>0</v>
      </c>
      <c r="CF132" s="254">
        <f>CF121</f>
        <v>0</v>
      </c>
      <c r="CG132" s="19" t="n"/>
    </row>
    <row r="133" ht="15" customHeight="1" s="251">
      <c r="B133" s="25" t="inlineStr">
        <is>
          <t>Restructuring, impairment &amp; acquisition-related</t>
        </is>
      </c>
      <c r="C133" s="253" t="n">
        <v>19.662</v>
      </c>
      <c r="D133" s="253" t="n">
        <v>2.455</v>
      </c>
      <c r="E133" s="253" t="n">
        <v>10.166</v>
      </c>
      <c r="F133" s="253" t="n">
        <v>8.711</v>
      </c>
      <c r="G133" s="253" t="n">
        <v>1.617</v>
      </c>
      <c r="H133" s="253" t="n">
        <v>12.391</v>
      </c>
      <c r="I133" s="253" t="n">
        <v>5.125</v>
      </c>
      <c r="J133" s="253" t="n">
        <v>3.289</v>
      </c>
      <c r="K133" s="253" t="n">
        <v>0</v>
      </c>
      <c r="L133" s="253" t="n">
        <v>0.197</v>
      </c>
      <c r="M133" s="253" t="n">
        <v>0</v>
      </c>
      <c r="N133" s="253" t="n">
        <v>3.486</v>
      </c>
      <c r="O133" s="253" t="n">
        <v>3.66</v>
      </c>
      <c r="P133" s="253" t="n">
        <v>0</v>
      </c>
      <c r="Q133" s="253" t="n">
        <v>0.621</v>
      </c>
      <c r="R133" s="253" t="n">
        <v>0</v>
      </c>
      <c r="S133" s="253" t="n">
        <v>4.281</v>
      </c>
      <c r="T133" s="253" t="n">
        <v>0</v>
      </c>
      <c r="U133" s="253" t="n">
        <v>0</v>
      </c>
      <c r="V133" s="253" t="n">
        <v>2.256</v>
      </c>
      <c r="W133" s="253" t="n">
        <v>15.986</v>
      </c>
      <c r="X133" s="253" t="n">
        <v>18.242</v>
      </c>
      <c r="Y133" s="253" t="n">
        <v>0</v>
      </c>
      <c r="Z133" s="253" t="n">
        <v>0</v>
      </c>
      <c r="AA133" s="253" t="n">
        <v>0</v>
      </c>
      <c r="AB133" s="253" t="n">
        <v>0</v>
      </c>
      <c r="AC133" s="253" t="n">
        <v>0</v>
      </c>
      <c r="AD133" s="253" t="n">
        <v>0</v>
      </c>
      <c r="AE133" s="253" t="n">
        <v>0</v>
      </c>
      <c r="AF133" s="253" t="n">
        <v>4.471</v>
      </c>
      <c r="AG133" s="253" t="n">
        <v>0</v>
      </c>
      <c r="AH133" s="253" t="n">
        <v>4.471</v>
      </c>
      <c r="AI133" s="253" t="n">
        <v>0</v>
      </c>
      <c r="AJ133" s="253" t="n">
        <v>0</v>
      </c>
      <c r="AK133" s="253" t="n">
        <v>0</v>
      </c>
      <c r="AL133" s="253" t="n">
        <v>0</v>
      </c>
      <c r="AM133" s="253" t="n">
        <v>0</v>
      </c>
      <c r="AN133" s="253" t="n">
        <v>0</v>
      </c>
      <c r="AO133" s="253" t="n">
        <v>0</v>
      </c>
      <c r="AP133" s="253" t="n">
        <v>0</v>
      </c>
      <c r="AQ133" s="253" t="n">
        <v>0</v>
      </c>
      <c r="AR133" s="253" t="n">
        <v>0</v>
      </c>
      <c r="AS133" s="253" t="n">
        <v>3.104</v>
      </c>
      <c r="AT133" s="253" t="n">
        <v>0</v>
      </c>
      <c r="AU133" s="253" t="n">
        <v>0</v>
      </c>
      <c r="AV133" s="253" t="n">
        <v>41.925</v>
      </c>
      <c r="AW133" s="253" t="n">
        <v>45.029</v>
      </c>
      <c r="AX133" s="253" t="n">
        <v>0</v>
      </c>
      <c r="AY133" s="253" t="n">
        <v>0</v>
      </c>
      <c r="AZ133" s="253" t="n">
        <v>0</v>
      </c>
      <c r="BA133" s="253" t="n">
        <v>7.957</v>
      </c>
      <c r="BB133" s="253" t="n">
        <v>7.957</v>
      </c>
      <c r="BC133" s="253" t="n">
        <v>0</v>
      </c>
      <c r="BD133" s="253" t="n">
        <v>0</v>
      </c>
      <c r="BE133" s="253" t="n">
        <v>0</v>
      </c>
      <c r="BF133" s="253" t="n">
        <v>0</v>
      </c>
      <c r="BG133" s="253" t="n">
        <v>0</v>
      </c>
      <c r="BH133" s="253" t="n">
        <v>0</v>
      </c>
      <c r="BI133" s="253" t="n">
        <v>0</v>
      </c>
      <c r="BJ133" s="253" t="n">
        <v>0</v>
      </c>
      <c r="BK133" s="253" t="n">
        <v>0</v>
      </c>
      <c r="BL133" s="253" t="n">
        <v>0</v>
      </c>
      <c r="BM133" s="253" t="n">
        <v>0</v>
      </c>
      <c r="BN133" s="253" t="n">
        <v>0</v>
      </c>
      <c r="BO133" s="253" t="n">
        <v>0</v>
      </c>
      <c r="BP133" s="253" t="n">
        <v>0</v>
      </c>
      <c r="BQ133" s="253" t="n">
        <v>0</v>
      </c>
      <c r="BR133" s="253" t="n">
        <v>0</v>
      </c>
      <c r="BS133" s="253" t="n">
        <v>0</v>
      </c>
      <c r="BT133" s="253" t="n">
        <v>0</v>
      </c>
      <c r="BU133" s="253" t="n">
        <v>10.922</v>
      </c>
      <c r="BV133" s="253" t="n">
        <v>10.922</v>
      </c>
      <c r="BW133" s="253" t="n">
        <v>0</v>
      </c>
      <c r="BX133" s="253" t="n">
        <v>0</v>
      </c>
      <c r="BY133" s="253" t="n">
        <v>0</v>
      </c>
      <c r="BZ133" s="254">
        <f>BZ122</f>
        <v>27</v>
      </c>
      <c r="CA133" s="254">
        <f>SUM(BW133:BZ133)</f>
        <v>27</v>
      </c>
      <c r="CB133" s="254">
        <f>CB122</f>
        <v>5</v>
      </c>
      <c r="CC133" s="254">
        <f>CC122</f>
        <v>0</v>
      </c>
      <c r="CD133" s="254">
        <f>CD122</f>
        <v>0</v>
      </c>
      <c r="CE133" s="254">
        <f>CE122</f>
        <v>0</v>
      </c>
      <c r="CF133" s="254">
        <f>CF122</f>
        <v>0</v>
      </c>
      <c r="CG133" s="19" t="n"/>
    </row>
    <row r="134" ht="15" customHeight="1" s="251">
      <c r="B134" s="25" t="inlineStr">
        <is>
          <t>(Gains) / losses on product-line asset sales &amp; business divestitures</t>
        </is>
      </c>
      <c r="C134" s="253" t="n">
        <v>0</v>
      </c>
      <c r="D134" s="253" t="n">
        <v>-1.541</v>
      </c>
      <c r="E134" s="253" t="n">
        <v>0</v>
      </c>
      <c r="F134" s="253" t="n">
        <v>2.993</v>
      </c>
      <c r="G134" s="253" t="n">
        <v>0</v>
      </c>
      <c r="H134" s="253" t="n">
        <v>0</v>
      </c>
      <c r="I134" s="253" t="n">
        <v>0</v>
      </c>
      <c r="J134" s="253" t="n">
        <v>0</v>
      </c>
      <c r="K134" s="253" t="n">
        <v>0</v>
      </c>
      <c r="L134" s="253" t="n">
        <v>0</v>
      </c>
      <c r="M134" s="253" t="n">
        <v>0</v>
      </c>
      <c r="N134" s="253" t="n">
        <v>0</v>
      </c>
      <c r="O134" s="253" t="n">
        <v>0</v>
      </c>
      <c r="P134" s="253" t="n">
        <v>0</v>
      </c>
      <c r="Q134" s="253" t="n">
        <v>0</v>
      </c>
      <c r="R134" s="253" t="n">
        <v>0</v>
      </c>
      <c r="S134" s="253" t="n">
        <v>0</v>
      </c>
      <c r="T134" s="253" t="n">
        <v>0</v>
      </c>
      <c r="U134" s="253" t="n">
        <v>0</v>
      </c>
      <c r="V134" s="253" t="n">
        <v>0</v>
      </c>
      <c r="W134" s="253" t="n">
        <v>0</v>
      </c>
      <c r="X134" s="253" t="n">
        <v>0</v>
      </c>
      <c r="Y134" s="253" t="n">
        <v>0</v>
      </c>
      <c r="Z134" s="253" t="n">
        <v>0</v>
      </c>
      <c r="AA134" s="253" t="n">
        <v>0</v>
      </c>
      <c r="AB134" s="253" t="n">
        <v>0</v>
      </c>
      <c r="AC134" s="253" t="n">
        <v>0</v>
      </c>
      <c r="AD134" s="253" t="n">
        <v>0</v>
      </c>
      <c r="AE134" s="253" t="n">
        <v>0</v>
      </c>
      <c r="AF134" s="253" t="n">
        <v>0</v>
      </c>
      <c r="AG134" s="253" t="n">
        <v>0</v>
      </c>
      <c r="AH134" s="253" t="n">
        <v>0</v>
      </c>
      <c r="AI134" s="253" t="n">
        <v>0</v>
      </c>
      <c r="AJ134" s="253" t="n">
        <v>0</v>
      </c>
      <c r="AK134" s="253" t="n">
        <v>0</v>
      </c>
      <c r="AL134" s="253" t="n">
        <v>0</v>
      </c>
      <c r="AM134" s="253" t="n">
        <v>0</v>
      </c>
      <c r="AN134" s="253" t="n">
        <v>0</v>
      </c>
      <c r="AO134" s="253" t="n">
        <v>0</v>
      </c>
      <c r="AP134" s="253" t="n">
        <v>0</v>
      </c>
      <c r="AQ134" s="253" t="n">
        <v>0</v>
      </c>
      <c r="AR134" s="253" t="n">
        <v>0</v>
      </c>
      <c r="AS134" s="253" t="n">
        <v>0</v>
      </c>
      <c r="AT134" s="253" t="n">
        <v>0</v>
      </c>
      <c r="AU134" s="253" t="n">
        <v>0</v>
      </c>
      <c r="AV134" s="253" t="n">
        <v>0</v>
      </c>
      <c r="AW134" s="253" t="n">
        <v>0</v>
      </c>
      <c r="AX134" s="253" t="n">
        <v>-7.334</v>
      </c>
      <c r="AY134" s="253" t="n">
        <v>0</v>
      </c>
      <c r="AZ134" s="253" t="n">
        <v>-92.80500000000001</v>
      </c>
      <c r="BA134" s="253" t="n">
        <v>0</v>
      </c>
      <c r="BB134" s="253" t="n">
        <v>-100.139</v>
      </c>
      <c r="BC134" s="253" t="n">
        <v>0</v>
      </c>
      <c r="BD134" s="253" t="n">
        <v>0</v>
      </c>
      <c r="BE134" s="253" t="n">
        <v>0</v>
      </c>
      <c r="BF134" s="253" t="n">
        <v>0</v>
      </c>
      <c r="BG134" s="253" t="n">
        <v>0</v>
      </c>
      <c r="BH134" s="253" t="n">
        <v>-1.941</v>
      </c>
      <c r="BI134" s="253" t="n">
        <v>0</v>
      </c>
      <c r="BJ134" s="253" t="n">
        <v>0</v>
      </c>
      <c r="BK134" s="253" t="n">
        <v>0</v>
      </c>
      <c r="BL134" s="253" t="n">
        <v>-1.941</v>
      </c>
      <c r="BM134" s="253" t="n">
        <v>0</v>
      </c>
      <c r="BN134" s="253" t="n">
        <v>0</v>
      </c>
      <c r="BO134" s="253" t="n">
        <v>0</v>
      </c>
      <c r="BP134" s="253" t="n">
        <v>0</v>
      </c>
      <c r="BQ134" s="253" t="n">
        <v>0</v>
      </c>
      <c r="BR134" s="253" t="n">
        <v>0</v>
      </c>
      <c r="BS134" s="253" t="n">
        <v>0</v>
      </c>
      <c r="BT134" s="253" t="n">
        <v>0</v>
      </c>
      <c r="BU134" s="253" t="n">
        <v>0</v>
      </c>
      <c r="BV134" s="253" t="n">
        <v>0</v>
      </c>
      <c r="BW134" s="253" t="n">
        <v>0</v>
      </c>
      <c r="BX134" s="253" t="n">
        <v>0</v>
      </c>
      <c r="BY134" s="253" t="n">
        <v>0</v>
      </c>
      <c r="BZ134" s="254">
        <f>BZ123</f>
        <v>0</v>
      </c>
      <c r="CA134" s="254">
        <f>SUM(BW134:BZ134)</f>
        <v>0</v>
      </c>
      <c r="CB134" s="254">
        <f>CB123</f>
        <v>0</v>
      </c>
      <c r="CC134" s="254">
        <f>CC123</f>
        <v>0</v>
      </c>
      <c r="CD134" s="254">
        <f>CD123</f>
        <v>0</v>
      </c>
      <c r="CE134" s="254">
        <f>CE123</f>
        <v>0</v>
      </c>
      <c r="CF134" s="254">
        <f>CF123</f>
        <v>0</v>
      </c>
      <c r="CG134" s="19" t="n"/>
    </row>
    <row r="135" ht="15" customHeight="1" s="251">
      <c r="B135" s="55" t="inlineStr">
        <is>
          <t>Operating income</t>
        </is>
      </c>
      <c r="C135" s="273">
        <f>IF(ISNUMBER(C129),C127-C129-C130-C131-C132-C133-C134,"")</f>
        <v>152.723</v>
      </c>
      <c r="D135" s="273">
        <f>IF(ISNUMBER(D129),D127-D129-D130-D131-D132-D133-D134,"")</f>
        <v>148.474</v>
      </c>
      <c r="E135" s="273">
        <f>IF(ISNUMBER(E129),E127-E129-E130-E131-E132-E133-E134,"")</f>
        <v>122.283</v>
      </c>
      <c r="F135" s="273">
        <f>IF(ISNUMBER(F129),F127-F129-F130-F131-F132-F133-F134,"")</f>
        <v>116.747</v>
      </c>
      <c r="G135" s="273">
        <f>IF(ISNUMBER(G129),G127-G129-G130-G131-G132-G133-G134,"")</f>
        <v>113.349</v>
      </c>
      <c r="H135" s="273">
        <f>IF(ISNUMBER(H129),H127-H129-H130-H131-H132-H133-H134,"")</f>
        <v>127.337</v>
      </c>
      <c r="I135" s="273">
        <f>IF(ISNUMBER(I129),I127-I129-I130-I131-I132-I133-I134,"")</f>
        <v>168.358</v>
      </c>
      <c r="J135" s="273">
        <f>IF(ISNUMBER(J129),J127-J129-J130-J131-J132-J133-J134,"")</f>
        <v>42.994</v>
      </c>
      <c r="K135" s="273">
        <f>IF(ISNUMBER(K129),K127-K129-K130-K131-K132-K133-K134,"")</f>
        <v>33.206</v>
      </c>
      <c r="L135" s="273">
        <f>IF(ISNUMBER(L129),L127-L129-L130-L131-L132-L133-L134,"")</f>
        <v>35.208</v>
      </c>
      <c r="M135" s="273">
        <f>IF(ISNUMBER(M129),M127-M129-M130-M131-M132-M133-M134,"")</f>
        <v>50.185</v>
      </c>
      <c r="N135" s="273">
        <f>IF(ISNUMBER(N129),N127-N129-N130-N131-N132-N133-N134,"")</f>
        <v>161.593</v>
      </c>
      <c r="O135" s="273">
        <f>IF(ISNUMBER(O129),O127-O129-O130-O131-O132-O133-O134,"")</f>
        <v>35.27</v>
      </c>
      <c r="P135" s="273">
        <f>IF(ISNUMBER(P129),P127-P129-P130-P131-P132-P133-P134,"")</f>
        <v>38.737</v>
      </c>
      <c r="Q135" s="273">
        <f>IF(ISNUMBER(Q129),Q127-Q129-Q130-Q131-Q132-Q133-Q134,"")</f>
        <v>36.421</v>
      </c>
      <c r="R135" s="273">
        <f>IF(ISNUMBER(R129),R127-R129-R130-R131-R132-R133-R134,"")</f>
        <v>51.44</v>
      </c>
      <c r="S135" s="273">
        <f>IF(ISNUMBER(S129),S127-S129-S130-S131-S132-S133-S134,"")</f>
        <v>161.868</v>
      </c>
      <c r="T135" s="273">
        <f>IF(ISNUMBER(T129),T127-T129-T130-T131-T132-T133-T134,"")</f>
        <v>24.88</v>
      </c>
      <c r="U135" s="273">
        <f>IF(ISNUMBER(U129),U127-U129-U130-U131-U132-U133-U134,"")</f>
        <v>34.399</v>
      </c>
      <c r="V135" s="273">
        <f>IF(ISNUMBER(V129),V127-V129-V130-V131-V132-V133-V134,"")</f>
        <v>37.054</v>
      </c>
      <c r="W135" s="273">
        <f>IF(ISNUMBER(W129),W127-W129-W130-W131-W132-W133-W134,"")</f>
        <v>41.172</v>
      </c>
      <c r="X135" s="273">
        <f>IF(ISNUMBER(X129),X127-X129-X130-X131-X132-X133-X134,"")</f>
        <v>137.505</v>
      </c>
      <c r="Y135" s="273">
        <f>IF(ISNUMBER(Y129),Y127-Y129-Y130-Y131-Y132-Y133-Y134,"")</f>
        <v>30.834</v>
      </c>
      <c r="Z135" s="273">
        <f>IF(ISNUMBER(Z129),Z127-Z129-Z130-Z131-Z132-Z133-Z134,"")</f>
        <v>38.524</v>
      </c>
      <c r="AA135" s="273">
        <f>IF(ISNUMBER(AA129),AA127-AA129-AA130-AA131-AA132-AA133-AA134,"")</f>
        <v>55.319</v>
      </c>
      <c r="AB135" s="273">
        <f>IF(ISNUMBER(AB129),AB127-AB129-AB130-AB131-AB132-AB133-AB134,"")</f>
        <v>44.915</v>
      </c>
      <c r="AC135" s="273">
        <f>IF(ISNUMBER(AC129),AC127-AC129-AC130-AC131-AC132-AC133-AC134,"")</f>
        <v>169.592</v>
      </c>
      <c r="AD135" s="273">
        <f>IF(ISNUMBER(AD129),AD127-AD129-AD130-AD131-AD132-AD133-AD134,"")</f>
        <v>34.927</v>
      </c>
      <c r="AE135" s="273">
        <f>IF(ISNUMBER(AE129),AE127-AE129-AE130-AE131-AE132-AE133-AE134,"")</f>
        <v>40.041</v>
      </c>
      <c r="AF135" s="273">
        <f>IF(ISNUMBER(AF129),AF127-AF129-AF130-AF131-AF132-AF133-AF134,"")</f>
        <v>41.429</v>
      </c>
      <c r="AG135" s="273">
        <f>IF(ISNUMBER(AG129),AG127-AG129-AG130-AG131-AG132-AG133-AG134,"")</f>
        <v>60.803</v>
      </c>
      <c r="AH135" s="273">
        <f>IF(ISNUMBER(AH129),AH127-AH129-AH130-AH131-AH132-AH133-AH134,"")</f>
        <v>177.2</v>
      </c>
      <c r="AI135" s="273">
        <f>IF(ISNUMBER(AI129),AI127-AI129-AI130-AI131-AI132-AI133-AI134,"")</f>
        <v>39.904</v>
      </c>
      <c r="AJ135" s="273">
        <f>IF(ISNUMBER(AJ129),AJ127-AJ129-AJ130-AJ131-AJ132-AJ133-AJ134,"")</f>
        <v>48.079</v>
      </c>
      <c r="AK135" s="273">
        <f>IF(ISNUMBER(AK129),AK127-AK129-AK130-AK131-AK132-AK133-AK134,"")</f>
        <v>48.376</v>
      </c>
      <c r="AL135" s="273">
        <f>IF(ISNUMBER(AL129),AL127-AL129-AL130-AL131-AL132-AL133-AL134,"")</f>
        <v>70.078</v>
      </c>
      <c r="AM135" s="273">
        <f>IF(ISNUMBER(AM129),AM127-AM129-AM130-AM131-AM132-AM133-AM134,"")</f>
        <v>206.437</v>
      </c>
      <c r="AN135" s="273">
        <f>IF(ISNUMBER(AN129),AN127-AN129-AN130-AN131-AN132-AN133-AN134,"")</f>
        <v>49.004</v>
      </c>
      <c r="AO135" s="273">
        <f>IF(ISNUMBER(AO129),AO127-AO129-AO130-AO131-AO132-AO133-AO134,"")</f>
        <v>48.549</v>
      </c>
      <c r="AP135" s="273">
        <f>IF(ISNUMBER(AP129),AP127-AP129-AP130-AP131-AP132-AP133-AP134,"")</f>
        <v>85.708</v>
      </c>
      <c r="AQ135" s="273">
        <f>IF(ISNUMBER(AQ129),AQ127-AQ129-AQ130-AQ131-AQ132-AQ133-AQ134,"")</f>
        <v>70.287</v>
      </c>
      <c r="AR135" s="273">
        <f>IF(ISNUMBER(AR129),AR127-AR129-AR130-AR131-AR132-AR133-AR134,"")</f>
        <v>253.548</v>
      </c>
      <c r="AS135" s="273">
        <f>IF(ISNUMBER(AS129),AS127-AS129-AS130-AS131-AS132-AS133-AS134,"")</f>
        <v>51.8820000000001</v>
      </c>
      <c r="AT135" s="273">
        <f>IF(ISNUMBER(AT129),AT127-AT129-AT130-AT131-AT132-AT133-AT134,"")</f>
        <v>75.726</v>
      </c>
      <c r="AU135" s="273">
        <f>IF(ISNUMBER(AU129),AU127-AU129-AU130-AU131-AU132-AU133-AU134,"")</f>
        <v>82.871</v>
      </c>
      <c r="AV135" s="273">
        <f>IF(ISNUMBER(AV129),AV127-AV129-AV130-AV131-AV132-AV133-AV134,"")</f>
        <v>85.49</v>
      </c>
      <c r="AW135" s="273">
        <f>IF(ISNUMBER(AW129),AW127-AW129-AW130-AW131-AW132-AW133-AW134,"")</f>
        <v>295.969</v>
      </c>
      <c r="AX135" s="273">
        <f>IF(ISNUMBER(AX129),AX127-AX129-AX130-AX131-AX132-AX133-AX134,"")</f>
        <v>94.721</v>
      </c>
      <c r="AY135" s="273">
        <f>IF(ISNUMBER(AY129),AY127-AY129-AY130-AY131-AY132-AY133-AY134,"")</f>
        <v>101.199</v>
      </c>
      <c r="AZ135" s="273">
        <f>IF(ISNUMBER(AZ129),AZ127-AZ129-AZ130-AZ131-AZ132-AZ133-AZ134,"")</f>
        <v>194.384</v>
      </c>
      <c r="BA135" s="273">
        <f>IF(ISNUMBER(BA129),BA127-BA129-BA130-BA131-BA132-BA133-BA134,"")</f>
        <v>115.185</v>
      </c>
      <c r="BB135" s="273">
        <f>IF(ISNUMBER(BB129),BB127-BB129-BB130-BB131-BB132-BB133-BB134,"")</f>
        <v>505.489</v>
      </c>
      <c r="BC135" s="273">
        <f>IF(ISNUMBER(BC129),BC127-BC129-BC130-BC131-BC132-BC133-BC134,"")</f>
        <v>115.586</v>
      </c>
      <c r="BD135" s="273">
        <f>IF(ISNUMBER(BD129),BD127-BD129-BD130-BD131-BD132-BD133-BD134,"")</f>
        <v>152.057</v>
      </c>
      <c r="BE135" s="273">
        <f>IF(ISNUMBER(BE129),BE127-BE129-BE130-BE131-BE132-BE133-BE134,"")</f>
        <v>140.615</v>
      </c>
      <c r="BF135" s="273">
        <f>IF(ISNUMBER(BF129),BF127-BF129-BF130-BF131-BF132-BF133-BF134,"")</f>
        <v>134.156</v>
      </c>
      <c r="BG135" s="273">
        <f>IF(ISNUMBER(BG129),BG127-BG129-BG130-BG131-BG132-BG133-BG134,"")</f>
        <v>542.414</v>
      </c>
      <c r="BH135" s="273">
        <f>IF(ISNUMBER(BH129),BH127-BH129-BH130-BH131-BH132-BH133-BH134,"")</f>
        <v>140.339</v>
      </c>
      <c r="BI135" s="273">
        <f>IF(ISNUMBER(BI129),BI127-BI129-BI130-BI131-BI132-BI133-BI134,"")</f>
        <v>159.761</v>
      </c>
      <c r="BJ135" s="273">
        <f>IF(ISNUMBER(BJ129),BJ127-BJ129-BJ130-BJ131-BJ132-BJ133-BJ134,"")</f>
        <v>177.031</v>
      </c>
      <c r="BK135" s="273">
        <f>IF(ISNUMBER(BK129),BK127-BK129-BK130-BK131-BK132-BK133-BK134,"")</f>
        <v>165.699</v>
      </c>
      <c r="BL135" s="273">
        <f>IF(ISNUMBER(BL129),BL127-BL129-BL130-BL131-BL132-BL133-BL134,"")</f>
        <v>642.83</v>
      </c>
      <c r="BM135" s="273">
        <f>IF(ISNUMBER(BM129),BM127-BM129-BM130-BM131-BM132-BM133-BM134,"")</f>
        <v>151.359</v>
      </c>
      <c r="BN135" s="273">
        <f>IF(ISNUMBER(BN129),BN127-BN129-BN130-BN131-BN132-BN133-BN134,"")</f>
        <v>194.841</v>
      </c>
      <c r="BO135" s="273">
        <f>IF(ISNUMBER(BO129),BO127-BO129-BO130-BO131-BO132-BO133-BO134,"")</f>
        <v>190.251</v>
      </c>
      <c r="BP135" s="273">
        <f>IF(ISNUMBER(BP129),BP127-BP129-BP130-BP131-BP132-BP133-BP134,"")</f>
        <v>197.178</v>
      </c>
      <c r="BQ135" s="273">
        <f>IF(ISNUMBER(BQ129),BQ127-BQ129-BQ130-BQ131-BQ132-BQ133-BQ134,"")</f>
        <v>733.629</v>
      </c>
      <c r="BR135" s="273">
        <f>IF(ISNUMBER(BR129),BR127-BR129-BR130-BR131-BR132-BR133-BR134,"")</f>
        <v>179.528</v>
      </c>
      <c r="BS135" s="273">
        <f>IF(ISNUMBER(BS129),BS127-BS129-BS130-BS131-BS132-BS133-BS134,"")</f>
        <v>245.648</v>
      </c>
      <c r="BT135" s="273">
        <f>IF(ISNUMBER(BT129),BT127-BT129-BT130-BT131-BT132-BT133-BT134,"")</f>
        <v>262.518</v>
      </c>
      <c r="BU135" s="273">
        <f>IF(ISNUMBER(BU129),BU127-BU129-BU130-BU131-BU132-BU133-BU134,"")</f>
        <v>237.156</v>
      </c>
      <c r="BV135" s="273">
        <f>IF(ISNUMBER(BV129),BV127-BV129-BV130-BV131-BV132-BV133-BV134,"")</f>
        <v>924.85</v>
      </c>
      <c r="BW135" s="273">
        <f>IF(ISNUMBER(BW129),BW127-BW129-BW130-BW131-BW132-BW133-BW134,"")</f>
        <v>234.049</v>
      </c>
      <c r="BX135" s="273">
        <f>IF(ISNUMBER(BX129),BX127-BX129-BX130-BX131-BX132-BX133-BX134,"")</f>
        <v>402.465</v>
      </c>
      <c r="BY135" s="273">
        <f>IF(ISNUMBER(BY129),BY127-BY129-BY130-BY131-BY132-BY133-BY134,"")</f>
        <v>362.628</v>
      </c>
      <c r="BZ135" s="273">
        <f>BZ90-BZ166</f>
        <v>302.355581988028</v>
      </c>
      <c r="CA135" s="273">
        <f>CA90-CA166</f>
        <v>1301.49758198803</v>
      </c>
      <c r="CB135" s="273">
        <f>CB90-CB166</f>
        <v>1549.99634555101</v>
      </c>
      <c r="CC135" s="273">
        <f>CC90-CC166</f>
        <v>1743.19187165166</v>
      </c>
      <c r="CD135" s="273">
        <f>CD90-CD166</f>
        <v>1927.22429842045</v>
      </c>
      <c r="CE135" s="273">
        <f>CE90-CE166</f>
        <v>2102.06157136208</v>
      </c>
      <c r="CF135" s="273">
        <f>CF90-CF166</f>
        <v>2276.16361718658</v>
      </c>
      <c r="CG135" s="153" t="inlineStr">
        <is>
          <t>Forecast = non-GAAP operating income − adjusting items (SBC, amortization, restructuring, gains).</t>
        </is>
      </c>
      <c r="CI135" s="20">
        <f>IFERROR((CF135/CA135)^(1/5)-1,"n/m")</f>
        <v>0.118283771097282</v>
      </c>
      <c r="CJ135" s="20">
        <f>IFERROR((BV135/AW135)^(1/5)-1,"n/m")</f>
        <v>0.255928787537489</v>
      </c>
      <c r="CK135" s="20">
        <f>IFERROR((BV135/X135)^(1/10)-1,"n/m")</f>
        <v>0.209971890336413</v>
      </c>
      <c r="CL135" s="20">
        <f>IFERROR((BV135/C135)^(1/19)-1,"n/m")</f>
        <v>0.0994277044617653</v>
      </c>
    </row>
    <row r="136" ht="15" customHeight="1" s="251">
      <c r="B136" s="25" t="inlineStr">
        <is>
          <t xml:space="preserve">  Operating margin %</t>
        </is>
      </c>
      <c r="C136" s="215">
        <f>IF(AND(ISNUMBER(C135),ISNUMBER(C127)),IFERROR(C135/C127,""),"")</f>
        <v>0.185036923058283</v>
      </c>
      <c r="D136" s="215">
        <f>IF(AND(ISNUMBER(D135),ISNUMBER(D127)),IFERROR(D135/D127,""),"")</f>
        <v>0.180573460660929</v>
      </c>
      <c r="E136" s="215">
        <f>IF(AND(ISNUMBER(E135),ISNUMBER(E127)),IFERROR(E135/E127,""),"")</f>
        <v>0.164173072947014</v>
      </c>
      <c r="F136" s="215">
        <f>IF(AND(ISNUMBER(F135),ISNUMBER(F127)),IFERROR(F135/F127,""),"")</f>
        <v>0.185096752201796</v>
      </c>
      <c r="G136" s="215">
        <f>IF(AND(ISNUMBER(G135),ISNUMBER(G127)),IFERROR(G135/G127,""),"")</f>
        <v>0.187154809021156</v>
      </c>
      <c r="H136" s="215">
        <f>IF(AND(ISNUMBER(H135),ISNUMBER(H127)),IFERROR(H135/H127,""),"")</f>
        <v>0.205487321743537</v>
      </c>
      <c r="I136" s="215">
        <f>IF(AND(ISNUMBER(I135),ISNUMBER(I127)),IFERROR(I135/I127,""),"")</f>
        <v>0.248894552668966</v>
      </c>
      <c r="J136" s="215">
        <f>IF(AND(ISNUMBER(J135),ISNUMBER(J127)),IFERROR(J135/J127,""),"")</f>
        <v>0.226260393642775</v>
      </c>
      <c r="K136" s="215">
        <f>IF(AND(ISNUMBER(K135),ISNUMBER(K127)),IFERROR(K135/K127,""),"")</f>
        <v>0.185172173428133</v>
      </c>
      <c r="L136" s="215">
        <f>IF(AND(ISNUMBER(L135),ISNUMBER(L127)),IFERROR(L135/L127,""),"")</f>
        <v>0.19158522517032</v>
      </c>
      <c r="M136" s="215">
        <f>IF(AND(ISNUMBER(M135),ISNUMBER(M127)),IFERROR(M135/M127,""),"")</f>
        <v>0.263677775617753</v>
      </c>
      <c r="N136" s="215">
        <f>IF(AND(ISNUMBER(N135),ISNUMBER(N127)),IFERROR(N135/N127,""),"")</f>
        <v>0.217357326173861</v>
      </c>
      <c r="O136" s="215">
        <f>IF(AND(ISNUMBER(O135),ISNUMBER(O127)),IFERROR(O135/O127,""),"")</f>
        <v>0.191328122033383</v>
      </c>
      <c r="P136" s="215">
        <f>IF(AND(ISNUMBER(P135),ISNUMBER(P127)),IFERROR(P135/P127,""),"")</f>
        <v>0.208867584734339</v>
      </c>
      <c r="Q136" s="215">
        <f>IF(AND(ISNUMBER(Q135),ISNUMBER(Q127)),IFERROR(Q135/Q127,""),"")</f>
        <v>0.184307474318101</v>
      </c>
      <c r="R136" s="215">
        <f>IF(AND(ISNUMBER(R135),ISNUMBER(R127)),IFERROR(R135/R127,""),"")</f>
        <v>0.232161393690482</v>
      </c>
      <c r="S136" s="215">
        <f>IF(AND(ISNUMBER(S135),ISNUMBER(S127)),IFERROR(S135/S127,""),"")</f>
        <v>0.205159793912432</v>
      </c>
      <c r="T136" s="215">
        <f>IF(AND(ISNUMBER(T135),ISNUMBER(T127)),IFERROR(T135/T127,""),"")</f>
        <v>0.131258243207597</v>
      </c>
      <c r="U136" s="215">
        <f>IF(AND(ISNUMBER(U135),ISNUMBER(U127)),IFERROR(U135/U127,""),"")</f>
        <v>0.166091285265247</v>
      </c>
      <c r="V136" s="215">
        <f>IF(AND(ISNUMBER(V135),ISNUMBER(V127)),IFERROR(V135/V127,""),"")</f>
        <v>0.176981935939933</v>
      </c>
      <c r="W136" s="215">
        <f>IF(AND(ISNUMBER(W135),ISNUMBER(W127)),IFERROR(W135/W127,""),"")</f>
        <v>0.176889102751379</v>
      </c>
      <c r="X136" s="215">
        <f>IF(AND(ISNUMBER(X135),ISNUMBER(X127)),IFERROR(X135/X127,""),"")</f>
        <v>0.163934328507679</v>
      </c>
      <c r="Y136" s="215">
        <f>IF(AND(ISNUMBER(Y135),ISNUMBER(Y127)),IFERROR(Y135/Y127,""),"")</f>
        <v>0.154111437653692</v>
      </c>
      <c r="Z136" s="215">
        <f>IF(AND(ISNUMBER(Z135),ISNUMBER(Z127)),IFERROR(Z135/Z127,""),"")</f>
        <v>0.186396229884168</v>
      </c>
      <c r="AA136" s="215">
        <f>IF(AND(ISNUMBER(AA135),ISNUMBER(AA127)),IFERROR(AA135/AA127,""),"")</f>
        <v>0.231675447486787</v>
      </c>
      <c r="AB136" s="215">
        <f>IF(AND(ISNUMBER(AB135),ISNUMBER(AB127)),IFERROR(AB135/AB127,""),"")</f>
        <v>0.190459834452812</v>
      </c>
      <c r="AC136" s="215">
        <f>IF(AND(ISNUMBER(AC135),ISNUMBER(AC127)),IFERROR(AC135/AC127,""),"")</f>
        <v>0.192421677506025</v>
      </c>
      <c r="AD136" s="215">
        <f>IF(AND(ISNUMBER(AD135),ISNUMBER(AD127)),IFERROR(AD135/AD127,""),"")</f>
        <v>0.159048269581057</v>
      </c>
      <c r="AE136" s="215">
        <f>IF(AND(ISNUMBER(AE135),ISNUMBER(AE127)),IFERROR(AE135/AE127,""),"")</f>
        <v>0.175327746105141</v>
      </c>
      <c r="AF136" s="215">
        <f>IF(AND(ISNUMBER(AF135),ISNUMBER(AF127)),IFERROR(AF135/AF127,""),"")</f>
        <v>0.179357190479077</v>
      </c>
      <c r="AG136" s="215">
        <f>IF(AND(ISNUMBER(AG135),ISNUMBER(AG127)),IFERROR(AG135/AG127,""),"")</f>
        <v>0.240133488675184</v>
      </c>
      <c r="AH136" s="215">
        <f>IF(AND(ISNUMBER(AH135),ISNUMBER(AH127)),IFERROR(AH135/AH127,""),"")</f>
        <v>0.190094285478277</v>
      </c>
      <c r="AI136" s="215">
        <f>IF(AND(ISNUMBER(AI135),ISNUMBER(AI127)),IFERROR(AI135/AI127,""),"")</f>
        <v>0.169572626327442</v>
      </c>
      <c r="AJ136" s="215">
        <f>IF(AND(ISNUMBER(AJ135),ISNUMBER(AJ127)),IFERROR(AJ135/AJ127,""),"")</f>
        <v>0.18645533588254</v>
      </c>
      <c r="AK136" s="215">
        <f>IF(AND(ISNUMBER(AK135),ISNUMBER(AK127)),IFERROR(AK135/AK127,""),"")</f>
        <v>0.186416446696595</v>
      </c>
      <c r="AL136" s="215">
        <f>IF(AND(ISNUMBER(AL135),ISNUMBER(AL127)),IFERROR(AL135/AL127,""),"")</f>
        <v>0.250465526053376</v>
      </c>
      <c r="AM136" s="215">
        <f>IF(AND(ISNUMBER(AM135),ISNUMBER(AM127)),IFERROR(AM135/AM127,""),"")</f>
        <v>0.199943824305673</v>
      </c>
      <c r="AN136" s="215">
        <f>IF(AND(ISNUMBER(AN135),ISNUMBER(AN127)),IFERROR(AN135/AN127,""),"")</f>
        <v>0.186855591483131</v>
      </c>
      <c r="AO136" s="215">
        <f>IF(AND(ISNUMBER(AO135),ISNUMBER(AO127)),IFERROR(AO135/AO127,""),"")</f>
        <v>0.174489817923043</v>
      </c>
      <c r="AP136" s="215">
        <f>IF(AND(ISNUMBER(AP135),ISNUMBER(AP127)),IFERROR(AP135/AP127,""),"")</f>
        <v>0.272739133616973</v>
      </c>
      <c r="AQ136" s="215">
        <f>IF(AND(ISNUMBER(AQ135),ISNUMBER(AQ127)),IFERROR(AQ135/AQ127,""),"")</f>
        <v>0.230189556696709</v>
      </c>
      <c r="AR136" s="215">
        <f>IF(AND(ISNUMBER(AR135),ISNUMBER(AR127)),IFERROR(AR135/AR127,""),"")</f>
        <v>0.218560223708131</v>
      </c>
      <c r="AS136" s="215">
        <f>IF(AND(ISNUMBER(AS135),ISNUMBER(AS127)),IFERROR(AS135/AS127,""),"")</f>
        <v>0.173806716157908</v>
      </c>
      <c r="AT136" s="215">
        <f>IF(AND(ISNUMBER(AT135),ISNUMBER(AT127)),IFERROR(AT135/AT127,""),"")</f>
        <v>0.245886788041731</v>
      </c>
      <c r="AU136" s="215">
        <f>IF(AND(ISNUMBER(AU135),ISNUMBER(AU127)),IFERROR(AU135/AU127,""),"")</f>
        <v>0.264146673424048</v>
      </c>
      <c r="AV136" s="215">
        <f>IF(AND(ISNUMBER(AV135),ISNUMBER(AV127)),IFERROR(AV135/AV127,""),"")</f>
        <v>0.228365513041063</v>
      </c>
      <c r="AW136" s="215">
        <f>IF(AND(ISNUMBER(AW135),ISNUMBER(AW127)),IFERROR(AW135/AW127,""),"")</f>
        <v>0.228624816733382</v>
      </c>
      <c r="AX136" s="215">
        <f>IF(AND(ISNUMBER(AX135),ISNUMBER(AX127)),IFERROR(AX135/AX127,""),"")</f>
        <v>0.303190638063595</v>
      </c>
      <c r="AY136" s="215">
        <f>IF(AND(ISNUMBER(AY135),ISNUMBER(AY127)),IFERROR(AY135/AY127,""),"")</f>
        <v>0.305404075917202</v>
      </c>
      <c r="AZ136" s="215">
        <f>IF(AND(ISNUMBER(AZ135),ISNUMBER(AZ127)),IFERROR(AZ135/AZ127,""),"")</f>
        <v>0.574787689541788</v>
      </c>
      <c r="BA136" s="215">
        <f>IF(AND(ISNUMBER(BA135),ISNUMBER(BA127)),IFERROR(BA135/BA127,""),"")</f>
        <v>0.344270526665013</v>
      </c>
      <c r="BB136" s="215">
        <f>IF(AND(ISNUMBER(BB135),ISNUMBER(BB127)),IFERROR(BB135/BB127,""),"")</f>
        <v>0.383953799972048</v>
      </c>
      <c r="BC136" s="215">
        <f>IF(AND(ISNUMBER(BC135),ISNUMBER(BC127)),IFERROR(BC135/BC127,""),"")</f>
        <v>0.358560744010597</v>
      </c>
      <c r="BD136" s="215">
        <f>IF(AND(ISNUMBER(BD135),ISNUMBER(BD127)),IFERROR(BD135/BD127,""),"")</f>
        <v>0.425697448172567</v>
      </c>
      <c r="BE136" s="215">
        <f>IF(AND(ISNUMBER(BE135),ISNUMBER(BE127)),IFERROR(BE135/BE127,""),"")</f>
        <v>0.402947565092301</v>
      </c>
      <c r="BF136" s="215">
        <f>IF(AND(ISNUMBER(BF135),ISNUMBER(BF127)),IFERROR(BF135/BF127,""),"")</f>
        <v>0.384678908552881</v>
      </c>
      <c r="BG136" s="215">
        <f>IF(AND(ISNUMBER(BG135),ISNUMBER(BG127)),IFERROR(BG135/BG127,""),"")</f>
        <v>0.393832727061506</v>
      </c>
      <c r="BH136" s="215">
        <f>IF(AND(ISNUMBER(BH135),ISNUMBER(BH127)),IFERROR(BH135/BH127,""),"")</f>
        <v>0.40693304723519</v>
      </c>
      <c r="BI136" s="215">
        <f>IF(AND(ISNUMBER(BI135),ISNUMBER(BI127)),IFERROR(BI135/BI127,""),"")</f>
        <v>0.42012959349508</v>
      </c>
      <c r="BJ136" s="215">
        <f>IF(AND(ISNUMBER(BJ135),ISNUMBER(BJ127)),IFERROR(BJ135/BJ127,""),"")</f>
        <v>0.444033931294646</v>
      </c>
      <c r="BK136" s="215">
        <f>IF(AND(ISNUMBER(BK135),ISNUMBER(BK127)),IFERROR(BK135/BK127,""),"")</f>
        <v>0.425160302052944</v>
      </c>
      <c r="BL136" s="215">
        <f>IF(AND(ISNUMBER(BL135),ISNUMBER(BL127)),IFERROR(BL135/BL127,""),"")</f>
        <v>0.424714761320518</v>
      </c>
      <c r="BM136" s="215">
        <f>IF(AND(ISNUMBER(BM135),ISNUMBER(BM127)),IFERROR(BM135/BM127,""),"")</f>
        <v>0.396166560662097</v>
      </c>
      <c r="BN136" s="215">
        <f>IF(AND(ISNUMBER(BN135),ISNUMBER(BN127)),IFERROR(BN135/BN127,""),"")</f>
        <v>0.449140059334869</v>
      </c>
      <c r="BO136" s="215">
        <f>IF(AND(ISNUMBER(BO135),ISNUMBER(BO127)),IFERROR(BO135/BO127,""),"")</f>
        <v>0.424810594642391</v>
      </c>
      <c r="BP136" s="215">
        <f>IF(AND(ISNUMBER(BP135),ISNUMBER(BP127)),IFERROR(BP135/BP127,""),"")</f>
        <v>0.434495569722064</v>
      </c>
      <c r="BQ136" s="215">
        <f>IF(AND(ISNUMBER(BQ135),ISNUMBER(BQ127)),IFERROR(BQ135/BQ127,""),"")</f>
        <v>0.427142878768648</v>
      </c>
      <c r="BR136" s="215">
        <f>IF(AND(ISNUMBER(BR135),ISNUMBER(BR127)),IFERROR(BR135/BR127,""),"")</f>
        <v>0.408047858026038</v>
      </c>
      <c r="BS136" s="215">
        <f>IF(AND(ISNUMBER(BS135),ISNUMBER(BS127)),IFERROR(BS135/BS127,""),"")</f>
        <v>0.49254213159293</v>
      </c>
      <c r="BT136" s="215">
        <f>IF(AND(ISNUMBER(BT135),ISNUMBER(BT127)),IFERROR(BT135/BT127,""),"")</f>
        <v>0.489393473336875</v>
      </c>
      <c r="BU136" s="215">
        <f>IF(AND(ISNUMBER(BU135),ISNUMBER(BU127)),IFERROR(BU135/BU127,""),"")</f>
        <v>0.459826544204471</v>
      </c>
      <c r="BV136" s="215">
        <f>IF(AND(ISNUMBER(BV135),ISNUMBER(BV127)),IFERROR(BV135/BV127,""),"")</f>
        <v>0.464545884234472</v>
      </c>
      <c r="BW136" s="215">
        <f>IF(AND(ISNUMBER(BW135),ISNUMBER(BW127)),IFERROR(BW135/BW127,""),"")</f>
        <v>0.457163561925857</v>
      </c>
      <c r="BX136" s="215">
        <f>IF(AND(ISNUMBER(BX135),ISNUMBER(BX127)),IFERROR(BX135/BX127,""),"")</f>
        <v>0.581868415459817</v>
      </c>
      <c r="BY136" s="215">
        <f>IF(AND(ISNUMBER(BY135),ISNUMBER(BY127)),IFERROR(BY135/BY127,""),"")</f>
        <v>0.537873708817125</v>
      </c>
      <c r="BZ136" s="256">
        <f>IF(AND(ISNUMBER(BZ135),ISNUMBER(BZ127)),IFERROR(BZ135/BZ127,""),"")</f>
        <v>0.463610408828335</v>
      </c>
      <c r="CA136" s="256">
        <f>IF(AND(ISNUMBER(CA135),ISNUMBER(CA127)),IFERROR(CA135/CA127,""),"")</f>
        <v>0.514425921734399</v>
      </c>
      <c r="CB136" s="256">
        <f>IF(AND(ISNUMBER(CB135),ISNUMBER(CB127)),IFERROR(CB135/CB127,""),"")</f>
        <v>0.5538040438303</v>
      </c>
      <c r="CC136" s="256">
        <f>IF(AND(ISNUMBER(CC135),ISNUMBER(CC127)),IFERROR(CC135/CC127,""),"")</f>
        <v>0.564466725412819</v>
      </c>
      <c r="CD136" s="256">
        <f>IF(AND(ISNUMBER(CD135),ISNUMBER(CD127)),IFERROR(CD135/CD127,""),"")</f>
        <v>0.570214552104601</v>
      </c>
      <c r="CE136" s="256">
        <f>IF(AND(ISNUMBER(CE135),ISNUMBER(CE127)),IFERROR(CE135/CE127,""),"")</f>
        <v>0.571647944195756</v>
      </c>
      <c r="CF136" s="256">
        <f>IF(AND(ISNUMBER(CF135),ISNUMBER(CF127)),IFERROR(CF135/CF127,""),"")</f>
        <v>0.572409526496989</v>
      </c>
      <c r="CG136" s="153" t="n"/>
      <c r="CI136" s="37">
        <f>IFERROR(AVERAGE(CB136,CC136,CD136,CE136,CF136),"n/m")</f>
        <v>0.566508558408093</v>
      </c>
      <c r="CJ136" s="37">
        <f>IFERROR(AVERAGE(BB136,BG136,BL136,BQ136,BV136),"n/m")</f>
        <v>0.418838010271438</v>
      </c>
      <c r="CK136" s="37">
        <f>IFERROR(AVERAGE(AC136,AH136,AM136,AR136,AW136,BB136,BG136,BL136,BQ136,BV136),"n/m")</f>
        <v>0.312383487908868</v>
      </c>
      <c r="CL136" s="37">
        <f>IFERROR(AVERAGE(C136,D136,E136,F136,G136,H136,I136,N136,S136,X136,AC136,AH136,AM136,AR136,AW136,BB136,BG136,BL136,BQ136,BV136),"n/m")</f>
        <v>0.253335160999217</v>
      </c>
    </row>
    <row r="137" ht="15" customHeight="1" s="251">
      <c r="B137" s="57" t="inlineStr">
        <is>
          <t xml:space="preserve">  Check: operating income vs reported (should be 0)</t>
        </is>
      </c>
      <c r="C137" s="262">
        <f>IF(AND(ISNUMBER(C135),ISNUMBER(C138)),IF(ABS(C135-C138)&lt;=0.15,0,ROUND(C135-C138,1)),"")</f>
        <v>0</v>
      </c>
      <c r="D137" s="262">
        <f>IF(AND(ISNUMBER(D135),ISNUMBER(D138)),IF(ABS(D135-D138)&lt;=0.15,0,ROUND(D135-D138,1)),"")</f>
        <v>0</v>
      </c>
      <c r="E137" s="262">
        <f>IF(AND(ISNUMBER(E135),ISNUMBER(E138)),IF(ABS(E135-E138)&lt;=0.15,0,ROUND(E135-E138,1)),"")</f>
        <v>0</v>
      </c>
      <c r="F137" s="262">
        <f>IF(AND(ISNUMBER(F135),ISNUMBER(F138)),IF(ABS(F135-F138)&lt;=0.15,0,ROUND(F135-F138,1)),"")</f>
        <v>0</v>
      </c>
      <c r="G137" s="262">
        <f>IF(AND(ISNUMBER(G135),ISNUMBER(G138)),IF(ABS(G135-G138)&lt;=0.15,0,ROUND(G135-G138,1)),"")</f>
        <v>0</v>
      </c>
      <c r="H137" s="262">
        <f>IF(AND(ISNUMBER(H135),ISNUMBER(H138)),IF(ABS(H135-H138)&lt;=0.15,0,ROUND(H135-H138,1)),"")</f>
        <v>0</v>
      </c>
      <c r="I137" s="262">
        <f>IF(AND(ISNUMBER(I135),ISNUMBER(I138)),IF(ABS(I135-I138)&lt;=0.15,0,ROUND(I135-I138,1)),"")</f>
        <v>0</v>
      </c>
      <c r="J137" s="262">
        <f>IF(AND(ISNUMBER(J135),ISNUMBER(J138)),IF(ABS(J135-J138)&lt;=0.15,0,ROUND(J135-J138,1)),"")</f>
        <v>0</v>
      </c>
      <c r="K137" s="262">
        <f>IF(AND(ISNUMBER(K135),ISNUMBER(K138)),IF(ABS(K135-K138)&lt;=0.15,0,ROUND(K135-K138,1)),"")</f>
        <v>0</v>
      </c>
      <c r="L137" s="262">
        <f>IF(AND(ISNUMBER(L135),ISNUMBER(L138)),IF(ABS(L135-L138)&lt;=0.15,0,ROUND(L135-L138,1)),"")</f>
        <v>0</v>
      </c>
      <c r="M137" s="262">
        <f>IF(AND(ISNUMBER(M135),ISNUMBER(M138)),IF(ABS(M135-M138)&lt;=0.15,0,ROUND(M135-M138,1)),"")</f>
        <v>0</v>
      </c>
      <c r="N137" s="262">
        <f>IF(AND(ISNUMBER(N135),ISNUMBER(N138)),IF(ABS(N135-N138)&lt;=0.15,0,ROUND(N135-N138,1)),"")</f>
        <v>0</v>
      </c>
      <c r="O137" s="262">
        <f>IF(AND(ISNUMBER(O135),ISNUMBER(O138)),IF(ABS(O135-O138)&lt;=0.15,0,ROUND(O135-O138,1)),"")</f>
        <v>0</v>
      </c>
      <c r="P137" s="262">
        <f>IF(AND(ISNUMBER(P135),ISNUMBER(P138)),IF(ABS(P135-P138)&lt;=0.15,0,ROUND(P135-P138,1)),"")</f>
        <v>0</v>
      </c>
      <c r="Q137" s="262">
        <f>IF(AND(ISNUMBER(Q135),ISNUMBER(Q138)),IF(ABS(Q135-Q138)&lt;=0.15,0,ROUND(Q135-Q138,1)),"")</f>
        <v>0</v>
      </c>
      <c r="R137" s="262">
        <f>IF(AND(ISNUMBER(R135),ISNUMBER(R138)),IF(ABS(R135-R138)&lt;=0.15,0,ROUND(R135-R138,1)),"")</f>
        <v>0</v>
      </c>
      <c r="S137" s="262">
        <f>IF(AND(ISNUMBER(S135),ISNUMBER(S138)),IF(ABS(S135-S138)&lt;=0.15,0,ROUND(S135-S138,1)),"")</f>
        <v>0</v>
      </c>
      <c r="T137" s="262">
        <f>IF(AND(ISNUMBER(T135),ISNUMBER(T138)),IF(ABS(T135-T138)&lt;=0.15,0,ROUND(T135-T138,1)),"")</f>
        <v>0</v>
      </c>
      <c r="U137" s="262">
        <f>IF(AND(ISNUMBER(U135),ISNUMBER(U138)),IF(ABS(U135-U138)&lt;=0.15,0,ROUND(U135-U138,1)),"")</f>
        <v>0</v>
      </c>
      <c r="V137" s="262">
        <f>IF(AND(ISNUMBER(V135),ISNUMBER(V138)),IF(ABS(V135-V138)&lt;=0.15,0,ROUND(V135-V138,1)),"")</f>
        <v>0</v>
      </c>
      <c r="W137" s="262">
        <f>IF(AND(ISNUMBER(W135),ISNUMBER(W138)),IF(ABS(W135-W138)&lt;=0.15,0,ROUND(W135-W138,1)),"")</f>
        <v>0</v>
      </c>
      <c r="X137" s="262">
        <f>IF(AND(ISNUMBER(X135),ISNUMBER(X138)),IF(ABS(X135-X138)&lt;=0.15,0,ROUND(X135-X138,1)),"")</f>
        <v>0</v>
      </c>
      <c r="Y137" s="262">
        <f>IF(AND(ISNUMBER(Y135),ISNUMBER(Y138)),IF(ABS(Y135-Y138)&lt;=0.15,0,ROUND(Y135-Y138,1)),"")</f>
        <v>0</v>
      </c>
      <c r="Z137" s="262">
        <f>IF(AND(ISNUMBER(Z135),ISNUMBER(Z138)),IF(ABS(Z135-Z138)&lt;=0.15,0,ROUND(Z135-Z138,1)),"")</f>
        <v>0</v>
      </c>
      <c r="AA137" s="262">
        <f>IF(AND(ISNUMBER(AA135),ISNUMBER(AA138)),IF(ABS(AA135-AA138)&lt;=0.15,0,ROUND(AA135-AA138,1)),"")</f>
        <v>0</v>
      </c>
      <c r="AB137" s="262">
        <f>IF(AND(ISNUMBER(AB135),ISNUMBER(AB138)),IF(ABS(AB135-AB138)&lt;=0.15,0,ROUND(AB135-AB138,1)),"")</f>
        <v>0</v>
      </c>
      <c r="AC137" s="262">
        <f>IF(AND(ISNUMBER(AC135),ISNUMBER(AC138)),IF(ABS(AC135-AC138)&lt;=0.15,0,ROUND(AC135-AC138,1)),"")</f>
        <v>0</v>
      </c>
      <c r="AD137" s="262">
        <f>IF(AND(ISNUMBER(AD135),ISNUMBER(AD138)),IF(ABS(AD135-AD138)&lt;=0.15,0,ROUND(AD135-AD138,1)),"")</f>
        <v>0</v>
      </c>
      <c r="AE137" s="262">
        <f>IF(AND(ISNUMBER(AE135),ISNUMBER(AE138)),IF(ABS(AE135-AE138)&lt;=0.15,0,ROUND(AE135-AE138,1)),"")</f>
        <v>0</v>
      </c>
      <c r="AF137" s="262">
        <f>IF(AND(ISNUMBER(AF135),ISNUMBER(AF138)),IF(ABS(AF135-AF138)&lt;=0.15,0,ROUND(AF135-AF138,1)),"")</f>
        <v>0</v>
      </c>
      <c r="AG137" s="262">
        <f>IF(AND(ISNUMBER(AG135),ISNUMBER(AG138)),IF(ABS(AG135-AG138)&lt;=0.15,0,ROUND(AG135-AG138,1)),"")</f>
        <v>0</v>
      </c>
      <c r="AH137" s="262">
        <f>IF(AND(ISNUMBER(AH135),ISNUMBER(AH138)),IF(ABS(AH135-AH138)&lt;=0.15,0,ROUND(AH135-AH138,1)),"")</f>
        <v>0</v>
      </c>
      <c r="AI137" s="262">
        <f>IF(AND(ISNUMBER(AI135),ISNUMBER(AI138)),IF(ABS(AI135-AI138)&lt;=0.15,0,ROUND(AI135-AI138,1)),"")</f>
        <v>0</v>
      </c>
      <c r="AJ137" s="262">
        <f>IF(AND(ISNUMBER(AJ135),ISNUMBER(AJ138)),IF(ABS(AJ135-AJ138)&lt;=0.15,0,ROUND(AJ135-AJ138,1)),"")</f>
        <v>0</v>
      </c>
      <c r="AK137" s="262">
        <f>IF(AND(ISNUMBER(AK135),ISNUMBER(AK138)),IF(ABS(AK135-AK138)&lt;=0.15,0,ROUND(AK135-AK138,1)),"")</f>
        <v>0</v>
      </c>
      <c r="AL137" s="262">
        <f>IF(AND(ISNUMBER(AL135),ISNUMBER(AL138)),IF(ABS(AL135-AL138)&lt;=0.15,0,ROUND(AL135-AL138,1)),"")</f>
        <v>0</v>
      </c>
      <c r="AM137" s="262">
        <f>IF(AND(ISNUMBER(AM135),ISNUMBER(AM138)),IF(ABS(AM135-AM138)&lt;=0.15,0,ROUND(AM135-AM138,1)),"")</f>
        <v>0</v>
      </c>
      <c r="AN137" s="262">
        <f>IF(AND(ISNUMBER(AN135),ISNUMBER(AN138)),IF(ABS(AN135-AN138)&lt;=0.15,0,ROUND(AN135-AN138,1)),"")</f>
        <v>0</v>
      </c>
      <c r="AO137" s="262">
        <f>IF(AND(ISNUMBER(AO135),ISNUMBER(AO138)),IF(ABS(AO135-AO138)&lt;=0.15,0,ROUND(AO135-AO138,1)),"")</f>
        <v>0</v>
      </c>
      <c r="AP137" s="262">
        <f>IF(AND(ISNUMBER(AP135),ISNUMBER(AP138)),IF(ABS(AP135-AP138)&lt;=0.15,0,ROUND(AP135-AP138,1)),"")</f>
        <v>0</v>
      </c>
      <c r="AQ137" s="262">
        <f>IF(AND(ISNUMBER(AQ135),ISNUMBER(AQ138)),IF(ABS(AQ135-AQ138)&lt;=0.15,0,ROUND(AQ135-AQ138,1)),"")</f>
        <v>0</v>
      </c>
      <c r="AR137" s="262">
        <f>IF(AND(ISNUMBER(AR135),ISNUMBER(AR138)),IF(ABS(AR135-AR138)&lt;=0.15,0,ROUND(AR135-AR138,1)),"")</f>
        <v>0</v>
      </c>
      <c r="AS137" s="262">
        <f>IF(AND(ISNUMBER(AS135),ISNUMBER(AS138)),IF(ABS(AS135-AS138)&lt;=0.15,0,ROUND(AS135-AS138,1)),"")</f>
        <v>0</v>
      </c>
      <c r="AT137" s="262">
        <f>IF(AND(ISNUMBER(AT135),ISNUMBER(AT138)),IF(ABS(AT135-AT138)&lt;=0.15,0,ROUND(AT135-AT138,1)),"")</f>
        <v>0</v>
      </c>
      <c r="AU137" s="262">
        <f>IF(AND(ISNUMBER(AU135),ISNUMBER(AU138)),IF(ABS(AU135-AU138)&lt;=0.15,0,ROUND(AU135-AU138,1)),"")</f>
        <v>0</v>
      </c>
      <c r="AV137" s="262">
        <f>IF(AND(ISNUMBER(AV135),ISNUMBER(AV138)),IF(ABS(AV135-AV138)&lt;=0.15,0,ROUND(AV135-AV138,1)),"")</f>
        <v>0</v>
      </c>
      <c r="AW137" s="262">
        <f>IF(AND(ISNUMBER(AW135),ISNUMBER(AW138)),IF(ABS(AW135-AW138)&lt;=0.15,0,ROUND(AW135-AW138,1)),"")</f>
        <v>0</v>
      </c>
      <c r="AX137" s="262">
        <f>IF(AND(ISNUMBER(AX135),ISNUMBER(AX138)),IF(ABS(AX135-AX138)&lt;=0.15,0,ROUND(AX135-AX138,1)),"")</f>
        <v>0</v>
      </c>
      <c r="AY137" s="262">
        <f>IF(AND(ISNUMBER(AY135),ISNUMBER(AY138)),IF(ABS(AY135-AY138)&lt;=0.15,0,ROUND(AY135-AY138,1)),"")</f>
        <v>0</v>
      </c>
      <c r="AZ137" s="262">
        <f>IF(AND(ISNUMBER(AZ135),ISNUMBER(AZ138)),IF(ABS(AZ135-AZ138)&lt;=0.15,0,ROUND(AZ135-AZ138,1)),"")</f>
        <v>0</v>
      </c>
      <c r="BA137" s="262">
        <f>IF(AND(ISNUMBER(BA135),ISNUMBER(BA138)),IF(ABS(BA135-BA138)&lt;=0.15,0,ROUND(BA135-BA138,1)),"")</f>
        <v>0</v>
      </c>
      <c r="BB137" s="262">
        <f>IF(AND(ISNUMBER(BB135),ISNUMBER(BB138)),IF(ABS(BB135-BB138)&lt;=0.15,0,ROUND(BB135-BB138,1)),"")</f>
        <v>0</v>
      </c>
      <c r="BC137" s="262">
        <f>IF(AND(ISNUMBER(BC135),ISNUMBER(BC138)),IF(ABS(BC135-BC138)&lt;=0.15,0,ROUND(BC135-BC138,1)),"")</f>
        <v>0</v>
      </c>
      <c r="BD137" s="262">
        <f>IF(AND(ISNUMBER(BD135),ISNUMBER(BD138)),IF(ABS(BD135-BD138)&lt;=0.15,0,ROUND(BD135-BD138,1)),"")</f>
        <v>0</v>
      </c>
      <c r="BE137" s="262">
        <f>IF(AND(ISNUMBER(BE135),ISNUMBER(BE138)),IF(ABS(BE135-BE138)&lt;=0.15,0,ROUND(BE135-BE138,1)),"")</f>
        <v>0</v>
      </c>
      <c r="BF137" s="262">
        <f>IF(AND(ISNUMBER(BF135),ISNUMBER(BF138)),IF(ABS(BF135-BF138)&lt;=0.15,0,ROUND(BF135-BF138,1)),"")</f>
        <v>0</v>
      </c>
      <c r="BG137" s="262">
        <f>IF(AND(ISNUMBER(BG135),ISNUMBER(BG138)),IF(ABS(BG135-BG138)&lt;=0.15,0,ROUND(BG135-BG138,1)),"")</f>
        <v>0</v>
      </c>
      <c r="BH137" s="262">
        <f>IF(AND(ISNUMBER(BH135),ISNUMBER(BH138)),IF(ABS(BH135-BH138)&lt;=0.15,0,ROUND(BH135-BH138,1)),"")</f>
        <v>0</v>
      </c>
      <c r="BI137" s="262">
        <f>IF(AND(ISNUMBER(BI135),ISNUMBER(BI138)),IF(ABS(BI135-BI138)&lt;=0.15,0,ROUND(BI135-BI138,1)),"")</f>
        <v>0</v>
      </c>
      <c r="BJ137" s="262">
        <f>IF(AND(ISNUMBER(BJ135),ISNUMBER(BJ138)),IF(ABS(BJ135-BJ138)&lt;=0.15,0,ROUND(BJ135-BJ138,1)),"")</f>
        <v>0</v>
      </c>
      <c r="BK137" s="262">
        <f>IF(AND(ISNUMBER(BK135),ISNUMBER(BK138)),IF(ABS(BK135-BK138)&lt;=0.15,0,ROUND(BK135-BK138,1)),"")</f>
        <v>0</v>
      </c>
      <c r="BL137" s="262">
        <f>IF(AND(ISNUMBER(BL135),ISNUMBER(BL138)),IF(ABS(BL135-BL138)&lt;=0.15,0,ROUND(BL135-BL138,1)),"")</f>
        <v>0</v>
      </c>
      <c r="BM137" s="262">
        <f>IF(AND(ISNUMBER(BM135),ISNUMBER(BM138)),IF(ABS(BM135-BM138)&lt;=0.15,0,ROUND(BM135-BM138,1)),"")</f>
        <v>0</v>
      </c>
      <c r="BN137" s="262">
        <f>IF(AND(ISNUMBER(BN135),ISNUMBER(BN138)),IF(ABS(BN135-BN138)&lt;=0.15,0,ROUND(BN135-BN138,1)),"")</f>
        <v>0</v>
      </c>
      <c r="BO137" s="262">
        <f>IF(AND(ISNUMBER(BO135),ISNUMBER(BO138)),IF(ABS(BO135-BO138)&lt;=0.15,0,ROUND(BO135-BO138,1)),"")</f>
        <v>0</v>
      </c>
      <c r="BP137" s="262">
        <f>IF(AND(ISNUMBER(BP135),ISNUMBER(BP138)),IF(ABS(BP135-BP138)&lt;=0.15,0,ROUND(BP135-BP138,1)),"")</f>
        <v>0</v>
      </c>
      <c r="BQ137" s="262">
        <f>IF(AND(ISNUMBER(BQ135),ISNUMBER(BQ138)),IF(ABS(BQ135-BQ138)&lt;=0.15,0,ROUND(BQ135-BQ138,1)),"")</f>
        <v>0</v>
      </c>
      <c r="BR137" s="262">
        <f>IF(AND(ISNUMBER(BR135),ISNUMBER(BR138)),IF(ABS(BR135-BR138)&lt;=0.15,0,ROUND(BR135-BR138,1)),"")</f>
        <v>0</v>
      </c>
      <c r="BS137" s="262">
        <f>IF(AND(ISNUMBER(BS135),ISNUMBER(BS138)),IF(ABS(BS135-BS138)&lt;=0.15,0,ROUND(BS135-BS138,1)),"")</f>
        <v>0</v>
      </c>
      <c r="BT137" s="262">
        <f>IF(AND(ISNUMBER(BT135),ISNUMBER(BT138)),IF(ABS(BT135-BT138)&lt;=0.15,0,ROUND(BT135-BT138,1)),"")</f>
        <v>0</v>
      </c>
      <c r="BU137" s="262">
        <f>IF(AND(ISNUMBER(BU135),ISNUMBER(BU138)),IF(ABS(BU135-BU138)&lt;=0.15,0,ROUND(BU135-BU138,1)),"")</f>
        <v>0</v>
      </c>
      <c r="BV137" s="262">
        <f>IF(AND(ISNUMBER(BV135),ISNUMBER(BV138)),IF(ABS(BV135-BV138)&lt;=0.15,0,ROUND(BV135-BV138,1)),"")</f>
        <v>0</v>
      </c>
      <c r="BW137" s="262">
        <f>IF(AND(ISNUMBER(BW135),ISNUMBER(BW138)),IF(ABS(BW135-BW138)&lt;=0.15,0,ROUND(BW135-BW138,1)),"")</f>
        <v>0</v>
      </c>
      <c r="BX137" s="262">
        <f>IF(AND(ISNUMBER(BX135),ISNUMBER(BX138)),IF(ABS(BX135-BX138)&lt;=0.15,0,ROUND(BX135-BX138,1)),"")</f>
        <v>0</v>
      </c>
      <c r="BY137" s="262">
        <f>IF(AND(ISNUMBER(BY135),ISNUMBER(BY138)),IF(ABS(BY135-BY138)&lt;=0.15,0,ROUND(BY135-BY138,1)),"")</f>
        <v>0</v>
      </c>
      <c r="BZ137" s="274">
        <f>IF(AND(ISNUMBER(BZ135),ISNUMBER(BZ138)),IF(ABS(BZ135-BZ138)&lt;=0.15,0,ROUND(BZ135-BZ138,1)),"")</f>
      </c>
      <c r="CA137" s="274">
        <f>IF(AND(ISNUMBER(CA135),ISNUMBER(CA138)),IF(ABS(CA135-CA138)&lt;=0.15,0,ROUND(CA135-CA138,1)),"")</f>
      </c>
      <c r="CB137" s="274">
        <f>IF(AND(ISNUMBER(CB135),ISNUMBER(CB138)),IF(ABS(CB135-CB138)&lt;=0.15,0,ROUND(CB135-CB138,1)),"")</f>
      </c>
      <c r="CC137" s="274">
        <f>IF(AND(ISNUMBER(CC135),ISNUMBER(CC138)),IF(ABS(CC135-CC138)&lt;=0.15,0,ROUND(CC135-CC138,1)),"")</f>
      </c>
      <c r="CD137" s="274">
        <f>IF(AND(ISNUMBER(CD135),ISNUMBER(CD138)),IF(ABS(CD135-CD138)&lt;=0.15,0,ROUND(CD135-CD138,1)),"")</f>
      </c>
      <c r="CE137" s="274">
        <f>IF(AND(ISNUMBER(CE135),ISNUMBER(CE138)),IF(ABS(CE135-CE138)&lt;=0.15,0,ROUND(CE135-CE138,1)),"")</f>
      </c>
      <c r="CF137" s="274">
        <f>IF(AND(ISNUMBER(CF135),ISNUMBER(CF138)),IF(ABS(CF135-CF138)&lt;=0.15,0,ROUND(CF135-CF138,1)),"")</f>
      </c>
      <c r="CG137" s="153" t="n"/>
    </row>
    <row r="138" ht="15" customHeight="1" s="251">
      <c r="B138" s="156" t="inlineStr">
        <is>
          <t xml:space="preserve">  Memo: operating income as reported</t>
        </is>
      </c>
      <c r="C138" s="253" t="n">
        <v>152.723</v>
      </c>
      <c r="D138" s="253" t="n">
        <v>148.474</v>
      </c>
      <c r="E138" s="253" t="n">
        <v>122.283</v>
      </c>
      <c r="F138" s="253" t="n">
        <v>116.747</v>
      </c>
      <c r="G138" s="253" t="n">
        <v>113.349</v>
      </c>
      <c r="H138" s="253" t="n">
        <v>127.337</v>
      </c>
      <c r="I138" s="253" t="n">
        <v>168.358</v>
      </c>
      <c r="J138" s="253" t="n">
        <v>42.994</v>
      </c>
      <c r="K138" s="253" t="n">
        <v>33.206</v>
      </c>
      <c r="L138" s="253" t="n">
        <v>35.208</v>
      </c>
      <c r="M138" s="253" t="n">
        <v>50.185</v>
      </c>
      <c r="N138" s="253" t="n">
        <v>161.593</v>
      </c>
      <c r="O138" s="253" t="n">
        <v>35.27</v>
      </c>
      <c r="P138" s="253" t="n">
        <v>38.737</v>
      </c>
      <c r="Q138" s="253" t="n">
        <v>36.421</v>
      </c>
      <c r="R138" s="253" t="n">
        <v>51.44</v>
      </c>
      <c r="S138" s="253" t="n">
        <v>161.868</v>
      </c>
      <c r="T138" s="253" t="n">
        <v>24.88</v>
      </c>
      <c r="U138" s="253" t="n">
        <v>34.399</v>
      </c>
      <c r="V138" s="253" t="n">
        <v>37.054</v>
      </c>
      <c r="W138" s="253" t="n">
        <v>41.172</v>
      </c>
      <c r="X138" s="253" t="n">
        <v>137.505</v>
      </c>
      <c r="Y138" s="253" t="n">
        <v>30.834</v>
      </c>
      <c r="Z138" s="253" t="n">
        <v>38.524</v>
      </c>
      <c r="AA138" s="253" t="n">
        <v>55.319</v>
      </c>
      <c r="AB138" s="253" t="n">
        <v>44.915</v>
      </c>
      <c r="AC138" s="253" t="n">
        <v>169.592</v>
      </c>
      <c r="AD138" s="253" t="n">
        <v>34.927</v>
      </c>
      <c r="AE138" s="253" t="n">
        <v>40.041</v>
      </c>
      <c r="AF138" s="253" t="n">
        <v>41.429</v>
      </c>
      <c r="AG138" s="253" t="n">
        <v>60.803</v>
      </c>
      <c r="AH138" s="253" t="n">
        <v>177.2</v>
      </c>
      <c r="AI138" s="253" t="n">
        <v>39.904</v>
      </c>
      <c r="AJ138" s="253" t="n">
        <v>48.079</v>
      </c>
      <c r="AK138" s="253" t="n">
        <v>48.376</v>
      </c>
      <c r="AL138" s="253" t="n">
        <v>70.078</v>
      </c>
      <c r="AM138" s="253" t="n">
        <v>206.437</v>
      </c>
      <c r="AN138" s="253" t="n">
        <v>49.004</v>
      </c>
      <c r="AO138" s="253" t="n">
        <v>48.549</v>
      </c>
      <c r="AP138" s="253" t="n">
        <v>85.708</v>
      </c>
      <c r="AQ138" s="253" t="n">
        <v>70.28700000000001</v>
      </c>
      <c r="AR138" s="253" t="n">
        <v>253.548</v>
      </c>
      <c r="AS138" s="253" t="n">
        <v>51.882</v>
      </c>
      <c r="AT138" s="253" t="n">
        <v>75.726</v>
      </c>
      <c r="AU138" s="253" t="n">
        <v>82.871</v>
      </c>
      <c r="AV138" s="253" t="n">
        <v>85.48999999999999</v>
      </c>
      <c r="AW138" s="253" t="n">
        <v>295.969</v>
      </c>
      <c r="AX138" s="253" t="n">
        <v>94.721</v>
      </c>
      <c r="AY138" s="253" t="n">
        <v>101.199</v>
      </c>
      <c r="AZ138" s="253" t="n">
        <v>194.384</v>
      </c>
      <c r="BA138" s="253" t="n">
        <v>115.185</v>
      </c>
      <c r="BB138" s="253" t="n">
        <v>505.489</v>
      </c>
      <c r="BC138" s="253" t="n">
        <v>115.586</v>
      </c>
      <c r="BD138" s="253" t="n">
        <v>152.057</v>
      </c>
      <c r="BE138" s="253" t="n">
        <v>140.615</v>
      </c>
      <c r="BF138" s="253" t="n">
        <v>134.156</v>
      </c>
      <c r="BG138" s="253" t="n">
        <v>542.414</v>
      </c>
      <c r="BH138" s="253" t="n">
        <v>140.339</v>
      </c>
      <c r="BI138" s="253" t="n">
        <v>159.761</v>
      </c>
      <c r="BJ138" s="253" t="n">
        <v>177.031</v>
      </c>
      <c r="BK138" s="253" t="n">
        <v>165.699</v>
      </c>
      <c r="BL138" s="253" t="n">
        <v>642.83</v>
      </c>
      <c r="BM138" s="253" t="n">
        <v>151.359</v>
      </c>
      <c r="BN138" s="253" t="n">
        <v>194.841</v>
      </c>
      <c r="BO138" s="253" t="n">
        <v>190.251</v>
      </c>
      <c r="BP138" s="253" t="n">
        <v>197.178</v>
      </c>
      <c r="BQ138" s="253" t="n">
        <v>733.629</v>
      </c>
      <c r="BR138" s="253" t="n">
        <v>179.528</v>
      </c>
      <c r="BS138" s="253" t="n">
        <v>245.648</v>
      </c>
      <c r="BT138" s="253" t="n">
        <v>262.518</v>
      </c>
      <c r="BU138" s="253" t="n">
        <v>237.156</v>
      </c>
      <c r="BV138" s="253" t="n">
        <v>924.85</v>
      </c>
      <c r="BW138" s="253" t="n">
        <v>234.049</v>
      </c>
      <c r="BX138" s="253" t="n">
        <v>402.465</v>
      </c>
      <c r="BY138" s="253" t="n">
        <v>362.628</v>
      </c>
      <c r="BZ138" s="153" t="n"/>
      <c r="CA138" s="153" t="n"/>
      <c r="CB138" s="153" t="n"/>
      <c r="CC138" s="153" t="n"/>
      <c r="CD138" s="153" t="n"/>
      <c r="CE138" s="153" t="n"/>
      <c r="CF138" s="153" t="n"/>
      <c r="CG138" s="153" t="n"/>
    </row>
    <row r="139" ht="15" customHeight="1" s="251">
      <c r="B139" s="25" t="inlineStr">
        <is>
          <t>Interest expense, net</t>
        </is>
      </c>
      <c r="C139" s="253" t="n">
        <v>-6.679</v>
      </c>
      <c r="D139" s="253" t="n">
        <v>-0.761</v>
      </c>
      <c r="E139" s="253" t="n">
        <v>11.533</v>
      </c>
      <c r="F139" s="253" t="n">
        <v>20.764</v>
      </c>
      <c r="G139" s="253" t="n">
        <v>22.436</v>
      </c>
      <c r="H139" s="253" t="n">
        <v>30.172</v>
      </c>
      <c r="I139" s="253" t="n">
        <v>31.417</v>
      </c>
      <c r="J139" s="253" t="n">
        <v>7.859</v>
      </c>
      <c r="K139" s="253" t="n">
        <v>7.846</v>
      </c>
      <c r="L139" s="253" t="n">
        <v>7.417</v>
      </c>
      <c r="M139" s="253" t="n">
        <v>7.105</v>
      </c>
      <c r="N139" s="253" t="n">
        <v>30.227</v>
      </c>
      <c r="O139" s="253" t="n">
        <v>7.126</v>
      </c>
      <c r="P139" s="253" t="n">
        <v>7.099</v>
      </c>
      <c r="Q139" s="253" t="n">
        <v>7.051</v>
      </c>
      <c r="R139" s="253" t="n">
        <v>7.274</v>
      </c>
      <c r="S139" s="253" t="n">
        <v>28.55</v>
      </c>
      <c r="T139" s="253" t="n">
        <v>7.205</v>
      </c>
      <c r="U139" s="253" t="n">
        <v>7.718</v>
      </c>
      <c r="V139" s="253" t="n">
        <v>7.36</v>
      </c>
      <c r="W139" s="253" t="n">
        <v>6.867</v>
      </c>
      <c r="X139" s="253" t="n">
        <v>29.15</v>
      </c>
      <c r="Y139" s="253" t="n">
        <v>6.724</v>
      </c>
      <c r="Z139" s="253" t="n">
        <v>6.815</v>
      </c>
      <c r="AA139" s="253" t="n">
        <v>6.781</v>
      </c>
      <c r="AB139" s="253" t="n">
        <v>6.313</v>
      </c>
      <c r="AC139" s="253" t="n">
        <v>26.633</v>
      </c>
      <c r="AD139" s="253" t="n">
        <v>6.172</v>
      </c>
      <c r="AE139" s="253" t="n">
        <v>6.578</v>
      </c>
      <c r="AF139" s="253" t="n">
        <v>6.653</v>
      </c>
      <c r="AG139" s="253" t="n">
        <v>6.387</v>
      </c>
      <c r="AH139" s="253" t="n">
        <v>25.79</v>
      </c>
      <c r="AI139" s="253" t="n">
        <v>6.46</v>
      </c>
      <c r="AJ139" s="253" t="n">
        <v>7.116</v>
      </c>
      <c r="AK139" s="253" t="n">
        <v>8.223000000000001</v>
      </c>
      <c r="AL139" s="253" t="n">
        <v>9.512</v>
      </c>
      <c r="AM139" s="253" t="n">
        <v>31.311</v>
      </c>
      <c r="AN139" s="253" t="n">
        <v>9.676</v>
      </c>
      <c r="AO139" s="253" t="n">
        <v>10.008</v>
      </c>
      <c r="AP139" s="253" t="n">
        <v>10.111</v>
      </c>
      <c r="AQ139" s="253" t="n">
        <v>9.957000000000001</v>
      </c>
      <c r="AR139" s="253" t="n">
        <v>39.752</v>
      </c>
      <c r="AS139" s="253" t="n">
        <v>9.768000000000001</v>
      </c>
      <c r="AT139" s="253" t="n">
        <v>11.254</v>
      </c>
      <c r="AU139" s="253" t="n">
        <v>11.223</v>
      </c>
      <c r="AV139" s="253" t="n">
        <v>9.932</v>
      </c>
      <c r="AW139" s="253" t="n">
        <v>42.177</v>
      </c>
      <c r="AX139" s="253" t="n">
        <v>9.641</v>
      </c>
      <c r="AY139" s="253" t="n">
        <v>9.943</v>
      </c>
      <c r="AZ139" s="253" t="n">
        <v>10.018</v>
      </c>
      <c r="BA139" s="253" t="n">
        <v>10.49</v>
      </c>
      <c r="BB139" s="253" t="n">
        <v>40.092</v>
      </c>
      <c r="BC139" s="253" t="n">
        <v>12.195</v>
      </c>
      <c r="BD139" s="253" t="n">
        <v>17.211</v>
      </c>
      <c r="BE139" s="253" t="n">
        <v>18.721</v>
      </c>
      <c r="BF139" s="253" t="n">
        <v>20.84</v>
      </c>
      <c r="BG139" s="253" t="n">
        <v>68.967</v>
      </c>
      <c r="BH139" s="253" t="n">
        <v>22.8</v>
      </c>
      <c r="BI139" s="253" t="n">
        <v>23.897</v>
      </c>
      <c r="BJ139" s="253" t="n">
        <v>24.545</v>
      </c>
      <c r="BK139" s="253" t="n">
        <v>24.304</v>
      </c>
      <c r="BL139" s="253" t="n">
        <v>95.54600000000001</v>
      </c>
      <c r="BM139" s="253" t="n">
        <v>24.162</v>
      </c>
      <c r="BN139" s="253" t="n">
        <v>26.093</v>
      </c>
      <c r="BO139" s="253" t="n">
        <v>26.868</v>
      </c>
      <c r="BP139" s="253" t="n">
        <v>28.515</v>
      </c>
      <c r="BQ139" s="253" t="n">
        <v>105.638</v>
      </c>
      <c r="BR139" s="253" t="n">
        <v>29.488</v>
      </c>
      <c r="BS139" s="253" t="n">
        <v>31.378</v>
      </c>
      <c r="BT139" s="253" t="n">
        <v>32.899</v>
      </c>
      <c r="BU139" s="253" t="n">
        <v>39.882</v>
      </c>
      <c r="BV139" s="253" t="n">
        <v>133.647</v>
      </c>
      <c r="BW139" s="253" t="n">
        <v>42.006</v>
      </c>
      <c r="BX139" s="253" t="n">
        <v>44.579</v>
      </c>
      <c r="BY139" s="253" t="n">
        <v>59.877</v>
      </c>
      <c r="BZ139" s="254">
        <f>$CQ$19</f>
        <v>78</v>
      </c>
      <c r="CA139" s="254">
        <f>SUM(BW139:BZ139)</f>
        <v>224.462</v>
      </c>
      <c r="CB139" s="254">
        <f>CA329*CB343+CA332*CB344+CA340*CB345+CB346-CA254*CB347</f>
        <v>309.272134669136</v>
      </c>
      <c r="CC139" s="254">
        <f>CB329*CC343+CB332*CC344+CB340*CC345+CC346-CB254*CC347</f>
        <v>308.397867616287</v>
      </c>
      <c r="CD139" s="254">
        <f>CC329*CD343+CC332*CD344+CC340*CD345+CD346-CC254*CD347</f>
        <v>374.764882157121</v>
      </c>
      <c r="CE139" s="254">
        <f>CD329*CE343+CD332*CE344+CD340*CE345+CE346-CD254*CE347</f>
        <v>413.023071581287</v>
      </c>
      <c r="CF139" s="254">
        <f>CE329*CF343+CE332*CF344+CE340*CF345+CF346-CE254*CF347</f>
        <v>449.669773846036</v>
      </c>
      <c r="CG139" s="19" t="inlineStr">
        <is>
          <t>Segment note ("unallocated interest expense, net"; FY2006–13 interest expense − interest income). Q4/26E point estimate; 2027E+ = rates × opening balances (no circularity).</t>
        </is>
      </c>
    </row>
    <row r="140" ht="15" customHeight="1" s="251">
      <c r="B140" s="25" t="inlineStr">
        <is>
          <t>Other income (expense), net</t>
        </is>
      </c>
      <c r="C140" s="253" t="n">
        <v>-0.21</v>
      </c>
      <c r="D140" s="253" t="n">
        <v>0.427</v>
      </c>
      <c r="E140" s="253" t="n">
        <v>2.245</v>
      </c>
      <c r="F140" s="253" t="n">
        <v>1.587</v>
      </c>
      <c r="G140" s="253" t="n">
        <v>1.391</v>
      </c>
      <c r="H140" s="253" t="n">
        <v>0.29</v>
      </c>
      <c r="I140" s="253" t="n">
        <v>-0.698</v>
      </c>
      <c r="J140" s="253" t="n">
        <v>-0.092</v>
      </c>
      <c r="K140" s="253" t="n">
        <v>0.027</v>
      </c>
      <c r="L140" s="253" t="n">
        <v>0.83</v>
      </c>
      <c r="M140" s="253" t="n">
        <v>-0.147</v>
      </c>
      <c r="N140" s="253" t="n">
        <v>0.618</v>
      </c>
      <c r="O140" s="253" t="n">
        <v>-0.961</v>
      </c>
      <c r="P140" s="253" t="n">
        <v>-0.351</v>
      </c>
      <c r="Q140" s="253" t="n">
        <v>0.931</v>
      </c>
      <c r="R140" s="253" t="n">
        <v>0.194</v>
      </c>
      <c r="S140" s="253" t="n">
        <v>-0.187</v>
      </c>
      <c r="T140" s="253" t="n">
        <v>0.649</v>
      </c>
      <c r="U140" s="253" t="n">
        <v>-0.648</v>
      </c>
      <c r="V140" s="253" t="n">
        <v>0.77</v>
      </c>
      <c r="W140" s="253" t="n">
        <v>0.112</v>
      </c>
      <c r="X140" s="253" t="n">
        <v>0.883</v>
      </c>
      <c r="Y140" s="253" t="n">
        <v>-0.334</v>
      </c>
      <c r="Z140" s="253" t="n">
        <v>0.435</v>
      </c>
      <c r="AA140" s="253" t="n">
        <v>1.752</v>
      </c>
      <c r="AB140" s="253" t="n">
        <v>-0.243</v>
      </c>
      <c r="AC140" s="253" t="n">
        <v>1.61</v>
      </c>
      <c r="AD140" s="253" t="n">
        <v>-0.1</v>
      </c>
      <c r="AE140" s="253" t="n">
        <v>-0.327</v>
      </c>
      <c r="AF140" s="253" t="n">
        <v>0.555</v>
      </c>
      <c r="AG140" s="253" t="n">
        <v>-0.214</v>
      </c>
      <c r="AH140" s="253" t="n">
        <v>-0.08599999999999999</v>
      </c>
      <c r="AI140" s="253" t="n">
        <v>0.513</v>
      </c>
      <c r="AJ140" s="253" t="n">
        <v>-0.161</v>
      </c>
      <c r="AK140" s="253" t="n">
        <v>1.588</v>
      </c>
      <c r="AL140" s="253" t="n">
        <v>10.944</v>
      </c>
      <c r="AM140" s="253" t="n">
        <v>12.884</v>
      </c>
      <c r="AN140" s="253" t="n">
        <v>-2.172</v>
      </c>
      <c r="AO140" s="253" t="n">
        <v>1.433</v>
      </c>
      <c r="AP140" s="253" t="n">
        <v>2.457</v>
      </c>
      <c r="AQ140" s="253" t="n">
        <v>0.5580000000000001</v>
      </c>
      <c r="AR140" s="253" t="n">
        <v>2.276</v>
      </c>
      <c r="AS140" s="253" t="n">
        <v>-0.219</v>
      </c>
      <c r="AT140" s="253" t="n">
        <v>-2.008</v>
      </c>
      <c r="AU140" s="253" t="n">
        <v>4.56</v>
      </c>
      <c r="AV140" s="253" t="n">
        <v>0.875</v>
      </c>
      <c r="AW140" s="253" t="n">
        <v>3.208</v>
      </c>
      <c r="AX140" s="253" t="n">
        <v>2.88</v>
      </c>
      <c r="AY140" s="253" t="n">
        <v>0.5679999999999999</v>
      </c>
      <c r="AZ140" s="253" t="n">
        <v>3.526</v>
      </c>
      <c r="BA140" s="253" t="n">
        <v>0.771</v>
      </c>
      <c r="BB140" s="253" t="n">
        <v>7.745</v>
      </c>
      <c r="BC140" s="253" t="n">
        <v>1.429</v>
      </c>
      <c r="BD140" s="253" t="n">
        <v>-2.361</v>
      </c>
      <c r="BE140" s="253" t="n">
        <v>-1</v>
      </c>
      <c r="BF140" s="253" t="n">
        <v>-0.206</v>
      </c>
      <c r="BG140" s="253" t="n">
        <v>-2.138</v>
      </c>
      <c r="BH140" s="253" t="n">
        <v>0.364</v>
      </c>
      <c r="BI140" s="253" t="n">
        <v>1.605</v>
      </c>
      <c r="BJ140" s="253" t="n">
        <v>5.301</v>
      </c>
      <c r="BK140" s="253" t="n">
        <v>-0.93</v>
      </c>
      <c r="BL140" s="253" t="n">
        <v>6.34</v>
      </c>
      <c r="BM140" s="253" t="n">
        <v>3.393</v>
      </c>
      <c r="BN140" s="253" t="n">
        <v>3.986</v>
      </c>
      <c r="BO140" s="253" t="n">
        <v>3.935</v>
      </c>
      <c r="BP140" s="253" t="n">
        <v>2.72</v>
      </c>
      <c r="BQ140" s="253" t="n">
        <v>14.034</v>
      </c>
      <c r="BR140" s="253" t="n">
        <v>0.089</v>
      </c>
      <c r="BS140" s="253" t="n">
        <v>-1.254</v>
      </c>
      <c r="BT140" s="253" t="n">
        <v>7.372</v>
      </c>
      <c r="BU140" s="253" t="n">
        <v>5.185</v>
      </c>
      <c r="BV140" s="253" t="n">
        <v>11.392</v>
      </c>
      <c r="BW140" s="253" t="n">
        <v>-0.112</v>
      </c>
      <c r="BX140" s="253" t="n">
        <v>-1.857</v>
      </c>
      <c r="BY140" s="253" t="n">
        <v>11.908</v>
      </c>
      <c r="BZ140" s="254">
        <f>BZ124</f>
        <v>3</v>
      </c>
      <c r="CA140" s="254">
        <f>SUM(BW140:BZ140)</f>
        <v>12.939</v>
      </c>
      <c r="CB140" s="254">
        <f>CB124</f>
        <v>12</v>
      </c>
      <c r="CC140" s="254">
        <f>CC124</f>
        <v>12</v>
      </c>
      <c r="CD140" s="254">
        <f>CD124</f>
        <v>12</v>
      </c>
      <c r="CE140" s="254">
        <f>CE124</f>
        <v>12</v>
      </c>
      <c r="CF140" s="254">
        <f>CF124</f>
        <v>12</v>
      </c>
      <c r="CG140" s="19" t="n"/>
    </row>
    <row r="141" ht="15" customHeight="1" s="251">
      <c r="B141" s="16" t="inlineStr">
        <is>
          <t>Income before income taxes</t>
        </is>
      </c>
      <c r="C141" s="259">
        <f>IF(ISNUMBER(C135),C135-C139+C140,"")</f>
        <v>159.192</v>
      </c>
      <c r="D141" s="259">
        <f>IF(ISNUMBER(D135),D135-D139+D140,"")</f>
        <v>149.662</v>
      </c>
      <c r="E141" s="259">
        <f>IF(ISNUMBER(E135),E135-E139+E140,"")</f>
        <v>112.995</v>
      </c>
      <c r="F141" s="259">
        <f>IF(ISNUMBER(F135),F135-F139+F140,"")</f>
        <v>97.5700000000001</v>
      </c>
      <c r="G141" s="259">
        <f>IF(ISNUMBER(G135),G135-G139+G140,"")</f>
        <v>92.304</v>
      </c>
      <c r="H141" s="259">
        <f>IF(ISNUMBER(H135),H135-H139+H140,"")</f>
        <v>97.455</v>
      </c>
      <c r="I141" s="259">
        <f>IF(ISNUMBER(I135),I135-I139+I140,"")</f>
        <v>136.243</v>
      </c>
      <c r="J141" s="259">
        <f>IF(ISNUMBER(J135),J135-J139+J140,"")</f>
        <v>35.043</v>
      </c>
      <c r="K141" s="259">
        <f>IF(ISNUMBER(K135),K135-K139+K140,"")</f>
        <v>25.387</v>
      </c>
      <c r="L141" s="259">
        <f>IF(ISNUMBER(L135),L135-L139+L140,"")</f>
        <v>28.621</v>
      </c>
      <c r="M141" s="259">
        <f>IF(ISNUMBER(M135),M135-M139+M140,"")</f>
        <v>42.933</v>
      </c>
      <c r="N141" s="259">
        <f>IF(ISNUMBER(N135),N135-N139+N140,"")</f>
        <v>131.984</v>
      </c>
      <c r="O141" s="259">
        <f>IF(ISNUMBER(O135),O135-O139+O140,"")</f>
        <v>27.183</v>
      </c>
      <c r="P141" s="259">
        <f>IF(ISNUMBER(P135),P135-P139+P140,"")</f>
        <v>31.287</v>
      </c>
      <c r="Q141" s="259">
        <f>IF(ISNUMBER(Q135),Q135-Q139+Q140,"")</f>
        <v>30.301</v>
      </c>
      <c r="R141" s="259">
        <f>IF(ISNUMBER(R135),R135-R139+R140,"")</f>
        <v>44.36</v>
      </c>
      <c r="S141" s="259">
        <f>IF(ISNUMBER(S135),S135-S139+S140,"")</f>
        <v>133.131</v>
      </c>
      <c r="T141" s="259">
        <f>IF(ISNUMBER(T135),T135-T139+T140,"")</f>
        <v>18.324</v>
      </c>
      <c r="U141" s="259">
        <f>IF(ISNUMBER(U135),U135-U139+U140,"")</f>
        <v>26.033</v>
      </c>
      <c r="V141" s="259">
        <f>IF(ISNUMBER(V135),V135-V139+V140,"")</f>
        <v>30.464</v>
      </c>
      <c r="W141" s="259">
        <f>IF(ISNUMBER(W135),W135-W139+W140,"")</f>
        <v>34.417</v>
      </c>
      <c r="X141" s="259">
        <f>IF(ISNUMBER(X135),X135-X139+X140,"")</f>
        <v>109.238</v>
      </c>
      <c r="Y141" s="259">
        <f>IF(ISNUMBER(Y135),Y135-Y139+Y140,"")</f>
        <v>23.776</v>
      </c>
      <c r="Z141" s="259">
        <f>IF(ISNUMBER(Z135),Z135-Z139+Z140,"")</f>
        <v>32.144</v>
      </c>
      <c r="AA141" s="259">
        <f>IF(ISNUMBER(AA135),AA135-AA139+AA140,"")</f>
        <v>50.29</v>
      </c>
      <c r="AB141" s="259">
        <f>IF(ISNUMBER(AB135),AB135-AB139+AB140,"")</f>
        <v>38.359</v>
      </c>
      <c r="AC141" s="259">
        <f>IF(ISNUMBER(AC135),AC135-AC139+AC140,"")</f>
        <v>144.569</v>
      </c>
      <c r="AD141" s="259">
        <f>IF(ISNUMBER(AD135),AD135-AD139+AD140,"")</f>
        <v>28.655</v>
      </c>
      <c r="AE141" s="259">
        <f>IF(ISNUMBER(AE135),AE135-AE139+AE140,"")</f>
        <v>33.136</v>
      </c>
      <c r="AF141" s="259">
        <f>IF(ISNUMBER(AF135),AF135-AF139+AF140,"")</f>
        <v>35.331</v>
      </c>
      <c r="AG141" s="259">
        <f>IF(ISNUMBER(AG135),AG135-AG139+AG140,"")</f>
        <v>54.202</v>
      </c>
      <c r="AH141" s="259">
        <f>IF(ISNUMBER(AH135),AH135-AH139+AH140,"")</f>
        <v>151.324</v>
      </c>
      <c r="AI141" s="259">
        <f>IF(ISNUMBER(AI135),AI135-AI139+AI140,"")</f>
        <v>33.957</v>
      </c>
      <c r="AJ141" s="259">
        <f>IF(ISNUMBER(AJ135),AJ135-AJ139+AJ140,"")</f>
        <v>40.802</v>
      </c>
      <c r="AK141" s="259">
        <f>IF(ISNUMBER(AK135),AK135-AK139+AK140,"")</f>
        <v>41.741</v>
      </c>
      <c r="AL141" s="259">
        <f>IF(ISNUMBER(AL135),AL135-AL139+AL140,"")</f>
        <v>71.51</v>
      </c>
      <c r="AM141" s="259">
        <f>IF(ISNUMBER(AM135),AM135-AM139+AM140,"")</f>
        <v>188.01</v>
      </c>
      <c r="AN141" s="259">
        <f>IF(ISNUMBER(AN135),AN135-AN139+AN140,"")</f>
        <v>37.156</v>
      </c>
      <c r="AO141" s="259">
        <f>IF(ISNUMBER(AO135),AO135-AO139+AO140,"")</f>
        <v>39.974</v>
      </c>
      <c r="AP141" s="259">
        <f>IF(ISNUMBER(AP135),AP135-AP139+AP140,"")</f>
        <v>78.054</v>
      </c>
      <c r="AQ141" s="259">
        <f>IF(ISNUMBER(AQ135),AQ135-AQ139+AQ140,"")</f>
        <v>60.888</v>
      </c>
      <c r="AR141" s="259">
        <f>IF(ISNUMBER(AR135),AR135-AR139+AR140,"")</f>
        <v>216.072</v>
      </c>
      <c r="AS141" s="259">
        <f>IF(ISNUMBER(AS135),AS135-AS139+AS140,"")</f>
        <v>41.8950000000001</v>
      </c>
      <c r="AT141" s="259">
        <f>IF(ISNUMBER(AT135),AT135-AT139+AT140,"")</f>
        <v>62.464</v>
      </c>
      <c r="AU141" s="259">
        <f>IF(ISNUMBER(AU135),AU135-AU139+AU140,"")</f>
        <v>76.208</v>
      </c>
      <c r="AV141" s="259">
        <f>IF(ISNUMBER(AV135),AV135-AV139+AV140,"")</f>
        <v>76.433</v>
      </c>
      <c r="AW141" s="259">
        <f>IF(ISNUMBER(AW135),AW135-AW139+AW140,"")</f>
        <v>257</v>
      </c>
      <c r="AX141" s="259">
        <f>IF(ISNUMBER(AX135),AX135-AX139+AX140,"")</f>
        <v>87.96</v>
      </c>
      <c r="AY141" s="259">
        <f>IF(ISNUMBER(AY135),AY135-AY139+AY140,"")</f>
        <v>91.824</v>
      </c>
      <c r="AZ141" s="259">
        <f>IF(ISNUMBER(AZ135),AZ135-AZ139+AZ140,"")</f>
        <v>187.892</v>
      </c>
      <c r="BA141" s="259">
        <f>IF(ISNUMBER(BA135),BA135-BA139+BA140,"")</f>
        <v>105.466</v>
      </c>
      <c r="BB141" s="259">
        <f>IF(ISNUMBER(BB135),BB135-BB139+BB140,"")</f>
        <v>473.142</v>
      </c>
      <c r="BC141" s="259">
        <f>IF(ISNUMBER(BC135),BC135-BC139+BC140,"")</f>
        <v>104.82</v>
      </c>
      <c r="BD141" s="259">
        <f>IF(ISNUMBER(BD135),BD135-BD139+BD140,"")</f>
        <v>132.485</v>
      </c>
      <c r="BE141" s="259">
        <f>IF(ISNUMBER(BE135),BE135-BE139+BE140,"")</f>
        <v>120.894</v>
      </c>
      <c r="BF141" s="259">
        <f>IF(ISNUMBER(BF135),BF135-BF139+BF140,"")</f>
        <v>113.11</v>
      </c>
      <c r="BG141" s="259">
        <f>IF(ISNUMBER(BG135),BG135-BG139+BG140,"")</f>
        <v>471.309</v>
      </c>
      <c r="BH141" s="259">
        <f>IF(ISNUMBER(BH135),BH135-BH139+BH140,"")</f>
        <v>117.903</v>
      </c>
      <c r="BI141" s="259">
        <f>IF(ISNUMBER(BI135),BI135-BI139+BI140,"")</f>
        <v>137.469</v>
      </c>
      <c r="BJ141" s="259">
        <f>IF(ISNUMBER(BJ135),BJ135-BJ139+BJ140,"")</f>
        <v>157.787</v>
      </c>
      <c r="BK141" s="259">
        <f>IF(ISNUMBER(BK135),BK135-BK139+BK140,"")</f>
        <v>140.465</v>
      </c>
      <c r="BL141" s="259">
        <f>IF(ISNUMBER(BL135),BL135-BL139+BL140,"")</f>
        <v>553.624</v>
      </c>
      <c r="BM141" s="259">
        <f>IF(ISNUMBER(BM135),BM135-BM139+BM140,"")</f>
        <v>130.59</v>
      </c>
      <c r="BN141" s="259">
        <f>IF(ISNUMBER(BN135),BN135-BN139+BN140,"")</f>
        <v>172.734</v>
      </c>
      <c r="BO141" s="259">
        <f>IF(ISNUMBER(BO135),BO135-BO139+BO140,"")</f>
        <v>167.318</v>
      </c>
      <c r="BP141" s="259">
        <f>IF(ISNUMBER(BP135),BP135-BP139+BP140,"")</f>
        <v>171.383</v>
      </c>
      <c r="BQ141" s="259">
        <f>IF(ISNUMBER(BQ135),BQ135-BQ139+BQ140,"")</f>
        <v>642.025</v>
      </c>
      <c r="BR141" s="259">
        <f>IF(ISNUMBER(BR135),BR135-BR139+BR140,"")</f>
        <v>150.129</v>
      </c>
      <c r="BS141" s="259">
        <f>IF(ISNUMBER(BS135),BS135-BS139+BS140,"")</f>
        <v>213.016</v>
      </c>
      <c r="BT141" s="259">
        <f>IF(ISNUMBER(BT135),BT135-BT139+BT140,"")</f>
        <v>236.991</v>
      </c>
      <c r="BU141" s="259">
        <f>IF(ISNUMBER(BU135),BU135-BU139+BU140,"")</f>
        <v>202.459</v>
      </c>
      <c r="BV141" s="259">
        <f>IF(ISNUMBER(BV135),BV135-BV139+BV140,"")</f>
        <v>802.595</v>
      </c>
      <c r="BW141" s="259">
        <f>IF(ISNUMBER(BW135),BW135-BW139+BW140,"")</f>
        <v>191.931</v>
      </c>
      <c r="BX141" s="259">
        <f>IF(ISNUMBER(BX135),BX135-BX139+BX140,"")</f>
        <v>356.029</v>
      </c>
      <c r="BY141" s="259">
        <f>IF(ISNUMBER(BY135),BY135-BY139+BY140,"")</f>
        <v>314.659</v>
      </c>
      <c r="BZ141" s="260">
        <f>IF(ISNUMBER(BZ135),BZ135-BZ139+BZ140,"")</f>
        <v>227.355581988028</v>
      </c>
      <c r="CA141" s="260">
        <f>IF(ISNUMBER(CA135),CA135-CA139+CA140,"")</f>
        <v>1089.97458198803</v>
      </c>
      <c r="CB141" s="260">
        <f>IF(ISNUMBER(CB135),CB135-CB139+CB140,"")</f>
        <v>1252.72421088187</v>
      </c>
      <c r="CC141" s="260">
        <f>IF(ISNUMBER(CC135),CC135-CC139+CC140,"")</f>
        <v>1446.79400403537</v>
      </c>
      <c r="CD141" s="260">
        <f>IF(ISNUMBER(CD135),CD135-CD139+CD140,"")</f>
        <v>1564.45941626332</v>
      </c>
      <c r="CE141" s="260">
        <f>IF(ISNUMBER(CE135),CE135-CE139+CE140,"")</f>
        <v>1701.0384997808</v>
      </c>
      <c r="CF141" s="260">
        <f>IF(ISNUMBER(CF135),CF135-CF139+CF140,"")</f>
        <v>1838.49384334055</v>
      </c>
      <c r="CG141" s="153" t="n"/>
    </row>
    <row r="142" ht="15" customHeight="1" s="251">
      <c r="B142" s="25" t="inlineStr">
        <is>
          <t>Provision for income taxes</t>
        </is>
      </c>
      <c r="C142" s="253" t="n">
        <v>55.706</v>
      </c>
      <c r="D142" s="253" t="n">
        <v>45.012</v>
      </c>
      <c r="E142" s="253" t="n">
        <v>31.809</v>
      </c>
      <c r="F142" s="253" t="n">
        <v>32.105</v>
      </c>
      <c r="G142" s="253" t="n">
        <v>27.847</v>
      </c>
      <c r="H142" s="253" t="n">
        <v>25.893</v>
      </c>
      <c r="I142" s="253" t="n">
        <v>44.239</v>
      </c>
      <c r="J142" s="253" t="n">
        <v>11.622</v>
      </c>
      <c r="K142" s="253" t="n">
        <v>6.892</v>
      </c>
      <c r="L142" s="253" t="n">
        <v>8.999000000000001</v>
      </c>
      <c r="M142" s="253" t="n">
        <v>14.376</v>
      </c>
      <c r="N142" s="253" t="n">
        <v>41.889</v>
      </c>
      <c r="O142" s="253" t="n">
        <v>10.206</v>
      </c>
      <c r="P142" s="253" t="n">
        <v>10.536</v>
      </c>
      <c r="Q142" s="253" t="n">
        <v>9.753</v>
      </c>
      <c r="R142" s="253" t="n">
        <v>7.757</v>
      </c>
      <c r="S142" s="253" t="n">
        <v>38.252</v>
      </c>
      <c r="T142" s="253" t="n">
        <v>3.917</v>
      </c>
      <c r="U142" s="253" t="n">
        <v>7.163</v>
      </c>
      <c r="V142" s="253" t="n">
        <v>10.558</v>
      </c>
      <c r="W142" s="253" t="n">
        <v>1.098</v>
      </c>
      <c r="X142" s="253" t="n">
        <v>22.736</v>
      </c>
      <c r="Y142" s="253" t="n">
        <v>4.535</v>
      </c>
      <c r="Z142" s="253" t="n">
        <v>9.028</v>
      </c>
      <c r="AA142" s="253" t="n">
        <v>15.303</v>
      </c>
      <c r="AB142" s="253" t="n">
        <v>6.255</v>
      </c>
      <c r="AC142" s="253" t="n">
        <v>35.121</v>
      </c>
      <c r="AD142" s="253" t="n">
        <v>-9.246</v>
      </c>
      <c r="AE142" s="253" t="n">
        <v>8.052</v>
      </c>
      <c r="AF142" s="253" t="n">
        <v>10.104</v>
      </c>
      <c r="AG142" s="253" t="n">
        <v>14.158</v>
      </c>
      <c r="AH142" s="253" t="n">
        <v>23.068</v>
      </c>
      <c r="AI142" s="253" t="n">
        <v>6.658</v>
      </c>
      <c r="AJ142" s="253" t="n">
        <v>8.526999999999999</v>
      </c>
      <c r="AK142" s="253" t="n">
        <v>9.380000000000001</v>
      </c>
      <c r="AL142" s="253" t="n">
        <v>21.03</v>
      </c>
      <c r="AM142" s="253" t="n">
        <v>45.595</v>
      </c>
      <c r="AN142" s="253" t="n">
        <v>-2.851</v>
      </c>
      <c r="AO142" s="253" t="n">
        <v>6.593</v>
      </c>
      <c r="AP142" s="253" t="n">
        <v>13.902</v>
      </c>
      <c r="AQ142" s="253" t="n">
        <v>6.304</v>
      </c>
      <c r="AR142" s="253" t="n">
        <v>23.948</v>
      </c>
      <c r="AS142" s="253" t="n">
        <v>-13.026</v>
      </c>
      <c r="AT142" s="253" t="n">
        <v>4.176</v>
      </c>
      <c r="AU142" s="253" t="n">
        <v>12.132</v>
      </c>
      <c r="AV142" s="253" t="n">
        <v>17.307</v>
      </c>
      <c r="AW142" s="253" t="n">
        <v>20.589</v>
      </c>
      <c r="AX142" s="253" t="n">
        <v>1.468</v>
      </c>
      <c r="AY142" s="253" t="n">
        <v>23.15</v>
      </c>
      <c r="AZ142" s="253" t="n">
        <v>36.694</v>
      </c>
      <c r="BA142" s="253" t="n">
        <v>19.746</v>
      </c>
      <c r="BB142" s="253" t="n">
        <v>81.05800000000001</v>
      </c>
      <c r="BC142" s="253" t="n">
        <v>19.861</v>
      </c>
      <c r="BD142" s="253" t="n">
        <v>28.102</v>
      </c>
      <c r="BE142" s="253" t="n">
        <v>27.394</v>
      </c>
      <c r="BF142" s="253" t="n">
        <v>22.411</v>
      </c>
      <c r="BG142" s="253" t="n">
        <v>97.768</v>
      </c>
      <c r="BH142" s="253" t="n">
        <v>20.26</v>
      </c>
      <c r="BI142" s="253" t="n">
        <v>35.919</v>
      </c>
      <c r="BJ142" s="253" t="n">
        <v>29.029</v>
      </c>
      <c r="BK142" s="253" t="n">
        <v>39.041</v>
      </c>
      <c r="BL142" s="253" t="n">
        <v>124.249</v>
      </c>
      <c r="BM142" s="253" t="n">
        <v>9.525</v>
      </c>
      <c r="BN142" s="253" t="n">
        <v>42.935</v>
      </c>
      <c r="BO142" s="253" t="n">
        <v>41.062</v>
      </c>
      <c r="BP142" s="253" t="n">
        <v>35.692</v>
      </c>
      <c r="BQ142" s="253" t="n">
        <v>129.214</v>
      </c>
      <c r="BR142" s="253" t="n">
        <v>-2.399</v>
      </c>
      <c r="BS142" s="253" t="n">
        <v>50.401</v>
      </c>
      <c r="BT142" s="253" t="n">
        <v>55.202</v>
      </c>
      <c r="BU142" s="253" t="n">
        <v>47.445</v>
      </c>
      <c r="BV142" s="253" t="n">
        <v>150.649</v>
      </c>
      <c r="BW142" s="253" t="n">
        <v>33.558</v>
      </c>
      <c r="BX142" s="253" t="n">
        <v>91.571</v>
      </c>
      <c r="BY142" s="253" t="n">
        <v>77.48699999999999</v>
      </c>
      <c r="BZ142" s="254">
        <f>BZ141-(BZ201-BZ195-BZ196-BZ197-BZ199-BZ200)</f>
        <v>62.0766734069472</v>
      </c>
      <c r="CA142" s="254">
        <f>SUM(BW142:BZ142)</f>
        <v>264.692673406947</v>
      </c>
      <c r="CB142" s="254">
        <f>CB141-(CB201-CB195-CB196-CB197-CB199-CB200)</f>
        <v>304.213626952933</v>
      </c>
      <c r="CC142" s="254">
        <f>CC141-(CC201-CC195-CC196-CC197-CC199-CC200)</f>
        <v>352.810256663413</v>
      </c>
      <c r="CD142" s="254">
        <f>CD141-(CD201-CD195-CD196-CD197-CD199-CD200)</f>
        <v>382.331590371263</v>
      </c>
      <c r="CE142" s="254">
        <f>CE141-(CE201-CE195-CE196-CE197-CE199-CE200)</f>
        <v>416.583415528851</v>
      </c>
      <c r="CF142" s="254">
        <f>CF141-(CF201-CF195-CF196-CF197-CF199-CF200)</f>
        <v>451.054986454918</v>
      </c>
      <c r="CG142" s="19" t="inlineStr">
        <is>
          <t>Forecast = pre-tax income − GAAP net income, where GAAP net income = non-GAAP net income − adjusting items − their tax effect − excess tax benefit (bridge below).</t>
        </is>
      </c>
    </row>
    <row r="143" ht="15" customHeight="1" s="251">
      <c r="B143" s="25" t="inlineStr">
        <is>
          <t xml:space="preserve">  Effective tax rate (GAAP)</t>
        </is>
      </c>
      <c r="C143" s="215">
        <f>IF(AND(ISNUMBER(C142),ISNUMBER(C141)),IFERROR(C142/C141,""),"")</f>
        <v>0.349929644705764</v>
      </c>
      <c r="D143" s="215">
        <f>IF(AND(ISNUMBER(D142),ISNUMBER(D141)),IFERROR(D142/D141,""),"")</f>
        <v>0.300757707367268</v>
      </c>
      <c r="E143" s="215">
        <f>IF(AND(ISNUMBER(E142),ISNUMBER(E141)),IFERROR(E142/E141,""),"")</f>
        <v>0.28150803132882</v>
      </c>
      <c r="F143" s="215">
        <f>IF(AND(ISNUMBER(F142),ISNUMBER(F141)),IFERROR(F142/F141,""),"")</f>
        <v>0.329045813262273</v>
      </c>
      <c r="G143" s="215">
        <f>IF(AND(ISNUMBER(G142),ISNUMBER(G141)),IFERROR(G142/G141,""),"")</f>
        <v>0.301687900849367</v>
      </c>
      <c r="H143" s="215">
        <f>IF(AND(ISNUMBER(H142),ISNUMBER(H141)),IFERROR(H142/H141,""),"")</f>
        <v>0.265691857780514</v>
      </c>
      <c r="I143" s="215">
        <f>IF(AND(ISNUMBER(I142),ISNUMBER(I141)),IFERROR(I142/I141,""),"")</f>
        <v>0.324706590430334</v>
      </c>
      <c r="J143" s="215">
        <f>IF(AND(ISNUMBER(J142),ISNUMBER(J141)),IFERROR(J142/J141,""),"")</f>
        <v>0.331649687526753</v>
      </c>
      <c r="K143" s="215">
        <f>IF(AND(ISNUMBER(K142),ISNUMBER(K141)),IFERROR(K142/K141,""),"")</f>
        <v>0.271477527868594</v>
      </c>
      <c r="L143" s="215">
        <f>IF(AND(ISNUMBER(L142),ISNUMBER(L141)),IFERROR(L142/L141,""),"")</f>
        <v>0.314419482198386</v>
      </c>
      <c r="M143" s="215">
        <f>IF(AND(ISNUMBER(M142),ISNUMBER(M141)),IFERROR(M142/M141,""),"")</f>
        <v>0.33484732024317</v>
      </c>
      <c r="N143" s="215">
        <f>IF(AND(ISNUMBER(N142),ISNUMBER(N141)),IFERROR(N142/N141,""),"")</f>
        <v>0.317379379318705</v>
      </c>
      <c r="O143" s="215">
        <f>IF(AND(ISNUMBER(O142),ISNUMBER(O141)),IFERROR(O142/O141,""),"")</f>
        <v>0.375455247765148</v>
      </c>
      <c r="P143" s="215">
        <f>IF(AND(ISNUMBER(P142),ISNUMBER(P141)),IFERROR(P142/P141,""),"")</f>
        <v>0.336753284111612</v>
      </c>
      <c r="Q143" s="215">
        <f>IF(AND(ISNUMBER(Q142),ISNUMBER(Q141)),IFERROR(Q142/Q141,""),"")</f>
        <v>0.321870565327877</v>
      </c>
      <c r="R143" s="215">
        <f>IF(AND(ISNUMBER(R142),ISNUMBER(R141)),IFERROR(R142/R141,""),"")</f>
        <v>0.174864743011722</v>
      </c>
      <c r="S143" s="215">
        <f>IF(AND(ISNUMBER(S142),ISNUMBER(S141)),IFERROR(S142/S141,""),"")</f>
        <v>0.287326017231148</v>
      </c>
      <c r="T143" s="215">
        <f>IF(AND(ISNUMBER(T142),ISNUMBER(T141)),IFERROR(T142/T141,""),"")</f>
        <v>0.213763370443135</v>
      </c>
      <c r="U143" s="215">
        <f>IF(AND(ISNUMBER(U142),ISNUMBER(U141)),IFERROR(U142/U141,""),"")</f>
        <v>0.275150770176315</v>
      </c>
      <c r="V143" s="215">
        <f>IF(AND(ISNUMBER(V142),ISNUMBER(V141)),IFERROR(V142/V141,""),"")</f>
        <v>0.34657300420168</v>
      </c>
      <c r="W143" s="215">
        <f>IF(AND(ISNUMBER(W142),ISNUMBER(W141)),IFERROR(W142/W141,""),"")</f>
        <v>0.0319028387134265</v>
      </c>
      <c r="X143" s="215">
        <f>IF(AND(ISNUMBER(X142),ISNUMBER(X141)),IFERROR(X142/X141,""),"")</f>
        <v>0.208132701074718</v>
      </c>
      <c r="Y143" s="215">
        <f>IF(AND(ISNUMBER(Y142),ISNUMBER(Y141)),IFERROR(Y142/Y141,""),"")</f>
        <v>0.190738559892329</v>
      </c>
      <c r="Z143" s="215">
        <f>IF(AND(ISNUMBER(Z142),ISNUMBER(Z141)),IFERROR(Z142/Z141,""),"")</f>
        <v>0.28086112493778</v>
      </c>
      <c r="AA143" s="215">
        <f>IF(AND(ISNUMBER(AA142),ISNUMBER(AA141)),IFERROR(AA142/AA141,""),"")</f>
        <v>0.304295088486777</v>
      </c>
      <c r="AB143" s="215">
        <f>IF(AND(ISNUMBER(AB142),ISNUMBER(AB141)),IFERROR(AB142/AB141,""),"")</f>
        <v>0.163064730571704</v>
      </c>
      <c r="AC143" s="215">
        <f>IF(AND(ISNUMBER(AC142),ISNUMBER(AC141)),IFERROR(AC142/AC141,""),"")</f>
        <v>0.242935899120835</v>
      </c>
      <c r="AD143" s="215">
        <f>IF(AND(ISNUMBER(AD142),ISNUMBER(AD141)),IFERROR(AD142/AD141,""),"")</f>
        <v>-0.322666201361019</v>
      </c>
      <c r="AE143" s="215">
        <f>IF(AND(ISNUMBER(AE142),ISNUMBER(AE141)),IFERROR(AE142/AE141,""),"")</f>
        <v>0.242998551424433</v>
      </c>
      <c r="AF143" s="215">
        <f>IF(AND(ISNUMBER(AF142),ISNUMBER(AF141)),IFERROR(AF142/AF141,""),"")</f>
        <v>0.285981149698565</v>
      </c>
      <c r="AG143" s="215">
        <f>IF(AND(ISNUMBER(AG142),ISNUMBER(AG141)),IFERROR(AG142/AG141,""),"")</f>
        <v>0.261208073502823</v>
      </c>
      <c r="AH143" s="215">
        <f>IF(AND(ISNUMBER(AH142),ISNUMBER(AH141)),IFERROR(AH142/AH141,""),"")</f>
        <v>0.152441119716635</v>
      </c>
      <c r="AI143" s="215">
        <f>IF(AND(ISNUMBER(AI142),ISNUMBER(AI141)),IFERROR(AI142/AI141,""),"")</f>
        <v>0.196071502193951</v>
      </c>
      <c r="AJ143" s="215">
        <f>IF(AND(ISNUMBER(AJ142),ISNUMBER(AJ141)),IFERROR(AJ142/AJ141,""),"")</f>
        <v>0.208984853683643</v>
      </c>
      <c r="AK143" s="215">
        <f>IF(AND(ISNUMBER(AK142),ISNUMBER(AK141)),IFERROR(AK142/AK141,""),"")</f>
        <v>0.224719101123596</v>
      </c>
      <c r="AL143" s="215">
        <f>IF(AND(ISNUMBER(AL142),ISNUMBER(AL141)),IFERROR(AL142/AL141,""),"")</f>
        <v>0.294084743392532</v>
      </c>
      <c r="AM143" s="215">
        <f>IF(AND(ISNUMBER(AM142),ISNUMBER(AM141)),IFERROR(AM142/AM141,""),"")</f>
        <v>0.242513696079996</v>
      </c>
      <c r="AN143" s="215">
        <f>IF(AND(ISNUMBER(AN142),ISNUMBER(AN141)),IFERROR(AN142/AN141,""),"")</f>
        <v>-0.0767305415006998</v>
      </c>
      <c r="AO143" s="215">
        <f>IF(AND(ISNUMBER(AO142),ISNUMBER(AO141)),IFERROR(AO142/AO141,""),"")</f>
        <v>0.164932205933857</v>
      </c>
      <c r="AP143" s="215">
        <f>IF(AND(ISNUMBER(AP142),ISNUMBER(AP141)),IFERROR(AP142/AP141,""),"")</f>
        <v>0.178107464063341</v>
      </c>
      <c r="AQ143" s="215">
        <f>IF(AND(ISNUMBER(AQ142),ISNUMBER(AQ141)),IFERROR(AQ142/AQ141,""),"")</f>
        <v>0.103534358165813</v>
      </c>
      <c r="AR143" s="215">
        <f>IF(AND(ISNUMBER(AR142),ISNUMBER(AR141)),IFERROR(AR142/AR141,""),"")</f>
        <v>0.110833425895072</v>
      </c>
      <c r="AS143" s="215">
        <f>IF(AND(ISNUMBER(AS142),ISNUMBER(AS141)),IFERROR(AS142/AS141,""),"")</f>
        <v>-0.310920157536699</v>
      </c>
      <c r="AT143" s="215">
        <f>IF(AND(ISNUMBER(AT142),ISNUMBER(AT141)),IFERROR(AT142/AT141,""),"")</f>
        <v>0.0668545081967213</v>
      </c>
      <c r="AU143" s="215">
        <f>IF(AND(ISNUMBER(AU142),ISNUMBER(AU141)),IFERROR(AU142/AU141,""),"")</f>
        <v>0.159195884946462</v>
      </c>
      <c r="AV143" s="215">
        <f>IF(AND(ISNUMBER(AV142),ISNUMBER(AV141)),IFERROR(AV142/AV141,""),"")</f>
        <v>0.22643360851988</v>
      </c>
      <c r="AW143" s="215">
        <f>IF(AND(ISNUMBER(AW142),ISNUMBER(AW141)),IFERROR(AW142/AW141,""),"")</f>
        <v>0.0801128404669261</v>
      </c>
      <c r="AX143" s="215">
        <f>IF(AND(ISNUMBER(AX142),ISNUMBER(AX141)),IFERROR(AX142/AX141,""),"")</f>
        <v>0.0166894042746703</v>
      </c>
      <c r="AY143" s="215">
        <f>IF(AND(ISNUMBER(AY142),ISNUMBER(AY141)),IFERROR(AY142/AY141,""),"")</f>
        <v>0.252112737410699</v>
      </c>
      <c r="AZ143" s="215">
        <f>IF(AND(ISNUMBER(AZ142),ISNUMBER(AZ141)),IFERROR(AZ142/AZ141,""),"")</f>
        <v>0.195293040682946</v>
      </c>
      <c r="BA143" s="215">
        <f>IF(AND(ISNUMBER(BA142),ISNUMBER(BA141)),IFERROR(BA142/BA141,""),"")</f>
        <v>0.187226215083534</v>
      </c>
      <c r="BB143" s="215">
        <f>IF(AND(ISNUMBER(BB142),ISNUMBER(BB141)),IFERROR(BB142/BB141,""),"")</f>
        <v>0.171318547074663</v>
      </c>
      <c r="BC143" s="215">
        <f>IF(AND(ISNUMBER(BC142),ISNUMBER(BC141)),IFERROR(BC142/BC141,""),"")</f>
        <v>0.189477199007823</v>
      </c>
      <c r="BD143" s="215">
        <f>IF(AND(ISNUMBER(BD142),ISNUMBER(BD141)),IFERROR(BD142/BD141,""),"")</f>
        <v>0.212114579008944</v>
      </c>
      <c r="BE143" s="215">
        <f>IF(AND(ISNUMBER(BE142),ISNUMBER(BE141)),IFERROR(BE142/BE141,""),"")</f>
        <v>0.226595199100038</v>
      </c>
      <c r="BF143" s="215">
        <f>IF(AND(ISNUMBER(BF142),ISNUMBER(BF141)),IFERROR(BF142/BF141,""),"")</f>
        <v>0.198134559278578</v>
      </c>
      <c r="BG143" s="215">
        <f>IF(AND(ISNUMBER(BG142),ISNUMBER(BG141)),IFERROR(BG142/BG141,""),"")</f>
        <v>0.207439280811527</v>
      </c>
      <c r="BH143" s="215">
        <f>IF(AND(ISNUMBER(BH142),ISNUMBER(BH141)),IFERROR(BH142/BH141,""),"")</f>
        <v>0.17183617041127</v>
      </c>
      <c r="BI143" s="215">
        <f>IF(AND(ISNUMBER(BI142),ISNUMBER(BI141)),IFERROR(BI142/BI141,""),"")</f>
        <v>0.261287999476246</v>
      </c>
      <c r="BJ143" s="215">
        <f>IF(AND(ISNUMBER(BJ142),ISNUMBER(BJ141)),IFERROR(BJ142/BJ141,""),"")</f>
        <v>0.18397586619937</v>
      </c>
      <c r="BK143" s="215">
        <f>IF(AND(ISNUMBER(BK142),ISNUMBER(BK141)),IFERROR(BK142/BK141,""),"")</f>
        <v>0.277941124123447</v>
      </c>
      <c r="BL143" s="215">
        <f>IF(AND(ISNUMBER(BL142),ISNUMBER(BL141)),IFERROR(BL142/BL141,""),"")</f>
        <v>0.224428492984408</v>
      </c>
      <c r="BM143" s="215">
        <f>IF(AND(ISNUMBER(BM142),ISNUMBER(BM141)),IFERROR(BM142/BM141,""),"")</f>
        <v>0.07293820353779</v>
      </c>
      <c r="BN143" s="215">
        <f>IF(AND(ISNUMBER(BN142),ISNUMBER(BN141)),IFERROR(BN142/BN141,""),"")</f>
        <v>0.248561371820255</v>
      </c>
      <c r="BO143" s="215">
        <f>IF(AND(ISNUMBER(BO142),ISNUMBER(BO141)),IFERROR(BO142/BO141,""),"")</f>
        <v>0.245412926284082</v>
      </c>
      <c r="BP143" s="215">
        <f>IF(AND(ISNUMBER(BP142),ISNUMBER(BP141)),IFERROR(BP142/BP141,""),"")</f>
        <v>0.208258695436537</v>
      </c>
      <c r="BQ143" s="215">
        <f>IF(AND(ISNUMBER(BQ142),ISNUMBER(BQ141)),IFERROR(BQ142/BQ141,""),"")</f>
        <v>0.20126007554223</v>
      </c>
      <c r="BR143" s="215">
        <f>IF(AND(ISNUMBER(BR142),ISNUMBER(BR141)),IFERROR(BR142/BR141,""),"")</f>
        <v>-0.0159795908851721</v>
      </c>
      <c r="BS143" s="215">
        <f>IF(AND(ISNUMBER(BS142),ISNUMBER(BS141)),IFERROR(BS142/BS141,""),"")</f>
        <v>0.236606639876817</v>
      </c>
      <c r="BT143" s="215">
        <f>IF(AND(ISNUMBER(BT142),ISNUMBER(BT141)),IFERROR(BT142/BT141,""),"")</f>
        <v>0.232928676616412</v>
      </c>
      <c r="BU143" s="215">
        <f>IF(AND(ISNUMBER(BU142),ISNUMBER(BU141)),IFERROR(BU142/BU141,""),"")</f>
        <v>0.234343743671558</v>
      </c>
      <c r="BV143" s="215">
        <f>IF(AND(ISNUMBER(BV142),ISNUMBER(BV141)),IFERROR(BV142/BV141,""),"")</f>
        <v>0.187702390371233</v>
      </c>
      <c r="BW143" s="215">
        <f>IF(AND(ISNUMBER(BW142),ISNUMBER(BW141)),IFERROR(BW142/BW141,""),"")</f>
        <v>0.174844084592901</v>
      </c>
      <c r="BX143" s="215">
        <f>IF(AND(ISNUMBER(BX142),ISNUMBER(BX141)),IFERROR(BX142/BX141,""),"")</f>
        <v>0.257200958348898</v>
      </c>
      <c r="BY143" s="215">
        <f>IF(AND(ISNUMBER(BY142),ISNUMBER(BY141)),IFERROR(BY142/BY141,""),"")</f>
        <v>0.246257059229197</v>
      </c>
      <c r="BZ143" s="256">
        <f>IF(AND(ISNUMBER(BZ142),ISNUMBER(BZ141)),IFERROR(BZ142/BZ141,""),"")</f>
        <v>0.27303782411736</v>
      </c>
      <c r="CA143" s="256">
        <f>IF(AND(ISNUMBER(CA142),ISNUMBER(CA141)),IFERROR(CA142/CA141,""),"")</f>
        <v>0.242842977974925</v>
      </c>
      <c r="CB143" s="256">
        <f>IF(AND(ISNUMBER(CB142),ISNUMBER(CB141)),IFERROR(CB142/CB141,""),"")</f>
        <v>0.242841660048047</v>
      </c>
      <c r="CC143" s="256">
        <f>IF(AND(ISNUMBER(CC142),ISNUMBER(CC141)),IFERROR(CC142/CC141,""),"")</f>
        <v>0.243856593045977</v>
      </c>
      <c r="CD143" s="256">
        <f>IF(AND(ISNUMBER(CD142),ISNUMBER(CD141)),IFERROR(CD142/CD141,""),"")</f>
        <v>0.24438575165117</v>
      </c>
      <c r="CE143" s="256">
        <f>IF(AND(ISNUMBER(CE142),ISNUMBER(CE141)),IFERROR(CE142/CE141,""),"")</f>
        <v>0.244899463229394</v>
      </c>
      <c r="CF143" s="256">
        <f>IF(AND(ISNUMBER(CF142),ISNUMBER(CF141)),IFERROR(CF142/CF141,""),"")</f>
        <v>0.245339405453406</v>
      </c>
      <c r="CG143" s="153" t="n"/>
      <c r="CI143" s="37">
        <f>IFERROR(AVERAGE(CB143,CC143,CD143,CE143,CF143),"n/m")</f>
        <v>0.244264574685599</v>
      </c>
      <c r="CJ143" s="37">
        <f>IFERROR(AVERAGE(BB143,BG143,BL143,BQ143,BV143),"n/m")</f>
        <v>0.198429757356812</v>
      </c>
      <c r="CK143" s="37">
        <f>IFERROR(AVERAGE(AC143,AH143,AM143,AR143,AW143,BB143,BG143,BL143,BQ143,BV143),"n/m")</f>
        <v>0.182098576806352</v>
      </c>
      <c r="CL143" s="37">
        <f>IFERROR(AVERAGE(C143,D143,E143,F143,G143,H143,I143,N143,S143,X143,AC143,AH143,AM143,AR143,AW143,BB143,BG143,BL143,BQ143,BV143),"n/m")</f>
        <v>0.239357570570622</v>
      </c>
    </row>
    <row r="144" ht="15" customHeight="1" s="251">
      <c r="B144" s="25" t="inlineStr">
        <is>
          <t>Income from continuing operations</t>
        </is>
      </c>
      <c r="C144" s="262">
        <f>IF(ISNUMBER(C141),C141-C142,"")</f>
        <v>103.486</v>
      </c>
      <c r="D144" s="262">
        <f>IF(ISNUMBER(D141),D141-D142,"")</f>
        <v>104.65</v>
      </c>
      <c r="E144" s="262">
        <f>IF(ISNUMBER(E141),E141-E142,"")</f>
        <v>81.186</v>
      </c>
      <c r="F144" s="262">
        <f>IF(ISNUMBER(F141),F141-F142,"")</f>
        <v>65.4650000000001</v>
      </c>
      <c r="G144" s="262">
        <f>IF(ISNUMBER(G141),G141-G142,"")</f>
        <v>64.457</v>
      </c>
      <c r="H144" s="262">
        <f>IF(ISNUMBER(H141),H141-H142,"")</f>
        <v>71.562</v>
      </c>
      <c r="I144" s="262">
        <f>IF(ISNUMBER(I141),I141-I142,"")</f>
        <v>92.004</v>
      </c>
      <c r="J144" s="262">
        <f>IF(ISNUMBER(J141),J141-J142,"")</f>
        <v>23.421</v>
      </c>
      <c r="K144" s="262">
        <f>IF(ISNUMBER(K141),K141-K142,"")</f>
        <v>18.495</v>
      </c>
      <c r="L144" s="262">
        <f>IF(ISNUMBER(L141),L141-L142,"")</f>
        <v>19.622</v>
      </c>
      <c r="M144" s="262">
        <f>IF(ISNUMBER(M141),M141-M142,"")</f>
        <v>28.557</v>
      </c>
      <c r="N144" s="262">
        <f>IF(ISNUMBER(N141),N141-N142,"")</f>
        <v>90.095</v>
      </c>
      <c r="O144" s="262">
        <f>IF(ISNUMBER(O141),O141-O142,"")</f>
        <v>16.977</v>
      </c>
      <c r="P144" s="262">
        <f>IF(ISNUMBER(P141),P141-P142,"")</f>
        <v>20.751</v>
      </c>
      <c r="Q144" s="262">
        <f>IF(ISNUMBER(Q141),Q141-Q142,"")</f>
        <v>20.548</v>
      </c>
      <c r="R144" s="262">
        <f>IF(ISNUMBER(R141),R141-R142,"")</f>
        <v>36.603</v>
      </c>
      <c r="S144" s="262">
        <f>IF(ISNUMBER(S141),S141-S142,"")</f>
        <v>94.8789999999999</v>
      </c>
      <c r="T144" s="262">
        <f>IF(ISNUMBER(T141),T141-T142,"")</f>
        <v>14.407</v>
      </c>
      <c r="U144" s="262">
        <f>IF(ISNUMBER(U141),U141-U142,"")</f>
        <v>18.87</v>
      </c>
      <c r="V144" s="262">
        <f>IF(ISNUMBER(V141),V141-V142,"")</f>
        <v>19.906</v>
      </c>
      <c r="W144" s="262">
        <f>IF(ISNUMBER(W141),W141-W142,"")</f>
        <v>33.319</v>
      </c>
      <c r="X144" s="262">
        <f>IF(ISNUMBER(X141),X141-X142,"")</f>
        <v>86.5019999999998</v>
      </c>
      <c r="Y144" s="262">
        <f>IF(ISNUMBER(Y141),Y141-Y142,"")</f>
        <v>19.241</v>
      </c>
      <c r="Z144" s="262">
        <f>IF(ISNUMBER(Z141),Z141-Z142,"")</f>
        <v>23.116</v>
      </c>
      <c r="AA144" s="262">
        <f>IF(ISNUMBER(AA141),AA141-AA142,"")</f>
        <v>34.987</v>
      </c>
      <c r="AB144" s="262">
        <f>IF(ISNUMBER(AB141),AB141-AB142,"")</f>
        <v>32.104</v>
      </c>
      <c r="AC144" s="262">
        <f>IF(ISNUMBER(AC141),AC141-AC142,"")</f>
        <v>109.448</v>
      </c>
      <c r="AD144" s="262">
        <f>IF(ISNUMBER(AD141),AD141-AD142,"")</f>
        <v>37.901</v>
      </c>
      <c r="AE144" s="262">
        <f>IF(ISNUMBER(AE141),AE141-AE142,"")</f>
        <v>25.084</v>
      </c>
      <c r="AF144" s="262">
        <f>IF(ISNUMBER(AF141),AF141-AF142,"")</f>
        <v>25.227</v>
      </c>
      <c r="AG144" s="262">
        <f>IF(ISNUMBER(AG141),AG141-AG142,"")</f>
        <v>40.044</v>
      </c>
      <c r="AH144" s="262">
        <f>IF(ISNUMBER(AH141),AH141-AH142,"")</f>
        <v>128.256</v>
      </c>
      <c r="AI144" s="262">
        <f>IF(ISNUMBER(AI141),AI141-AI142,"")</f>
        <v>27.299</v>
      </c>
      <c r="AJ144" s="262">
        <f>IF(ISNUMBER(AJ141),AJ141-AJ142,"")</f>
        <v>32.275</v>
      </c>
      <c r="AK144" s="262">
        <f>IF(ISNUMBER(AK141),AK141-AK142,"")</f>
        <v>32.361</v>
      </c>
      <c r="AL144" s="262">
        <f>IF(ISNUMBER(AL141),AL141-AL142,"")</f>
        <v>50.48</v>
      </c>
      <c r="AM144" s="262">
        <f>IF(ISNUMBER(AM141),AM141-AM142,"")</f>
        <v>142.415</v>
      </c>
      <c r="AN144" s="262">
        <f>IF(ISNUMBER(AN141),AN141-AN142,"")</f>
        <v>40.007</v>
      </c>
      <c r="AO144" s="262">
        <f>IF(ISNUMBER(AO141),AO141-AO142,"")</f>
        <v>33.381</v>
      </c>
      <c r="AP144" s="262">
        <f>IF(ISNUMBER(AP141),AP141-AP142,"")</f>
        <v>64.152</v>
      </c>
      <c r="AQ144" s="262">
        <f>IF(ISNUMBER(AQ141),AQ141-AQ142,"")</f>
        <v>54.584</v>
      </c>
      <c r="AR144" s="262">
        <f>IF(ISNUMBER(AR141),AR141-AR142,"")</f>
        <v>192.124</v>
      </c>
      <c r="AS144" s="262">
        <f>IF(ISNUMBER(AS141),AS141-AS142,"")</f>
        <v>54.9210000000001</v>
      </c>
      <c r="AT144" s="262">
        <f>IF(ISNUMBER(AT141),AT141-AT142,"")</f>
        <v>58.288</v>
      </c>
      <c r="AU144" s="262">
        <f>IF(ISNUMBER(AU141),AU141-AU142,"")</f>
        <v>64.076</v>
      </c>
      <c r="AV144" s="262">
        <f>IF(ISNUMBER(AV141),AV141-AV142,"")</f>
        <v>59.126</v>
      </c>
      <c r="AW144" s="262">
        <f>IF(ISNUMBER(AW141),AW141-AW142,"")</f>
        <v>236.411</v>
      </c>
      <c r="AX144" s="262">
        <f>IF(ISNUMBER(AX141),AX141-AX142,"")</f>
        <v>86.492</v>
      </c>
      <c r="AY144" s="262">
        <f>IF(ISNUMBER(AY141),AY141-AY142,"")</f>
        <v>68.674</v>
      </c>
      <c r="AZ144" s="262">
        <f>IF(ISNUMBER(AZ141),AZ141-AZ142,"")</f>
        <v>151.198</v>
      </c>
      <c r="BA144" s="262">
        <f>IF(ISNUMBER(BA141),BA141-BA142,"")</f>
        <v>85.72</v>
      </c>
      <c r="BB144" s="262">
        <f>IF(ISNUMBER(BB141),BB141-BB142,"")</f>
        <v>392.084</v>
      </c>
      <c r="BC144" s="262">
        <f>IF(ISNUMBER(BC141),BC141-BC142,"")</f>
        <v>84.959</v>
      </c>
      <c r="BD144" s="262">
        <f>IF(ISNUMBER(BD141),BD141-BD142,"")</f>
        <v>104.383</v>
      </c>
      <c r="BE144" s="262">
        <f>IF(ISNUMBER(BE141),BE141-BE142,"")</f>
        <v>93.5</v>
      </c>
      <c r="BF144" s="262">
        <f>IF(ISNUMBER(BF141),BF141-BF142,"")</f>
        <v>90.699</v>
      </c>
      <c r="BG144" s="262">
        <f>IF(ISNUMBER(BG141),BG141-BG142,"")</f>
        <v>373.541</v>
      </c>
      <c r="BH144" s="262">
        <f>IF(ISNUMBER(BH141),BH141-BH142,"")</f>
        <v>97.643</v>
      </c>
      <c r="BI144" s="262">
        <f>IF(ISNUMBER(BI141),BI141-BI142,"")</f>
        <v>101.55</v>
      </c>
      <c r="BJ144" s="262">
        <f>IF(ISNUMBER(BJ141),BJ141-BJ142,"")</f>
        <v>128.758</v>
      </c>
      <c r="BK144" s="262">
        <f>IF(ISNUMBER(BK141),BK141-BK142,"")</f>
        <v>101.424</v>
      </c>
      <c r="BL144" s="262">
        <f>IF(ISNUMBER(BL141),BL141-BL142,"")</f>
        <v>429.375</v>
      </c>
      <c r="BM144" s="262">
        <f>IF(ISNUMBER(BM141),BM141-BM142,"")</f>
        <v>121.065</v>
      </c>
      <c r="BN144" s="262">
        <f>IF(ISNUMBER(BN141),BN141-BN142,"")</f>
        <v>129.799</v>
      </c>
      <c r="BO144" s="262">
        <f>IF(ISNUMBER(BO141),BO141-BO142,"")</f>
        <v>126.256</v>
      </c>
      <c r="BP144" s="262">
        <f>IF(ISNUMBER(BP141),BP141-BP142,"")</f>
        <v>135.691</v>
      </c>
      <c r="BQ144" s="262">
        <f>IF(ISNUMBER(BQ141),BQ141-BQ142,"")</f>
        <v>512.811</v>
      </c>
      <c r="BR144" s="262">
        <f>IF(ISNUMBER(BR141),BR141-BR142,"")</f>
        <v>152.528</v>
      </c>
      <c r="BS144" s="262">
        <f>IF(ISNUMBER(BS141),BS141-BS142,"")</f>
        <v>162.615</v>
      </c>
      <c r="BT144" s="262">
        <f>IF(ISNUMBER(BT141),BT141-BT142,"")</f>
        <v>181.789</v>
      </c>
      <c r="BU144" s="262">
        <f>IF(ISNUMBER(BU141),BU141-BU142,"")</f>
        <v>155.014</v>
      </c>
      <c r="BV144" s="262">
        <f>IF(ISNUMBER(BV141),BV141-BV142,"")</f>
        <v>651.946</v>
      </c>
      <c r="BW144" s="262">
        <f>IF(ISNUMBER(BW141),BW141-BW142,"")</f>
        <v>158.373</v>
      </c>
      <c r="BX144" s="262">
        <f>IF(ISNUMBER(BX141),BX141-BX142,"")</f>
        <v>264.458</v>
      </c>
      <c r="BY144" s="262">
        <f>IF(ISNUMBER(BY141),BY141-BY142,"")</f>
        <v>237.172</v>
      </c>
      <c r="BZ144" s="254">
        <f>IF(ISNUMBER(BZ141),BZ141-BZ142,"")</f>
        <v>165.278908581081</v>
      </c>
      <c r="CA144" s="254">
        <f>IF(ISNUMBER(CA141),CA141-CA142,"")</f>
        <v>825.281908581081</v>
      </c>
      <c r="CB144" s="254">
        <f>IF(ISNUMBER(CB141),CB141-CB142,"")</f>
        <v>948.510583928938</v>
      </c>
      <c r="CC144" s="254">
        <f>IF(ISNUMBER(CC141),CC141-CC142,"")</f>
        <v>1093.98374737196</v>
      </c>
      <c r="CD144" s="254">
        <f>IF(ISNUMBER(CD141),CD141-CD142,"")</f>
        <v>1182.12782589206</v>
      </c>
      <c r="CE144" s="254">
        <f>IF(ISNUMBER(CE141),CE141-CE142,"")</f>
        <v>1284.45508425195</v>
      </c>
      <c r="CF144" s="254">
        <f>IF(ISNUMBER(CF141),CF141-CF142,"")</f>
        <v>1387.43885688563</v>
      </c>
      <c r="CG144" s="19" t="n"/>
    </row>
    <row r="145" ht="15" customHeight="1" s="251">
      <c r="B145" s="25" t="inlineStr">
        <is>
          <t>Income (loss) from discontinued operations (FY2007–09)</t>
        </is>
      </c>
      <c r="C145" s="253" t="n">
        <v>0</v>
      </c>
      <c r="D145" s="253" t="n">
        <v>0</v>
      </c>
      <c r="E145" s="253" t="n">
        <v>2.766</v>
      </c>
      <c r="F145" s="253" t="n">
        <v>-0.363</v>
      </c>
      <c r="G145" s="253" t="n">
        <v>0</v>
      </c>
      <c r="H145" s="253" t="n">
        <v>0</v>
      </c>
      <c r="I145" s="253" t="n">
        <v>0</v>
      </c>
      <c r="J145" s="253" t="n">
        <v>0</v>
      </c>
      <c r="K145" s="253" t="n">
        <v>0</v>
      </c>
      <c r="L145" s="253" t="n">
        <v>0</v>
      </c>
      <c r="M145" s="253" t="n">
        <v>0</v>
      </c>
      <c r="N145" s="253" t="n">
        <v>0</v>
      </c>
      <c r="O145" s="253" t="n">
        <v>0</v>
      </c>
      <c r="P145" s="253" t="n">
        <v>0</v>
      </c>
      <c r="Q145" s="253" t="n">
        <v>0</v>
      </c>
      <c r="R145" s="253" t="n">
        <v>0</v>
      </c>
      <c r="S145" s="253" t="n">
        <v>0</v>
      </c>
      <c r="T145" s="253" t="n">
        <v>0</v>
      </c>
      <c r="U145" s="253" t="n">
        <v>0</v>
      </c>
      <c r="V145" s="253" t="n">
        <v>0</v>
      </c>
      <c r="W145" s="253" t="n">
        <v>0</v>
      </c>
      <c r="X145" s="253" t="n">
        <v>0</v>
      </c>
      <c r="Y145" s="253" t="n">
        <v>0</v>
      </c>
      <c r="Z145" s="253" t="n">
        <v>0</v>
      </c>
      <c r="AA145" s="253" t="n">
        <v>0</v>
      </c>
      <c r="AB145" s="253" t="n">
        <v>0</v>
      </c>
      <c r="AC145" s="253" t="n">
        <v>0</v>
      </c>
      <c r="AD145" s="253" t="n">
        <v>0</v>
      </c>
      <c r="AE145" s="253" t="n">
        <v>0</v>
      </c>
      <c r="AF145" s="253" t="n">
        <v>0</v>
      </c>
      <c r="AG145" s="253" t="n">
        <v>0</v>
      </c>
      <c r="AH145" s="253" t="n">
        <v>0</v>
      </c>
      <c r="AI145" s="253" t="n">
        <v>0</v>
      </c>
      <c r="AJ145" s="253" t="n">
        <v>0</v>
      </c>
      <c r="AK145" s="253" t="n">
        <v>0</v>
      </c>
      <c r="AL145" s="253" t="n">
        <v>0</v>
      </c>
      <c r="AM145" s="253" t="n">
        <v>0</v>
      </c>
      <c r="AN145" s="253" t="n">
        <v>0</v>
      </c>
      <c r="AO145" s="253" t="n">
        <v>0</v>
      </c>
      <c r="AP145" s="253" t="n">
        <v>0</v>
      </c>
      <c r="AQ145" s="253" t="n">
        <v>0</v>
      </c>
      <c r="AR145" s="253" t="n">
        <v>0</v>
      </c>
      <c r="AS145" s="253" t="n">
        <v>0</v>
      </c>
      <c r="AT145" s="253" t="n">
        <v>0</v>
      </c>
      <c r="AU145" s="253" t="n">
        <v>0</v>
      </c>
      <c r="AV145" s="253" t="n">
        <v>0</v>
      </c>
      <c r="AW145" s="253" t="n">
        <v>0</v>
      </c>
      <c r="AX145" s="253" t="n">
        <v>0</v>
      </c>
      <c r="AY145" s="253" t="n">
        <v>0</v>
      </c>
      <c r="AZ145" s="253" t="n">
        <v>0</v>
      </c>
      <c r="BA145" s="253" t="n">
        <v>0</v>
      </c>
      <c r="BB145" s="253" t="n">
        <v>0</v>
      </c>
      <c r="BC145" s="253" t="n">
        <v>0</v>
      </c>
      <c r="BD145" s="253" t="n">
        <v>0</v>
      </c>
      <c r="BE145" s="253" t="n">
        <v>0</v>
      </c>
      <c r="BF145" s="253" t="n">
        <v>0</v>
      </c>
      <c r="BG145" s="253" t="n">
        <v>0</v>
      </c>
      <c r="BH145" s="253" t="n">
        <v>0</v>
      </c>
      <c r="BI145" s="253" t="n">
        <v>0</v>
      </c>
      <c r="BJ145" s="253" t="n">
        <v>0</v>
      </c>
      <c r="BK145" s="253" t="n">
        <v>0</v>
      </c>
      <c r="BL145" s="253" t="n">
        <v>0</v>
      </c>
      <c r="BM145" s="253" t="n">
        <v>0</v>
      </c>
      <c r="BN145" s="253" t="n">
        <v>0</v>
      </c>
      <c r="BO145" s="253" t="n">
        <v>0</v>
      </c>
      <c r="BP145" s="253" t="n">
        <v>0</v>
      </c>
      <c r="BQ145" s="253" t="n">
        <v>0</v>
      </c>
      <c r="BR145" s="253" t="n">
        <v>0</v>
      </c>
      <c r="BS145" s="253" t="n">
        <v>0</v>
      </c>
      <c r="BT145" s="253" t="n">
        <v>0</v>
      </c>
      <c r="BU145" s="253" t="n">
        <v>0</v>
      </c>
      <c r="BV145" s="253" t="n">
        <v>0</v>
      </c>
      <c r="BW145" s="253" t="n">
        <v>0</v>
      </c>
      <c r="BX145" s="253" t="n">
        <v>0</v>
      </c>
      <c r="BY145" s="253" t="n">
        <v>0</v>
      </c>
      <c r="BZ145" s="254">
        <f>0</f>
        <v>0</v>
      </c>
      <c r="CA145" s="254">
        <f>SUM(BW145:BZ145)</f>
        <v>0</v>
      </c>
      <c r="CB145" s="254">
        <f>0</f>
        <v>0</v>
      </c>
      <c r="CC145" s="254">
        <f>0</f>
        <v>0</v>
      </c>
      <c r="CD145" s="254">
        <f>0</f>
        <v>0</v>
      </c>
      <c r="CE145" s="254">
        <f>0</f>
        <v>0</v>
      </c>
      <c r="CF145" s="254">
        <f>0</f>
        <v>0</v>
      </c>
      <c r="CG145" s="19" t="n"/>
    </row>
    <row r="146" ht="15" customHeight="1" s="251">
      <c r="B146" s="55" t="inlineStr">
        <is>
          <t>Net income</t>
        </is>
      </c>
      <c r="C146" s="273">
        <f>IF(ISNUMBER(C144),C144+N(C145),"")</f>
        <v>103.486</v>
      </c>
      <c r="D146" s="273">
        <f>IF(ISNUMBER(D144),D144+N(D145),"")</f>
        <v>104.65</v>
      </c>
      <c r="E146" s="273">
        <f>IF(ISNUMBER(E144),E144+N(E145),"")</f>
        <v>83.952</v>
      </c>
      <c r="F146" s="273">
        <f>IF(ISNUMBER(F144),F144+N(F145),"")</f>
        <v>65.1020000000001</v>
      </c>
      <c r="G146" s="273">
        <f>IF(ISNUMBER(G144),G144+N(G145),"")</f>
        <v>64.457</v>
      </c>
      <c r="H146" s="273">
        <f>IF(ISNUMBER(H144),H144+N(H145),"")</f>
        <v>71.562</v>
      </c>
      <c r="I146" s="273">
        <f>IF(ISNUMBER(I144),I144+N(I145),"")</f>
        <v>92.004</v>
      </c>
      <c r="J146" s="273">
        <f>IF(ISNUMBER(J144),J144+N(J145),"")</f>
        <v>23.421</v>
      </c>
      <c r="K146" s="273">
        <f>IF(ISNUMBER(K144),K144+N(K145),"")</f>
        <v>18.495</v>
      </c>
      <c r="L146" s="273">
        <f>IF(ISNUMBER(L144),L144+N(L145),"")</f>
        <v>19.622</v>
      </c>
      <c r="M146" s="273">
        <f>IF(ISNUMBER(M144),M144+N(M145),"")</f>
        <v>28.557</v>
      </c>
      <c r="N146" s="273">
        <f>IF(ISNUMBER(N144),N144+N(N145),"")</f>
        <v>90.095</v>
      </c>
      <c r="O146" s="273">
        <f>IF(ISNUMBER(O144),O144+N(O145),"")</f>
        <v>16.977</v>
      </c>
      <c r="P146" s="273">
        <f>IF(ISNUMBER(P144),P144+N(P145),"")</f>
        <v>20.751</v>
      </c>
      <c r="Q146" s="273">
        <f>IF(ISNUMBER(Q144),Q144+N(Q145),"")</f>
        <v>20.548</v>
      </c>
      <c r="R146" s="273">
        <f>IF(ISNUMBER(R144),R144+N(R145),"")</f>
        <v>36.603</v>
      </c>
      <c r="S146" s="273">
        <f>IF(ISNUMBER(S144),S144+N(S145),"")</f>
        <v>94.8789999999999</v>
      </c>
      <c r="T146" s="273">
        <f>IF(ISNUMBER(T144),T144+N(T145),"")</f>
        <v>14.407</v>
      </c>
      <c r="U146" s="273">
        <f>IF(ISNUMBER(U144),U144+N(U145),"")</f>
        <v>18.87</v>
      </c>
      <c r="V146" s="273">
        <f>IF(ISNUMBER(V144),V144+N(V145),"")</f>
        <v>19.906</v>
      </c>
      <c r="W146" s="273">
        <f>IF(ISNUMBER(W144),W144+N(W145),"")</f>
        <v>33.319</v>
      </c>
      <c r="X146" s="273">
        <f>IF(ISNUMBER(X144),X144+N(X145),"")</f>
        <v>86.5019999999998</v>
      </c>
      <c r="Y146" s="273">
        <f>IF(ISNUMBER(Y144),Y144+N(Y145),"")</f>
        <v>19.241</v>
      </c>
      <c r="Z146" s="273">
        <f>IF(ISNUMBER(Z144),Z144+N(Z145),"")</f>
        <v>23.116</v>
      </c>
      <c r="AA146" s="273">
        <f>IF(ISNUMBER(AA144),AA144+N(AA145),"")</f>
        <v>34.987</v>
      </c>
      <c r="AB146" s="273">
        <f>IF(ISNUMBER(AB144),AB144+N(AB145),"")</f>
        <v>32.104</v>
      </c>
      <c r="AC146" s="273">
        <f>IF(ISNUMBER(AC144),AC144+N(AC145),"")</f>
        <v>109.448</v>
      </c>
      <c r="AD146" s="273">
        <f>IF(ISNUMBER(AD144),AD144+N(AD145),"")</f>
        <v>37.901</v>
      </c>
      <c r="AE146" s="273">
        <f>IF(ISNUMBER(AE144),AE144+N(AE145),"")</f>
        <v>25.084</v>
      </c>
      <c r="AF146" s="273">
        <f>IF(ISNUMBER(AF144),AF144+N(AF145),"")</f>
        <v>25.227</v>
      </c>
      <c r="AG146" s="273">
        <f>IF(ISNUMBER(AG144),AG144+N(AG145),"")</f>
        <v>40.044</v>
      </c>
      <c r="AH146" s="273">
        <f>IF(ISNUMBER(AH144),AH144+N(AH145),"")</f>
        <v>128.256</v>
      </c>
      <c r="AI146" s="273">
        <f>IF(ISNUMBER(AI144),AI144+N(AI145),"")</f>
        <v>27.299</v>
      </c>
      <c r="AJ146" s="273">
        <f>IF(ISNUMBER(AJ144),AJ144+N(AJ145),"")</f>
        <v>32.275</v>
      </c>
      <c r="AK146" s="273">
        <f>IF(ISNUMBER(AK144),AK144+N(AK145),"")</f>
        <v>32.361</v>
      </c>
      <c r="AL146" s="273">
        <f>IF(ISNUMBER(AL144),AL144+N(AL145),"")</f>
        <v>50.48</v>
      </c>
      <c r="AM146" s="273">
        <f>IF(ISNUMBER(AM144),AM144+N(AM145),"")</f>
        <v>142.415</v>
      </c>
      <c r="AN146" s="273">
        <f>IF(ISNUMBER(AN144),AN144+N(AN145),"")</f>
        <v>40.007</v>
      </c>
      <c r="AO146" s="273">
        <f>IF(ISNUMBER(AO144),AO144+N(AO145),"")</f>
        <v>33.381</v>
      </c>
      <c r="AP146" s="273">
        <f>IF(ISNUMBER(AP144),AP144+N(AP145),"")</f>
        <v>64.152</v>
      </c>
      <c r="AQ146" s="273">
        <f>IF(ISNUMBER(AQ144),AQ144+N(AQ145),"")</f>
        <v>54.584</v>
      </c>
      <c r="AR146" s="273">
        <f>IF(ISNUMBER(AR144),AR144+N(AR145),"")</f>
        <v>192.124</v>
      </c>
      <c r="AS146" s="273">
        <f>IF(ISNUMBER(AS144),AS144+N(AS145),"")</f>
        <v>54.9210000000001</v>
      </c>
      <c r="AT146" s="273">
        <f>IF(ISNUMBER(AT144),AT144+N(AT145),"")</f>
        <v>58.288</v>
      </c>
      <c r="AU146" s="273">
        <f>IF(ISNUMBER(AU144),AU144+N(AU145),"")</f>
        <v>64.076</v>
      </c>
      <c r="AV146" s="273">
        <f>IF(ISNUMBER(AV144),AV144+N(AV145),"")</f>
        <v>59.126</v>
      </c>
      <c r="AW146" s="273">
        <f>IF(ISNUMBER(AW144),AW144+N(AW145),"")</f>
        <v>236.411</v>
      </c>
      <c r="AX146" s="273">
        <f>IF(ISNUMBER(AX144),AX144+N(AX145),"")</f>
        <v>86.492</v>
      </c>
      <c r="AY146" s="273">
        <f>IF(ISNUMBER(AY144),AY144+N(AY145),"")</f>
        <v>68.674</v>
      </c>
      <c r="AZ146" s="273">
        <f>IF(ISNUMBER(AZ144),AZ144+N(AZ145),"")</f>
        <v>151.198</v>
      </c>
      <c r="BA146" s="273">
        <f>IF(ISNUMBER(BA144),BA144+N(BA145),"")</f>
        <v>85.72</v>
      </c>
      <c r="BB146" s="273">
        <f>IF(ISNUMBER(BB144),BB144+N(BB145),"")</f>
        <v>392.084</v>
      </c>
      <c r="BC146" s="273">
        <f>IF(ISNUMBER(BC144),BC144+N(BC145),"")</f>
        <v>84.959</v>
      </c>
      <c r="BD146" s="273">
        <f>IF(ISNUMBER(BD144),BD144+N(BD145),"")</f>
        <v>104.383</v>
      </c>
      <c r="BE146" s="273">
        <f>IF(ISNUMBER(BE144),BE144+N(BE145),"")</f>
        <v>93.5</v>
      </c>
      <c r="BF146" s="273">
        <f>IF(ISNUMBER(BF144),BF144+N(BF145),"")</f>
        <v>90.699</v>
      </c>
      <c r="BG146" s="273">
        <f>IF(ISNUMBER(BG144),BG144+N(BG145),"")</f>
        <v>373.541</v>
      </c>
      <c r="BH146" s="273">
        <f>IF(ISNUMBER(BH144),BH144+N(BH145),"")</f>
        <v>97.643</v>
      </c>
      <c r="BI146" s="273">
        <f>IF(ISNUMBER(BI144),BI144+N(BI145),"")</f>
        <v>101.55</v>
      </c>
      <c r="BJ146" s="273">
        <f>IF(ISNUMBER(BJ144),BJ144+N(BJ145),"")</f>
        <v>128.758</v>
      </c>
      <c r="BK146" s="273">
        <f>IF(ISNUMBER(BK144),BK144+N(BK145),"")</f>
        <v>101.424</v>
      </c>
      <c r="BL146" s="273">
        <f>IF(ISNUMBER(BL144),BL144+N(BL145),"")</f>
        <v>429.375</v>
      </c>
      <c r="BM146" s="273">
        <f>IF(ISNUMBER(BM144),BM144+N(BM145),"")</f>
        <v>121.065</v>
      </c>
      <c r="BN146" s="273">
        <f>IF(ISNUMBER(BN144),BN144+N(BN145),"")</f>
        <v>129.799</v>
      </c>
      <c r="BO146" s="273">
        <f>IF(ISNUMBER(BO144),BO144+N(BO145),"")</f>
        <v>126.256</v>
      </c>
      <c r="BP146" s="273">
        <f>IF(ISNUMBER(BP144),BP144+N(BP145),"")</f>
        <v>135.691</v>
      </c>
      <c r="BQ146" s="273">
        <f>IF(ISNUMBER(BQ144),BQ144+N(BQ145),"")</f>
        <v>512.811</v>
      </c>
      <c r="BR146" s="273">
        <f>IF(ISNUMBER(BR144),BR144+N(BR145),"")</f>
        <v>152.528</v>
      </c>
      <c r="BS146" s="273">
        <f>IF(ISNUMBER(BS144),BS144+N(BS145),"")</f>
        <v>162.615</v>
      </c>
      <c r="BT146" s="273">
        <f>IF(ISNUMBER(BT144),BT144+N(BT145),"")</f>
        <v>181.789</v>
      </c>
      <c r="BU146" s="273">
        <f>IF(ISNUMBER(BU144),BU144+N(BU145),"")</f>
        <v>155.014</v>
      </c>
      <c r="BV146" s="273">
        <f>IF(ISNUMBER(BV144),BV144+N(BV145),"")</f>
        <v>651.946</v>
      </c>
      <c r="BW146" s="273">
        <f>IF(ISNUMBER(BW144),BW144+N(BW145),"")</f>
        <v>158.373</v>
      </c>
      <c r="BX146" s="273">
        <f>IF(ISNUMBER(BX144),BX144+N(BX145),"")</f>
        <v>264.458</v>
      </c>
      <c r="BY146" s="273">
        <f>IF(ISNUMBER(BY144),BY144+N(BY145),"")</f>
        <v>237.172</v>
      </c>
      <c r="BZ146" s="273">
        <f>IF(ISNUMBER(BZ144),BZ144+N(BZ145),"")</f>
        <v>165.278908581081</v>
      </c>
      <c r="CA146" s="273">
        <f>IF(ISNUMBER(CA144),CA144+N(CA145),"")</f>
        <v>825.281908581081</v>
      </c>
      <c r="CB146" s="273">
        <f>IF(ISNUMBER(CB144),CB144+N(CB145),"")</f>
        <v>948.510583928938</v>
      </c>
      <c r="CC146" s="273">
        <f>IF(ISNUMBER(CC144),CC144+N(CC145),"")</f>
        <v>1093.98374737196</v>
      </c>
      <c r="CD146" s="273">
        <f>IF(ISNUMBER(CD144),CD144+N(CD145),"")</f>
        <v>1182.12782589206</v>
      </c>
      <c r="CE146" s="273">
        <f>IF(ISNUMBER(CE144),CE144+N(CE145),"")</f>
        <v>1284.45508425195</v>
      </c>
      <c r="CF146" s="273">
        <f>IF(ISNUMBER(CF144),CF144+N(CF145),"")</f>
        <v>1387.43885688563</v>
      </c>
      <c r="CG146" s="153" t="n"/>
      <c r="CI146" s="20">
        <f>IFERROR((CF146/CA146)^(1/5)-1,"n/m")</f>
        <v>0.109487224236658</v>
      </c>
      <c r="CJ146" s="20">
        <f>IFERROR((BV146/AW146)^(1/5)-1,"n/m")</f>
        <v>0.224922999085559</v>
      </c>
      <c r="CK146" s="20">
        <f>IFERROR((BV146/X146)^(1/10)-1,"n/m")</f>
        <v>0.223822821744105</v>
      </c>
      <c r="CL146" s="20">
        <f>IFERROR((BV146/C146)^(1/19)-1,"n/m")</f>
        <v>0.101716874267489</v>
      </c>
    </row>
    <row r="147" ht="15" customHeight="1" s="251">
      <c r="B147" s="57" t="inlineStr">
        <is>
          <t xml:space="preserve">  Check: net income vs reported (should be 0)</t>
        </is>
      </c>
      <c r="C147" s="262">
        <f>IF(AND(ISNUMBER(C146),ISNUMBER(C148)),IF(ABS(C146-C148)&lt;=0.15,0,ROUND(C146-C148,1)),"")</f>
        <v>0</v>
      </c>
      <c r="D147" s="262">
        <f>IF(AND(ISNUMBER(D146),ISNUMBER(D148)),IF(ABS(D146-D148)&lt;=0.15,0,ROUND(D146-D148,1)),"")</f>
        <v>0</v>
      </c>
      <c r="E147" s="262">
        <f>IF(AND(ISNUMBER(E146),ISNUMBER(E148)),IF(ABS(E146-E148)&lt;=0.15,0,ROUND(E146-E148,1)),"")</f>
        <v>0</v>
      </c>
      <c r="F147" s="262">
        <f>IF(AND(ISNUMBER(F146),ISNUMBER(F148)),IF(ABS(F146-F148)&lt;=0.15,0,ROUND(F146-F148,1)),"")</f>
        <v>0</v>
      </c>
      <c r="G147" s="262">
        <f>IF(AND(ISNUMBER(G146),ISNUMBER(G148)),IF(ABS(G146-G148)&lt;=0.15,0,ROUND(G146-G148,1)),"")</f>
        <v>0</v>
      </c>
      <c r="H147" s="262">
        <f>IF(AND(ISNUMBER(H146),ISNUMBER(H148)),IF(ABS(H146-H148)&lt;=0.15,0,ROUND(H146-H148,1)),"")</f>
        <v>0</v>
      </c>
      <c r="I147" s="262">
        <f>IF(AND(ISNUMBER(I146),ISNUMBER(I148)),IF(ABS(I146-I148)&lt;=0.15,0,ROUND(I146-I148,1)),"")</f>
        <v>0</v>
      </c>
      <c r="J147" s="262">
        <f>IF(AND(ISNUMBER(J146),ISNUMBER(J148)),IF(ABS(J146-J148)&lt;=0.15,0,ROUND(J146-J148,1)),"")</f>
        <v>0</v>
      </c>
      <c r="K147" s="262">
        <f>IF(AND(ISNUMBER(K146),ISNUMBER(K148)),IF(ABS(K146-K148)&lt;=0.15,0,ROUND(K146-K148,1)),"")</f>
        <v>0</v>
      </c>
      <c r="L147" s="262">
        <f>IF(AND(ISNUMBER(L146),ISNUMBER(L148)),IF(ABS(L146-L148)&lt;=0.15,0,ROUND(L146-L148,1)),"")</f>
        <v>0</v>
      </c>
      <c r="M147" s="262">
        <f>IF(AND(ISNUMBER(M146),ISNUMBER(M148)),IF(ABS(M146-M148)&lt;=0.15,0,ROUND(M146-M148,1)),"")</f>
        <v>0</v>
      </c>
      <c r="N147" s="262">
        <f>IF(AND(ISNUMBER(N146),ISNUMBER(N148)),IF(ABS(N146-N148)&lt;=0.15,0,ROUND(N146-N148,1)),"")</f>
        <v>0</v>
      </c>
      <c r="O147" s="262">
        <f>IF(AND(ISNUMBER(O146),ISNUMBER(O148)),IF(ABS(O146-O148)&lt;=0.15,0,ROUND(O146-O148,1)),"")</f>
        <v>0</v>
      </c>
      <c r="P147" s="262">
        <f>IF(AND(ISNUMBER(P146),ISNUMBER(P148)),IF(ABS(P146-P148)&lt;=0.15,0,ROUND(P146-P148,1)),"")</f>
        <v>0</v>
      </c>
      <c r="Q147" s="262">
        <f>IF(AND(ISNUMBER(Q146),ISNUMBER(Q148)),IF(ABS(Q146-Q148)&lt;=0.15,0,ROUND(Q146-Q148,1)),"")</f>
        <v>0</v>
      </c>
      <c r="R147" s="262">
        <f>IF(AND(ISNUMBER(R146),ISNUMBER(R148)),IF(ABS(R146-R148)&lt;=0.15,0,ROUND(R146-R148,1)),"")</f>
        <v>0</v>
      </c>
      <c r="S147" s="262">
        <f>IF(AND(ISNUMBER(S146),ISNUMBER(S148)),IF(ABS(S146-S148)&lt;=0.15,0,ROUND(S146-S148,1)),"")</f>
        <v>0</v>
      </c>
      <c r="T147" s="262">
        <f>IF(AND(ISNUMBER(T146),ISNUMBER(T148)),IF(ABS(T146-T148)&lt;=0.15,0,ROUND(T146-T148,1)),"")</f>
        <v>0</v>
      </c>
      <c r="U147" s="262">
        <f>IF(AND(ISNUMBER(U146),ISNUMBER(U148)),IF(ABS(U146-U148)&lt;=0.15,0,ROUND(U146-U148,1)),"")</f>
        <v>0</v>
      </c>
      <c r="V147" s="262">
        <f>IF(AND(ISNUMBER(V146),ISNUMBER(V148)),IF(ABS(V146-V148)&lt;=0.15,0,ROUND(V146-V148,1)),"")</f>
        <v>0</v>
      </c>
      <c r="W147" s="262">
        <f>IF(AND(ISNUMBER(W146),ISNUMBER(W148)),IF(ABS(W146-W148)&lt;=0.15,0,ROUND(W146-W148,1)),"")</f>
        <v>0</v>
      </c>
      <c r="X147" s="262">
        <f>IF(AND(ISNUMBER(X146),ISNUMBER(X148)),IF(ABS(X146-X148)&lt;=0.15,0,ROUND(X146-X148,1)),"")</f>
        <v>0</v>
      </c>
      <c r="Y147" s="262">
        <f>IF(AND(ISNUMBER(Y146),ISNUMBER(Y148)),IF(ABS(Y146-Y148)&lt;=0.15,0,ROUND(Y146-Y148,1)),"")</f>
        <v>0</v>
      </c>
      <c r="Z147" s="262">
        <f>IF(AND(ISNUMBER(Z146),ISNUMBER(Z148)),IF(ABS(Z146-Z148)&lt;=0.15,0,ROUND(Z146-Z148,1)),"")</f>
        <v>0</v>
      </c>
      <c r="AA147" s="262">
        <f>IF(AND(ISNUMBER(AA146),ISNUMBER(AA148)),IF(ABS(AA146-AA148)&lt;=0.15,0,ROUND(AA146-AA148,1)),"")</f>
        <v>0</v>
      </c>
      <c r="AB147" s="262">
        <f>IF(AND(ISNUMBER(AB146),ISNUMBER(AB148)),IF(ABS(AB146-AB148)&lt;=0.15,0,ROUND(AB146-AB148,1)),"")</f>
        <v>0</v>
      </c>
      <c r="AC147" s="262">
        <f>IF(AND(ISNUMBER(AC146),ISNUMBER(AC148)),IF(ABS(AC146-AC148)&lt;=0.15,0,ROUND(AC146-AC148,1)),"")</f>
        <v>0</v>
      </c>
      <c r="AD147" s="262">
        <f>IF(AND(ISNUMBER(AD146),ISNUMBER(AD148)),IF(ABS(AD146-AD148)&lt;=0.15,0,ROUND(AD146-AD148,1)),"")</f>
        <v>0</v>
      </c>
      <c r="AE147" s="262">
        <f>IF(AND(ISNUMBER(AE146),ISNUMBER(AE148)),IF(ABS(AE146-AE148)&lt;=0.15,0,ROUND(AE146-AE148,1)),"")</f>
        <v>0</v>
      </c>
      <c r="AF147" s="262">
        <f>IF(AND(ISNUMBER(AF146),ISNUMBER(AF148)),IF(ABS(AF146-AF148)&lt;=0.15,0,ROUND(AF146-AF148,1)),"")</f>
        <v>0</v>
      </c>
      <c r="AG147" s="262">
        <f>IF(AND(ISNUMBER(AG146),ISNUMBER(AG148)),IF(ABS(AG146-AG148)&lt;=0.15,0,ROUND(AG146-AG148,1)),"")</f>
        <v>0</v>
      </c>
      <c r="AH147" s="262">
        <f>IF(AND(ISNUMBER(AH146),ISNUMBER(AH148)),IF(ABS(AH146-AH148)&lt;=0.15,0,ROUND(AH146-AH148,1)),"")</f>
        <v>0</v>
      </c>
      <c r="AI147" s="262">
        <f>IF(AND(ISNUMBER(AI146),ISNUMBER(AI148)),IF(ABS(AI146-AI148)&lt;=0.15,0,ROUND(AI146-AI148,1)),"")</f>
        <v>0</v>
      </c>
      <c r="AJ147" s="262">
        <f>IF(AND(ISNUMBER(AJ146),ISNUMBER(AJ148)),IF(ABS(AJ146-AJ148)&lt;=0.15,0,ROUND(AJ146-AJ148,1)),"")</f>
        <v>0</v>
      </c>
      <c r="AK147" s="262">
        <f>IF(AND(ISNUMBER(AK146),ISNUMBER(AK148)),IF(ABS(AK146-AK148)&lt;=0.15,0,ROUND(AK146-AK148,1)),"")</f>
        <v>0</v>
      </c>
      <c r="AL147" s="262">
        <f>IF(AND(ISNUMBER(AL146),ISNUMBER(AL148)),IF(ABS(AL146-AL148)&lt;=0.15,0,ROUND(AL146-AL148,1)),"")</f>
        <v>0</v>
      </c>
      <c r="AM147" s="262">
        <f>IF(AND(ISNUMBER(AM146),ISNUMBER(AM148)),IF(ABS(AM146-AM148)&lt;=0.15,0,ROUND(AM146-AM148,1)),"")</f>
        <v>0</v>
      </c>
      <c r="AN147" s="262">
        <f>IF(AND(ISNUMBER(AN146),ISNUMBER(AN148)),IF(ABS(AN146-AN148)&lt;=0.15,0,ROUND(AN146-AN148,1)),"")</f>
        <v>0</v>
      </c>
      <c r="AO147" s="262">
        <f>IF(AND(ISNUMBER(AO146),ISNUMBER(AO148)),IF(ABS(AO146-AO148)&lt;=0.15,0,ROUND(AO146-AO148,1)),"")</f>
        <v>0</v>
      </c>
      <c r="AP147" s="262">
        <f>IF(AND(ISNUMBER(AP146),ISNUMBER(AP148)),IF(ABS(AP146-AP148)&lt;=0.15,0,ROUND(AP146-AP148,1)),"")</f>
        <v>0</v>
      </c>
      <c r="AQ147" s="262">
        <f>IF(AND(ISNUMBER(AQ146),ISNUMBER(AQ148)),IF(ABS(AQ146-AQ148)&lt;=0.15,0,ROUND(AQ146-AQ148,1)),"")</f>
        <v>0</v>
      </c>
      <c r="AR147" s="262">
        <f>IF(AND(ISNUMBER(AR146),ISNUMBER(AR148)),IF(ABS(AR146-AR148)&lt;=0.15,0,ROUND(AR146-AR148,1)),"")</f>
        <v>0</v>
      </c>
      <c r="AS147" s="262">
        <f>IF(AND(ISNUMBER(AS146),ISNUMBER(AS148)),IF(ABS(AS146-AS148)&lt;=0.15,0,ROUND(AS146-AS148,1)),"")</f>
        <v>0</v>
      </c>
      <c r="AT147" s="262">
        <f>IF(AND(ISNUMBER(AT146),ISNUMBER(AT148)),IF(ABS(AT146-AT148)&lt;=0.15,0,ROUND(AT146-AT148,1)),"")</f>
        <v>0</v>
      </c>
      <c r="AU147" s="262">
        <f>IF(AND(ISNUMBER(AU146),ISNUMBER(AU148)),IF(ABS(AU146-AU148)&lt;=0.15,0,ROUND(AU146-AU148,1)),"")</f>
        <v>0</v>
      </c>
      <c r="AV147" s="262">
        <f>IF(AND(ISNUMBER(AV146),ISNUMBER(AV148)),IF(ABS(AV146-AV148)&lt;=0.15,0,ROUND(AV146-AV148,1)),"")</f>
        <v>0</v>
      </c>
      <c r="AW147" s="262">
        <f>IF(AND(ISNUMBER(AW146),ISNUMBER(AW148)),IF(ABS(AW146-AW148)&lt;=0.15,0,ROUND(AW146-AW148,1)),"")</f>
        <v>0</v>
      </c>
      <c r="AX147" s="262">
        <f>IF(AND(ISNUMBER(AX146),ISNUMBER(AX148)),IF(ABS(AX146-AX148)&lt;=0.15,0,ROUND(AX146-AX148,1)),"")</f>
        <v>0</v>
      </c>
      <c r="AY147" s="262">
        <f>IF(AND(ISNUMBER(AY146),ISNUMBER(AY148)),IF(ABS(AY146-AY148)&lt;=0.15,0,ROUND(AY146-AY148,1)),"")</f>
        <v>0</v>
      </c>
      <c r="AZ147" s="262">
        <f>IF(AND(ISNUMBER(AZ146),ISNUMBER(AZ148)),IF(ABS(AZ146-AZ148)&lt;=0.15,0,ROUND(AZ146-AZ148,1)),"")</f>
        <v>0</v>
      </c>
      <c r="BA147" s="262">
        <f>IF(AND(ISNUMBER(BA146),ISNUMBER(BA148)),IF(ABS(BA146-BA148)&lt;=0.15,0,ROUND(BA146-BA148,1)),"")</f>
        <v>0</v>
      </c>
      <c r="BB147" s="262">
        <f>IF(AND(ISNUMBER(BB146),ISNUMBER(BB148)),IF(ABS(BB146-BB148)&lt;=0.15,0,ROUND(BB146-BB148,1)),"")</f>
        <v>0</v>
      </c>
      <c r="BC147" s="262">
        <f>IF(AND(ISNUMBER(BC146),ISNUMBER(BC148)),IF(ABS(BC146-BC148)&lt;=0.15,0,ROUND(BC146-BC148,1)),"")</f>
        <v>0</v>
      </c>
      <c r="BD147" s="262">
        <f>IF(AND(ISNUMBER(BD146),ISNUMBER(BD148)),IF(ABS(BD146-BD148)&lt;=0.15,0,ROUND(BD146-BD148,1)),"")</f>
        <v>0</v>
      </c>
      <c r="BE147" s="262">
        <f>IF(AND(ISNUMBER(BE146),ISNUMBER(BE148)),IF(ABS(BE146-BE148)&lt;=0.15,0,ROUND(BE146-BE148,1)),"")</f>
        <v>0</v>
      </c>
      <c r="BF147" s="262">
        <f>IF(AND(ISNUMBER(BF146),ISNUMBER(BF148)),IF(ABS(BF146-BF148)&lt;=0.15,0,ROUND(BF146-BF148,1)),"")</f>
        <v>0</v>
      </c>
      <c r="BG147" s="262">
        <f>IF(AND(ISNUMBER(BG146),ISNUMBER(BG148)),IF(ABS(BG146-BG148)&lt;=0.15,0,ROUND(BG146-BG148,1)),"")</f>
        <v>0</v>
      </c>
      <c r="BH147" s="262">
        <f>IF(AND(ISNUMBER(BH146),ISNUMBER(BH148)),IF(ABS(BH146-BH148)&lt;=0.15,0,ROUND(BH146-BH148,1)),"")</f>
        <v>0</v>
      </c>
      <c r="BI147" s="262">
        <f>IF(AND(ISNUMBER(BI146),ISNUMBER(BI148)),IF(ABS(BI146-BI148)&lt;=0.15,0,ROUND(BI146-BI148,1)),"")</f>
        <v>0</v>
      </c>
      <c r="BJ147" s="262">
        <f>IF(AND(ISNUMBER(BJ146),ISNUMBER(BJ148)),IF(ABS(BJ146-BJ148)&lt;=0.15,0,ROUND(BJ146-BJ148,1)),"")</f>
        <v>0</v>
      </c>
      <c r="BK147" s="262">
        <f>IF(AND(ISNUMBER(BK146),ISNUMBER(BK148)),IF(ABS(BK146-BK148)&lt;=0.15,0,ROUND(BK146-BK148,1)),"")</f>
        <v>0</v>
      </c>
      <c r="BL147" s="262">
        <f>IF(AND(ISNUMBER(BL146),ISNUMBER(BL148)),IF(ABS(BL146-BL148)&lt;=0.15,0,ROUND(BL146-BL148,1)),"")</f>
        <v>0</v>
      </c>
      <c r="BM147" s="262">
        <f>IF(AND(ISNUMBER(BM146),ISNUMBER(BM148)),IF(ABS(BM146-BM148)&lt;=0.15,0,ROUND(BM146-BM148,1)),"")</f>
        <v>0</v>
      </c>
      <c r="BN147" s="262">
        <f>IF(AND(ISNUMBER(BN146),ISNUMBER(BN148)),IF(ABS(BN146-BN148)&lt;=0.15,0,ROUND(BN146-BN148,1)),"")</f>
        <v>0</v>
      </c>
      <c r="BO147" s="262">
        <f>IF(AND(ISNUMBER(BO146),ISNUMBER(BO148)),IF(ABS(BO146-BO148)&lt;=0.15,0,ROUND(BO146-BO148,1)),"")</f>
        <v>0</v>
      </c>
      <c r="BP147" s="262">
        <f>IF(AND(ISNUMBER(BP146),ISNUMBER(BP148)),IF(ABS(BP146-BP148)&lt;=0.15,0,ROUND(BP146-BP148,1)),"")</f>
        <v>0</v>
      </c>
      <c r="BQ147" s="262">
        <f>IF(AND(ISNUMBER(BQ146),ISNUMBER(BQ148)),IF(ABS(BQ146-BQ148)&lt;=0.15,0,ROUND(BQ146-BQ148,1)),"")</f>
        <v>0</v>
      </c>
      <c r="BR147" s="262">
        <f>IF(AND(ISNUMBER(BR146),ISNUMBER(BR148)),IF(ABS(BR146-BR148)&lt;=0.15,0,ROUND(BR146-BR148,1)),"")</f>
        <v>0</v>
      </c>
      <c r="BS147" s="262">
        <f>IF(AND(ISNUMBER(BS146),ISNUMBER(BS148)),IF(ABS(BS146-BS148)&lt;=0.15,0,ROUND(BS146-BS148,1)),"")</f>
        <v>0</v>
      </c>
      <c r="BT147" s="262">
        <f>IF(AND(ISNUMBER(BT146),ISNUMBER(BT148)),IF(ABS(BT146-BT148)&lt;=0.15,0,ROUND(BT146-BT148,1)),"")</f>
        <v>0</v>
      </c>
      <c r="BU147" s="262">
        <f>IF(AND(ISNUMBER(BU146),ISNUMBER(BU148)),IF(ABS(BU146-BU148)&lt;=0.15,0,ROUND(BU146-BU148,1)),"")</f>
        <v>0</v>
      </c>
      <c r="BV147" s="262">
        <f>IF(AND(ISNUMBER(BV146),ISNUMBER(BV148)),IF(ABS(BV146-BV148)&lt;=0.15,0,ROUND(BV146-BV148,1)),"")</f>
        <v>0</v>
      </c>
      <c r="BW147" s="262">
        <f>IF(AND(ISNUMBER(BW146),ISNUMBER(BW148)),IF(ABS(BW146-BW148)&lt;=0.15,0,ROUND(BW146-BW148,1)),"")</f>
        <v>0</v>
      </c>
      <c r="BX147" s="262">
        <f>IF(AND(ISNUMBER(BX146),ISNUMBER(BX148)),IF(ABS(BX146-BX148)&lt;=0.15,0,ROUND(BX146-BX148,1)),"")</f>
        <v>0</v>
      </c>
      <c r="BY147" s="262">
        <f>IF(AND(ISNUMBER(BY146),ISNUMBER(BY148)),IF(ABS(BY146-BY148)&lt;=0.15,0,ROUND(BY146-BY148,1)),"")</f>
        <v>0</v>
      </c>
      <c r="BZ147" s="274">
        <f>IF(AND(ISNUMBER(BZ146),ISNUMBER(BZ148)),IF(ABS(BZ146-BZ148)&lt;=0.15,0,ROUND(BZ146-BZ148,1)),"")</f>
      </c>
      <c r="CA147" s="274">
        <f>IF(AND(ISNUMBER(CA146),ISNUMBER(CA148)),IF(ABS(CA146-CA148)&lt;=0.15,0,ROUND(CA146-CA148,1)),"")</f>
      </c>
      <c r="CB147" s="274">
        <f>IF(AND(ISNUMBER(CB146),ISNUMBER(CB148)),IF(ABS(CB146-CB148)&lt;=0.15,0,ROUND(CB146-CB148,1)),"")</f>
      </c>
      <c r="CC147" s="274">
        <f>IF(AND(ISNUMBER(CC146),ISNUMBER(CC148)),IF(ABS(CC146-CC148)&lt;=0.15,0,ROUND(CC146-CC148,1)),"")</f>
      </c>
      <c r="CD147" s="274">
        <f>IF(AND(ISNUMBER(CD146),ISNUMBER(CD148)),IF(ABS(CD146-CD148)&lt;=0.15,0,ROUND(CD146-CD148,1)),"")</f>
      </c>
      <c r="CE147" s="274">
        <f>IF(AND(ISNUMBER(CE146),ISNUMBER(CE148)),IF(ABS(CE146-CE148)&lt;=0.15,0,ROUND(CE146-CE148,1)),"")</f>
      </c>
      <c r="CF147" s="274">
        <f>IF(AND(ISNUMBER(CF146),ISNUMBER(CF148)),IF(ABS(CF146-CF148)&lt;=0.15,0,ROUND(CF146-CF148,1)),"")</f>
      </c>
      <c r="CG147" s="153" t="n"/>
    </row>
    <row r="148" ht="15" customHeight="1" s="251">
      <c r="B148" s="156" t="inlineStr">
        <is>
          <t xml:space="preserve">  Memo: net income as reported</t>
        </is>
      </c>
      <c r="C148" s="253" t="n">
        <v>103.486</v>
      </c>
      <c r="D148" s="253" t="n">
        <v>104.65</v>
      </c>
      <c r="E148" s="253" t="n">
        <v>83.952</v>
      </c>
      <c r="F148" s="253" t="n">
        <v>65.102</v>
      </c>
      <c r="G148" s="253" t="n">
        <v>64.45699999999999</v>
      </c>
      <c r="H148" s="253" t="n">
        <v>71.562</v>
      </c>
      <c r="I148" s="253" t="n">
        <v>92.004</v>
      </c>
      <c r="J148" s="253" t="n">
        <v>23.421</v>
      </c>
      <c r="K148" s="253" t="n">
        <v>18.495</v>
      </c>
      <c r="L148" s="253" t="n">
        <v>19.622</v>
      </c>
      <c r="M148" s="253" t="n">
        <v>28.557</v>
      </c>
      <c r="N148" s="253" t="n">
        <v>90.095</v>
      </c>
      <c r="O148" s="253" t="n">
        <v>16.977</v>
      </c>
      <c r="P148" s="253" t="n">
        <v>20.751</v>
      </c>
      <c r="Q148" s="253" t="n">
        <v>20.548</v>
      </c>
      <c r="R148" s="253" t="n">
        <v>36.603</v>
      </c>
      <c r="S148" s="253" t="n">
        <v>94.879</v>
      </c>
      <c r="T148" s="253" t="n">
        <v>14.407</v>
      </c>
      <c r="U148" s="253" t="n">
        <v>18.87</v>
      </c>
      <c r="V148" s="253" t="n">
        <v>19.906</v>
      </c>
      <c r="W148" s="253" t="n">
        <v>33.319</v>
      </c>
      <c r="X148" s="253" t="n">
        <v>86.502</v>
      </c>
      <c r="Y148" s="253" t="n">
        <v>19.241</v>
      </c>
      <c r="Z148" s="253" t="n">
        <v>23.116</v>
      </c>
      <c r="AA148" s="253" t="n">
        <v>34.987</v>
      </c>
      <c r="AB148" s="253" t="n">
        <v>32.104</v>
      </c>
      <c r="AC148" s="253" t="n">
        <v>109.448</v>
      </c>
      <c r="AD148" s="253" t="n">
        <v>37.901</v>
      </c>
      <c r="AE148" s="253" t="n">
        <v>25.084</v>
      </c>
      <c r="AF148" s="253" t="n">
        <v>25.227</v>
      </c>
      <c r="AG148" s="253" t="n">
        <v>40.044</v>
      </c>
      <c r="AH148" s="253" t="n">
        <v>128.256</v>
      </c>
      <c r="AI148" s="253" t="n">
        <v>27.299</v>
      </c>
      <c r="AJ148" s="253" t="n">
        <v>32.275</v>
      </c>
      <c r="AK148" s="253" t="n">
        <v>32.361</v>
      </c>
      <c r="AL148" s="253" t="n">
        <v>50.48</v>
      </c>
      <c r="AM148" s="253" t="n">
        <v>142.415</v>
      </c>
      <c r="AN148" s="253" t="n">
        <v>40.007</v>
      </c>
      <c r="AO148" s="253" t="n">
        <v>33.381</v>
      </c>
      <c r="AP148" s="253" t="n">
        <v>64.152</v>
      </c>
      <c r="AQ148" s="253" t="n">
        <v>54.584</v>
      </c>
      <c r="AR148" s="253" t="n">
        <v>192.124</v>
      </c>
      <c r="AS148" s="253" t="n">
        <v>54.921</v>
      </c>
      <c r="AT148" s="253" t="n">
        <v>58.288</v>
      </c>
      <c r="AU148" s="253" t="n">
        <v>64.07599999999999</v>
      </c>
      <c r="AV148" s="253" t="n">
        <v>59.126</v>
      </c>
      <c r="AW148" s="253" t="n">
        <v>236.411</v>
      </c>
      <c r="AX148" s="253" t="n">
        <v>86.492</v>
      </c>
      <c r="AY148" s="253" t="n">
        <v>68.67400000000001</v>
      </c>
      <c r="AZ148" s="253" t="n">
        <v>151.198</v>
      </c>
      <c r="BA148" s="253" t="n">
        <v>85.72</v>
      </c>
      <c r="BB148" s="253" t="n">
        <v>392.084</v>
      </c>
      <c r="BC148" s="253" t="n">
        <v>84.959</v>
      </c>
      <c r="BD148" s="253" t="n">
        <v>104.383</v>
      </c>
      <c r="BE148" s="253" t="n">
        <v>93.5</v>
      </c>
      <c r="BF148" s="253" t="n">
        <v>90.699</v>
      </c>
      <c r="BG148" s="253" t="n">
        <v>373.541</v>
      </c>
      <c r="BH148" s="253" t="n">
        <v>97.643</v>
      </c>
      <c r="BI148" s="253" t="n">
        <v>101.55</v>
      </c>
      <c r="BJ148" s="253" t="n">
        <v>128.758</v>
      </c>
      <c r="BK148" s="253" t="n">
        <v>101.424</v>
      </c>
      <c r="BL148" s="253" t="n">
        <v>429.375</v>
      </c>
      <c r="BM148" s="253" t="n">
        <v>121.065</v>
      </c>
      <c r="BN148" s="253" t="n">
        <v>129.799</v>
      </c>
      <c r="BO148" s="253" t="n">
        <v>126.256</v>
      </c>
      <c r="BP148" s="253" t="n">
        <v>135.691</v>
      </c>
      <c r="BQ148" s="253" t="n">
        <v>512.811</v>
      </c>
      <c r="BR148" s="253" t="n">
        <v>152.528</v>
      </c>
      <c r="BS148" s="253" t="n">
        <v>162.615</v>
      </c>
      <c r="BT148" s="253" t="n">
        <v>181.789</v>
      </c>
      <c r="BU148" s="253" t="n">
        <v>155.014</v>
      </c>
      <c r="BV148" s="253" t="n">
        <v>651.946</v>
      </c>
      <c r="BW148" s="253" t="n">
        <v>158.373</v>
      </c>
      <c r="BX148" s="253" t="n">
        <v>264.458</v>
      </c>
      <c r="BY148" s="253" t="n">
        <v>237.172</v>
      </c>
      <c r="BZ148" s="153" t="n"/>
      <c r="CA148" s="153" t="n"/>
      <c r="CB148" s="153" t="n"/>
      <c r="CC148" s="153" t="n"/>
      <c r="CD148" s="153" t="n"/>
      <c r="CE148" s="153" t="n"/>
      <c r="CF148" s="153" t="n"/>
      <c r="CG148" s="153" t="n"/>
    </row>
    <row r="149" collapsed="1" ht="15" customHeight="1" s="251">
      <c r="B149" s="156" t="inlineStr">
        <is>
          <t xml:space="preserve">  Memo: depreciation &amp; amortization (total)</t>
        </is>
      </c>
      <c r="C149" s="262">
        <f>C112</f>
        <v>48.805</v>
      </c>
      <c r="D149" s="262">
        <f>D112</f>
        <v>50.224</v>
      </c>
      <c r="E149" s="262">
        <f>E112</f>
        <v>39.494</v>
      </c>
      <c r="F149" s="262">
        <f>F112</f>
        <v>38.419</v>
      </c>
      <c r="G149" s="262">
        <f>G112</f>
        <v>30.918</v>
      </c>
      <c r="H149" s="262">
        <f>H112</f>
        <v>24.197</v>
      </c>
      <c r="I149" s="262">
        <f>I112</f>
        <v>21.549</v>
      </c>
      <c r="J149" s="262">
        <f>J112</f>
        <v>7.973</v>
      </c>
      <c r="K149" s="262">
        <f>K112</f>
        <v>8.46</v>
      </c>
      <c r="L149" s="262">
        <f>L112</f>
        <v>8.727</v>
      </c>
      <c r="M149" s="262">
        <f>M112</f>
        <v>8.054</v>
      </c>
      <c r="N149" s="262">
        <f>N112</f>
        <v>33.214</v>
      </c>
      <c r="O149" s="262">
        <f>O112</f>
        <v>8.167</v>
      </c>
      <c r="P149" s="262">
        <f>P112</f>
        <v>7.845</v>
      </c>
      <c r="Q149" s="262">
        <f>Q112</f>
        <v>8.184</v>
      </c>
      <c r="R149" s="262">
        <f>R112</f>
        <v>8.436</v>
      </c>
      <c r="S149" s="262">
        <f>S112</f>
        <v>32.632</v>
      </c>
      <c r="T149" s="262">
        <f>T112</f>
        <v>8.107</v>
      </c>
      <c r="U149" s="262">
        <f>U112</f>
        <v>8.94</v>
      </c>
      <c r="V149" s="262">
        <f>V112</f>
        <v>9.046</v>
      </c>
      <c r="W149" s="262">
        <f>W112</f>
        <v>7.796</v>
      </c>
      <c r="X149" s="262">
        <f>X112</f>
        <v>33.889</v>
      </c>
      <c r="Y149" s="262">
        <f>Y112</f>
        <v>7.441</v>
      </c>
      <c r="Z149" s="262">
        <f>Z112</f>
        <v>7.727</v>
      </c>
      <c r="AA149" s="262">
        <f>AA112</f>
        <v>7.959</v>
      </c>
      <c r="AB149" s="262">
        <f>AB112</f>
        <v>8.506</v>
      </c>
      <c r="AC149" s="262">
        <f>AC112</f>
        <v>31.633</v>
      </c>
      <c r="AD149" s="262">
        <f>AD112</f>
        <v>9.058</v>
      </c>
      <c r="AE149" s="262">
        <f>AE112</f>
        <v>9.178</v>
      </c>
      <c r="AF149" s="262">
        <f>AF112</f>
        <v>9.191</v>
      </c>
      <c r="AG149" s="262">
        <f>AG112</f>
        <v>8.787</v>
      </c>
      <c r="AH149" s="262">
        <f>AH112</f>
        <v>36.214</v>
      </c>
      <c r="AI149" s="262">
        <f>AI112</f>
        <v>7.731</v>
      </c>
      <c r="AJ149" s="262">
        <f>AJ112</f>
        <v>7.364</v>
      </c>
      <c r="AK149" s="262">
        <f>AK112</f>
        <v>7.234</v>
      </c>
      <c r="AL149" s="262">
        <f>AL112</f>
        <v>7.853</v>
      </c>
      <c r="AM149" s="262">
        <f>AM112</f>
        <v>30.182</v>
      </c>
      <c r="AN149" s="262">
        <f>AN112</f>
        <v>7.967</v>
      </c>
      <c r="AO149" s="262">
        <f>AO112</f>
        <v>7.819</v>
      </c>
      <c r="AP149" s="262">
        <f>AP112</f>
        <v>7.948</v>
      </c>
      <c r="AQ149" s="262">
        <f>AQ112</f>
        <v>7.878</v>
      </c>
      <c r="AR149" s="262">
        <f>AR112</f>
        <v>31.612</v>
      </c>
      <c r="AS149" s="262">
        <f>AS112</f>
        <v>7.856</v>
      </c>
      <c r="AT149" s="262">
        <f>AT112</f>
        <v>7.679</v>
      </c>
      <c r="AU149" s="262">
        <f>AU112</f>
        <v>8.014</v>
      </c>
      <c r="AV149" s="262">
        <f>AV112</f>
        <v>6.818</v>
      </c>
      <c r="AW149" s="262">
        <f>AW112</f>
        <v>30.367</v>
      </c>
      <c r="AX149" s="262">
        <f>AX112</f>
        <v>7.026</v>
      </c>
      <c r="AY149" s="262">
        <f>AY112</f>
        <v>6.675</v>
      </c>
      <c r="AZ149" s="262">
        <f>AZ112</f>
        <v>6.365</v>
      </c>
      <c r="BA149" s="262">
        <f>BA112</f>
        <v>5.526</v>
      </c>
      <c r="BB149" s="262">
        <f>BB112</f>
        <v>25.592</v>
      </c>
      <c r="BC149" s="262">
        <f>BC112</f>
        <v>5.227</v>
      </c>
      <c r="BD149" s="262">
        <f>BD112</f>
        <v>5.429</v>
      </c>
      <c r="BE149" s="262">
        <f>BE112</f>
        <v>5.163</v>
      </c>
      <c r="BF149" s="262">
        <f>BF112</f>
        <v>4.646</v>
      </c>
      <c r="BG149" s="262">
        <f>BG112</f>
        <v>20.465</v>
      </c>
      <c r="BH149" s="262">
        <f>BH112</f>
        <v>4.28</v>
      </c>
      <c r="BI149" s="262">
        <f>BI112</f>
        <v>4.014</v>
      </c>
      <c r="BJ149" s="262">
        <f>BJ112</f>
        <v>3.348</v>
      </c>
      <c r="BK149" s="262">
        <f>BK112</f>
        <v>2.996</v>
      </c>
      <c r="BL149" s="262">
        <f>BL112</f>
        <v>14.638</v>
      </c>
      <c r="BM149" s="262">
        <f>BM112</f>
        <v>2.824</v>
      </c>
      <c r="BN149" s="262">
        <f>BN112</f>
        <v>3.354</v>
      </c>
      <c r="BO149" s="262">
        <f>BO112</f>
        <v>3.834</v>
      </c>
      <c r="BP149" s="262">
        <f>BP112</f>
        <v>3.815</v>
      </c>
      <c r="BQ149" s="262">
        <f>BQ112</f>
        <v>13.827</v>
      </c>
      <c r="BR149" s="262">
        <f>BR112</f>
        <v>3.535</v>
      </c>
      <c r="BS149" s="262">
        <f>BS112</f>
        <v>3.415</v>
      </c>
      <c r="BT149" s="262">
        <f>BT112</f>
        <v>3.981</v>
      </c>
      <c r="BU149" s="262">
        <f>BU112</f>
        <v>4.021</v>
      </c>
      <c r="BV149" s="262">
        <f>BV112</f>
        <v>14.952</v>
      </c>
      <c r="BW149" s="262">
        <f>BW112</f>
        <v>4.017</v>
      </c>
      <c r="BX149" s="262">
        <f>BX112</f>
        <v>3.888</v>
      </c>
      <c r="BY149" s="262">
        <f>BY112</f>
        <v>4.218</v>
      </c>
      <c r="BZ149" s="254">
        <f>BZ112</f>
        <v>4.3</v>
      </c>
      <c r="CA149" s="254">
        <f>CA112</f>
        <v>16.423</v>
      </c>
      <c r="CB149" s="254">
        <f>CB112</f>
        <v>22.3905384992236</v>
      </c>
      <c r="CC149" s="254">
        <f>CC112</f>
        <v>24.7056812126778</v>
      </c>
      <c r="CD149" s="254">
        <f>CD112</f>
        <v>27.0385845651573</v>
      </c>
      <c r="CE149" s="254">
        <f>CE112</f>
        <v>29.4175685255994</v>
      </c>
      <c r="CF149" s="254">
        <f>CF112</f>
        <v>31.8116804395785</v>
      </c>
      <c r="CG149" s="153" t="n"/>
    </row>
    <row r="150" ht="15" customHeight="1" s="251">
      <c r="B150" s="156" t="inlineStr">
        <is>
          <t xml:space="preserve">  Memo: share-based compensation</t>
        </is>
      </c>
      <c r="C150" s="262">
        <f>C119</f>
        <v>42.085</v>
      </c>
      <c r="D150" s="262">
        <f>D119</f>
        <v>36.261</v>
      </c>
      <c r="E150" s="262">
        <f>E119</f>
        <v>27.724</v>
      </c>
      <c r="F150" s="262">
        <f>F119</f>
        <v>19.935</v>
      </c>
      <c r="G150" s="262">
        <f>G119</f>
        <v>17.305</v>
      </c>
      <c r="H150" s="262">
        <f>H119</f>
        <v>15.5</v>
      </c>
      <c r="I150" s="262">
        <f>I119</f>
        <v>21.229</v>
      </c>
      <c r="J150" s="262">
        <f>J119</f>
        <v>5.832</v>
      </c>
      <c r="K150" s="262">
        <f>K119</f>
        <v>6.413</v>
      </c>
      <c r="L150" s="262">
        <f>L119</f>
        <v>6.652</v>
      </c>
      <c r="M150" s="262">
        <f>M119</f>
        <v>6.953</v>
      </c>
      <c r="N150" s="262">
        <f>N119</f>
        <v>25.85</v>
      </c>
      <c r="O150" s="262">
        <f>O119</f>
        <v>7.235</v>
      </c>
      <c r="P150" s="262">
        <f>P119</f>
        <v>9.051</v>
      </c>
      <c r="Q150" s="262">
        <f>Q119</f>
        <v>9.345</v>
      </c>
      <c r="R150" s="262">
        <f>R119</f>
        <v>10.731</v>
      </c>
      <c r="S150" s="262">
        <f>S119</f>
        <v>36.362</v>
      </c>
      <c r="T150" s="262">
        <f>T119</f>
        <v>8.794</v>
      </c>
      <c r="U150" s="262">
        <f>U119</f>
        <v>11.802</v>
      </c>
      <c r="V150" s="262">
        <f>V119</f>
        <v>12.166</v>
      </c>
      <c r="W150" s="262">
        <f>W119</f>
        <v>12.546</v>
      </c>
      <c r="X150" s="262">
        <f>X119</f>
        <v>45.308</v>
      </c>
      <c r="Y150" s="262">
        <f>Y119</f>
        <v>14.7</v>
      </c>
      <c r="Z150" s="262">
        <f>Z119</f>
        <v>13.6</v>
      </c>
      <c r="AA150" s="262">
        <f>AA119</f>
        <v>13.404</v>
      </c>
      <c r="AB150" s="262">
        <f>AB119</f>
        <v>13.805</v>
      </c>
      <c r="AC150" s="262">
        <f>AC119</f>
        <v>55.509</v>
      </c>
      <c r="AD150" s="262">
        <f>AD119</f>
        <v>14.519</v>
      </c>
      <c r="AE150" s="262">
        <f>AE119</f>
        <v>14.712</v>
      </c>
      <c r="AF150" s="262">
        <f>AF119</f>
        <v>14.315</v>
      </c>
      <c r="AG150" s="262">
        <f>AG119</f>
        <v>17.676</v>
      </c>
      <c r="AH150" s="262">
        <f>AH119</f>
        <v>61.222</v>
      </c>
      <c r="AI150" s="262">
        <f>AI119</f>
        <v>16.51</v>
      </c>
      <c r="AJ150" s="262">
        <f>AJ119</f>
        <v>19.239</v>
      </c>
      <c r="AK150" s="262">
        <f>AK119</f>
        <v>18.883</v>
      </c>
      <c r="AL150" s="262">
        <f>AL119</f>
        <v>20.183</v>
      </c>
      <c r="AM150" s="262">
        <f>AM119</f>
        <v>74.814</v>
      </c>
      <c r="AN150" s="262">
        <f>AN119</f>
        <v>21.854</v>
      </c>
      <c r="AO150" s="262">
        <f>AO119</f>
        <v>20.482</v>
      </c>
      <c r="AP150" s="262">
        <f>AP119</f>
        <v>19.595</v>
      </c>
      <c r="AQ150" s="262">
        <f>AQ119</f>
        <v>21.042</v>
      </c>
      <c r="AR150" s="262">
        <f>AR119</f>
        <v>82.973</v>
      </c>
      <c r="AS150" s="262">
        <f>AS119</f>
        <v>23.145</v>
      </c>
      <c r="AT150" s="262">
        <f>AT119</f>
        <v>22.788</v>
      </c>
      <c r="AU150" s="262">
        <f>AU119</f>
        <v>22.264</v>
      </c>
      <c r="AV150" s="262">
        <f>AV119</f>
        <v>25.484</v>
      </c>
      <c r="AW150" s="262">
        <f>AW119</f>
        <v>93.681</v>
      </c>
      <c r="AX150" s="262">
        <f>AX119</f>
        <v>25.132</v>
      </c>
      <c r="AY150" s="262">
        <f>AY119</f>
        <v>28.206</v>
      </c>
      <c r="AZ150" s="262">
        <f>AZ119</f>
        <v>30.761</v>
      </c>
      <c r="BA150" s="262">
        <f>BA119</f>
        <v>28.358</v>
      </c>
      <c r="BB150" s="262">
        <f>BB119</f>
        <v>112.457</v>
      </c>
      <c r="BC150" s="262">
        <f>BC119</f>
        <v>29.878</v>
      </c>
      <c r="BD150" s="262">
        <f>BD119</f>
        <v>27.936</v>
      </c>
      <c r="BE150" s="262">
        <f>BE119</f>
        <v>28.549</v>
      </c>
      <c r="BF150" s="262">
        <f>BF119</f>
        <v>28.992</v>
      </c>
      <c r="BG150" s="262">
        <f>BG119</f>
        <v>115.355</v>
      </c>
      <c r="BH150" s="262">
        <f>BH119</f>
        <v>29.702</v>
      </c>
      <c r="BI150" s="262">
        <f>BI119</f>
        <v>27.053</v>
      </c>
      <c r="BJ150" s="262">
        <f>BJ119</f>
        <v>32.995</v>
      </c>
      <c r="BK150" s="262">
        <f>BK119</f>
        <v>34.097</v>
      </c>
      <c r="BL150" s="262">
        <f>BL119</f>
        <v>123.847</v>
      </c>
      <c r="BM150" s="262">
        <f>BM119</f>
        <v>31.574</v>
      </c>
      <c r="BN150" s="262">
        <f>BN119</f>
        <v>35.448</v>
      </c>
      <c r="BO150" s="262">
        <f>BO119</f>
        <v>42.435</v>
      </c>
      <c r="BP150" s="262">
        <f>BP119</f>
        <v>39.982</v>
      </c>
      <c r="BQ150" s="262">
        <f>BQ119</f>
        <v>149.439</v>
      </c>
      <c r="BR150" s="262">
        <f>BR119</f>
        <v>40.654</v>
      </c>
      <c r="BS150" s="262">
        <f>BS119</f>
        <v>41.704</v>
      </c>
      <c r="BT150" s="262">
        <f>BT119</f>
        <v>41.93</v>
      </c>
      <c r="BU150" s="262">
        <f>BU119</f>
        <v>32.379</v>
      </c>
      <c r="BV150" s="262">
        <f>BV119</f>
        <v>156.667</v>
      </c>
      <c r="BW150" s="262">
        <f>BW119</f>
        <v>44.269</v>
      </c>
      <c r="BX150" s="262">
        <f>BX119</f>
        <v>45.31</v>
      </c>
      <c r="BY150" s="262">
        <f>BY119</f>
        <v>52.331</v>
      </c>
      <c r="BZ150" s="254">
        <f>BZ119</f>
        <v>46.1</v>
      </c>
      <c r="CA150" s="254">
        <f>CA119</f>
        <v>188.01</v>
      </c>
      <c r="CB150" s="254">
        <f>CB119</f>
        <v>201.514846493013</v>
      </c>
      <c r="CC150" s="254">
        <f>CC119</f>
        <v>222.3511309141</v>
      </c>
      <c r="CD150" s="254">
        <f>CD119</f>
        <v>243.347261086416</v>
      </c>
      <c r="CE150" s="254">
        <f>CE119</f>
        <v>264.758116730395</v>
      </c>
      <c r="CF150" s="254">
        <f>CF119</f>
        <v>286.305123956207</v>
      </c>
      <c r="CG150" s="153" t="n"/>
    </row>
    <row r="151" ht="15" customHeight="1" s="251">
      <c r="B151" s="25" t="inlineStr">
        <is>
          <t>(Earnings per share — Fair Isaac common stock)</t>
        </is>
      </c>
      <c r="CG151" s="153" t="n"/>
    </row>
    <row r="152" ht="15" customHeight="1" s="251">
      <c r="B152" s="25" t="inlineStr">
        <is>
          <t xml:space="preserve">  Weighted-average basic shares (m)</t>
        </is>
      </c>
      <c r="C152" s="253" t="n">
        <v>63.579</v>
      </c>
      <c r="D152" s="253" t="n">
        <v>56.054</v>
      </c>
      <c r="E152" s="253" t="n">
        <v>48.94</v>
      </c>
      <c r="F152" s="253" t="n">
        <v>48.658</v>
      </c>
      <c r="G152" s="253" t="n">
        <v>44.903</v>
      </c>
      <c r="H152" s="253" t="n">
        <v>39.359</v>
      </c>
      <c r="I152" s="253" t="n">
        <v>34.909</v>
      </c>
      <c r="J152" s="253" t="n">
        <v>35.043</v>
      </c>
      <c r="K152" s="253" t="n">
        <v>35.664</v>
      </c>
      <c r="L152" s="253" t="n">
        <v>35.499</v>
      </c>
      <c r="M152" s="253" t="n">
        <v>35.132</v>
      </c>
      <c r="N152" s="253" t="n">
        <v>35.332</v>
      </c>
      <c r="O152" s="253" t="n">
        <v>34.699</v>
      </c>
      <c r="P152" s="253" t="n">
        <v>34.5</v>
      </c>
      <c r="Q152" s="253" t="n">
        <v>34.21</v>
      </c>
      <c r="R152" s="253" t="n">
        <v>32.123</v>
      </c>
      <c r="S152" s="253" t="n">
        <v>33.87</v>
      </c>
      <c r="T152" s="253" t="n">
        <v>31.936</v>
      </c>
      <c r="U152" s="253" t="n">
        <v>31.335</v>
      </c>
      <c r="V152" s="253" t="n">
        <v>31.118</v>
      </c>
      <c r="W152" s="253" t="n">
        <v>31.214</v>
      </c>
      <c r="X152" s="253" t="n">
        <v>31.402</v>
      </c>
      <c r="Y152" s="253" t="n">
        <v>31.185</v>
      </c>
      <c r="Z152" s="253" t="n">
        <v>31.268</v>
      </c>
      <c r="AA152" s="253" t="n">
        <v>31.149</v>
      </c>
      <c r="AB152" s="253" t="n">
        <v>30.916</v>
      </c>
      <c r="AC152" s="253" t="n">
        <v>31.129</v>
      </c>
      <c r="AD152" s="253" t="n">
        <v>30.989</v>
      </c>
      <c r="AE152" s="253" t="n">
        <v>31.017</v>
      </c>
      <c r="AF152" s="253" t="n">
        <v>30.914</v>
      </c>
      <c r="AG152" s="253" t="n">
        <v>30.534</v>
      </c>
      <c r="AH152" s="253" t="n">
        <v>30.862</v>
      </c>
      <c r="AI152" s="253" t="n">
        <v>30.078</v>
      </c>
      <c r="AJ152" s="253" t="n">
        <v>29.985</v>
      </c>
      <c r="AK152" s="253" t="n">
        <v>29.708</v>
      </c>
      <c r="AL152" s="253" t="n">
        <v>29.077</v>
      </c>
      <c r="AM152" s="253" t="n">
        <v>29.711</v>
      </c>
      <c r="AN152" s="253" t="n">
        <v>28.961</v>
      </c>
      <c r="AO152" s="253" t="n">
        <v>29.074</v>
      </c>
      <c r="AP152" s="253" t="n">
        <v>28.967</v>
      </c>
      <c r="AQ152" s="253" t="n">
        <v>28.918</v>
      </c>
      <c r="AR152" s="253" t="n">
        <v>28.98</v>
      </c>
      <c r="AS152" s="253" t="n">
        <v>29.025</v>
      </c>
      <c r="AT152" s="253" t="n">
        <v>29.194</v>
      </c>
      <c r="AU152" s="253" t="n">
        <v>29.005</v>
      </c>
      <c r="AV152" s="253" t="n">
        <v>29.045</v>
      </c>
      <c r="AW152" s="253" t="n">
        <v>29.067</v>
      </c>
      <c r="AX152" s="253" t="n">
        <v>29.127</v>
      </c>
      <c r="AY152" s="253" t="n">
        <v>29.087</v>
      </c>
      <c r="AZ152" s="253" t="n">
        <v>28.687</v>
      </c>
      <c r="BA152" s="253" t="n">
        <v>28.043</v>
      </c>
      <c r="BB152" s="253" t="n">
        <v>28.734</v>
      </c>
      <c r="BC152" s="253" t="n">
        <v>27.167</v>
      </c>
      <c r="BD152" s="253" t="n">
        <v>26.145</v>
      </c>
      <c r="BE152" s="253" t="n">
        <v>25.634</v>
      </c>
      <c r="BF152" s="253" t="n">
        <v>25.221</v>
      </c>
      <c r="BG152" s="253" t="n">
        <v>26.042</v>
      </c>
      <c r="BH152" s="253" t="n">
        <v>25.045</v>
      </c>
      <c r="BI152" s="253" t="n">
        <v>25.116</v>
      </c>
      <c r="BJ152" s="253" t="n">
        <v>24.959</v>
      </c>
      <c r="BK152" s="253" t="n">
        <v>24.826</v>
      </c>
      <c r="BL152" s="253" t="n">
        <v>24.986</v>
      </c>
      <c r="BM152" s="253" t="n">
        <v>24.764</v>
      </c>
      <c r="BN152" s="253" t="n">
        <v>24.819</v>
      </c>
      <c r="BO152" s="253" t="n">
        <v>24.646</v>
      </c>
      <c r="BP152" s="253" t="n">
        <v>24.501</v>
      </c>
      <c r="BQ152" s="253" t="n">
        <v>24.676</v>
      </c>
      <c r="BR152" s="253" t="n">
        <v>24.378</v>
      </c>
      <c r="BS152" s="253" t="n">
        <v>24.389</v>
      </c>
      <c r="BT152" s="253" t="n">
        <v>24.284</v>
      </c>
      <c r="BU152" s="253" t="n">
        <v>23.909</v>
      </c>
      <c r="BV152" s="253" t="n">
        <v>24.239</v>
      </c>
      <c r="BW152" s="253" t="n">
        <v>23.723</v>
      </c>
      <c r="BX152" s="253" t="n">
        <v>23.628</v>
      </c>
      <c r="BY152" s="253" t="n">
        <v>22.67</v>
      </c>
      <c r="BZ152" s="254">
        <f>BY311-(CA278+CA277)*0.5+CA279*0.5</f>
        <v>21.2722972972973</v>
      </c>
      <c r="CA152" s="254">
        <f>AVERAGE(BW152:BZ152)</f>
        <v>22.8233243243243</v>
      </c>
      <c r="CB152" s="254">
        <f>AVERAGE(CB280,CB281)</f>
        <v>20.3748887664363</v>
      </c>
      <c r="CC152" s="254">
        <f>AVERAGE(CC280,CC281)</f>
        <v>18.8182593532966</v>
      </c>
      <c r="CD152" s="254">
        <f>AVERAGE(CD280,CD281)</f>
        <v>16.8836537502718</v>
      </c>
      <c r="CE152" s="254">
        <f>AVERAGE(CE280,CE281)</f>
        <v>15.0164381557209</v>
      </c>
      <c r="CF152" s="254">
        <f>AVERAGE(CF280,CF281)</f>
        <v>13.2064473519616</v>
      </c>
      <c r="CG152" s="19" t="inlineStr">
        <is>
          <t>Q4/26E: shares outstanding at 30-Jun-2026 − ASR final delivery and Q4 buybacks (mid-quarter) + equity-plan issuance. 2027E+: average of beginning and ending shares.</t>
        </is>
      </c>
    </row>
    <row r="153" ht="15" customHeight="1" s="251">
      <c r="B153" s="25" t="inlineStr">
        <is>
          <t xml:space="preserve">  Weighted-average diluted shares (m)</t>
        </is>
      </c>
      <c r="C153" s="253" t="n">
        <v>65.125</v>
      </c>
      <c r="D153" s="253" t="n">
        <v>57.548</v>
      </c>
      <c r="E153" s="253" t="n">
        <v>49.373</v>
      </c>
      <c r="F153" s="253" t="n">
        <v>48.776</v>
      </c>
      <c r="G153" s="253" t="n">
        <v>45.308</v>
      </c>
      <c r="H153" s="253" t="n">
        <v>39.988</v>
      </c>
      <c r="I153" s="253" t="n">
        <v>36.063</v>
      </c>
      <c r="J153" s="253" t="n">
        <v>36.151</v>
      </c>
      <c r="K153" s="253" t="n">
        <v>36.492</v>
      </c>
      <c r="L153" s="253" t="n">
        <v>36.385</v>
      </c>
      <c r="M153" s="253" t="n">
        <v>36.151</v>
      </c>
      <c r="N153" s="253" t="n">
        <v>36.292</v>
      </c>
      <c r="O153" s="253" t="n">
        <v>35.82</v>
      </c>
      <c r="P153" s="253" t="n">
        <v>35.311</v>
      </c>
      <c r="Q153" s="253" t="n">
        <v>35.162</v>
      </c>
      <c r="R153" s="253" t="n">
        <v>33.217</v>
      </c>
      <c r="S153" s="253" t="n">
        <v>34.864</v>
      </c>
      <c r="T153" s="253" t="n">
        <v>33.128</v>
      </c>
      <c r="U153" s="253" t="n">
        <v>32.448</v>
      </c>
      <c r="V153" s="253" t="n">
        <v>32.363</v>
      </c>
      <c r="W153" s="253" t="n">
        <v>32.494</v>
      </c>
      <c r="X153" s="253" t="n">
        <v>32.609</v>
      </c>
      <c r="Y153" s="253" t="n">
        <v>32.436</v>
      </c>
      <c r="Z153" s="253" t="n">
        <v>32.262</v>
      </c>
      <c r="AA153" s="253" t="n">
        <v>32.313</v>
      </c>
      <c r="AB153" s="253" t="n">
        <v>32.221</v>
      </c>
      <c r="AC153" s="253" t="n">
        <v>32.308</v>
      </c>
      <c r="AD153" s="253" t="n">
        <v>32.536</v>
      </c>
      <c r="AE153" s="253" t="n">
        <v>32.26</v>
      </c>
      <c r="AF153" s="253" t="n">
        <v>32.224</v>
      </c>
      <c r="AG153" s="253" t="n">
        <v>31.963</v>
      </c>
      <c r="AH153" s="253" t="n">
        <v>32.245</v>
      </c>
      <c r="AI153" s="253" t="n">
        <v>31.561</v>
      </c>
      <c r="AJ153" s="253" t="n">
        <v>31.3</v>
      </c>
      <c r="AK153" s="253" t="n">
        <v>31.161</v>
      </c>
      <c r="AL153" s="253" t="n">
        <v>30.702</v>
      </c>
      <c r="AM153" s="253" t="n">
        <v>31.18</v>
      </c>
      <c r="AN153" s="253" t="n">
        <v>30.336</v>
      </c>
      <c r="AO153" s="253" t="n">
        <v>30.259</v>
      </c>
      <c r="AP153" s="253" t="n">
        <v>30.292</v>
      </c>
      <c r="AQ153" s="253" t="n">
        <v>30.29</v>
      </c>
      <c r="AR153" s="253" t="n">
        <v>30.294</v>
      </c>
      <c r="AS153" s="253" t="n">
        <v>30.169</v>
      </c>
      <c r="AT153" s="253" t="n">
        <v>29.985</v>
      </c>
      <c r="AU153" s="253" t="n">
        <v>29.744</v>
      </c>
      <c r="AV153" s="253" t="n">
        <v>29.833</v>
      </c>
      <c r="AW153" s="253" t="n">
        <v>29.932</v>
      </c>
      <c r="AX153" s="253" t="n">
        <v>29.789</v>
      </c>
      <c r="AY153" s="253" t="n">
        <v>29.531</v>
      </c>
      <c r="AZ153" s="253" t="n">
        <v>29.195</v>
      </c>
      <c r="BA153" s="253" t="n">
        <v>28.531</v>
      </c>
      <c r="BB153" s="253" t="n">
        <v>29.26</v>
      </c>
      <c r="BC153" s="253" t="n">
        <v>27.524</v>
      </c>
      <c r="BD153" s="253" t="n">
        <v>26.421</v>
      </c>
      <c r="BE153" s="253" t="n">
        <v>25.867</v>
      </c>
      <c r="BF153" s="253" t="n">
        <v>25.573</v>
      </c>
      <c r="BG153" s="253" t="n">
        <v>26.347</v>
      </c>
      <c r="BH153" s="253" t="n">
        <v>25.443</v>
      </c>
      <c r="BI153" s="253" t="n">
        <v>25.419</v>
      </c>
      <c r="BJ153" s="253" t="n">
        <v>25.337</v>
      </c>
      <c r="BK153" s="253" t="n">
        <v>25.273</v>
      </c>
      <c r="BL153" s="253" t="n">
        <v>25.367</v>
      </c>
      <c r="BM153" s="253" t="n">
        <v>25.219</v>
      </c>
      <c r="BN153" s="253" t="n">
        <v>25.154</v>
      </c>
      <c r="BO153" s="253" t="n">
        <v>25.015</v>
      </c>
      <c r="BP153" s="253" t="n">
        <v>24.95</v>
      </c>
      <c r="BQ153" s="253" t="n">
        <v>25.079</v>
      </c>
      <c r="BR153" s="253" t="n">
        <v>24.827</v>
      </c>
      <c r="BS153" s="253" t="n">
        <v>24.685</v>
      </c>
      <c r="BT153" s="253" t="n">
        <v>24.575</v>
      </c>
      <c r="BU153" s="253" t="n">
        <v>24.16</v>
      </c>
      <c r="BV153" s="253" t="n">
        <v>24.561</v>
      </c>
      <c r="BW153" s="253" t="n">
        <v>23.958</v>
      </c>
      <c r="BX153" s="253" t="n">
        <v>23.748</v>
      </c>
      <c r="BY153" s="253" t="n">
        <v>22.703</v>
      </c>
      <c r="BZ153" s="254">
        <f>BZ152+(BY153-BY152)</f>
        <v>21.3052972972973</v>
      </c>
      <c r="CA153" s="254">
        <f>AVERAGE(BW153:BZ153)</f>
        <v>22.9285743243243</v>
      </c>
      <c r="CB153" s="254">
        <f>CB152+CB325</f>
        <v>20.4748887664363</v>
      </c>
      <c r="CC153" s="254">
        <f>CC152+CC325</f>
        <v>18.9182593532966</v>
      </c>
      <c r="CD153" s="254">
        <f>CD152+CD325</f>
        <v>16.9836537502718</v>
      </c>
      <c r="CE153" s="254">
        <f>CE152+CE325</f>
        <v>15.1164381557209</v>
      </c>
      <c r="CF153" s="254">
        <f>CF152+CF325</f>
        <v>13.3064473519616</v>
      </c>
      <c r="CG153" s="19" t="n"/>
      <c r="CI153" s="20">
        <f>IFERROR((CF153/CA153)^(1/5)-1,"n/m")</f>
        <v>-0.103114477543406</v>
      </c>
      <c r="CJ153" s="20">
        <f>IFERROR((BV153/AW153)^(1/5)-1,"n/m")</f>
        <v>-0.0387816308227545</v>
      </c>
      <c r="CK153" s="20">
        <f>IFERROR((BV153/X153)^(1/10)-1,"n/m")</f>
        <v>-0.0279449598759636</v>
      </c>
      <c r="CL153" s="20">
        <f>IFERROR((BV153/C153)^(1/19)-1,"n/m")</f>
        <v>-0.0500288039457066</v>
      </c>
    </row>
    <row r="154" ht="15" customHeight="1" s="251">
      <c r="B154" s="55" t="inlineStr">
        <is>
          <t>Diluted EPS ($)</t>
        </is>
      </c>
      <c r="C154" s="280">
        <f>IF(ISNUMBER(C153),IFERROR(C146/C153,""),"")</f>
        <v>1.58903646833013</v>
      </c>
      <c r="D154" s="280">
        <f>IF(ISNUMBER(D153),IFERROR(D146/D153,""),"")</f>
        <v>1.81848196288316</v>
      </c>
      <c r="E154" s="280">
        <f>IF(ISNUMBER(E153),IFERROR(E146/E153,""),"")</f>
        <v>1.70036254633099</v>
      </c>
      <c r="F154" s="280">
        <f>IF(ISNUMBER(F153),IFERROR(F146/F153,""),"")</f>
        <v>1.33471379366902</v>
      </c>
      <c r="G154" s="280">
        <f>IF(ISNUMBER(G153),IFERROR(G146/G153,""),"")</f>
        <v>1.42264059327271</v>
      </c>
      <c r="H154" s="280">
        <f>IF(ISNUMBER(H153),IFERROR(H146/H153,""),"")</f>
        <v>1.78958687606282</v>
      </c>
      <c r="I154" s="280">
        <f>IF(ISNUMBER(I153),IFERROR(I146/I153,""),"")</f>
        <v>2.55120206305632</v>
      </c>
      <c r="J154" s="280">
        <f>IF(ISNUMBER(J153),IFERROR(J146/J153,""),"")</f>
        <v>0.647865895825842</v>
      </c>
      <c r="K154" s="280">
        <f>IF(ISNUMBER(K153),IFERROR(K146/K153,""),"")</f>
        <v>0.506823413350871</v>
      </c>
      <c r="L154" s="280">
        <f>IF(ISNUMBER(L153),IFERROR(L146/L153,""),"")</f>
        <v>0.539288168201181</v>
      </c>
      <c r="M154" s="280">
        <f>IF(ISNUMBER(M153),IFERROR(M146/M153,""),"")</f>
        <v>0.789936654587702</v>
      </c>
      <c r="N154" s="280">
        <f>IF(ISNUMBER(N153),IFERROR(N146/N153,""),"")</f>
        <v>2.48250303097101</v>
      </c>
      <c r="O154" s="280">
        <f>IF(ISNUMBER(O153),IFERROR(O146/O153,""),"")</f>
        <v>0.47395309882747</v>
      </c>
      <c r="P154" s="280">
        <f>IF(ISNUMBER(P153),IFERROR(P146/P153,""),"")</f>
        <v>0.587663900767466</v>
      </c>
      <c r="Q154" s="280">
        <f>IF(ISNUMBER(Q153),IFERROR(Q146/Q153,""),"")</f>
        <v>0.584380865707298</v>
      </c>
      <c r="R154" s="280">
        <f>IF(ISNUMBER(R153),IFERROR(R146/R153,""),"")</f>
        <v>1.1019357557877</v>
      </c>
      <c r="S154" s="280">
        <f>IF(ISNUMBER(S153),IFERROR(S146/S153,""),"")</f>
        <v>2.72140316659018</v>
      </c>
      <c r="T154" s="280">
        <f>IF(ISNUMBER(T153),IFERROR(T146/T153,""),"")</f>
        <v>0.434888915720841</v>
      </c>
      <c r="U154" s="280">
        <f>IF(ISNUMBER(U153),IFERROR(U146/U153,""),"")</f>
        <v>0.581545857988165</v>
      </c>
      <c r="V154" s="280">
        <f>IF(ISNUMBER(V153),IFERROR(V146/V153,""),"")</f>
        <v>0.615085128078362</v>
      </c>
      <c r="W154" s="280">
        <f>IF(ISNUMBER(W153),IFERROR(W146/W153,""),"")</f>
        <v>1.02538930264049</v>
      </c>
      <c r="X154" s="280">
        <f>IF(ISNUMBER(X153),IFERROR(X146/X153,""),"")</f>
        <v>2.65270324143641</v>
      </c>
      <c r="Y154" s="280">
        <f>IF(ISNUMBER(Y153),IFERROR(Y146/Y153,""),"")</f>
        <v>0.59319891478604</v>
      </c>
      <c r="Z154" s="280">
        <f>IF(ISNUMBER(Z153),IFERROR(Z146/Z153,""),"")</f>
        <v>0.716508585952514</v>
      </c>
      <c r="AA154" s="280">
        <f>IF(ISNUMBER(AA153),IFERROR(AA146/AA153,""),"")</f>
        <v>1.0827530715192</v>
      </c>
      <c r="AB154" s="280">
        <f>IF(ISNUMBER(AB153),IFERROR(AB146/AB153,""),"")</f>
        <v>0.996368827783123</v>
      </c>
      <c r="AC154" s="280">
        <f>IF(ISNUMBER(AC153),IFERROR(AC146/AC153,""),"")</f>
        <v>3.38764392720069</v>
      </c>
      <c r="AD154" s="280">
        <f>IF(ISNUMBER(AD153),IFERROR(AD146/AD153,""),"")</f>
        <v>1.1648942709614</v>
      </c>
      <c r="AE154" s="280">
        <f>IF(ISNUMBER(AE153),IFERROR(AE146/AE153,""),"")</f>
        <v>0.777557346559206</v>
      </c>
      <c r="AF154" s="280">
        <f>IF(ISNUMBER(AF153),IFERROR(AF146/AF153,""),"")</f>
        <v>0.782863704071499</v>
      </c>
      <c r="AG154" s="280">
        <f>IF(ISNUMBER(AG153),IFERROR(AG146/AG153,""),"")</f>
        <v>1.25282357726121</v>
      </c>
      <c r="AH154" s="280">
        <f>IF(ISNUMBER(AH153),IFERROR(AH146/AH153,""),"")</f>
        <v>3.97754690649713</v>
      </c>
      <c r="AI154" s="280">
        <f>IF(ISNUMBER(AI153),IFERROR(AI146/AI153,""),"")</f>
        <v>0.864959918887234</v>
      </c>
      <c r="AJ154" s="280">
        <f>IF(ISNUMBER(AJ153),IFERROR(AJ146/AJ153,""),"")</f>
        <v>1.03115015974441</v>
      </c>
      <c r="AK154" s="280">
        <f>IF(ISNUMBER(AK153),IFERROR(AK146/AK153,""),"")</f>
        <v>1.03850967555598</v>
      </c>
      <c r="AL154" s="280">
        <f>IF(ISNUMBER(AL153),IFERROR(AL146/AL153,""),"")</f>
        <v>1.64419256074523</v>
      </c>
      <c r="AM154" s="280">
        <f>IF(ISNUMBER(AM153),IFERROR(AM146/AM153,""),"")</f>
        <v>4.56751122514432</v>
      </c>
      <c r="AN154" s="280">
        <f>IF(ISNUMBER(AN153),IFERROR(AN146/AN153,""),"")</f>
        <v>1.31879614978903</v>
      </c>
      <c r="AO154" s="280">
        <f>IF(ISNUMBER(AO153),IFERROR(AO146/AO153,""),"")</f>
        <v>1.10317591460392</v>
      </c>
      <c r="AP154" s="280">
        <f>IF(ISNUMBER(AP153),IFERROR(AP146/AP153,""),"")</f>
        <v>2.11778687442229</v>
      </c>
      <c r="AQ154" s="280">
        <f>IF(ISNUMBER(AQ153),IFERROR(AQ146/AQ153,""),"")</f>
        <v>1.80204688015847</v>
      </c>
      <c r="AR154" s="280">
        <f>IF(ISNUMBER(AR153),IFERROR(AR146/AR153,""),"")</f>
        <v>6.34198191060936</v>
      </c>
      <c r="AS154" s="280">
        <f>IF(ISNUMBER(AS153),IFERROR(AS146/AS153,""),"")</f>
        <v>1.82044482747191</v>
      </c>
      <c r="AT154" s="280">
        <f>IF(ISNUMBER(AT153),IFERROR(AT146/AT153,""),"")</f>
        <v>1.94390528597632</v>
      </c>
      <c r="AU154" s="280">
        <f>IF(ISNUMBER(AU153),IFERROR(AU146/AU153,""),"")</f>
        <v>2.15424959655729</v>
      </c>
      <c r="AV154" s="280">
        <f>IF(ISNUMBER(AV153),IFERROR(AV146/AV153,""),"")</f>
        <v>1.98189923909764</v>
      </c>
      <c r="AW154" s="280">
        <f>IF(ISNUMBER(AW153),IFERROR(AW146/AW153,""),"")</f>
        <v>7.89826941066417</v>
      </c>
      <c r="AX154" s="280">
        <f>IF(ISNUMBER(AX153),IFERROR(AX146/AX153,""),"")</f>
        <v>2.90348786464802</v>
      </c>
      <c r="AY154" s="280">
        <f>IF(ISNUMBER(AY153),IFERROR(AY146/AY153,""),"")</f>
        <v>2.32548846974366</v>
      </c>
      <c r="AZ154" s="280">
        <f>IF(ISNUMBER(AZ153),IFERROR(AZ146/AZ153,""),"")</f>
        <v>5.17890049666039</v>
      </c>
      <c r="BA154" s="280">
        <f>IF(ISNUMBER(BA153),IFERROR(BA146/BA153,""),"")</f>
        <v>3.0044512985875</v>
      </c>
      <c r="BB154" s="280">
        <f>IF(ISNUMBER(BB153),IFERROR(BB146/BB153,""),"")</f>
        <v>13.4</v>
      </c>
      <c r="BC154" s="280">
        <f>IF(ISNUMBER(BC153),IFERROR(BC146/BC153,""),"")</f>
        <v>3.08672431332655</v>
      </c>
      <c r="BD154" s="280">
        <f>IF(ISNUMBER(BD153),IFERROR(BD146/BD153,""),"")</f>
        <v>3.95075886605352</v>
      </c>
      <c r="BE154" s="280">
        <f>IF(ISNUMBER(BE153),IFERROR(BE146/BE153,""),"")</f>
        <v>3.61464414118375</v>
      </c>
      <c r="BF154" s="280">
        <f>IF(ISNUMBER(BF153),IFERROR(BF146/BF153,""),"")</f>
        <v>3.54667031634927</v>
      </c>
      <c r="BG154" s="280">
        <f>IF(ISNUMBER(BG153),IFERROR(BG146/BG153,""),"")</f>
        <v>14.1777431965689</v>
      </c>
      <c r="BH154" s="280">
        <f>IF(ISNUMBER(BH153),IFERROR(BH146/BH153,""),"")</f>
        <v>3.8377156781826</v>
      </c>
      <c r="BI154" s="280">
        <f>IF(ISNUMBER(BI153),IFERROR(BI146/BI153,""),"")</f>
        <v>3.99504307801251</v>
      </c>
      <c r="BJ154" s="280">
        <f>IF(ISNUMBER(BJ153),IFERROR(BJ146/BJ153,""),"")</f>
        <v>5.08181710541895</v>
      </c>
      <c r="BK154" s="280">
        <f>IF(ISNUMBER(BK153),IFERROR(BK146/BK153,""),"")</f>
        <v>4.01313654888616</v>
      </c>
      <c r="BL154" s="280">
        <f>IF(ISNUMBER(BL153),IFERROR(BL146/BL153,""),"")</f>
        <v>16.9265187054047</v>
      </c>
      <c r="BM154" s="280">
        <f>IF(ISNUMBER(BM153),IFERROR(BM146/BM153,""),"")</f>
        <v>4.80054720647131</v>
      </c>
      <c r="BN154" s="280">
        <f>IF(ISNUMBER(BN153),IFERROR(BN146/BN153,""),"")</f>
        <v>5.1601733322732</v>
      </c>
      <c r="BO154" s="280">
        <f>IF(ISNUMBER(BO153),IFERROR(BO146/BO153,""),"")</f>
        <v>5.0472116729962</v>
      </c>
      <c r="BP154" s="280">
        <f>IF(ISNUMBER(BP153),IFERROR(BP146/BP153,""),"")</f>
        <v>5.43851703406814</v>
      </c>
      <c r="BQ154" s="280">
        <f>IF(ISNUMBER(BQ153),IFERROR(BQ146/BQ153,""),"")</f>
        <v>20.4478248734001</v>
      </c>
      <c r="BR154" s="280">
        <f>IF(ISNUMBER(BR153),IFERROR(BR146/BR153,""),"")</f>
        <v>6.14363394691264</v>
      </c>
      <c r="BS154" s="280">
        <f>IF(ISNUMBER(BS153),IFERROR(BS146/BS153,""),"")</f>
        <v>6.58760380798056</v>
      </c>
      <c r="BT154" s="280">
        <f>IF(ISNUMBER(BT153),IFERROR(BT146/BT153,""),"")</f>
        <v>7.39731434384537</v>
      </c>
      <c r="BU154" s="280">
        <f>IF(ISNUMBER(BU153),IFERROR(BU146/BU153,""),"")</f>
        <v>6.41614238410596</v>
      </c>
      <c r="BV154" s="280">
        <f>IF(ISNUMBER(BV153),IFERROR(BV146/BV153,""),"")</f>
        <v>26.5439517934938</v>
      </c>
      <c r="BW154" s="280">
        <f>IF(ISNUMBER(BW153),IFERROR(BW146/BW153,""),"")</f>
        <v>6.61044327573253</v>
      </c>
      <c r="BX154" s="280">
        <f>IF(ISNUMBER(BX153),IFERROR(BX146/BX153,""),"")</f>
        <v>11.1360114535961</v>
      </c>
      <c r="BY154" s="280">
        <f>IF(ISNUMBER(BY153),IFERROR(BY146/BY153,""),"")</f>
        <v>10.4467251024094</v>
      </c>
      <c r="BZ154" s="280">
        <f>IF(ISNUMBER(BZ153),IFERROR(BZ146/BZ153,""),"")</f>
        <v>7.75764385142129</v>
      </c>
      <c r="CA154" s="280">
        <f>IF(ISNUMBER(CA153),IFERROR(CA146/CA153,""),"")</f>
        <v>35.9935989437233</v>
      </c>
      <c r="CB154" s="280">
        <f>IF(ISNUMBER(CB153),IFERROR(CB146/CB153,""),"")</f>
        <v>46.3255549150428</v>
      </c>
      <c r="CC154" s="280">
        <f>IF(ISNUMBER(CC153),IFERROR(CC146/CC153,""),"")</f>
        <v>57.8268712222367</v>
      </c>
      <c r="CD154" s="280">
        <f>IF(ISNUMBER(CD153),IFERROR(CD146/CD153,""),"")</f>
        <v>69.6038581140493</v>
      </c>
      <c r="CE154" s="280">
        <f>IF(ISNUMBER(CE153),IFERROR(CE146/CE153,""),"")</f>
        <v>84.9707497904085</v>
      </c>
      <c r="CF154" s="280">
        <f>IF(ISNUMBER(CF153),IFERROR(CF146/CF153,""),"")</f>
        <v>104.268165663399</v>
      </c>
      <c r="CG154" s="19" t="inlineStr">
        <is>
          <t>Net income / weighted diluted shares (±$0.015 vs reported: shares printed in thousands).</t>
        </is>
      </c>
      <c r="CI154" s="20">
        <f>IFERROR((CF154/CA154)^(1/5)-1,"n/m")</f>
        <v>0.237044412532986</v>
      </c>
      <c r="CJ154" s="20">
        <f>IFERROR((BV154/AW154)^(1/5)-1,"n/m")</f>
        <v>0.274344143187808</v>
      </c>
      <c r="CK154" s="20">
        <f>IFERROR((BV154/X154)^(1/10)-1,"n/m")</f>
        <v>0.259005685097773</v>
      </c>
      <c r="CL154" s="20">
        <f>IFERROR((BV154/C154)^(1/19)-1,"n/m")</f>
        <v>0.159737136076832</v>
      </c>
    </row>
    <row r="155" ht="15" customHeight="1" s="251">
      <c r="B155" s="22" t="inlineStr">
        <is>
          <t xml:space="preserve">  Diluted EPS y/y %</t>
        </is>
      </c>
      <c r="C155" s="23" t="n"/>
      <c r="D155" s="255">
        <f>IF(AND(ISNUMBER(D154),ISNUMBER(C154)),IFERROR(D154/C154-1,""),"")</f>
        <v>0.144392843793031</v>
      </c>
      <c r="E155" s="255">
        <f>IF(AND(ISNUMBER(E154),ISNUMBER(D154)),IFERROR(E154/D154-1,""),"")</f>
        <v>-0.0649549563664025</v>
      </c>
      <c r="F155" s="255">
        <f>IF(AND(ISNUMBER(F154),ISNUMBER(E154)),IFERROR(F154/E154-1,""),"")</f>
        <v>-0.215041641237607</v>
      </c>
      <c r="G155" s="255">
        <f>IF(AND(ISNUMBER(G154),ISNUMBER(F154)),IFERROR(G154/F154-1,""),"")</f>
        <v>0.0658768943729788</v>
      </c>
      <c r="H155" s="255">
        <f>IF(AND(ISNUMBER(H154),ISNUMBER(G154)),IFERROR(H154/G154-1,""),"")</f>
        <v>0.257933229605073</v>
      </c>
      <c r="I155" s="255">
        <f>IF(AND(ISNUMBER(I154),ISNUMBER(H154)),IFERROR(I154/H154-1,""),"")</f>
        <v>0.425581566997794</v>
      </c>
      <c r="J155" s="23" t="n"/>
      <c r="K155" s="23" t="n"/>
      <c r="L155" s="23" t="n"/>
      <c r="M155" s="23" t="n"/>
      <c r="N155" s="255">
        <f>IF(AND(ISNUMBER(N154),ISNUMBER(I154)),IFERROR(N154/I154-1,""),"")</f>
        <v>-0.0269281030617402</v>
      </c>
      <c r="O155" s="255">
        <f>IF(AND(ISNUMBER(O154),ISNUMBER(J154)),IFERROR(O154/J154-1,""),"")</f>
        <v>-0.26843949977747</v>
      </c>
      <c r="P155" s="255">
        <f>IF(AND(ISNUMBER(P154),ISNUMBER(K154)),IFERROR(P154/K154-1,""),"")</f>
        <v>0.159504248002508</v>
      </c>
      <c r="Q155" s="255">
        <f>IF(AND(ISNUMBER(Q154),ISNUMBER(L154)),IFERROR(Q154/L154-1,""),"")</f>
        <v>0.0836152175496916</v>
      </c>
      <c r="R155" s="255">
        <f>IF(AND(ISNUMBER(R154),ISNUMBER(M154)),IFERROR(R154/M154-1,""),"")</f>
        <v>0.394967241218655</v>
      </c>
      <c r="S155" s="255">
        <f>IF(AND(ISNUMBER(S154),ISNUMBER(N154)),IFERROR(S154/N154-1,""),"")</f>
        <v>0.0962335725832808</v>
      </c>
      <c r="T155" s="255">
        <f>IF(AND(ISNUMBER(T154),ISNUMBER(O154)),IFERROR(T154/O154-1,""),"")</f>
        <v>-0.0824220438758007</v>
      </c>
      <c r="U155" s="255">
        <f>IF(AND(ISNUMBER(U154),ISNUMBER(P154)),IFERROR(U154/P154-1,""),"")</f>
        <v>-0.0104107854358776</v>
      </c>
      <c r="V155" s="255">
        <f>IF(AND(ISNUMBER(V154),ISNUMBER(Q154)),IFERROR(V154/Q154-1,""),"")</f>
        <v>0.052541525865843</v>
      </c>
      <c r="W155" s="255">
        <f>IF(AND(ISNUMBER(W154),ISNUMBER(R154)),IFERROR(W154/R154-1,""),"")</f>
        <v>-0.069465440925359</v>
      </c>
      <c r="X155" s="255">
        <f>IF(AND(ISNUMBER(X154),ISNUMBER(S154)),IFERROR(X154/S154-1,""),"")</f>
        <v>-0.0252443026440099</v>
      </c>
      <c r="Y155" s="255">
        <f>IF(AND(ISNUMBER(Y154),ISNUMBER(T154)),IFERROR(Y154/T154-1,""),"")</f>
        <v>0.364023991742341</v>
      </c>
      <c r="Z155" s="255">
        <f>IF(AND(ISNUMBER(Z154),ISNUMBER(U154)),IFERROR(Z154/U154-1,""),"")</f>
        <v>0.232075813300857</v>
      </c>
      <c r="AA155" s="255">
        <f>IF(AND(ISNUMBER(AA154),ISNUMBER(V154)),IFERROR(AA154/V154-1,""),"")</f>
        <v>0.760330435726713</v>
      </c>
      <c r="AB155" s="255">
        <f>IF(AND(ISNUMBER(AB154),ISNUMBER(W154)),IFERROR(AB154/W154-1,""),"")</f>
        <v>-0.0283019091213788</v>
      </c>
      <c r="AC155" s="255">
        <f>IF(AND(ISNUMBER(AC154),ISNUMBER(X154)),IFERROR(AC154/X154-1,""),"")</f>
        <v>0.277053488035972</v>
      </c>
      <c r="AD155" s="255">
        <f>IF(AND(ISNUMBER(AD154),ISNUMBER(Y154)),IFERROR(AD154/Y154-1,""),"")</f>
        <v>0.963749834878847</v>
      </c>
      <c r="AE155" s="255">
        <f>IF(AND(ISNUMBER(AE154),ISNUMBER(Z154)),IFERROR(AE154/Z154-1,""),"")</f>
        <v>0.0852031110353484</v>
      </c>
      <c r="AF155" s="255">
        <f>IF(AND(ISNUMBER(AF154),ISNUMBER(AA154)),IFERROR(AF154/AA154-1,""),"")</f>
        <v>-0.276969306609245</v>
      </c>
      <c r="AG155" s="255">
        <f>IF(AND(ISNUMBER(AG154),ISNUMBER(AB154)),IFERROR(AG154/AB154-1,""),"")</f>
        <v>0.25738937462414</v>
      </c>
      <c r="AH155" s="255">
        <f>IF(AND(ISNUMBER(AH154),ISNUMBER(AC154)),IFERROR(AH154/AC154-1,""),"")</f>
        <v>0.174133702352801</v>
      </c>
      <c r="AI155" s="255">
        <f>IF(AND(ISNUMBER(AI154),ISNUMBER(AD154)),IFERROR(AI154/AD154-1,""),"")</f>
        <v>-0.257477746737156</v>
      </c>
      <c r="AJ155" s="255">
        <f>IF(AND(ISNUMBER(AJ154),ISNUMBER(AE154)),IFERROR(AJ154/AE154-1,""),"")</f>
        <v>0.326140334609897</v>
      </c>
      <c r="AK155" s="255">
        <f>IF(AND(ISNUMBER(AK154),ISNUMBER(AF154)),IFERROR(AK154/AF154-1,""),"")</f>
        <v>0.326552336192017</v>
      </c>
      <c r="AL155" s="255">
        <f>IF(AND(ISNUMBER(AL154),ISNUMBER(AG154)),IFERROR(AL154/AG154-1,""),"")</f>
        <v>0.312389541981314</v>
      </c>
      <c r="AM155" s="255">
        <f>IF(AND(ISNUMBER(AM154),ISNUMBER(AH154)),IFERROR(AM154/AH154-1,""),"")</f>
        <v>0.148323660918619</v>
      </c>
      <c r="AN155" s="255">
        <f>IF(AND(ISNUMBER(AN154),ISNUMBER(AI154)),IFERROR(AN154/AI154-1,""),"")</f>
        <v>0.524690475236878</v>
      </c>
      <c r="AO155" s="255">
        <f>IF(AND(ISNUMBER(AO154),ISNUMBER(AJ154)),IFERROR(AO154/AJ154-1,""),"")</f>
        <v>0.0698499187328487</v>
      </c>
      <c r="AP155" s="255">
        <f>IF(AND(ISNUMBER(AP154),ISNUMBER(AK154)),IFERROR(AP154/AK154-1,""),"")</f>
        <v>1.03925579536705</v>
      </c>
      <c r="AQ155" s="255">
        <f>IF(AND(ISNUMBER(AQ154),ISNUMBER(AL154)),IFERROR(AQ154/AL154-1,""),"")</f>
        <v>0.0960071971993908</v>
      </c>
      <c r="AR155" s="255">
        <f>IF(AND(ISNUMBER(AR154),ISNUMBER(AM154)),IFERROR(AR154/AM154-1,""),"")</f>
        <v>0.388498374277992</v>
      </c>
      <c r="AS155" s="255">
        <f>IF(AND(ISNUMBER(AS154),ISNUMBER(AN154)),IFERROR(AS154/AN154-1,""),"")</f>
        <v>0.380383789991449</v>
      </c>
      <c r="AT155" s="255">
        <f>IF(AND(ISNUMBER(AT154),ISNUMBER(AO154)),IFERROR(AT154/AO154-1,""),"")</f>
        <v>0.7620990997381</v>
      </c>
      <c r="AU155" s="255">
        <f>IF(AND(ISNUMBER(AU154),ISNUMBER(AP154)),IFERROR(AU154/AP154-1,""),"")</f>
        <v>0.0172173709145991</v>
      </c>
      <c r="AV155" s="255">
        <f>IF(AND(ISNUMBER(AV154),ISNUMBER(AQ154)),IFERROR(AV154/AQ154-1,""),"")</f>
        <v>0.099804483956244</v>
      </c>
      <c r="AW155" s="255">
        <f>IF(AND(ISNUMBER(AW154),ISNUMBER(AR154)),IFERROR(AW154/AR154-1,""),"")</f>
        <v>0.24539450316806</v>
      </c>
      <c r="AX155" s="255">
        <f>IF(AND(ISNUMBER(AX154),ISNUMBER(AS154)),IFERROR(AX154/AS154-1,""),"")</f>
        <v>0.59493318381978</v>
      </c>
      <c r="AY155" s="255">
        <f>IF(AND(ISNUMBER(AY154),ISNUMBER(AT154)),IFERROR(AY154/AT154-1,""),"")</f>
        <v>0.19629720980757</v>
      </c>
      <c r="AZ155" s="255">
        <f>IF(AND(ISNUMBER(AZ154),ISNUMBER(AU154)),IFERROR(AZ154/AU154-1,""),"")</f>
        <v>1.40403920926192</v>
      </c>
      <c r="BA155" s="255">
        <f>IF(AND(ISNUMBER(BA154),ISNUMBER(AV154)),IFERROR(BA154/AV154-1,""),"")</f>
        <v>0.515945533111676</v>
      </c>
      <c r="BB155" s="255">
        <f>IF(AND(ISNUMBER(BB154),ISNUMBER(AW154)),IFERROR(BB154/AW154-1,""),"")</f>
        <v>0.696574186480326</v>
      </c>
      <c r="BC155" s="255">
        <f>IF(AND(ISNUMBER(BC154),ISNUMBER(AX154)),IFERROR(BC154/AX154-1,""),"")</f>
        <v>0.0631090802581127</v>
      </c>
      <c r="BD155" s="255">
        <f>IF(AND(ISNUMBER(BD154),ISNUMBER(AY154)),IFERROR(BD154/AY154-1,""),"")</f>
        <v>0.698894196834704</v>
      </c>
      <c r="BE155" s="255">
        <f>IF(AND(ISNUMBER(BE154),ISNUMBER(AZ154)),IFERROR(BE154/AZ154-1,""),"")</f>
        <v>-0.302044103084304</v>
      </c>
      <c r="BF155" s="255">
        <f>IF(AND(ISNUMBER(BF154),ISNUMBER(BA154)),IFERROR(BF154/BA154-1,""),"")</f>
        <v>0.180471894490914</v>
      </c>
      <c r="BG155" s="255">
        <f>IF(AND(ISNUMBER(BG154),ISNUMBER(BB154)),IFERROR(BG154/BB154-1,""),"")</f>
        <v>0.0580405370573778</v>
      </c>
      <c r="BH155" s="255">
        <f>IF(AND(ISNUMBER(BH154),ISNUMBER(BC154)),IFERROR(BH154/BC154-1,""),"")</f>
        <v>0.243297194250144</v>
      </c>
      <c r="BI155" s="255">
        <f>IF(AND(ISNUMBER(BI154),ISNUMBER(BD154)),IFERROR(BI154/BD154-1,""),"")</f>
        <v>0.0112090394429027</v>
      </c>
      <c r="BJ155" s="255">
        <f>IF(AND(ISNUMBER(BJ154),ISNUMBER(BE154)),IFERROR(BJ154/BE154-1,""),"")</f>
        <v>0.405896931185798</v>
      </c>
      <c r="BK155" s="255">
        <f>IF(AND(ISNUMBER(BK154),ISNUMBER(BF154)),IFERROR(BK154/BF154-1,""),"")</f>
        <v>0.131522298643489</v>
      </c>
      <c r="BL155" s="255">
        <f>IF(AND(ISNUMBER(BL154),ISNUMBER(BG154)),IFERROR(BL154/BG154-1,""),"")</f>
        <v>0.193879623204137</v>
      </c>
      <c r="BM155" s="255">
        <f>IF(AND(ISNUMBER(BM154),ISNUMBER(BH154)),IFERROR(BM154/BH154-1,""),"")</f>
        <v>0.250886623457387</v>
      </c>
      <c r="BN155" s="255">
        <f>IF(AND(ISNUMBER(BN154),ISNUMBER(BI154)),IFERROR(BN154/BI154-1,""),"")</f>
        <v>0.291643977676538</v>
      </c>
      <c r="BO155" s="255">
        <f>IF(AND(ISNUMBER(BO154),ISNUMBER(BJ154)),IFERROR(BO154/BJ154-1,""),"")</f>
        <v>-0.00680965719640858</v>
      </c>
      <c r="BP155" s="255">
        <f>IF(AND(ISNUMBER(BP154),ISNUMBER(BK154)),IFERROR(BP154/BK154-1,""),"")</f>
        <v>0.355178665818781</v>
      </c>
      <c r="BQ155" s="255">
        <f>IF(AND(ISNUMBER(BQ154),ISNUMBER(BL154)),IFERROR(BQ154/BL154-1,""),"")</f>
        <v>0.208034872928185</v>
      </c>
      <c r="BR155" s="255">
        <f>IF(AND(ISNUMBER(BR154),ISNUMBER(BM154)),IFERROR(BR154/BM154-1,""),"")</f>
        <v>0.2797778425407</v>
      </c>
      <c r="BS155" s="255">
        <f>IF(AND(ISNUMBER(BS154),ISNUMBER(BN154)),IFERROR(BS154/BN154-1,""),"")</f>
        <v>0.276624520881847</v>
      </c>
      <c r="BT155" s="255">
        <f>IF(AND(ISNUMBER(BT154),ISNUMBER(BO154)),IFERROR(BT154/BO154-1,""),"")</f>
        <v>0.465623956970693</v>
      </c>
      <c r="BU155" s="255">
        <f>IF(AND(ISNUMBER(BU154),ISNUMBER(BP154)),IFERROR(BU154/BP154-1,""),"")</f>
        <v>0.179759545463175</v>
      </c>
      <c r="BV155" s="255">
        <f>IF(AND(ISNUMBER(BV154),ISNUMBER(BQ154)),IFERROR(BV154/BQ154-1,""),"")</f>
        <v>0.298130826033431</v>
      </c>
      <c r="BW155" s="255">
        <f>IF(AND(ISNUMBER(BW154),ISNUMBER(BR154)),IFERROR(BW154/BR154-1,""),"")</f>
        <v>0.0759826078268351</v>
      </c>
      <c r="BX155" s="255">
        <f>IF(AND(ISNUMBER(BX154),ISNUMBER(BS154)),IFERROR(BX154/BS154-1,""),"")</f>
        <v>0.690449483331916</v>
      </c>
      <c r="BY155" s="255">
        <f>IF(AND(ISNUMBER(BY154),ISNUMBER(BT154)),IFERROR(BY154/BT154-1,""),"")</f>
        <v>0.412232144913666</v>
      </c>
      <c r="BZ155" s="256">
        <f>IF(AND(ISNUMBER(BZ154),ISNUMBER(BU154)),IFERROR(BZ154/BU154-1,""),"")</f>
        <v>0.209082247089543</v>
      </c>
      <c r="CA155" s="256">
        <f>IF(AND(ISNUMBER(CA154),ISNUMBER(BV154)),IFERROR(CA154/BV154-1,""),"")</f>
        <v>0.356000011744513</v>
      </c>
      <c r="CB155" s="256">
        <f>IF(AND(ISNUMBER(CB154),ISNUMBER(CA154)),IFERROR(CB154/CA154-1,""),"")</f>
        <v>0.287049816481918</v>
      </c>
      <c r="CC155" s="256">
        <f>IF(AND(ISNUMBER(CC154),ISNUMBER(CB154)),IFERROR(CC154/CB154-1,""),"")</f>
        <v>0.248271528064506</v>
      </c>
      <c r="CD155" s="256">
        <f>IF(AND(ISNUMBER(CD154),ISNUMBER(CC154)),IFERROR(CD154/CC154-1,""),"")</f>
        <v>0.203659417203328</v>
      </c>
      <c r="CE155" s="256">
        <f>IF(AND(ISNUMBER(CE154),ISNUMBER(CD154)),IFERROR(CE154/CD154-1,""),"")</f>
        <v>0.220776435282937</v>
      </c>
      <c r="CF155" s="256">
        <f>IF(AND(ISNUMBER(CF154),ISNUMBER(CE154)),IFERROR(CF154/CE154-1,""),"")</f>
        <v>0.227106573975048</v>
      </c>
      <c r="CG155" s="153" t="n"/>
    </row>
    <row r="156" collapsed="1" ht="15" customHeight="1" s="251">
      <c r="B156" s="156" t="inlineStr">
        <is>
          <t xml:space="preserve">  Memo: diluted EPS as reported ($)</t>
        </is>
      </c>
      <c r="C156" s="281" t="n">
        <v>1.59</v>
      </c>
      <c r="D156" s="281" t="n">
        <v>1.82</v>
      </c>
      <c r="E156" s="281" t="n">
        <v>1.7</v>
      </c>
      <c r="F156" s="281" t="n">
        <v>1.33</v>
      </c>
      <c r="G156" s="281" t="n">
        <v>1.42</v>
      </c>
      <c r="H156" s="281" t="n">
        <v>1.79</v>
      </c>
      <c r="I156" s="281" t="n">
        <v>2.55</v>
      </c>
      <c r="J156" s="281" t="n">
        <v>0.65</v>
      </c>
      <c r="K156" s="281" t="n">
        <v>0.51</v>
      </c>
      <c r="L156" s="281" t="n">
        <v>0.54</v>
      </c>
      <c r="M156" s="281" t="n">
        <v>0.79</v>
      </c>
      <c r="N156" s="281" t="n">
        <v>2.48</v>
      </c>
      <c r="O156" s="281" t="n">
        <v>0.47</v>
      </c>
      <c r="P156" s="281" t="n">
        <v>0.59</v>
      </c>
      <c r="Q156" s="281" t="n">
        <v>0.58</v>
      </c>
      <c r="R156" s="281" t="n">
        <v>1.1</v>
      </c>
      <c r="S156" s="281" t="n">
        <v>2.72</v>
      </c>
      <c r="T156" s="281" t="n">
        <v>0.43</v>
      </c>
      <c r="U156" s="281" t="n">
        <v>0.58</v>
      </c>
      <c r="V156" s="281" t="n">
        <v>0.62</v>
      </c>
      <c r="W156" s="281" t="n">
        <v>1.03</v>
      </c>
      <c r="X156" s="281" t="n">
        <v>2.65</v>
      </c>
      <c r="Y156" s="281" t="n">
        <v>0.59</v>
      </c>
      <c r="Z156" s="281" t="n">
        <v>0.72</v>
      </c>
      <c r="AA156" s="281" t="n">
        <v>1.08</v>
      </c>
      <c r="AB156" s="281" t="n">
        <v>1</v>
      </c>
      <c r="AC156" s="281" t="n">
        <v>3.39</v>
      </c>
      <c r="AD156" s="281" t="n">
        <v>1.16</v>
      </c>
      <c r="AE156" s="281" t="n">
        <v>0.78</v>
      </c>
      <c r="AF156" s="281" t="n">
        <v>0.78</v>
      </c>
      <c r="AG156" s="281" t="n">
        <v>1.25</v>
      </c>
      <c r="AH156" s="281" t="n">
        <v>3.98</v>
      </c>
      <c r="AI156" s="281" t="n">
        <v>0.86</v>
      </c>
      <c r="AJ156" s="281" t="n">
        <v>1.03</v>
      </c>
      <c r="AK156" s="281" t="n">
        <v>1.04</v>
      </c>
      <c r="AL156" s="281" t="n">
        <v>1.64</v>
      </c>
      <c r="AM156" s="281" t="n">
        <v>4.57</v>
      </c>
      <c r="AN156" s="281" t="n">
        <v>1.32</v>
      </c>
      <c r="AO156" s="281" t="n">
        <v>1.1</v>
      </c>
      <c r="AP156" s="281" t="n">
        <v>2.12</v>
      </c>
      <c r="AQ156" s="281" t="n">
        <v>1.8</v>
      </c>
      <c r="AR156" s="281" t="n">
        <v>6.34</v>
      </c>
      <c r="AS156" s="281" t="n">
        <v>1.82</v>
      </c>
      <c r="AT156" s="281" t="n">
        <v>1.94</v>
      </c>
      <c r="AU156" s="281" t="n">
        <v>2.15</v>
      </c>
      <c r="AV156" s="281" t="n">
        <v>1.98</v>
      </c>
      <c r="AW156" s="281" t="n">
        <v>7.9</v>
      </c>
      <c r="AX156" s="281" t="n">
        <v>2.9</v>
      </c>
      <c r="AY156" s="281" t="n">
        <v>2.33</v>
      </c>
      <c r="AZ156" s="281" t="n">
        <v>5.18</v>
      </c>
      <c r="BA156" s="281" t="n">
        <v>3</v>
      </c>
      <c r="BB156" s="281" t="n">
        <v>13.4</v>
      </c>
      <c r="BC156" s="281" t="n">
        <v>3.09</v>
      </c>
      <c r="BD156" s="281" t="n">
        <v>3.95</v>
      </c>
      <c r="BE156" s="281" t="n">
        <v>3.61</v>
      </c>
      <c r="BF156" s="281" t="n">
        <v>3.55</v>
      </c>
      <c r="BG156" s="281" t="n">
        <v>14.18</v>
      </c>
      <c r="BH156" s="281" t="n">
        <v>3.84</v>
      </c>
      <c r="BI156" s="281" t="n">
        <v>4</v>
      </c>
      <c r="BJ156" s="281" t="n">
        <v>5.08</v>
      </c>
      <c r="BK156" s="281" t="n">
        <v>4.01</v>
      </c>
      <c r="BL156" s="281" t="n">
        <v>16.93</v>
      </c>
      <c r="BM156" s="281" t="n">
        <v>4.8</v>
      </c>
      <c r="BN156" s="281" t="n">
        <v>5.16</v>
      </c>
      <c r="BO156" s="281" t="n">
        <v>5.05</v>
      </c>
      <c r="BP156" s="281" t="n">
        <v>5.44</v>
      </c>
      <c r="BQ156" s="281" t="n">
        <v>20.45</v>
      </c>
      <c r="BR156" s="281" t="n">
        <v>6.14</v>
      </c>
      <c r="BS156" s="281" t="n">
        <v>6.59</v>
      </c>
      <c r="BT156" s="281" t="n">
        <v>7.4</v>
      </c>
      <c r="BU156" s="281" t="n">
        <v>6.42</v>
      </c>
      <c r="BV156" s="281" t="n">
        <v>26.54</v>
      </c>
      <c r="BW156" s="281" t="n">
        <v>6.61</v>
      </c>
      <c r="BX156" s="281" t="n">
        <v>11.14</v>
      </c>
      <c r="BY156" s="281" t="n">
        <v>10.45</v>
      </c>
      <c r="BZ156" s="153" t="n"/>
      <c r="CA156" s="153" t="n"/>
      <c r="CB156" s="153" t="n"/>
      <c r="CC156" s="153" t="n"/>
      <c r="CD156" s="153" t="n"/>
      <c r="CE156" s="153" t="n"/>
      <c r="CF156" s="153" t="n"/>
      <c r="CG156" s="153" t="n"/>
    </row>
    <row r="157" ht="15" customHeight="1" s="251">
      <c r="B157" s="57" t="inlineStr">
        <is>
          <t xml:space="preserve">  Check: model vs reported diluted EPS (should be 0.00; ±0.015)</t>
        </is>
      </c>
      <c r="C157" s="282">
        <f>IF(AND(ISNUMBER(C156),ISNUMBER(C154)),IF(ABS(C154-C156)&lt;=0.0151,0,ROUND(C154-C156,2)),"n/p")</f>
        <v>0</v>
      </c>
      <c r="D157" s="282">
        <f>IF(AND(ISNUMBER(D156),ISNUMBER(D154)),IF(ABS(D154-D156)&lt;=0.0151,0,ROUND(D154-D156,2)),"n/p")</f>
        <v>0</v>
      </c>
      <c r="E157" s="282">
        <f>IF(AND(ISNUMBER(E156),ISNUMBER(E154)),IF(ABS(E154-E156)&lt;=0.0151,0,ROUND(E154-E156,2)),"n/p")</f>
        <v>0</v>
      </c>
      <c r="F157" s="282">
        <f>IF(AND(ISNUMBER(F156),ISNUMBER(F154)),IF(ABS(F154-F156)&lt;=0.0151,0,ROUND(F154-F156,2)),"n/p")</f>
        <v>0</v>
      </c>
      <c r="G157" s="282">
        <f>IF(AND(ISNUMBER(G156),ISNUMBER(G154)),IF(ABS(G154-G156)&lt;=0.0151,0,ROUND(G154-G156,2)),"n/p")</f>
        <v>0</v>
      </c>
      <c r="H157" s="282">
        <f>IF(AND(ISNUMBER(H156),ISNUMBER(H154)),IF(ABS(H154-H156)&lt;=0.0151,0,ROUND(H154-H156,2)),"n/p")</f>
        <v>0</v>
      </c>
      <c r="I157" s="282">
        <f>IF(AND(ISNUMBER(I156),ISNUMBER(I154)),IF(ABS(I154-I156)&lt;=0.0151,0,ROUND(I154-I156,2)),"n/p")</f>
        <v>0</v>
      </c>
      <c r="J157" s="282">
        <f>IF(AND(ISNUMBER(J156),ISNUMBER(J154)),IF(ABS(J154-J156)&lt;=0.0151,0,ROUND(J154-J156,2)),"n/p")</f>
        <v>0</v>
      </c>
      <c r="K157" s="282">
        <f>IF(AND(ISNUMBER(K156),ISNUMBER(K154)),IF(ABS(K154-K156)&lt;=0.0151,0,ROUND(K154-K156,2)),"n/p")</f>
        <v>0</v>
      </c>
      <c r="L157" s="282">
        <f>IF(AND(ISNUMBER(L156),ISNUMBER(L154)),IF(ABS(L154-L156)&lt;=0.0151,0,ROUND(L154-L156,2)),"n/p")</f>
        <v>0</v>
      </c>
      <c r="M157" s="282">
        <f>IF(AND(ISNUMBER(M156),ISNUMBER(M154)),IF(ABS(M154-M156)&lt;=0.0151,0,ROUND(M154-M156,2)),"n/p")</f>
        <v>0</v>
      </c>
      <c r="N157" s="282">
        <f>IF(AND(ISNUMBER(N156),ISNUMBER(N154)),IF(ABS(N154-N156)&lt;=0.0151,0,ROUND(N154-N156,2)),"n/p")</f>
        <v>0</v>
      </c>
      <c r="O157" s="282">
        <f>IF(AND(ISNUMBER(O156),ISNUMBER(O154)),IF(ABS(O154-O156)&lt;=0.0151,0,ROUND(O154-O156,2)),"n/p")</f>
        <v>0</v>
      </c>
      <c r="P157" s="282">
        <f>IF(AND(ISNUMBER(P156),ISNUMBER(P154)),IF(ABS(P154-P156)&lt;=0.0151,0,ROUND(P154-P156,2)),"n/p")</f>
        <v>0</v>
      </c>
      <c r="Q157" s="282">
        <f>IF(AND(ISNUMBER(Q156),ISNUMBER(Q154)),IF(ABS(Q154-Q156)&lt;=0.0151,0,ROUND(Q154-Q156,2)),"n/p")</f>
        <v>0</v>
      </c>
      <c r="R157" s="282">
        <f>IF(AND(ISNUMBER(R156),ISNUMBER(R154)),IF(ABS(R154-R156)&lt;=0.0151,0,ROUND(R154-R156,2)),"n/p")</f>
        <v>0</v>
      </c>
      <c r="S157" s="282">
        <f>IF(AND(ISNUMBER(S156),ISNUMBER(S154)),IF(ABS(S154-S156)&lt;=0.0151,0,ROUND(S154-S156,2)),"n/p")</f>
        <v>0</v>
      </c>
      <c r="T157" s="282">
        <f>IF(AND(ISNUMBER(T156),ISNUMBER(T154)),IF(ABS(T154-T156)&lt;=0.0151,0,ROUND(T154-T156,2)),"n/p")</f>
        <v>0</v>
      </c>
      <c r="U157" s="282">
        <f>IF(AND(ISNUMBER(U156),ISNUMBER(U154)),IF(ABS(U154-U156)&lt;=0.0151,0,ROUND(U154-U156,2)),"n/p")</f>
        <v>0</v>
      </c>
      <c r="V157" s="282">
        <f>IF(AND(ISNUMBER(V156),ISNUMBER(V154)),IF(ABS(V154-V156)&lt;=0.0151,0,ROUND(V154-V156,2)),"n/p")</f>
        <v>0</v>
      </c>
      <c r="W157" s="282">
        <f>IF(AND(ISNUMBER(W156),ISNUMBER(W154)),IF(ABS(W154-W156)&lt;=0.0151,0,ROUND(W154-W156,2)),"n/p")</f>
        <v>0</v>
      </c>
      <c r="X157" s="282">
        <f>IF(AND(ISNUMBER(X156),ISNUMBER(X154)),IF(ABS(X154-X156)&lt;=0.0151,0,ROUND(X154-X156,2)),"n/p")</f>
        <v>0</v>
      </c>
      <c r="Y157" s="282">
        <f>IF(AND(ISNUMBER(Y156),ISNUMBER(Y154)),IF(ABS(Y154-Y156)&lt;=0.0151,0,ROUND(Y154-Y156,2)),"n/p")</f>
        <v>0</v>
      </c>
      <c r="Z157" s="282">
        <f>IF(AND(ISNUMBER(Z156),ISNUMBER(Z154)),IF(ABS(Z154-Z156)&lt;=0.0151,0,ROUND(Z154-Z156,2)),"n/p")</f>
        <v>0</v>
      </c>
      <c r="AA157" s="282">
        <f>IF(AND(ISNUMBER(AA156),ISNUMBER(AA154)),IF(ABS(AA154-AA156)&lt;=0.0151,0,ROUND(AA154-AA156,2)),"n/p")</f>
        <v>0</v>
      </c>
      <c r="AB157" s="282">
        <f>IF(AND(ISNUMBER(AB156),ISNUMBER(AB154)),IF(ABS(AB154-AB156)&lt;=0.0151,0,ROUND(AB154-AB156,2)),"n/p")</f>
        <v>0</v>
      </c>
      <c r="AC157" s="282">
        <f>IF(AND(ISNUMBER(AC156),ISNUMBER(AC154)),IF(ABS(AC154-AC156)&lt;=0.0151,0,ROUND(AC154-AC156,2)),"n/p")</f>
        <v>0</v>
      </c>
      <c r="AD157" s="282">
        <f>IF(AND(ISNUMBER(AD156),ISNUMBER(AD154)),IF(ABS(AD154-AD156)&lt;=0.0151,0,ROUND(AD154-AD156,2)),"n/p")</f>
        <v>0</v>
      </c>
      <c r="AE157" s="282">
        <f>IF(AND(ISNUMBER(AE156),ISNUMBER(AE154)),IF(ABS(AE154-AE156)&lt;=0.0151,0,ROUND(AE154-AE156,2)),"n/p")</f>
        <v>0</v>
      </c>
      <c r="AF157" s="282">
        <f>IF(AND(ISNUMBER(AF156),ISNUMBER(AF154)),IF(ABS(AF154-AF156)&lt;=0.0151,0,ROUND(AF154-AF156,2)),"n/p")</f>
        <v>0</v>
      </c>
      <c r="AG157" s="282">
        <f>IF(AND(ISNUMBER(AG156),ISNUMBER(AG154)),IF(ABS(AG154-AG156)&lt;=0.0151,0,ROUND(AG154-AG156,2)),"n/p")</f>
        <v>0</v>
      </c>
      <c r="AH157" s="282">
        <f>IF(AND(ISNUMBER(AH156),ISNUMBER(AH154)),IF(ABS(AH154-AH156)&lt;=0.0151,0,ROUND(AH154-AH156,2)),"n/p")</f>
        <v>0</v>
      </c>
      <c r="AI157" s="282">
        <f>IF(AND(ISNUMBER(AI156),ISNUMBER(AI154)),IF(ABS(AI154-AI156)&lt;=0.0151,0,ROUND(AI154-AI156,2)),"n/p")</f>
        <v>0</v>
      </c>
      <c r="AJ157" s="282">
        <f>IF(AND(ISNUMBER(AJ156),ISNUMBER(AJ154)),IF(ABS(AJ154-AJ156)&lt;=0.0151,0,ROUND(AJ154-AJ156,2)),"n/p")</f>
        <v>0</v>
      </c>
      <c r="AK157" s="282">
        <f>IF(AND(ISNUMBER(AK156),ISNUMBER(AK154)),IF(ABS(AK154-AK156)&lt;=0.0151,0,ROUND(AK154-AK156,2)),"n/p")</f>
        <v>0</v>
      </c>
      <c r="AL157" s="282">
        <f>IF(AND(ISNUMBER(AL156),ISNUMBER(AL154)),IF(ABS(AL154-AL156)&lt;=0.0151,0,ROUND(AL154-AL156,2)),"n/p")</f>
        <v>0</v>
      </c>
      <c r="AM157" s="282">
        <f>IF(AND(ISNUMBER(AM156),ISNUMBER(AM154)),IF(ABS(AM154-AM156)&lt;=0.0151,0,ROUND(AM154-AM156,2)),"n/p")</f>
        <v>0</v>
      </c>
      <c r="AN157" s="282">
        <f>IF(AND(ISNUMBER(AN156),ISNUMBER(AN154)),IF(ABS(AN154-AN156)&lt;=0.0151,0,ROUND(AN154-AN156,2)),"n/p")</f>
        <v>0</v>
      </c>
      <c r="AO157" s="282">
        <f>IF(AND(ISNUMBER(AO156),ISNUMBER(AO154)),IF(ABS(AO154-AO156)&lt;=0.0151,0,ROUND(AO154-AO156,2)),"n/p")</f>
        <v>0</v>
      </c>
      <c r="AP157" s="282">
        <f>IF(AND(ISNUMBER(AP156),ISNUMBER(AP154)),IF(ABS(AP154-AP156)&lt;=0.0151,0,ROUND(AP154-AP156,2)),"n/p")</f>
        <v>0</v>
      </c>
      <c r="AQ157" s="282">
        <f>IF(AND(ISNUMBER(AQ156),ISNUMBER(AQ154)),IF(ABS(AQ154-AQ156)&lt;=0.0151,0,ROUND(AQ154-AQ156,2)),"n/p")</f>
        <v>0</v>
      </c>
      <c r="AR157" s="282">
        <f>IF(AND(ISNUMBER(AR156),ISNUMBER(AR154)),IF(ABS(AR154-AR156)&lt;=0.0151,0,ROUND(AR154-AR156,2)),"n/p")</f>
        <v>0</v>
      </c>
      <c r="AS157" s="282">
        <f>IF(AND(ISNUMBER(AS156),ISNUMBER(AS154)),IF(ABS(AS154-AS156)&lt;=0.0151,0,ROUND(AS154-AS156,2)),"n/p")</f>
        <v>0</v>
      </c>
      <c r="AT157" s="282">
        <f>IF(AND(ISNUMBER(AT156),ISNUMBER(AT154)),IF(ABS(AT154-AT156)&lt;=0.0151,0,ROUND(AT154-AT156,2)),"n/p")</f>
        <v>0</v>
      </c>
      <c r="AU157" s="282">
        <f>IF(AND(ISNUMBER(AU156),ISNUMBER(AU154)),IF(ABS(AU154-AU156)&lt;=0.0151,0,ROUND(AU154-AU156,2)),"n/p")</f>
        <v>0</v>
      </c>
      <c r="AV157" s="282">
        <f>IF(AND(ISNUMBER(AV156),ISNUMBER(AV154)),IF(ABS(AV154-AV156)&lt;=0.0151,0,ROUND(AV154-AV156,2)),"n/p")</f>
        <v>0</v>
      </c>
      <c r="AW157" s="282">
        <f>IF(AND(ISNUMBER(AW156),ISNUMBER(AW154)),IF(ABS(AW154-AW156)&lt;=0.0151,0,ROUND(AW154-AW156,2)),"n/p")</f>
        <v>0</v>
      </c>
      <c r="AX157" s="282">
        <f>IF(AND(ISNUMBER(AX156),ISNUMBER(AX154)),IF(ABS(AX154-AX156)&lt;=0.0151,0,ROUND(AX154-AX156,2)),"n/p")</f>
        <v>0</v>
      </c>
      <c r="AY157" s="282">
        <f>IF(AND(ISNUMBER(AY156),ISNUMBER(AY154)),IF(ABS(AY154-AY156)&lt;=0.0151,0,ROUND(AY154-AY156,2)),"n/p")</f>
        <v>0</v>
      </c>
      <c r="AZ157" s="282">
        <f>IF(AND(ISNUMBER(AZ156),ISNUMBER(AZ154)),IF(ABS(AZ154-AZ156)&lt;=0.0151,0,ROUND(AZ154-AZ156,2)),"n/p")</f>
        <v>0</v>
      </c>
      <c r="BA157" s="282">
        <f>IF(AND(ISNUMBER(BA156),ISNUMBER(BA154)),IF(ABS(BA154-BA156)&lt;=0.0151,0,ROUND(BA154-BA156,2)),"n/p")</f>
        <v>0</v>
      </c>
      <c r="BB157" s="282">
        <f>IF(AND(ISNUMBER(BB156),ISNUMBER(BB154)),IF(ABS(BB154-BB156)&lt;=0.0151,0,ROUND(BB154-BB156,2)),"n/p")</f>
        <v>0</v>
      </c>
      <c r="BC157" s="282">
        <f>IF(AND(ISNUMBER(BC156),ISNUMBER(BC154)),IF(ABS(BC154-BC156)&lt;=0.0151,0,ROUND(BC154-BC156,2)),"n/p")</f>
        <v>0</v>
      </c>
      <c r="BD157" s="282">
        <f>IF(AND(ISNUMBER(BD156),ISNUMBER(BD154)),IF(ABS(BD154-BD156)&lt;=0.0151,0,ROUND(BD154-BD156,2)),"n/p")</f>
        <v>0</v>
      </c>
      <c r="BE157" s="282">
        <f>IF(AND(ISNUMBER(BE156),ISNUMBER(BE154)),IF(ABS(BE154-BE156)&lt;=0.0151,0,ROUND(BE154-BE156,2)),"n/p")</f>
        <v>0</v>
      </c>
      <c r="BF157" s="282">
        <f>IF(AND(ISNUMBER(BF156),ISNUMBER(BF154)),IF(ABS(BF154-BF156)&lt;=0.0151,0,ROUND(BF154-BF156,2)),"n/p")</f>
        <v>0</v>
      </c>
      <c r="BG157" s="282">
        <f>IF(AND(ISNUMBER(BG156),ISNUMBER(BG154)),IF(ABS(BG154-BG156)&lt;=0.0151,0,ROUND(BG154-BG156,2)),"n/p")</f>
        <v>0</v>
      </c>
      <c r="BH157" s="282">
        <f>IF(AND(ISNUMBER(BH156),ISNUMBER(BH154)),IF(ABS(BH154-BH156)&lt;=0.0151,0,ROUND(BH154-BH156,2)),"n/p")</f>
        <v>0</v>
      </c>
      <c r="BI157" s="282">
        <f>IF(AND(ISNUMBER(BI156),ISNUMBER(BI154)),IF(ABS(BI154-BI156)&lt;=0.0151,0,ROUND(BI154-BI156,2)),"n/p")</f>
        <v>0</v>
      </c>
      <c r="BJ157" s="282">
        <f>IF(AND(ISNUMBER(BJ156),ISNUMBER(BJ154)),IF(ABS(BJ154-BJ156)&lt;=0.0151,0,ROUND(BJ154-BJ156,2)),"n/p")</f>
        <v>0</v>
      </c>
      <c r="BK157" s="282">
        <f>IF(AND(ISNUMBER(BK156),ISNUMBER(BK154)),IF(ABS(BK154-BK156)&lt;=0.0151,0,ROUND(BK154-BK156,2)),"n/p")</f>
        <v>0</v>
      </c>
      <c r="BL157" s="282">
        <f>IF(AND(ISNUMBER(BL156),ISNUMBER(BL154)),IF(ABS(BL154-BL156)&lt;=0.0151,0,ROUND(BL154-BL156,2)),"n/p")</f>
        <v>0</v>
      </c>
      <c r="BM157" s="282">
        <f>IF(AND(ISNUMBER(BM156),ISNUMBER(BM154)),IF(ABS(BM154-BM156)&lt;=0.0151,0,ROUND(BM154-BM156,2)),"n/p")</f>
        <v>0</v>
      </c>
      <c r="BN157" s="282">
        <f>IF(AND(ISNUMBER(BN156),ISNUMBER(BN154)),IF(ABS(BN154-BN156)&lt;=0.0151,0,ROUND(BN154-BN156,2)),"n/p")</f>
        <v>0</v>
      </c>
      <c r="BO157" s="282">
        <f>IF(AND(ISNUMBER(BO156),ISNUMBER(BO154)),IF(ABS(BO154-BO156)&lt;=0.0151,0,ROUND(BO154-BO156,2)),"n/p")</f>
        <v>0</v>
      </c>
      <c r="BP157" s="282">
        <f>IF(AND(ISNUMBER(BP156),ISNUMBER(BP154)),IF(ABS(BP154-BP156)&lt;=0.0151,0,ROUND(BP154-BP156,2)),"n/p")</f>
        <v>0</v>
      </c>
      <c r="BQ157" s="282">
        <f>IF(AND(ISNUMBER(BQ156),ISNUMBER(BQ154)),IF(ABS(BQ154-BQ156)&lt;=0.0151,0,ROUND(BQ154-BQ156,2)),"n/p")</f>
        <v>0</v>
      </c>
      <c r="BR157" s="282">
        <f>IF(AND(ISNUMBER(BR156),ISNUMBER(BR154)),IF(ABS(BR154-BR156)&lt;=0.0151,0,ROUND(BR154-BR156,2)),"n/p")</f>
        <v>0</v>
      </c>
      <c r="BS157" s="282">
        <f>IF(AND(ISNUMBER(BS156),ISNUMBER(BS154)),IF(ABS(BS154-BS156)&lt;=0.0151,0,ROUND(BS154-BS156,2)),"n/p")</f>
        <v>0</v>
      </c>
      <c r="BT157" s="282">
        <f>IF(AND(ISNUMBER(BT156),ISNUMBER(BT154)),IF(ABS(BT154-BT156)&lt;=0.0151,0,ROUND(BT154-BT156,2)),"n/p")</f>
        <v>0</v>
      </c>
      <c r="BU157" s="282">
        <f>IF(AND(ISNUMBER(BU156),ISNUMBER(BU154)),IF(ABS(BU154-BU156)&lt;=0.0151,0,ROUND(BU154-BU156,2)),"n/p")</f>
        <v>0</v>
      </c>
      <c r="BV157" s="282">
        <f>IF(AND(ISNUMBER(BV156),ISNUMBER(BV154)),IF(ABS(BV154-BV156)&lt;=0.0151,0,ROUND(BV154-BV156,2)),"n/p")</f>
        <v>0</v>
      </c>
      <c r="BW157" s="282">
        <f>IF(AND(ISNUMBER(BW156),ISNUMBER(BW154)),IF(ABS(BW154-BW156)&lt;=0.0151,0,ROUND(BW154-BW156,2)),"n/p")</f>
        <v>0</v>
      </c>
      <c r="BX157" s="282">
        <f>IF(AND(ISNUMBER(BX156),ISNUMBER(BX154)),IF(ABS(BX154-BX156)&lt;=0.0151,0,ROUND(BX154-BX156,2)),"n/p")</f>
        <v>0</v>
      </c>
      <c r="BY157" s="282">
        <f>IF(AND(ISNUMBER(BY156),ISNUMBER(BY154)),IF(ABS(BY154-BY156)&lt;=0.0151,0,ROUND(BY154-BY156,2)),"n/p")</f>
        <v>0</v>
      </c>
      <c r="BZ157" s="153" t="n"/>
      <c r="CA157" s="153" t="n"/>
      <c r="CB157" s="153" t="n"/>
      <c r="CC157" s="153" t="n"/>
      <c r="CD157" s="153" t="n"/>
      <c r="CE157" s="153" t="n"/>
      <c r="CF157" s="153" t="n"/>
      <c r="CG157" s="153" t="n"/>
    </row>
    <row r="158" ht="15" customHeight="1" s="251">
      <c r="B158" s="25" t="inlineStr">
        <is>
          <t xml:space="preserve">  Dividends paid per share ($; derived = dividends paid ÷ basic shares)</t>
        </is>
      </c>
      <c r="C158" s="282">
        <f>IF(AND(ISNUMBER(C245),ISNUMBER(C152)),IFERROR(-C245/C152,0),"")</f>
        <v>0.0802151653847969</v>
      </c>
      <c r="D158" s="282">
        <f>IF(AND(ISNUMBER(D245),ISNUMBER(D152)),IFERROR(-D245/D152,0),"")</f>
        <v>0.0790666143361758</v>
      </c>
      <c r="E158" s="282">
        <f>IF(AND(ISNUMBER(E245),ISNUMBER(E152)),IFERROR(-E245/E152,0),"")</f>
        <v>0.0796281160604822</v>
      </c>
      <c r="F158" s="282">
        <f>IF(AND(ISNUMBER(F245),ISNUMBER(F152)),IFERROR(-F245/F152,0),"")</f>
        <v>0.0798840889473468</v>
      </c>
      <c r="G158" s="282">
        <f>IF(AND(ISNUMBER(G245),ISNUMBER(G152)),IFERROR(-G245/G152,0),"")</f>
        <v>0.079705142195399</v>
      </c>
      <c r="H158" s="282">
        <f>IF(AND(ISNUMBER(H245),ISNUMBER(H152)),IFERROR(-H245/H152,0),"")</f>
        <v>0.0797784496557331</v>
      </c>
      <c r="I158" s="282">
        <f>IF(AND(ISNUMBER(I245),ISNUMBER(I152)),IFERROR(-I245/I152,0),"")</f>
        <v>0.0802944799335415</v>
      </c>
      <c r="J158" s="282">
        <f>IF(AND(ISNUMBER(J245),ISNUMBER(J152)),IFERROR(-J245/J152,0),"")</f>
        <v>0</v>
      </c>
      <c r="K158" s="282">
        <f>IF(AND(ISNUMBER(K245),ISNUMBER(K152)),IFERROR(-K245/K152,0),"")</f>
        <v>0</v>
      </c>
      <c r="L158" s="282">
        <f>IF(AND(ISNUMBER(L245),ISNUMBER(L152)),IFERROR(-L245/L152,0),"")</f>
        <v>0</v>
      </c>
      <c r="M158" s="282">
        <f>IF(AND(ISNUMBER(M245),ISNUMBER(M152)),IFERROR(-M245/M152,0),"")</f>
        <v>0</v>
      </c>
      <c r="N158" s="282">
        <f>IF(AND(ISNUMBER(N245),ISNUMBER(N152)),IFERROR(-N245/N152,0),"")</f>
        <v>0</v>
      </c>
      <c r="O158" s="282">
        <f>IF(AND(ISNUMBER(O245),ISNUMBER(O152)),IFERROR(-O245/O152,0),"")</f>
        <v>0</v>
      </c>
      <c r="P158" s="282">
        <f>IF(AND(ISNUMBER(P245),ISNUMBER(P152)),IFERROR(-P245/P152,0),"")</f>
        <v>0</v>
      </c>
      <c r="Q158" s="282">
        <f>IF(AND(ISNUMBER(Q245),ISNUMBER(Q152)),IFERROR(-Q245/Q152,0),"")</f>
        <v>0</v>
      </c>
      <c r="R158" s="282">
        <f>IF(AND(ISNUMBER(R245),ISNUMBER(R152)),IFERROR(-R245/R152,0),"")</f>
        <v>0</v>
      </c>
      <c r="S158" s="282">
        <f>IF(AND(ISNUMBER(S245),ISNUMBER(S152)),IFERROR(-S245/S152,0),"")</f>
        <v>0</v>
      </c>
      <c r="T158" s="282">
        <f>IF(AND(ISNUMBER(T245),ISNUMBER(T152)),IFERROR(-T245/T152,0),"")</f>
        <v>0</v>
      </c>
      <c r="U158" s="282">
        <f>IF(AND(ISNUMBER(U245),ISNUMBER(U152)),IFERROR(-U245/U152,0),"")</f>
        <v>0</v>
      </c>
      <c r="V158" s="282">
        <f>IF(AND(ISNUMBER(V245),ISNUMBER(V152)),IFERROR(-V245/V152,0),"")</f>
        <v>0</v>
      </c>
      <c r="W158" s="282">
        <f>IF(AND(ISNUMBER(W245),ISNUMBER(W152)),IFERROR(-W245/W152,0),"")</f>
        <v>0</v>
      </c>
      <c r="X158" s="282">
        <f>IF(AND(ISNUMBER(X245),ISNUMBER(X152)),IFERROR(-X245/X152,0),"")</f>
        <v>0</v>
      </c>
      <c r="Y158" s="282">
        <f>IF(AND(ISNUMBER(Y245),ISNUMBER(Y152)),IFERROR(-Y245/Y152,0),"")</f>
        <v>0</v>
      </c>
      <c r="Z158" s="282">
        <f>IF(AND(ISNUMBER(Z245),ISNUMBER(Z152)),IFERROR(-Z245/Z152,0),"")</f>
        <v>0</v>
      </c>
      <c r="AA158" s="282">
        <f>IF(AND(ISNUMBER(AA245),ISNUMBER(AA152)),IFERROR(-AA245/AA152,0),"")</f>
        <v>0</v>
      </c>
      <c r="AB158" s="282">
        <f>IF(AND(ISNUMBER(AB245),ISNUMBER(AB152)),IFERROR(-AB245/AB152,0),"")</f>
        <v>0</v>
      </c>
      <c r="AC158" s="282">
        <f>IF(AND(ISNUMBER(AC245),ISNUMBER(AC152)),IFERROR(-AC245/AC152,0),"")</f>
        <v>0</v>
      </c>
      <c r="AD158" s="282">
        <f>IF(AND(ISNUMBER(AD245),ISNUMBER(AD152)),IFERROR(-AD245/AD152,0),"")</f>
        <v>0</v>
      </c>
      <c r="AE158" s="282">
        <f>IF(AND(ISNUMBER(AE245),ISNUMBER(AE152)),IFERROR(-AE245/AE152,0),"")</f>
        <v>0</v>
      </c>
      <c r="AF158" s="282">
        <f>IF(AND(ISNUMBER(AF245),ISNUMBER(AF152)),IFERROR(-AF245/AF152,0),"")</f>
        <v>0</v>
      </c>
      <c r="AG158" s="282">
        <f>IF(AND(ISNUMBER(AG245),ISNUMBER(AG152)),IFERROR(-AG245/AG152,0),"")</f>
        <v>0</v>
      </c>
      <c r="AH158" s="282">
        <f>IF(AND(ISNUMBER(AH245),ISNUMBER(AH152)),IFERROR(-AH245/AH152,0),"")</f>
        <v>0</v>
      </c>
      <c r="AI158" s="282">
        <f>IF(AND(ISNUMBER(AI245),ISNUMBER(AI152)),IFERROR(-AI245/AI152,0),"")</f>
        <v>0</v>
      </c>
      <c r="AJ158" s="282">
        <f>IF(AND(ISNUMBER(AJ245),ISNUMBER(AJ152)),IFERROR(-AJ245/AJ152,0),"")</f>
        <v>0</v>
      </c>
      <c r="AK158" s="282">
        <f>IF(AND(ISNUMBER(AK245),ISNUMBER(AK152)),IFERROR(-AK245/AK152,0),"")</f>
        <v>0</v>
      </c>
      <c r="AL158" s="282">
        <f>IF(AND(ISNUMBER(AL245),ISNUMBER(AL152)),IFERROR(-AL245/AL152,0),"")</f>
        <v>0</v>
      </c>
      <c r="AM158" s="282">
        <f>IF(AND(ISNUMBER(AM245),ISNUMBER(AM152)),IFERROR(-AM245/AM152,0),"")</f>
        <v>0</v>
      </c>
      <c r="AN158" s="282">
        <f>IF(AND(ISNUMBER(AN245),ISNUMBER(AN152)),IFERROR(-AN245/AN152,0),"")</f>
        <v>0</v>
      </c>
      <c r="AO158" s="282">
        <f>IF(AND(ISNUMBER(AO245),ISNUMBER(AO152)),IFERROR(-AO245/AO152,0),"")</f>
        <v>0</v>
      </c>
      <c r="AP158" s="282">
        <f>IF(AND(ISNUMBER(AP245),ISNUMBER(AP152)),IFERROR(-AP245/AP152,0),"")</f>
        <v>0</v>
      </c>
      <c r="AQ158" s="282">
        <f>IF(AND(ISNUMBER(AQ245),ISNUMBER(AQ152)),IFERROR(-AQ245/AQ152,0),"")</f>
        <v>0</v>
      </c>
      <c r="AR158" s="282">
        <f>IF(AND(ISNUMBER(AR245),ISNUMBER(AR152)),IFERROR(-AR245/AR152,0),"")</f>
        <v>0</v>
      </c>
      <c r="AS158" s="282">
        <f>IF(AND(ISNUMBER(AS245),ISNUMBER(AS152)),IFERROR(-AS245/AS152,0),"")</f>
        <v>0</v>
      </c>
      <c r="AT158" s="282">
        <f>IF(AND(ISNUMBER(AT245),ISNUMBER(AT152)),IFERROR(-AT245/AT152,0),"")</f>
        <v>0</v>
      </c>
      <c r="AU158" s="282">
        <f>IF(AND(ISNUMBER(AU245),ISNUMBER(AU152)),IFERROR(-AU245/AU152,0),"")</f>
        <v>0</v>
      </c>
      <c r="AV158" s="282">
        <f>IF(AND(ISNUMBER(AV245),ISNUMBER(AV152)),IFERROR(-AV245/AV152,0),"")</f>
        <v>0</v>
      </c>
      <c r="AW158" s="282">
        <f>IF(AND(ISNUMBER(AW245),ISNUMBER(AW152)),IFERROR(-AW245/AW152,0),"")</f>
        <v>0</v>
      </c>
      <c r="AX158" s="282">
        <f>IF(AND(ISNUMBER(AX245),ISNUMBER(AX152)),IFERROR(-AX245/AX152,0),"")</f>
        <v>0</v>
      </c>
      <c r="AY158" s="282">
        <f>IF(AND(ISNUMBER(AY245),ISNUMBER(AY152)),IFERROR(-AY245/AY152,0),"")</f>
        <v>0</v>
      </c>
      <c r="AZ158" s="282">
        <f>IF(AND(ISNUMBER(AZ245),ISNUMBER(AZ152)),IFERROR(-AZ245/AZ152,0),"")</f>
        <v>0</v>
      </c>
      <c r="BA158" s="282">
        <f>IF(AND(ISNUMBER(BA245),ISNUMBER(BA152)),IFERROR(-BA245/BA152,0),"")</f>
        <v>0</v>
      </c>
      <c r="BB158" s="282">
        <f>IF(AND(ISNUMBER(BB245),ISNUMBER(BB152)),IFERROR(-BB245/BB152,0),"")</f>
        <v>0</v>
      </c>
      <c r="BC158" s="282">
        <f>IF(AND(ISNUMBER(BC245),ISNUMBER(BC152)),IFERROR(-BC245/BC152,0),"")</f>
        <v>0</v>
      </c>
      <c r="BD158" s="282">
        <f>IF(AND(ISNUMBER(BD245),ISNUMBER(BD152)),IFERROR(-BD245/BD152,0),"")</f>
        <v>0</v>
      </c>
      <c r="BE158" s="282">
        <f>IF(AND(ISNUMBER(BE245),ISNUMBER(BE152)),IFERROR(-BE245/BE152,0),"")</f>
        <v>0</v>
      </c>
      <c r="BF158" s="282">
        <f>IF(AND(ISNUMBER(BF245),ISNUMBER(BF152)),IFERROR(-BF245/BF152,0),"")</f>
        <v>0</v>
      </c>
      <c r="BG158" s="282">
        <f>IF(AND(ISNUMBER(BG245),ISNUMBER(BG152)),IFERROR(-BG245/BG152,0),"")</f>
        <v>0</v>
      </c>
      <c r="BH158" s="282">
        <f>IF(AND(ISNUMBER(BH245),ISNUMBER(BH152)),IFERROR(-BH245/BH152,0),"")</f>
        <v>0</v>
      </c>
      <c r="BI158" s="282">
        <f>IF(AND(ISNUMBER(BI245),ISNUMBER(BI152)),IFERROR(-BI245/BI152,0),"")</f>
        <v>0</v>
      </c>
      <c r="BJ158" s="282">
        <f>IF(AND(ISNUMBER(BJ245),ISNUMBER(BJ152)),IFERROR(-BJ245/BJ152,0),"")</f>
        <v>0</v>
      </c>
      <c r="BK158" s="282">
        <f>IF(AND(ISNUMBER(BK245),ISNUMBER(BK152)),IFERROR(-BK245/BK152,0),"")</f>
        <v>0</v>
      </c>
      <c r="BL158" s="282">
        <f>IF(AND(ISNUMBER(BL245),ISNUMBER(BL152)),IFERROR(-BL245/BL152,0),"")</f>
        <v>0</v>
      </c>
      <c r="BM158" s="282">
        <f>IF(AND(ISNUMBER(BM245),ISNUMBER(BM152)),IFERROR(-BM245/BM152,0),"")</f>
        <v>0</v>
      </c>
      <c r="BN158" s="282">
        <f>IF(AND(ISNUMBER(BN245),ISNUMBER(BN152)),IFERROR(-BN245/BN152,0),"")</f>
        <v>0</v>
      </c>
      <c r="BO158" s="282">
        <f>IF(AND(ISNUMBER(BO245),ISNUMBER(BO152)),IFERROR(-BO245/BO152,0),"")</f>
        <v>0</v>
      </c>
      <c r="BP158" s="282">
        <f>IF(AND(ISNUMBER(BP245),ISNUMBER(BP152)),IFERROR(-BP245/BP152,0),"")</f>
        <v>0</v>
      </c>
      <c r="BQ158" s="282">
        <f>IF(AND(ISNUMBER(BQ245),ISNUMBER(BQ152)),IFERROR(-BQ245/BQ152,0),"")</f>
        <v>0</v>
      </c>
      <c r="BR158" s="282">
        <f>IF(AND(ISNUMBER(BR245),ISNUMBER(BR152)),IFERROR(-BR245/BR152,0),"")</f>
        <v>0</v>
      </c>
      <c r="BS158" s="282">
        <f>IF(AND(ISNUMBER(BS245),ISNUMBER(BS152)),IFERROR(-BS245/BS152,0),"")</f>
        <v>0</v>
      </c>
      <c r="BT158" s="282">
        <f>IF(AND(ISNUMBER(BT245),ISNUMBER(BT152)),IFERROR(-BT245/BT152,0),"")</f>
        <v>0</v>
      </c>
      <c r="BU158" s="282">
        <f>IF(AND(ISNUMBER(BU245),ISNUMBER(BU152)),IFERROR(-BU245/BU152,0),"")</f>
        <v>0</v>
      </c>
      <c r="BV158" s="282">
        <f>IF(AND(ISNUMBER(BV245),ISNUMBER(BV152)),IFERROR(-BV245/BV152,0),"")</f>
        <v>0</v>
      </c>
      <c r="BW158" s="282">
        <f>IF(AND(ISNUMBER(BW245),ISNUMBER(BW152)),IFERROR(-BW245/BW152,0),"")</f>
        <v>0</v>
      </c>
      <c r="BX158" s="282">
        <f>IF(AND(ISNUMBER(BX245),ISNUMBER(BX152)),IFERROR(-BX245/BX152,0),"")</f>
        <v>0</v>
      </c>
      <c r="BY158" s="282">
        <f>IF(AND(ISNUMBER(BY245),ISNUMBER(BY152)),IFERROR(-BY245/BY152,0),"")</f>
        <v>0</v>
      </c>
      <c r="BZ158" s="276">
        <f>IF(AND(ISNUMBER(BZ245),ISNUMBER(BZ152)),IFERROR(-BZ245/BZ152,0),"")</f>
      </c>
      <c r="CA158" s="276">
        <f>IF(AND(ISNUMBER(CA245),ISNUMBER(CA152)),IFERROR(-CA245/CA152,0),"")</f>
        <v>0</v>
      </c>
      <c r="CB158" s="276">
        <f>IF(AND(ISNUMBER(CB245),ISNUMBER(CB152)),IFERROR(-CB245/CB152,0),"")</f>
        <v>0</v>
      </c>
      <c r="CC158" s="276">
        <f>IF(AND(ISNUMBER(CC245),ISNUMBER(CC152)),IFERROR(-CC245/CC152,0),"")</f>
        <v>0</v>
      </c>
      <c r="CD158" s="276">
        <f>IF(AND(ISNUMBER(CD245),ISNUMBER(CD152)),IFERROR(-CD245/CD152,0),"")</f>
        <v>0</v>
      </c>
      <c r="CE158" s="276">
        <f>IF(AND(ISNUMBER(CE245),ISNUMBER(CE152)),IFERROR(-CE245/CE152,0),"")</f>
        <v>0</v>
      </c>
      <c r="CF158" s="276">
        <f>IF(AND(ISNUMBER(CF245),ISNUMBER(CF152)),IFERROR(-CF245/CF152,0),"")</f>
        <v>0</v>
      </c>
      <c r="CG158" s="19" t="inlineStr">
        <is>
          <t>$0.02 per quarter until the dividend was discontinued in FY2017. No dividend assumed.</t>
        </is>
      </c>
    </row>
    <row r="159" ht="15" customHeight="1" s="251">
      <c r="CO159" s="11" t="n"/>
      <c r="CP159" s="12" t="n"/>
      <c r="CQ159" s="12" t="n"/>
      <c r="CR159" s="12" t="n"/>
      <c r="CS159" s="13" t="n"/>
    </row>
    <row r="160" ht="15" customHeight="1" s="251">
      <c r="B160" s="10" t="inlineStr">
        <is>
          <t>RECONCILIATION: OPERATING INCOME → NON-GAAP OPERATING INCOME (model; items FICO excludes, = the unallocated items of its segment summary)</t>
        </is>
      </c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inlineStr">
        <is>
          <t>NON-GAAP OPERATING INCOME — FICO publishes non-GAAP net income / EPS but no non-GAAP operating income; the items are those in its MD&amp;A segment operating-income summary</t>
        </is>
      </c>
    </row>
    <row r="161" ht="15" customHeight="1" s="251">
      <c r="B161" s="16" t="inlineStr">
        <is>
          <t>Operating income (GAAP)</t>
        </is>
      </c>
      <c r="C161" s="259">
        <f>C135</f>
        <v>152.723</v>
      </c>
      <c r="D161" s="259">
        <f>D135</f>
        <v>148.474</v>
      </c>
      <c r="E161" s="259">
        <f>E135</f>
        <v>122.283</v>
      </c>
      <c r="F161" s="259">
        <f>F135</f>
        <v>116.747</v>
      </c>
      <c r="G161" s="259">
        <f>G135</f>
        <v>113.349</v>
      </c>
      <c r="H161" s="259">
        <f>H135</f>
        <v>127.337</v>
      </c>
      <c r="I161" s="259">
        <f>I135</f>
        <v>168.358</v>
      </c>
      <c r="J161" s="259">
        <f>J135</f>
        <v>42.994</v>
      </c>
      <c r="K161" s="259">
        <f>K135</f>
        <v>33.206</v>
      </c>
      <c r="L161" s="259">
        <f>L135</f>
        <v>35.208</v>
      </c>
      <c r="M161" s="259">
        <f>M135</f>
        <v>50.185</v>
      </c>
      <c r="N161" s="259">
        <f>N135</f>
        <v>161.593</v>
      </c>
      <c r="O161" s="259">
        <f>O135</f>
        <v>35.27</v>
      </c>
      <c r="P161" s="259">
        <f>P135</f>
        <v>38.737</v>
      </c>
      <c r="Q161" s="259">
        <f>Q135</f>
        <v>36.421</v>
      </c>
      <c r="R161" s="259">
        <f>R135</f>
        <v>51.44</v>
      </c>
      <c r="S161" s="259">
        <f>S135</f>
        <v>161.868</v>
      </c>
      <c r="T161" s="259">
        <f>T135</f>
        <v>24.88</v>
      </c>
      <c r="U161" s="259">
        <f>U135</f>
        <v>34.399</v>
      </c>
      <c r="V161" s="259">
        <f>V135</f>
        <v>37.054</v>
      </c>
      <c r="W161" s="259">
        <f>W135</f>
        <v>41.172</v>
      </c>
      <c r="X161" s="259">
        <f>X135</f>
        <v>137.505</v>
      </c>
      <c r="Y161" s="259">
        <f>Y135</f>
        <v>30.834</v>
      </c>
      <c r="Z161" s="259">
        <f>Z135</f>
        <v>38.524</v>
      </c>
      <c r="AA161" s="259">
        <f>AA135</f>
        <v>55.319</v>
      </c>
      <c r="AB161" s="259">
        <f>AB135</f>
        <v>44.915</v>
      </c>
      <c r="AC161" s="259">
        <f>AC135</f>
        <v>169.592</v>
      </c>
      <c r="AD161" s="259">
        <f>AD135</f>
        <v>34.927</v>
      </c>
      <c r="AE161" s="259">
        <f>AE135</f>
        <v>40.041</v>
      </c>
      <c r="AF161" s="259">
        <f>AF135</f>
        <v>41.429</v>
      </c>
      <c r="AG161" s="259">
        <f>AG135</f>
        <v>60.803</v>
      </c>
      <c r="AH161" s="259">
        <f>AH135</f>
        <v>177.2</v>
      </c>
      <c r="AI161" s="259">
        <f>AI135</f>
        <v>39.904</v>
      </c>
      <c r="AJ161" s="259">
        <f>AJ135</f>
        <v>48.079</v>
      </c>
      <c r="AK161" s="259">
        <f>AK135</f>
        <v>48.376</v>
      </c>
      <c r="AL161" s="259">
        <f>AL135</f>
        <v>70.078</v>
      </c>
      <c r="AM161" s="259">
        <f>AM135</f>
        <v>206.437</v>
      </c>
      <c r="AN161" s="259">
        <f>AN135</f>
        <v>49.004</v>
      </c>
      <c r="AO161" s="259">
        <f>AO135</f>
        <v>48.549</v>
      </c>
      <c r="AP161" s="259">
        <f>AP135</f>
        <v>85.708</v>
      </c>
      <c r="AQ161" s="259">
        <f>AQ135</f>
        <v>70.287</v>
      </c>
      <c r="AR161" s="259">
        <f>AR135</f>
        <v>253.548</v>
      </c>
      <c r="AS161" s="259">
        <f>AS135</f>
        <v>51.8820000000001</v>
      </c>
      <c r="AT161" s="259">
        <f>AT135</f>
        <v>75.726</v>
      </c>
      <c r="AU161" s="259">
        <f>AU135</f>
        <v>82.871</v>
      </c>
      <c r="AV161" s="259">
        <f>AV135</f>
        <v>85.49</v>
      </c>
      <c r="AW161" s="259">
        <f>AW135</f>
        <v>295.969</v>
      </c>
      <c r="AX161" s="259">
        <f>AX135</f>
        <v>94.721</v>
      </c>
      <c r="AY161" s="259">
        <f>AY135</f>
        <v>101.199</v>
      </c>
      <c r="AZ161" s="259">
        <f>AZ135</f>
        <v>194.384</v>
      </c>
      <c r="BA161" s="259">
        <f>BA135</f>
        <v>115.185</v>
      </c>
      <c r="BB161" s="259">
        <f>BB135</f>
        <v>505.489</v>
      </c>
      <c r="BC161" s="259">
        <f>BC135</f>
        <v>115.586</v>
      </c>
      <c r="BD161" s="259">
        <f>BD135</f>
        <v>152.057</v>
      </c>
      <c r="BE161" s="259">
        <f>BE135</f>
        <v>140.615</v>
      </c>
      <c r="BF161" s="259">
        <f>BF135</f>
        <v>134.156</v>
      </c>
      <c r="BG161" s="259">
        <f>BG135</f>
        <v>542.414</v>
      </c>
      <c r="BH161" s="259">
        <f>BH135</f>
        <v>140.339</v>
      </c>
      <c r="BI161" s="259">
        <f>BI135</f>
        <v>159.761</v>
      </c>
      <c r="BJ161" s="259">
        <f>BJ135</f>
        <v>177.031</v>
      </c>
      <c r="BK161" s="259">
        <f>BK135</f>
        <v>165.699</v>
      </c>
      <c r="BL161" s="259">
        <f>BL135</f>
        <v>642.83</v>
      </c>
      <c r="BM161" s="259">
        <f>BM135</f>
        <v>151.359</v>
      </c>
      <c r="BN161" s="259">
        <f>BN135</f>
        <v>194.841</v>
      </c>
      <c r="BO161" s="259">
        <f>BO135</f>
        <v>190.251</v>
      </c>
      <c r="BP161" s="259">
        <f>BP135</f>
        <v>197.178</v>
      </c>
      <c r="BQ161" s="259">
        <f>BQ135</f>
        <v>733.629</v>
      </c>
      <c r="BR161" s="259">
        <f>BR135</f>
        <v>179.528</v>
      </c>
      <c r="BS161" s="259">
        <f>BS135</f>
        <v>245.648</v>
      </c>
      <c r="BT161" s="259">
        <f>BT135</f>
        <v>262.518</v>
      </c>
      <c r="BU161" s="259">
        <f>BU135</f>
        <v>237.156</v>
      </c>
      <c r="BV161" s="259">
        <f>BV135</f>
        <v>924.85</v>
      </c>
      <c r="BW161" s="259">
        <f>BW135</f>
        <v>234.049</v>
      </c>
      <c r="BX161" s="259">
        <f>BX135</f>
        <v>402.465</v>
      </c>
      <c r="BY161" s="259">
        <f>BY135</f>
        <v>362.628</v>
      </c>
      <c r="BZ161" s="260">
        <f>BZ135</f>
        <v>302.355581988028</v>
      </c>
      <c r="CA161" s="260">
        <f>CA135</f>
        <v>1301.49758198803</v>
      </c>
      <c r="CB161" s="260">
        <f>CB135</f>
        <v>1549.99634555101</v>
      </c>
      <c r="CC161" s="260">
        <f>CC135</f>
        <v>1743.19187165166</v>
      </c>
      <c r="CD161" s="260">
        <f>CD135</f>
        <v>1927.22429842045</v>
      </c>
      <c r="CE161" s="260">
        <f>CE135</f>
        <v>2102.06157136208</v>
      </c>
      <c r="CF161" s="260">
        <f>CF135</f>
        <v>2276.16361718658</v>
      </c>
      <c r="CG161" s="153" t="n"/>
    </row>
    <row r="162" ht="15" customHeight="1" s="251">
      <c r="B162" s="25" t="inlineStr">
        <is>
          <t xml:space="preserve">  (+) Share-based compensation</t>
        </is>
      </c>
      <c r="C162" s="262">
        <f>C119</f>
        <v>42.085</v>
      </c>
      <c r="D162" s="262">
        <f>D119</f>
        <v>36.261</v>
      </c>
      <c r="E162" s="262">
        <f>E119</f>
        <v>27.724</v>
      </c>
      <c r="F162" s="262">
        <f>F119</f>
        <v>19.935</v>
      </c>
      <c r="G162" s="262">
        <f>G119</f>
        <v>17.305</v>
      </c>
      <c r="H162" s="262">
        <f>H119</f>
        <v>15.5</v>
      </c>
      <c r="I162" s="262">
        <f>I119</f>
        <v>21.229</v>
      </c>
      <c r="J162" s="262">
        <f>J119</f>
        <v>5.832</v>
      </c>
      <c r="K162" s="262">
        <f>K119</f>
        <v>6.413</v>
      </c>
      <c r="L162" s="262">
        <f>L119</f>
        <v>6.652</v>
      </c>
      <c r="M162" s="262">
        <f>M119</f>
        <v>6.953</v>
      </c>
      <c r="N162" s="262">
        <f>N119</f>
        <v>25.85</v>
      </c>
      <c r="O162" s="262">
        <f>O119</f>
        <v>7.235</v>
      </c>
      <c r="P162" s="262">
        <f>P119</f>
        <v>9.051</v>
      </c>
      <c r="Q162" s="262">
        <f>Q119</f>
        <v>9.345</v>
      </c>
      <c r="R162" s="262">
        <f>R119</f>
        <v>10.731</v>
      </c>
      <c r="S162" s="262">
        <f>S119</f>
        <v>36.362</v>
      </c>
      <c r="T162" s="262">
        <f>T119</f>
        <v>8.794</v>
      </c>
      <c r="U162" s="262">
        <f>U119</f>
        <v>11.802</v>
      </c>
      <c r="V162" s="262">
        <f>V119</f>
        <v>12.166</v>
      </c>
      <c r="W162" s="262">
        <f>W119</f>
        <v>12.546</v>
      </c>
      <c r="X162" s="262">
        <f>X119</f>
        <v>45.308</v>
      </c>
      <c r="Y162" s="262">
        <f>Y119</f>
        <v>14.7</v>
      </c>
      <c r="Z162" s="262">
        <f>Z119</f>
        <v>13.6</v>
      </c>
      <c r="AA162" s="262">
        <f>AA119</f>
        <v>13.404</v>
      </c>
      <c r="AB162" s="262">
        <f>AB119</f>
        <v>13.805</v>
      </c>
      <c r="AC162" s="262">
        <f>AC119</f>
        <v>55.509</v>
      </c>
      <c r="AD162" s="262">
        <f>AD119</f>
        <v>14.519</v>
      </c>
      <c r="AE162" s="262">
        <f>AE119</f>
        <v>14.712</v>
      </c>
      <c r="AF162" s="262">
        <f>AF119</f>
        <v>14.315</v>
      </c>
      <c r="AG162" s="262">
        <f>AG119</f>
        <v>17.676</v>
      </c>
      <c r="AH162" s="262">
        <f>AH119</f>
        <v>61.222</v>
      </c>
      <c r="AI162" s="262">
        <f>AI119</f>
        <v>16.51</v>
      </c>
      <c r="AJ162" s="262">
        <f>AJ119</f>
        <v>19.239</v>
      </c>
      <c r="AK162" s="262">
        <f>AK119</f>
        <v>18.883</v>
      </c>
      <c r="AL162" s="262">
        <f>AL119</f>
        <v>20.183</v>
      </c>
      <c r="AM162" s="262">
        <f>AM119</f>
        <v>74.814</v>
      </c>
      <c r="AN162" s="262">
        <f>AN119</f>
        <v>21.854</v>
      </c>
      <c r="AO162" s="262">
        <f>AO119</f>
        <v>20.482</v>
      </c>
      <c r="AP162" s="262">
        <f>AP119</f>
        <v>19.595</v>
      </c>
      <c r="AQ162" s="262">
        <f>AQ119</f>
        <v>21.042</v>
      </c>
      <c r="AR162" s="262">
        <f>AR119</f>
        <v>82.973</v>
      </c>
      <c r="AS162" s="262">
        <f>AS119</f>
        <v>23.145</v>
      </c>
      <c r="AT162" s="262">
        <f>AT119</f>
        <v>22.788</v>
      </c>
      <c r="AU162" s="262">
        <f>AU119</f>
        <v>22.264</v>
      </c>
      <c r="AV162" s="262">
        <f>AV119</f>
        <v>25.484</v>
      </c>
      <c r="AW162" s="262">
        <f>AW119</f>
        <v>93.681</v>
      </c>
      <c r="AX162" s="262">
        <f>AX119</f>
        <v>25.132</v>
      </c>
      <c r="AY162" s="262">
        <f>AY119</f>
        <v>28.206</v>
      </c>
      <c r="AZ162" s="262">
        <f>AZ119</f>
        <v>30.761</v>
      </c>
      <c r="BA162" s="262">
        <f>BA119</f>
        <v>28.358</v>
      </c>
      <c r="BB162" s="262">
        <f>BB119</f>
        <v>112.457</v>
      </c>
      <c r="BC162" s="262">
        <f>BC119</f>
        <v>29.878</v>
      </c>
      <c r="BD162" s="262">
        <f>BD119</f>
        <v>27.936</v>
      </c>
      <c r="BE162" s="262">
        <f>BE119</f>
        <v>28.549</v>
      </c>
      <c r="BF162" s="262">
        <f>BF119</f>
        <v>28.992</v>
      </c>
      <c r="BG162" s="262">
        <f>BG119</f>
        <v>115.355</v>
      </c>
      <c r="BH162" s="262">
        <f>BH119</f>
        <v>29.702</v>
      </c>
      <c r="BI162" s="262">
        <f>BI119</f>
        <v>27.053</v>
      </c>
      <c r="BJ162" s="262">
        <f>BJ119</f>
        <v>32.995</v>
      </c>
      <c r="BK162" s="262">
        <f>BK119</f>
        <v>34.097</v>
      </c>
      <c r="BL162" s="262">
        <f>BL119</f>
        <v>123.847</v>
      </c>
      <c r="BM162" s="262">
        <f>BM119</f>
        <v>31.574</v>
      </c>
      <c r="BN162" s="262">
        <f>BN119</f>
        <v>35.448</v>
      </c>
      <c r="BO162" s="262">
        <f>BO119</f>
        <v>42.435</v>
      </c>
      <c r="BP162" s="262">
        <f>BP119</f>
        <v>39.982</v>
      </c>
      <c r="BQ162" s="262">
        <f>BQ119</f>
        <v>149.439</v>
      </c>
      <c r="BR162" s="262">
        <f>BR119</f>
        <v>40.654</v>
      </c>
      <c r="BS162" s="262">
        <f>BS119</f>
        <v>41.704</v>
      </c>
      <c r="BT162" s="262">
        <f>BT119</f>
        <v>41.93</v>
      </c>
      <c r="BU162" s="262">
        <f>BU119</f>
        <v>32.379</v>
      </c>
      <c r="BV162" s="262">
        <f>BV119</f>
        <v>156.667</v>
      </c>
      <c r="BW162" s="262">
        <f>BW119</f>
        <v>44.269</v>
      </c>
      <c r="BX162" s="262">
        <f>BX119</f>
        <v>45.31</v>
      </c>
      <c r="BY162" s="262">
        <f>BY119</f>
        <v>52.331</v>
      </c>
      <c r="BZ162" s="254">
        <f>BZ119</f>
        <v>46.1</v>
      </c>
      <c r="CA162" s="254">
        <f>CA119</f>
        <v>188.01</v>
      </c>
      <c r="CB162" s="254">
        <f>CB119</f>
        <v>201.514846493013</v>
      </c>
      <c r="CC162" s="254">
        <f>CC119</f>
        <v>222.3511309141</v>
      </c>
      <c r="CD162" s="254">
        <f>CD119</f>
        <v>243.347261086416</v>
      </c>
      <c r="CE162" s="254">
        <f>CE119</f>
        <v>264.758116730395</v>
      </c>
      <c r="CF162" s="254">
        <f>CF119</f>
        <v>286.305123956207</v>
      </c>
      <c r="CG162" s="19" t="n"/>
    </row>
    <row r="163" ht="15" customHeight="1" s="251">
      <c r="B163" s="25" t="inlineStr">
        <is>
          <t xml:space="preserve">  (+) Amortization of acquired intangibles</t>
        </is>
      </c>
      <c r="C163" s="262">
        <f>C121</f>
        <v>0</v>
      </c>
      <c r="D163" s="262">
        <f>D121</f>
        <v>0</v>
      </c>
      <c r="E163" s="262">
        <f>E121</f>
        <v>0</v>
      </c>
      <c r="F163" s="262">
        <f>F121</f>
        <v>0</v>
      </c>
      <c r="G163" s="262">
        <f>G121</f>
        <v>10.901</v>
      </c>
      <c r="H163" s="262">
        <f>H121</f>
        <v>7.741</v>
      </c>
      <c r="I163" s="262">
        <f>I121</f>
        <v>6.944</v>
      </c>
      <c r="J163" s="262">
        <f>J121</f>
        <v>3.372</v>
      </c>
      <c r="K163" s="262">
        <f>K121</f>
        <v>3.604</v>
      </c>
      <c r="L163" s="262">
        <f>L121</f>
        <v>3.477</v>
      </c>
      <c r="M163" s="262">
        <f>M121</f>
        <v>3.082</v>
      </c>
      <c r="N163" s="262">
        <f>N121</f>
        <v>13.535</v>
      </c>
      <c r="O163" s="262">
        <f>O121</f>
        <v>3.013</v>
      </c>
      <c r="P163" s="262">
        <f>P121</f>
        <v>2.908</v>
      </c>
      <c r="Q163" s="262">
        <f>Q121</f>
        <v>3.019</v>
      </c>
      <c r="R163" s="262">
        <f>R121</f>
        <v>2.977</v>
      </c>
      <c r="S163" s="262">
        <f>S121</f>
        <v>11.917</v>
      </c>
      <c r="T163" s="262">
        <f>T121</f>
        <v>2.932</v>
      </c>
      <c r="U163" s="262">
        <f>U121</f>
        <v>3.515</v>
      </c>
      <c r="V163" s="262">
        <f>V121</f>
        <v>3.599</v>
      </c>
      <c r="W163" s="262">
        <f>W121</f>
        <v>3.627</v>
      </c>
      <c r="X163" s="262">
        <f>X121</f>
        <v>13.673</v>
      </c>
      <c r="Y163" s="262">
        <f>Y121</f>
        <v>3.58</v>
      </c>
      <c r="Z163" s="262">
        <f>Z121</f>
        <v>3.507</v>
      </c>
      <c r="AA163" s="262">
        <f>AA121</f>
        <v>3.486</v>
      </c>
      <c r="AB163" s="262">
        <f>AB121</f>
        <v>3.409</v>
      </c>
      <c r="AC163" s="262">
        <f>AC121</f>
        <v>13.982</v>
      </c>
      <c r="AD163" s="262">
        <f>AD121</f>
        <v>3.32</v>
      </c>
      <c r="AE163" s="262">
        <f>AE121</f>
        <v>3.312</v>
      </c>
      <c r="AF163" s="262">
        <f>AF121</f>
        <v>3.365</v>
      </c>
      <c r="AG163" s="262">
        <f>AG121</f>
        <v>2.712</v>
      </c>
      <c r="AH163" s="262">
        <f>AH121</f>
        <v>12.709</v>
      </c>
      <c r="AI163" s="262">
        <f>AI121</f>
        <v>1.788</v>
      </c>
      <c r="AJ163" s="262">
        <f>AJ121</f>
        <v>1.684</v>
      </c>
      <c r="AK163" s="262">
        <f>AK121</f>
        <v>1.571</v>
      </c>
      <c r="AL163" s="262">
        <f>AL121</f>
        <v>1.551</v>
      </c>
      <c r="AM163" s="262">
        <f>AM121</f>
        <v>6.594</v>
      </c>
      <c r="AN163" s="262">
        <f>AN121</f>
        <v>1.502</v>
      </c>
      <c r="AO163" s="262">
        <f>AO121</f>
        <v>1.503</v>
      </c>
      <c r="AP163" s="262">
        <f>AP121</f>
        <v>1.448</v>
      </c>
      <c r="AQ163" s="262">
        <f>AQ121</f>
        <v>1.673</v>
      </c>
      <c r="AR163" s="262">
        <f>AR121</f>
        <v>6.126</v>
      </c>
      <c r="AS163" s="262">
        <f>AS121</f>
        <v>1.796</v>
      </c>
      <c r="AT163" s="262">
        <f>AT121</f>
        <v>1.202</v>
      </c>
      <c r="AU163" s="262">
        <f>AU121</f>
        <v>1.048</v>
      </c>
      <c r="AV163" s="262">
        <f>AV121</f>
        <v>0.947</v>
      </c>
      <c r="AW163" s="262">
        <f>AW121</f>
        <v>4.993</v>
      </c>
      <c r="AX163" s="262">
        <f>AX121</f>
        <v>0.937</v>
      </c>
      <c r="AY163" s="262">
        <f>AY121</f>
        <v>0.945</v>
      </c>
      <c r="AZ163" s="262">
        <f>AZ121</f>
        <v>0.81</v>
      </c>
      <c r="BA163" s="262">
        <f>BA121</f>
        <v>0.563</v>
      </c>
      <c r="BB163" s="262">
        <f>BB121</f>
        <v>3.255</v>
      </c>
      <c r="BC163" s="262">
        <f>BC121</f>
        <v>0.544</v>
      </c>
      <c r="BD163" s="262">
        <f>BD121</f>
        <v>0.543</v>
      </c>
      <c r="BE163" s="262">
        <f>BE121</f>
        <v>0.532</v>
      </c>
      <c r="BF163" s="262">
        <f>BF121</f>
        <v>0.442</v>
      </c>
      <c r="BG163" s="262">
        <f>BG121</f>
        <v>2.061</v>
      </c>
      <c r="BH163" s="262">
        <f>BH121</f>
        <v>0.275</v>
      </c>
      <c r="BI163" s="262">
        <f>BI121</f>
        <v>0.275</v>
      </c>
      <c r="BJ163" s="262">
        <f>BJ121</f>
        <v>0.275</v>
      </c>
      <c r="BK163" s="262">
        <f>BK121</f>
        <v>0.275</v>
      </c>
      <c r="BL163" s="262">
        <f>BL121</f>
        <v>1.1</v>
      </c>
      <c r="BM163" s="262">
        <f>BM121</f>
        <v>0.275</v>
      </c>
      <c r="BN163" s="262">
        <f>BN121</f>
        <v>0.275</v>
      </c>
      <c r="BO163" s="262">
        <f>BO121</f>
        <v>0.275</v>
      </c>
      <c r="BP163" s="262">
        <f>BP121</f>
        <v>0.092</v>
      </c>
      <c r="BQ163" s="262">
        <f>BQ121</f>
        <v>0.917</v>
      </c>
      <c r="BR163" s="262">
        <f>BR121</f>
        <v>0</v>
      </c>
      <c r="BS163" s="262">
        <f>BS121</f>
        <v>0</v>
      </c>
      <c r="BT163" s="262">
        <f>BT121</f>
        <v>0</v>
      </c>
      <c r="BU163" s="262">
        <f>BU121</f>
        <v>0</v>
      </c>
      <c r="BV163" s="262">
        <f>BV121</f>
        <v>0</v>
      </c>
      <c r="BW163" s="262">
        <f>BW121</f>
        <v>0</v>
      </c>
      <c r="BX163" s="262">
        <f>BX121</f>
        <v>0</v>
      </c>
      <c r="BY163" s="262">
        <f>BY121</f>
        <v>0</v>
      </c>
      <c r="BZ163" s="254">
        <f>BZ121</f>
        <v>0</v>
      </c>
      <c r="CA163" s="254">
        <f>CA121</f>
        <v>0</v>
      </c>
      <c r="CB163" s="254">
        <f>CB121</f>
        <v>0</v>
      </c>
      <c r="CC163" s="254">
        <f>CC121</f>
        <v>0</v>
      </c>
      <c r="CD163" s="254">
        <f>CD121</f>
        <v>0</v>
      </c>
      <c r="CE163" s="254">
        <f>CE121</f>
        <v>0</v>
      </c>
      <c r="CF163" s="254">
        <f>CF121</f>
        <v>0</v>
      </c>
      <c r="CG163" s="19" t="n"/>
    </row>
    <row r="164" ht="15" customHeight="1" s="251">
      <c r="B164" s="25" t="inlineStr">
        <is>
          <t xml:space="preserve">  (+) Restructuring, impairment &amp; acquisition-related charges</t>
        </is>
      </c>
      <c r="C164" s="262">
        <f>C122</f>
        <v>19.662</v>
      </c>
      <c r="D164" s="262">
        <f>D122</f>
        <v>2.455</v>
      </c>
      <c r="E164" s="262">
        <f>E122</f>
        <v>10.166</v>
      </c>
      <c r="F164" s="262">
        <f>F122</f>
        <v>8.711</v>
      </c>
      <c r="G164" s="262">
        <f>G122</f>
        <v>1.617</v>
      </c>
      <c r="H164" s="262">
        <f>H122</f>
        <v>12.391</v>
      </c>
      <c r="I164" s="262">
        <f>I122</f>
        <v>5.125</v>
      </c>
      <c r="J164" s="262">
        <f>J122</f>
        <v>3.289</v>
      </c>
      <c r="K164" s="262">
        <f>K122</f>
        <v>0</v>
      </c>
      <c r="L164" s="262">
        <f>L122</f>
        <v>0.197</v>
      </c>
      <c r="M164" s="262">
        <f>M122</f>
        <v>0</v>
      </c>
      <c r="N164" s="262">
        <f>N122</f>
        <v>3.486</v>
      </c>
      <c r="O164" s="262">
        <f>O122</f>
        <v>3.66</v>
      </c>
      <c r="P164" s="262">
        <f>P122</f>
        <v>0</v>
      </c>
      <c r="Q164" s="262">
        <f>Q122</f>
        <v>0.621</v>
      </c>
      <c r="R164" s="262">
        <f>R122</f>
        <v>0</v>
      </c>
      <c r="S164" s="262">
        <f>S122</f>
        <v>4.281</v>
      </c>
      <c r="T164" s="262">
        <f>T122</f>
        <v>0</v>
      </c>
      <c r="U164" s="262">
        <f>U122</f>
        <v>0</v>
      </c>
      <c r="V164" s="262">
        <f>V122</f>
        <v>2.256</v>
      </c>
      <c r="W164" s="262">
        <f>W122</f>
        <v>15.986</v>
      </c>
      <c r="X164" s="262">
        <f>X122</f>
        <v>18.242</v>
      </c>
      <c r="Y164" s="262">
        <f>Y122</f>
        <v>0</v>
      </c>
      <c r="Z164" s="262">
        <f>Z122</f>
        <v>0</v>
      </c>
      <c r="AA164" s="262">
        <f>AA122</f>
        <v>0</v>
      </c>
      <c r="AB164" s="262">
        <f>AB122</f>
        <v>0</v>
      </c>
      <c r="AC164" s="262">
        <f>AC122</f>
        <v>0</v>
      </c>
      <c r="AD164" s="262">
        <f>AD122</f>
        <v>0</v>
      </c>
      <c r="AE164" s="262">
        <f>AE122</f>
        <v>0</v>
      </c>
      <c r="AF164" s="262">
        <f>AF122</f>
        <v>4.471</v>
      </c>
      <c r="AG164" s="262">
        <f>AG122</f>
        <v>0</v>
      </c>
      <c r="AH164" s="262">
        <f>AH122</f>
        <v>4.471</v>
      </c>
      <c r="AI164" s="262">
        <f>AI122</f>
        <v>0</v>
      </c>
      <c r="AJ164" s="262">
        <f>AJ122</f>
        <v>0</v>
      </c>
      <c r="AK164" s="262">
        <f>AK122</f>
        <v>0</v>
      </c>
      <c r="AL164" s="262">
        <f>AL122</f>
        <v>0</v>
      </c>
      <c r="AM164" s="262">
        <f>AM122</f>
        <v>0</v>
      </c>
      <c r="AN164" s="262">
        <f>AN122</f>
        <v>0</v>
      </c>
      <c r="AO164" s="262">
        <f>AO122</f>
        <v>0</v>
      </c>
      <c r="AP164" s="262">
        <f>AP122</f>
        <v>0</v>
      </c>
      <c r="AQ164" s="262">
        <f>AQ122</f>
        <v>0</v>
      </c>
      <c r="AR164" s="262">
        <f>AR122</f>
        <v>0</v>
      </c>
      <c r="AS164" s="262">
        <f>AS122</f>
        <v>3.104</v>
      </c>
      <c r="AT164" s="262">
        <f>AT122</f>
        <v>0</v>
      </c>
      <c r="AU164" s="262">
        <f>AU122</f>
        <v>0</v>
      </c>
      <c r="AV164" s="262">
        <f>AV122</f>
        <v>41.925</v>
      </c>
      <c r="AW164" s="262">
        <f>AW122</f>
        <v>45.029</v>
      </c>
      <c r="AX164" s="262">
        <f>AX122</f>
        <v>0</v>
      </c>
      <c r="AY164" s="262">
        <f>AY122</f>
        <v>0</v>
      </c>
      <c r="AZ164" s="262">
        <f>AZ122</f>
        <v>0</v>
      </c>
      <c r="BA164" s="262">
        <f>BA122</f>
        <v>7.957</v>
      </c>
      <c r="BB164" s="262">
        <f>BB122</f>
        <v>7.957</v>
      </c>
      <c r="BC164" s="262">
        <f>BC122</f>
        <v>0</v>
      </c>
      <c r="BD164" s="262">
        <f>BD122</f>
        <v>0</v>
      </c>
      <c r="BE164" s="262">
        <f>BE122</f>
        <v>0</v>
      </c>
      <c r="BF164" s="262">
        <f>BF122</f>
        <v>0</v>
      </c>
      <c r="BG164" s="262">
        <f>BG122</f>
        <v>0</v>
      </c>
      <c r="BH164" s="262">
        <f>BH122</f>
        <v>0</v>
      </c>
      <c r="BI164" s="262">
        <f>BI122</f>
        <v>0</v>
      </c>
      <c r="BJ164" s="262">
        <f>BJ122</f>
        <v>0</v>
      </c>
      <c r="BK164" s="262">
        <f>BK122</f>
        <v>0</v>
      </c>
      <c r="BL164" s="262">
        <f>BL122</f>
        <v>0</v>
      </c>
      <c r="BM164" s="262">
        <f>BM122</f>
        <v>0</v>
      </c>
      <c r="BN164" s="262">
        <f>BN122</f>
        <v>0</v>
      </c>
      <c r="BO164" s="262">
        <f>BO122</f>
        <v>0</v>
      </c>
      <c r="BP164" s="262">
        <f>BP122</f>
        <v>0</v>
      </c>
      <c r="BQ164" s="262">
        <f>BQ122</f>
        <v>0</v>
      </c>
      <c r="BR164" s="262">
        <f>BR122</f>
        <v>0</v>
      </c>
      <c r="BS164" s="262">
        <f>BS122</f>
        <v>0</v>
      </c>
      <c r="BT164" s="262">
        <f>BT122</f>
        <v>0</v>
      </c>
      <c r="BU164" s="262">
        <f>BU122</f>
        <v>10.922</v>
      </c>
      <c r="BV164" s="262">
        <f>BV122</f>
        <v>10.922</v>
      </c>
      <c r="BW164" s="262">
        <f>BW122</f>
        <v>0</v>
      </c>
      <c r="BX164" s="262">
        <f>BX122</f>
        <v>0</v>
      </c>
      <c r="BY164" s="262">
        <f>BY122</f>
        <v>0</v>
      </c>
      <c r="BZ164" s="254">
        <f>BZ122</f>
        <v>27</v>
      </c>
      <c r="CA164" s="254">
        <f>CA122</f>
        <v>27</v>
      </c>
      <c r="CB164" s="254">
        <f>CB122</f>
        <v>5</v>
      </c>
      <c r="CC164" s="254">
        <f>CC122</f>
        <v>0</v>
      </c>
      <c r="CD164" s="254">
        <f>CD122</f>
        <v>0</v>
      </c>
      <c r="CE164" s="254">
        <f>CE122</f>
        <v>0</v>
      </c>
      <c r="CF164" s="254">
        <f>CF122</f>
        <v>0</v>
      </c>
      <c r="CG164" s="19" t="n"/>
    </row>
    <row r="165" ht="15" customHeight="1" s="251">
      <c r="B165" s="25" t="inlineStr">
        <is>
          <t xml:space="preserve">  (+) (Gains) / losses on product-line and business sales</t>
        </is>
      </c>
      <c r="C165" s="262">
        <f>C123</f>
        <v>0</v>
      </c>
      <c r="D165" s="262">
        <f>D123</f>
        <v>-1.541</v>
      </c>
      <c r="E165" s="262">
        <f>E123</f>
        <v>0</v>
      </c>
      <c r="F165" s="262">
        <f>F123</f>
        <v>2.993</v>
      </c>
      <c r="G165" s="262">
        <f>G123</f>
        <v>0</v>
      </c>
      <c r="H165" s="262">
        <f>H123</f>
        <v>0</v>
      </c>
      <c r="I165" s="262">
        <f>I123</f>
        <v>0</v>
      </c>
      <c r="J165" s="262">
        <f>J123</f>
        <v>0</v>
      </c>
      <c r="K165" s="262">
        <f>K123</f>
        <v>0</v>
      </c>
      <c r="L165" s="262">
        <f>L123</f>
        <v>0</v>
      </c>
      <c r="M165" s="262">
        <f>M123</f>
        <v>0</v>
      </c>
      <c r="N165" s="262">
        <f>N123</f>
        <v>0</v>
      </c>
      <c r="O165" s="262">
        <f>O123</f>
        <v>0</v>
      </c>
      <c r="P165" s="262">
        <f>P123</f>
        <v>0</v>
      </c>
      <c r="Q165" s="262">
        <f>Q123</f>
        <v>0</v>
      </c>
      <c r="R165" s="262">
        <f>R123</f>
        <v>0</v>
      </c>
      <c r="S165" s="262">
        <f>S123</f>
        <v>0</v>
      </c>
      <c r="T165" s="262">
        <f>T123</f>
        <v>0</v>
      </c>
      <c r="U165" s="262">
        <f>U123</f>
        <v>0</v>
      </c>
      <c r="V165" s="262">
        <f>V123</f>
        <v>0</v>
      </c>
      <c r="W165" s="262">
        <f>W123</f>
        <v>0</v>
      </c>
      <c r="X165" s="262">
        <f>X123</f>
        <v>0</v>
      </c>
      <c r="Y165" s="262">
        <f>Y123</f>
        <v>0</v>
      </c>
      <c r="Z165" s="262">
        <f>Z123</f>
        <v>0</v>
      </c>
      <c r="AA165" s="262">
        <f>AA123</f>
        <v>0</v>
      </c>
      <c r="AB165" s="262">
        <f>AB123</f>
        <v>0</v>
      </c>
      <c r="AC165" s="262">
        <f>AC123</f>
        <v>0</v>
      </c>
      <c r="AD165" s="262">
        <f>AD123</f>
        <v>0</v>
      </c>
      <c r="AE165" s="262">
        <f>AE123</f>
        <v>0</v>
      </c>
      <c r="AF165" s="262">
        <f>AF123</f>
        <v>0</v>
      </c>
      <c r="AG165" s="262">
        <f>AG123</f>
        <v>0</v>
      </c>
      <c r="AH165" s="262">
        <f>AH123</f>
        <v>0</v>
      </c>
      <c r="AI165" s="262">
        <f>AI123</f>
        <v>0</v>
      </c>
      <c r="AJ165" s="262">
        <f>AJ123</f>
        <v>0</v>
      </c>
      <c r="AK165" s="262">
        <f>AK123</f>
        <v>0</v>
      </c>
      <c r="AL165" s="262">
        <f>AL123</f>
        <v>0</v>
      </c>
      <c r="AM165" s="262">
        <f>AM123</f>
        <v>0</v>
      </c>
      <c r="AN165" s="262">
        <f>AN123</f>
        <v>0</v>
      </c>
      <c r="AO165" s="262">
        <f>AO123</f>
        <v>0</v>
      </c>
      <c r="AP165" s="262">
        <f>AP123</f>
        <v>0</v>
      </c>
      <c r="AQ165" s="262">
        <f>AQ123</f>
        <v>0</v>
      </c>
      <c r="AR165" s="262">
        <f>AR123</f>
        <v>0</v>
      </c>
      <c r="AS165" s="262">
        <f>AS123</f>
        <v>0</v>
      </c>
      <c r="AT165" s="262">
        <f>AT123</f>
        <v>0</v>
      </c>
      <c r="AU165" s="262">
        <f>AU123</f>
        <v>0</v>
      </c>
      <c r="AV165" s="262">
        <f>AV123</f>
        <v>0</v>
      </c>
      <c r="AW165" s="262">
        <f>AW123</f>
        <v>0</v>
      </c>
      <c r="AX165" s="262">
        <f>AX123</f>
        <v>-7.334</v>
      </c>
      <c r="AY165" s="262">
        <f>AY123</f>
        <v>0</v>
      </c>
      <c r="AZ165" s="262">
        <f>AZ123</f>
        <v>-92.805</v>
      </c>
      <c r="BA165" s="262">
        <f>BA123</f>
        <v>0</v>
      </c>
      <c r="BB165" s="262">
        <f>BB123</f>
        <v>-100.139</v>
      </c>
      <c r="BC165" s="262">
        <f>BC123</f>
        <v>0</v>
      </c>
      <c r="BD165" s="262">
        <f>BD123</f>
        <v>0</v>
      </c>
      <c r="BE165" s="262">
        <f>BE123</f>
        <v>0</v>
      </c>
      <c r="BF165" s="262">
        <f>BF123</f>
        <v>0</v>
      </c>
      <c r="BG165" s="262">
        <f>BG123</f>
        <v>0</v>
      </c>
      <c r="BH165" s="262">
        <f>BH123</f>
        <v>-1.941</v>
      </c>
      <c r="BI165" s="262">
        <f>BI123</f>
        <v>0</v>
      </c>
      <c r="BJ165" s="262">
        <f>BJ123</f>
        <v>0</v>
      </c>
      <c r="BK165" s="262">
        <f>BK123</f>
        <v>0</v>
      </c>
      <c r="BL165" s="262">
        <f>BL123</f>
        <v>-1.941</v>
      </c>
      <c r="BM165" s="262">
        <f>BM123</f>
        <v>0</v>
      </c>
      <c r="BN165" s="262">
        <f>BN123</f>
        <v>0</v>
      </c>
      <c r="BO165" s="262">
        <f>BO123</f>
        <v>0</v>
      </c>
      <c r="BP165" s="262">
        <f>BP123</f>
        <v>0</v>
      </c>
      <c r="BQ165" s="262">
        <f>BQ123</f>
        <v>0</v>
      </c>
      <c r="BR165" s="262">
        <f>BR123</f>
        <v>0</v>
      </c>
      <c r="BS165" s="262">
        <f>BS123</f>
        <v>0</v>
      </c>
      <c r="BT165" s="262">
        <f>BT123</f>
        <v>0</v>
      </c>
      <c r="BU165" s="262">
        <f>BU123</f>
        <v>0</v>
      </c>
      <c r="BV165" s="262">
        <f>BV123</f>
        <v>0</v>
      </c>
      <c r="BW165" s="262">
        <f>BW123</f>
        <v>0</v>
      </c>
      <c r="BX165" s="262">
        <f>BX123</f>
        <v>0</v>
      </c>
      <c r="BY165" s="262">
        <f>BY123</f>
        <v>0</v>
      </c>
      <c r="BZ165" s="254">
        <f>BZ123</f>
        <v>0</v>
      </c>
      <c r="CA165" s="254">
        <f>CA123</f>
        <v>0</v>
      </c>
      <c r="CB165" s="254">
        <f>CB123</f>
        <v>0</v>
      </c>
      <c r="CC165" s="254">
        <f>CC123</f>
        <v>0</v>
      </c>
      <c r="CD165" s="254">
        <f>CD123</f>
        <v>0</v>
      </c>
      <c r="CE165" s="254">
        <f>CE123</f>
        <v>0</v>
      </c>
      <c r="CF165" s="254">
        <f>CF123</f>
        <v>0</v>
      </c>
      <c r="CG165" s="19" t="n"/>
    </row>
    <row r="166" ht="15" customHeight="1" s="251">
      <c r="B166" s="16" t="inlineStr">
        <is>
          <t xml:space="preserve">  Total adjusting items (pre-tax)</t>
        </is>
      </c>
      <c r="C166" s="259">
        <f>IF(ISNUMBER(C162),N(C162)+N(C163)+N(C164)+N(C165),"")</f>
        <v>61.747</v>
      </c>
      <c r="D166" s="259">
        <f>IF(ISNUMBER(D162),N(D162)+N(D163)+N(D164)+N(D165),"")</f>
        <v>37.175</v>
      </c>
      <c r="E166" s="259">
        <f>IF(ISNUMBER(E162),N(E162)+N(E163)+N(E164)+N(E165),"")</f>
        <v>37.89</v>
      </c>
      <c r="F166" s="259">
        <f>IF(ISNUMBER(F162),N(F162)+N(F163)+N(F164)+N(F165),"")</f>
        <v>31.639</v>
      </c>
      <c r="G166" s="259">
        <f>IF(ISNUMBER(G162),N(G162)+N(G163)+N(G164)+N(G165),"")</f>
        <v>29.823</v>
      </c>
      <c r="H166" s="259">
        <f>IF(ISNUMBER(H162),N(H162)+N(H163)+N(H164)+N(H165),"")</f>
        <v>35.632</v>
      </c>
      <c r="I166" s="259">
        <f>IF(ISNUMBER(I162),N(I162)+N(I163)+N(I164)+N(I165),"")</f>
        <v>33.298</v>
      </c>
      <c r="J166" s="259">
        <f>IF(ISNUMBER(J162),N(J162)+N(J163)+N(J164)+N(J165),"")</f>
        <v>12.493</v>
      </c>
      <c r="K166" s="259">
        <f>IF(ISNUMBER(K162),N(K162)+N(K163)+N(K164)+N(K165),"")</f>
        <v>10.017</v>
      </c>
      <c r="L166" s="259">
        <f>IF(ISNUMBER(L162),N(L162)+N(L163)+N(L164)+N(L165),"")</f>
        <v>10.326</v>
      </c>
      <c r="M166" s="259">
        <f>IF(ISNUMBER(M162),N(M162)+N(M163)+N(M164)+N(M165),"")</f>
        <v>10.035</v>
      </c>
      <c r="N166" s="259">
        <f>IF(ISNUMBER(N162),N(N162)+N(N163)+N(N164)+N(N165),"")</f>
        <v>42.871</v>
      </c>
      <c r="O166" s="259">
        <f>IF(ISNUMBER(O162),N(O162)+N(O163)+N(O164)+N(O165),"")</f>
        <v>13.908</v>
      </c>
      <c r="P166" s="259">
        <f>IF(ISNUMBER(P162),N(P162)+N(P163)+N(P164)+N(P165),"")</f>
        <v>11.959</v>
      </c>
      <c r="Q166" s="259">
        <f>IF(ISNUMBER(Q162),N(Q162)+N(Q163)+N(Q164)+N(Q165),"")</f>
        <v>12.985</v>
      </c>
      <c r="R166" s="259">
        <f>IF(ISNUMBER(R162),N(R162)+N(R163)+N(R164)+N(R165),"")</f>
        <v>13.708</v>
      </c>
      <c r="S166" s="259">
        <f>IF(ISNUMBER(S162),N(S162)+N(S163)+N(S164)+N(S165),"")</f>
        <v>52.56</v>
      </c>
      <c r="T166" s="259">
        <f>IF(ISNUMBER(T162),N(T162)+N(T163)+N(T164)+N(T165),"")</f>
        <v>11.726</v>
      </c>
      <c r="U166" s="259">
        <f>IF(ISNUMBER(U162),N(U162)+N(U163)+N(U164)+N(U165),"")</f>
        <v>15.317</v>
      </c>
      <c r="V166" s="259">
        <f>IF(ISNUMBER(V162),N(V162)+N(V163)+N(V164)+N(V165),"")</f>
        <v>18.021</v>
      </c>
      <c r="W166" s="259">
        <f>IF(ISNUMBER(W162),N(W162)+N(W163)+N(W164)+N(W165),"")</f>
        <v>32.159</v>
      </c>
      <c r="X166" s="259">
        <f>IF(ISNUMBER(X162),N(X162)+N(X163)+N(X164)+N(X165),"")</f>
        <v>77.223</v>
      </c>
      <c r="Y166" s="259">
        <f>IF(ISNUMBER(Y162),N(Y162)+N(Y163)+N(Y164)+N(Y165),"")</f>
        <v>18.28</v>
      </c>
      <c r="Z166" s="259">
        <f>IF(ISNUMBER(Z162),N(Z162)+N(Z163)+N(Z164)+N(Z165),"")</f>
        <v>17.107</v>
      </c>
      <c r="AA166" s="259">
        <f>IF(ISNUMBER(AA162),N(AA162)+N(AA163)+N(AA164)+N(AA165),"")</f>
        <v>16.89</v>
      </c>
      <c r="AB166" s="259">
        <f>IF(ISNUMBER(AB162),N(AB162)+N(AB163)+N(AB164)+N(AB165),"")</f>
        <v>17.214</v>
      </c>
      <c r="AC166" s="259">
        <f>IF(ISNUMBER(AC162),N(AC162)+N(AC163)+N(AC164)+N(AC165),"")</f>
        <v>69.491</v>
      </c>
      <c r="AD166" s="259">
        <f>IF(ISNUMBER(AD162),N(AD162)+N(AD163)+N(AD164)+N(AD165),"")</f>
        <v>17.839</v>
      </c>
      <c r="AE166" s="259">
        <f>IF(ISNUMBER(AE162),N(AE162)+N(AE163)+N(AE164)+N(AE165),"")</f>
        <v>18.024</v>
      </c>
      <c r="AF166" s="259">
        <f>IF(ISNUMBER(AF162),N(AF162)+N(AF163)+N(AF164)+N(AF165),"")</f>
        <v>22.151</v>
      </c>
      <c r="AG166" s="259">
        <f>IF(ISNUMBER(AG162),N(AG162)+N(AG163)+N(AG164)+N(AG165),"")</f>
        <v>20.388</v>
      </c>
      <c r="AH166" s="259">
        <f>IF(ISNUMBER(AH162),N(AH162)+N(AH163)+N(AH164)+N(AH165),"")</f>
        <v>78.402</v>
      </c>
      <c r="AI166" s="259">
        <f>IF(ISNUMBER(AI162),N(AI162)+N(AI163)+N(AI164)+N(AI165),"")</f>
        <v>18.298</v>
      </c>
      <c r="AJ166" s="259">
        <f>IF(ISNUMBER(AJ162),N(AJ162)+N(AJ163)+N(AJ164)+N(AJ165),"")</f>
        <v>20.923</v>
      </c>
      <c r="AK166" s="259">
        <f>IF(ISNUMBER(AK162),N(AK162)+N(AK163)+N(AK164)+N(AK165),"")</f>
        <v>20.454</v>
      </c>
      <c r="AL166" s="259">
        <f>IF(ISNUMBER(AL162),N(AL162)+N(AL163)+N(AL164)+N(AL165),"")</f>
        <v>21.734</v>
      </c>
      <c r="AM166" s="259">
        <f>IF(ISNUMBER(AM162),N(AM162)+N(AM163)+N(AM164)+N(AM165),"")</f>
        <v>81.408</v>
      </c>
      <c r="AN166" s="259">
        <f>IF(ISNUMBER(AN162),N(AN162)+N(AN163)+N(AN164)+N(AN165),"")</f>
        <v>23.356</v>
      </c>
      <c r="AO166" s="259">
        <f>IF(ISNUMBER(AO162),N(AO162)+N(AO163)+N(AO164)+N(AO165),"")</f>
        <v>21.985</v>
      </c>
      <c r="AP166" s="259">
        <f>IF(ISNUMBER(AP162),N(AP162)+N(AP163)+N(AP164)+N(AP165),"")</f>
        <v>21.043</v>
      </c>
      <c r="AQ166" s="259">
        <f>IF(ISNUMBER(AQ162),N(AQ162)+N(AQ163)+N(AQ164)+N(AQ165),"")</f>
        <v>22.715</v>
      </c>
      <c r="AR166" s="259">
        <f>IF(ISNUMBER(AR162),N(AR162)+N(AR163)+N(AR164)+N(AR165),"")</f>
        <v>89.099</v>
      </c>
      <c r="AS166" s="259">
        <f>IF(ISNUMBER(AS162),N(AS162)+N(AS163)+N(AS164)+N(AS165),"")</f>
        <v>28.045</v>
      </c>
      <c r="AT166" s="259">
        <f>IF(ISNUMBER(AT162),N(AT162)+N(AT163)+N(AT164)+N(AT165),"")</f>
        <v>23.99</v>
      </c>
      <c r="AU166" s="259">
        <f>IF(ISNUMBER(AU162),N(AU162)+N(AU163)+N(AU164)+N(AU165),"")</f>
        <v>23.312</v>
      </c>
      <c r="AV166" s="259">
        <f>IF(ISNUMBER(AV162),N(AV162)+N(AV163)+N(AV164)+N(AV165),"")</f>
        <v>68.356</v>
      </c>
      <c r="AW166" s="259">
        <f>IF(ISNUMBER(AW162),N(AW162)+N(AW163)+N(AW164)+N(AW165),"")</f>
        <v>143.703</v>
      </c>
      <c r="AX166" s="259">
        <f>IF(ISNUMBER(AX162),N(AX162)+N(AX163)+N(AX164)+N(AX165),"")</f>
        <v>18.735</v>
      </c>
      <c r="AY166" s="259">
        <f>IF(ISNUMBER(AY162),N(AY162)+N(AY163)+N(AY164)+N(AY165),"")</f>
        <v>29.151</v>
      </c>
      <c r="AZ166" s="259">
        <f>IF(ISNUMBER(AZ162),N(AZ162)+N(AZ163)+N(AZ164)+N(AZ165),"")</f>
        <v>-61.234</v>
      </c>
      <c r="BA166" s="259">
        <f>IF(ISNUMBER(BA162),N(BA162)+N(BA163)+N(BA164)+N(BA165),"")</f>
        <v>36.878</v>
      </c>
      <c r="BB166" s="259">
        <f>IF(ISNUMBER(BB162),N(BB162)+N(BB163)+N(BB164)+N(BB165),"")</f>
        <v>23.53</v>
      </c>
      <c r="BC166" s="259">
        <f>IF(ISNUMBER(BC162),N(BC162)+N(BC163)+N(BC164)+N(BC165),"")</f>
        <v>30.422</v>
      </c>
      <c r="BD166" s="259">
        <f>IF(ISNUMBER(BD162),N(BD162)+N(BD163)+N(BD164)+N(BD165),"")</f>
        <v>28.479</v>
      </c>
      <c r="BE166" s="259">
        <f>IF(ISNUMBER(BE162),N(BE162)+N(BE163)+N(BE164)+N(BE165),"")</f>
        <v>29.081</v>
      </c>
      <c r="BF166" s="259">
        <f>IF(ISNUMBER(BF162),N(BF162)+N(BF163)+N(BF164)+N(BF165),"")</f>
        <v>29.434</v>
      </c>
      <c r="BG166" s="259">
        <f>IF(ISNUMBER(BG162),N(BG162)+N(BG163)+N(BG164)+N(BG165),"")</f>
        <v>117.416</v>
      </c>
      <c r="BH166" s="259">
        <f>IF(ISNUMBER(BH162),N(BH162)+N(BH163)+N(BH164)+N(BH165),"")</f>
        <v>28.036</v>
      </c>
      <c r="BI166" s="259">
        <f>IF(ISNUMBER(BI162),N(BI162)+N(BI163)+N(BI164)+N(BI165),"")</f>
        <v>27.328</v>
      </c>
      <c r="BJ166" s="259">
        <f>IF(ISNUMBER(BJ162),N(BJ162)+N(BJ163)+N(BJ164)+N(BJ165),"")</f>
        <v>33.27</v>
      </c>
      <c r="BK166" s="259">
        <f>IF(ISNUMBER(BK162),N(BK162)+N(BK163)+N(BK164)+N(BK165),"")</f>
        <v>34.372</v>
      </c>
      <c r="BL166" s="259">
        <f>IF(ISNUMBER(BL162),N(BL162)+N(BL163)+N(BL164)+N(BL165),"")</f>
        <v>123.006</v>
      </c>
      <c r="BM166" s="259">
        <f>IF(ISNUMBER(BM162),N(BM162)+N(BM163)+N(BM164)+N(BM165),"")</f>
        <v>31.849</v>
      </c>
      <c r="BN166" s="259">
        <f>IF(ISNUMBER(BN162),N(BN162)+N(BN163)+N(BN164)+N(BN165),"")</f>
        <v>35.723</v>
      </c>
      <c r="BO166" s="259">
        <f>IF(ISNUMBER(BO162),N(BO162)+N(BO163)+N(BO164)+N(BO165),"")</f>
        <v>42.71</v>
      </c>
      <c r="BP166" s="259">
        <f>IF(ISNUMBER(BP162),N(BP162)+N(BP163)+N(BP164)+N(BP165),"")</f>
        <v>40.074</v>
      </c>
      <c r="BQ166" s="259">
        <f>IF(ISNUMBER(BQ162),N(BQ162)+N(BQ163)+N(BQ164)+N(BQ165),"")</f>
        <v>150.356</v>
      </c>
      <c r="BR166" s="259">
        <f>IF(ISNUMBER(BR162),N(BR162)+N(BR163)+N(BR164)+N(BR165),"")</f>
        <v>40.654</v>
      </c>
      <c r="BS166" s="259">
        <f>IF(ISNUMBER(BS162),N(BS162)+N(BS163)+N(BS164)+N(BS165),"")</f>
        <v>41.704</v>
      </c>
      <c r="BT166" s="259">
        <f>IF(ISNUMBER(BT162),N(BT162)+N(BT163)+N(BT164)+N(BT165),"")</f>
        <v>41.93</v>
      </c>
      <c r="BU166" s="259">
        <f>IF(ISNUMBER(BU162),N(BU162)+N(BU163)+N(BU164)+N(BU165),"")</f>
        <v>43.301</v>
      </c>
      <c r="BV166" s="259">
        <f>IF(ISNUMBER(BV162),N(BV162)+N(BV163)+N(BV164)+N(BV165),"")</f>
        <v>167.589</v>
      </c>
      <c r="BW166" s="259">
        <f>IF(ISNUMBER(BW162),N(BW162)+N(BW163)+N(BW164)+N(BW165),"")</f>
        <v>44.269</v>
      </c>
      <c r="BX166" s="259">
        <f>IF(ISNUMBER(BX162),N(BX162)+N(BX163)+N(BX164)+N(BX165),"")</f>
        <v>45.31</v>
      </c>
      <c r="BY166" s="259">
        <f>IF(ISNUMBER(BY162),N(BY162)+N(BY163)+N(BY164)+N(BY165),"")</f>
        <v>52.331</v>
      </c>
      <c r="BZ166" s="260">
        <f>IF(ISNUMBER(BZ162),N(BZ162)+N(BZ163)+N(BZ164)+N(BZ165),"")</f>
        <v>73.1</v>
      </c>
      <c r="CA166" s="260">
        <f>IF(ISNUMBER(CA162),N(CA162)+N(CA163)+N(CA164)+N(CA165),"")</f>
        <v>215.01</v>
      </c>
      <c r="CB166" s="260">
        <f>IF(ISNUMBER(CB162),N(CB162)+N(CB163)+N(CB164)+N(CB165),"")</f>
        <v>206.514846493013</v>
      </c>
      <c r="CC166" s="260">
        <f>IF(ISNUMBER(CC162),N(CC162)+N(CC163)+N(CC164)+N(CC165),"")</f>
        <v>222.3511309141</v>
      </c>
      <c r="CD166" s="260">
        <f>IF(ISNUMBER(CD162),N(CD162)+N(CD163)+N(CD164)+N(CD165),"")</f>
        <v>243.347261086416</v>
      </c>
      <c r="CE166" s="260">
        <f>IF(ISNUMBER(CE162),N(CE162)+N(CE163)+N(CE164)+N(CE165),"")</f>
        <v>264.758116730395</v>
      </c>
      <c r="CF166" s="260">
        <f>IF(ISNUMBER(CF162),N(CF162)+N(CF163)+N(CF164)+N(CF165),"")</f>
        <v>286.305123956207</v>
      </c>
      <c r="CG166" s="153" t="n"/>
    </row>
    <row r="167" ht="15" customHeight="1" s="251">
      <c r="B167" s="55" t="inlineStr">
        <is>
          <t xml:space="preserve">  = Non-GAAP operating income (model bridge)</t>
        </is>
      </c>
      <c r="C167" s="273">
        <f>IF(ISNUMBER(C161),C161+C166,"")</f>
        <v>214.47</v>
      </c>
      <c r="D167" s="273">
        <f>IF(ISNUMBER(D161),D161+D166,"")</f>
        <v>185.649</v>
      </c>
      <c r="E167" s="273">
        <f>IF(ISNUMBER(E161),E161+E166,"")</f>
        <v>160.173</v>
      </c>
      <c r="F167" s="273">
        <f>IF(ISNUMBER(F161),F161+F166,"")</f>
        <v>148.386</v>
      </c>
      <c r="G167" s="273">
        <f>IF(ISNUMBER(G161),G161+G166,"")</f>
        <v>143.172</v>
      </c>
      <c r="H167" s="273">
        <f>IF(ISNUMBER(H161),H161+H166,"")</f>
        <v>162.969</v>
      </c>
      <c r="I167" s="273">
        <f>IF(ISNUMBER(I161),I161+I166,"")</f>
        <v>201.656</v>
      </c>
      <c r="J167" s="273">
        <f>IF(ISNUMBER(J161),J161+J166,"")</f>
        <v>55.487</v>
      </c>
      <c r="K167" s="273">
        <f>IF(ISNUMBER(K161),K161+K166,"")</f>
        <v>43.223</v>
      </c>
      <c r="L167" s="273">
        <f>IF(ISNUMBER(L161),L161+L166,"")</f>
        <v>45.534</v>
      </c>
      <c r="M167" s="273">
        <f>IF(ISNUMBER(M161),M161+M166,"")</f>
        <v>60.22</v>
      </c>
      <c r="N167" s="273">
        <f>IF(ISNUMBER(N161),N161+N166,"")</f>
        <v>204.464</v>
      </c>
      <c r="O167" s="273">
        <f>IF(ISNUMBER(O161),O161+O166,"")</f>
        <v>49.178</v>
      </c>
      <c r="P167" s="273">
        <f>IF(ISNUMBER(P161),P161+P166,"")</f>
        <v>50.696</v>
      </c>
      <c r="Q167" s="273">
        <f>IF(ISNUMBER(Q161),Q161+Q166,"")</f>
        <v>49.406</v>
      </c>
      <c r="R167" s="273">
        <f>IF(ISNUMBER(R161),R161+R166,"")</f>
        <v>65.148</v>
      </c>
      <c r="S167" s="273">
        <f>IF(ISNUMBER(S161),S161+S166,"")</f>
        <v>214.428</v>
      </c>
      <c r="T167" s="273">
        <f>IF(ISNUMBER(T161),T161+T166,"")</f>
        <v>36.606</v>
      </c>
      <c r="U167" s="273">
        <f>IF(ISNUMBER(U161),U161+U166,"")</f>
        <v>49.716</v>
      </c>
      <c r="V167" s="273">
        <f>IF(ISNUMBER(V161),V161+V166,"")</f>
        <v>55.075</v>
      </c>
      <c r="W167" s="273">
        <f>IF(ISNUMBER(W161),W161+W166,"")</f>
        <v>73.331</v>
      </c>
      <c r="X167" s="273">
        <f>IF(ISNUMBER(X161),X161+X166,"")</f>
        <v>214.728</v>
      </c>
      <c r="Y167" s="273">
        <f>IF(ISNUMBER(Y161),Y161+Y166,"")</f>
        <v>49.114</v>
      </c>
      <c r="Z167" s="273">
        <f>IF(ISNUMBER(Z161),Z161+Z166,"")</f>
        <v>55.631</v>
      </c>
      <c r="AA167" s="273">
        <f>IF(ISNUMBER(AA161),AA161+AA166,"")</f>
        <v>72.209</v>
      </c>
      <c r="AB167" s="273">
        <f>IF(ISNUMBER(AB161),AB161+AB166,"")</f>
        <v>62.129</v>
      </c>
      <c r="AC167" s="273">
        <f>IF(ISNUMBER(AC161),AC161+AC166,"")</f>
        <v>239.083</v>
      </c>
      <c r="AD167" s="273">
        <f>IF(ISNUMBER(AD161),AD161+AD166,"")</f>
        <v>52.766</v>
      </c>
      <c r="AE167" s="273">
        <f>IF(ISNUMBER(AE161),AE161+AE166,"")</f>
        <v>58.065</v>
      </c>
      <c r="AF167" s="273">
        <f>IF(ISNUMBER(AF161),AF161+AF166,"")</f>
        <v>63.58</v>
      </c>
      <c r="AG167" s="273">
        <f>IF(ISNUMBER(AG161),AG161+AG166,"")</f>
        <v>81.191</v>
      </c>
      <c r="AH167" s="273">
        <f>IF(ISNUMBER(AH161),AH161+AH166,"")</f>
        <v>255.602</v>
      </c>
      <c r="AI167" s="273">
        <f>IF(ISNUMBER(AI161),AI161+AI166,"")</f>
        <v>58.202</v>
      </c>
      <c r="AJ167" s="273">
        <f>IF(ISNUMBER(AJ161),AJ161+AJ166,"")</f>
        <v>69.002</v>
      </c>
      <c r="AK167" s="273">
        <f>IF(ISNUMBER(AK161),AK161+AK166,"")</f>
        <v>68.83</v>
      </c>
      <c r="AL167" s="273">
        <f>IF(ISNUMBER(AL161),AL161+AL166,"")</f>
        <v>91.812</v>
      </c>
      <c r="AM167" s="273">
        <f>IF(ISNUMBER(AM161),AM161+AM166,"")</f>
        <v>287.845</v>
      </c>
      <c r="AN167" s="273">
        <f>IF(ISNUMBER(AN161),AN161+AN166,"")</f>
        <v>72.36</v>
      </c>
      <c r="AO167" s="273">
        <f>IF(ISNUMBER(AO161),AO161+AO166,"")</f>
        <v>70.534</v>
      </c>
      <c r="AP167" s="273">
        <f>IF(ISNUMBER(AP161),AP161+AP166,"")</f>
        <v>106.751</v>
      </c>
      <c r="AQ167" s="273">
        <f>IF(ISNUMBER(AQ161),AQ161+AQ166,"")</f>
        <v>93.002</v>
      </c>
      <c r="AR167" s="273">
        <f>IF(ISNUMBER(AR161),AR161+AR166,"")</f>
        <v>342.647</v>
      </c>
      <c r="AS167" s="273">
        <f>IF(ISNUMBER(AS161),AS161+AS166,"")</f>
        <v>79.9270000000001</v>
      </c>
      <c r="AT167" s="273">
        <f>IF(ISNUMBER(AT161),AT161+AT166,"")</f>
        <v>99.716</v>
      </c>
      <c r="AU167" s="273">
        <f>IF(ISNUMBER(AU161),AU161+AU166,"")</f>
        <v>106.183</v>
      </c>
      <c r="AV167" s="273">
        <f>IF(ISNUMBER(AV161),AV161+AV166,"")</f>
        <v>153.846</v>
      </c>
      <c r="AW167" s="273">
        <f>IF(ISNUMBER(AW161),AW161+AW166,"")</f>
        <v>439.672</v>
      </c>
      <c r="AX167" s="273">
        <f>IF(ISNUMBER(AX161),AX161+AX166,"")</f>
        <v>113.456</v>
      </c>
      <c r="AY167" s="273">
        <f>IF(ISNUMBER(AY161),AY161+AY166,"")</f>
        <v>130.35</v>
      </c>
      <c r="AZ167" s="273">
        <f>IF(ISNUMBER(AZ161),AZ161+AZ166,"")</f>
        <v>133.15</v>
      </c>
      <c r="BA167" s="273">
        <f>IF(ISNUMBER(BA161),BA161+BA166,"")</f>
        <v>152.063</v>
      </c>
      <c r="BB167" s="273">
        <f>IF(ISNUMBER(BB161),BB161+BB166,"")</f>
        <v>529.019</v>
      </c>
      <c r="BC167" s="273">
        <f>IF(ISNUMBER(BC161),BC161+BC166,"")</f>
        <v>146.008</v>
      </c>
      <c r="BD167" s="273">
        <f>IF(ISNUMBER(BD161),BD161+BD166,"")</f>
        <v>180.536</v>
      </c>
      <c r="BE167" s="273">
        <f>IF(ISNUMBER(BE161),BE161+BE166,"")</f>
        <v>169.696</v>
      </c>
      <c r="BF167" s="273">
        <f>IF(ISNUMBER(BF161),BF161+BF166,"")</f>
        <v>163.59</v>
      </c>
      <c r="BG167" s="273">
        <f>IF(ISNUMBER(BG161),BG161+BG166,"")</f>
        <v>659.83</v>
      </c>
      <c r="BH167" s="273">
        <f>IF(ISNUMBER(BH161),BH161+BH166,"")</f>
        <v>168.375</v>
      </c>
      <c r="BI167" s="273">
        <f>IF(ISNUMBER(BI161),BI161+BI166,"")</f>
        <v>187.089</v>
      </c>
      <c r="BJ167" s="273">
        <f>IF(ISNUMBER(BJ161),BJ161+BJ166,"")</f>
        <v>210.301</v>
      </c>
      <c r="BK167" s="273">
        <f>IF(ISNUMBER(BK161),BK161+BK166,"")</f>
        <v>200.071</v>
      </c>
      <c r="BL167" s="273">
        <f>IF(ISNUMBER(BL161),BL161+BL166,"")</f>
        <v>765.836</v>
      </c>
      <c r="BM167" s="273">
        <f>IF(ISNUMBER(BM161),BM161+BM166,"")</f>
        <v>183.208</v>
      </c>
      <c r="BN167" s="273">
        <f>IF(ISNUMBER(BN161),BN161+BN166,"")</f>
        <v>230.564</v>
      </c>
      <c r="BO167" s="273">
        <f>IF(ISNUMBER(BO161),BO161+BO166,"")</f>
        <v>232.961</v>
      </c>
      <c r="BP167" s="273">
        <f>IF(ISNUMBER(BP161),BP161+BP166,"")</f>
        <v>237.252</v>
      </c>
      <c r="BQ167" s="273">
        <f>IF(ISNUMBER(BQ161),BQ161+BQ166,"")</f>
        <v>883.985</v>
      </c>
      <c r="BR167" s="273">
        <f>IF(ISNUMBER(BR161),BR161+BR166,"")</f>
        <v>220.182</v>
      </c>
      <c r="BS167" s="273">
        <f>IF(ISNUMBER(BS161),BS161+BS166,"")</f>
        <v>287.352</v>
      </c>
      <c r="BT167" s="273">
        <f>IF(ISNUMBER(BT161),BT161+BT166,"")</f>
        <v>304.448</v>
      </c>
      <c r="BU167" s="273">
        <f>IF(ISNUMBER(BU161),BU161+BU166,"")</f>
        <v>280.457</v>
      </c>
      <c r="BV167" s="273">
        <f>IF(ISNUMBER(BV161),BV161+BV166,"")</f>
        <v>1092.439</v>
      </c>
      <c r="BW167" s="273">
        <f>IF(ISNUMBER(BW161),BW161+BW166,"")</f>
        <v>278.318</v>
      </c>
      <c r="BX167" s="273">
        <f>IF(ISNUMBER(BX161),BX161+BX166,"")</f>
        <v>447.775</v>
      </c>
      <c r="BY167" s="273">
        <f>IF(ISNUMBER(BY161),BY161+BY166,"")</f>
        <v>414.959</v>
      </c>
      <c r="BZ167" s="273">
        <f>IF(ISNUMBER(BZ161),BZ161+BZ166,"")</f>
        <v>375.455581988028</v>
      </c>
      <c r="CA167" s="273">
        <f>IF(ISNUMBER(CA161),CA161+CA166,"")</f>
        <v>1516.50758198803</v>
      </c>
      <c r="CB167" s="273">
        <f>IF(ISNUMBER(CB161),CB161+CB166,"")</f>
        <v>1756.51119204402</v>
      </c>
      <c r="CC167" s="273">
        <f>IF(ISNUMBER(CC161),CC161+CC166,"")</f>
        <v>1965.54300256576</v>
      </c>
      <c r="CD167" s="273">
        <f>IF(ISNUMBER(CD161),CD161+CD166,"")</f>
        <v>2170.57155950686</v>
      </c>
      <c r="CE167" s="273">
        <f>IF(ISNUMBER(CE161),CE161+CE166,"")</f>
        <v>2366.81968809248</v>
      </c>
      <c r="CF167" s="273">
        <f>IF(ISNUMBER(CF161),CF161+CF166,"")</f>
        <v>2562.46874114279</v>
      </c>
      <c r="CG167" s="153" t="inlineStr">
        <is>
          <t>Forecast = operating income + forecast adjusting items (equals the segment build — check in the Group block).</t>
        </is>
      </c>
      <c r="CI167" s="20">
        <f>IFERROR((CF167/CA167)^(1/5)-1,"n/m")</f>
        <v>0.110613116016551</v>
      </c>
      <c r="CJ167" s="20">
        <f>IFERROR((BV167/AW167)^(1/5)-1,"n/m")</f>
        <v>0.199647566601627</v>
      </c>
      <c r="CK167" s="20">
        <f>IFERROR((BV167/X167)^(1/10)-1,"n/m")</f>
        <v>0.176659625100953</v>
      </c>
      <c r="CL167" s="20">
        <f>IFERROR((BV167/C167)^(1/19)-1,"n/m")</f>
        <v>0.0894621313053856</v>
      </c>
    </row>
    <row r="168" ht="15" customHeight="1" s="251">
      <c r="B168" s="25" t="inlineStr">
        <is>
          <t xml:space="preserve">  Non-GAAP operating margin %</t>
        </is>
      </c>
      <c r="C168" s="215">
        <f>IF(AND(ISNUMBER(C167),ISNUMBER(C127)),IFERROR(C167/C127,""),"")</f>
        <v>0.259848673011334</v>
      </c>
      <c r="D168" s="215">
        <f>IF(AND(ISNUMBER(D167),ISNUMBER(D127)),IFERROR(D167/D127,""),"")</f>
        <v>0.225785540890936</v>
      </c>
      <c r="E168" s="215">
        <f>IF(AND(ISNUMBER(E167),ISNUMBER(E127)),IFERROR(E167/E127,""),"")</f>
        <v>0.215042921854568</v>
      </c>
      <c r="F168" s="215">
        <f>IF(AND(ISNUMBER(F167),ISNUMBER(F127)),IFERROR(F167/F127,""),"")</f>
        <v>0.235258864657899</v>
      </c>
      <c r="G168" s="215">
        <f>IF(AND(ISNUMBER(G167),ISNUMBER(G127)),IFERROR(G167/G127,""),"")</f>
        <v>0.236396689138651</v>
      </c>
      <c r="H168" s="215">
        <f>IF(AND(ISNUMBER(H167),ISNUMBER(H127)),IFERROR(H167/H127,""),"")</f>
        <v>0.262987688866727</v>
      </c>
      <c r="I168" s="215">
        <f>IF(AND(ISNUMBER(I167),ISNUMBER(I127)),IFERROR(I167/I127,""),"")</f>
        <v>0.298121146087581</v>
      </c>
      <c r="J168" s="215">
        <f>IF(AND(ISNUMBER(J167),ISNUMBER(J127)),IFERROR(J167/J127,""),"")</f>
        <v>0.292006104620566</v>
      </c>
      <c r="K168" s="215">
        <f>IF(AND(ISNUMBER(K167),ISNUMBER(K127)),IFERROR(K167/K127,""),"")</f>
        <v>0.241031646451973</v>
      </c>
      <c r="L168" s="215">
        <f>IF(AND(ISNUMBER(L167),ISNUMBER(L127)),IFERROR(L167/L127,""),"")</f>
        <v>0.247774416124328</v>
      </c>
      <c r="M168" s="215">
        <f>IF(AND(ISNUMBER(M167),ISNUMBER(M127)),IFERROR(M167/M127,""),"")</f>
        <v>0.316402822510732</v>
      </c>
      <c r="N168" s="215">
        <f>IF(AND(ISNUMBER(N167),ISNUMBER(N127)),IFERROR(N167/N127,""),"")</f>
        <v>0.275022732041687</v>
      </c>
      <c r="O168" s="215">
        <f>IF(AND(ISNUMBER(O167),ISNUMBER(O127)),IFERROR(O167/O127,""),"")</f>
        <v>0.266774436783604</v>
      </c>
      <c r="P168" s="215">
        <f>IF(AND(ISNUMBER(P167),ISNUMBER(P127)),IFERROR(P167/P127,""),"")</f>
        <v>0.273349796723857</v>
      </c>
      <c r="Q168" s="215">
        <f>IF(AND(ISNUMBER(Q167),ISNUMBER(Q127)),IFERROR(Q167/Q127,""),"")</f>
        <v>0.250017711654269</v>
      </c>
      <c r="R168" s="215">
        <f>IF(AND(ISNUMBER(R167),ISNUMBER(R127)),IFERROR(R167/R127,""),"")</f>
        <v>0.294028975041748</v>
      </c>
      <c r="S168" s="215">
        <f>IF(AND(ISNUMBER(S167),ISNUMBER(S127)),IFERROR(S167/S127,""),"")</f>
        <v>0.271777029981559</v>
      </c>
      <c r="T168" s="215">
        <f>IF(AND(ISNUMBER(T167),ISNUMBER(T127)),IFERROR(T167/T127,""),"")</f>
        <v>0.193120548667898</v>
      </c>
      <c r="U168" s="215">
        <f>IF(AND(ISNUMBER(U167),ISNUMBER(U127)),IFERROR(U167/U127,""),"")</f>
        <v>0.240047511213902</v>
      </c>
      <c r="V168" s="215">
        <f>IF(AND(ISNUMBER(V167),ISNUMBER(V127)),IFERROR(V167/V127,""),"")</f>
        <v>0.263056083604788</v>
      </c>
      <c r="W168" s="215">
        <f>IF(AND(ISNUMBER(W167),ISNUMBER(W127)),IFERROR(W167/W127,""),"")</f>
        <v>0.315055250992456</v>
      </c>
      <c r="X168" s="215">
        <f>IF(AND(ISNUMBER(X167),ISNUMBER(X127)),IFERROR(X167/X127,""),"")</f>
        <v>0.256000076301204</v>
      </c>
      <c r="Y168" s="215">
        <f>IF(AND(ISNUMBER(Y167),ISNUMBER(Y127)),IFERROR(Y167/Y127,""),"")</f>
        <v>0.245476718846838</v>
      </c>
      <c r="Z168" s="215">
        <f>IF(AND(ISNUMBER(Z167),ISNUMBER(Z127)),IFERROR(Z167/Z127,""),"")</f>
        <v>0.269167497266279</v>
      </c>
      <c r="AA168" s="215">
        <f>IF(AND(ISNUMBER(AA167),ISNUMBER(AA127)),IFERROR(AA167/AA127,""),"")</f>
        <v>0.302410607342385</v>
      </c>
      <c r="AB168" s="215">
        <f>IF(AND(ISNUMBER(AB167),ISNUMBER(AB127)),IFERROR(AB167/AB127,""),"")</f>
        <v>0.26345494945383</v>
      </c>
      <c r="AC168" s="215">
        <f>IF(AND(ISNUMBER(AC167),ISNUMBER(AC127)),IFERROR(AC167/AC127,""),"")</f>
        <v>0.27126722913329</v>
      </c>
      <c r="AD168" s="215">
        <f>IF(AND(ISNUMBER(AD167),ISNUMBER(AD127)),IFERROR(AD167/AD127,""),"")</f>
        <v>0.24028233151184</v>
      </c>
      <c r="AE168" s="215">
        <f>IF(AND(ISNUMBER(AE167),ISNUMBER(AE127)),IFERROR(AE167/AE127,""),"")</f>
        <v>0.254249533667866</v>
      </c>
      <c r="AF168" s="215">
        <f>IF(AND(ISNUMBER(AF167),ISNUMBER(AF127)),IFERROR(AF167/AF127,""),"")</f>
        <v>0.275254777345813</v>
      </c>
      <c r="AG168" s="215">
        <f>IF(AND(ISNUMBER(AG167),ISNUMBER(AG127)),IFERROR(AG167/AG127,""),"")</f>
        <v>0.320653225647203</v>
      </c>
      <c r="AH168" s="215">
        <f>IF(AND(ISNUMBER(AH167),ISNUMBER(AH127)),IFERROR(AH167/AH127,""),"")</f>
        <v>0.274201351900782</v>
      </c>
      <c r="AI168" s="215">
        <f>IF(AND(ISNUMBER(AI167),ISNUMBER(AI127)),IFERROR(AI167/AI127,""),"")</f>
        <v>0.247330242519792</v>
      </c>
      <c r="AJ168" s="215">
        <f>IF(AND(ISNUMBER(AJ167),ISNUMBER(AJ127)),IFERROR(AJ167/AJ127,""),"")</f>
        <v>0.267596894414755</v>
      </c>
      <c r="AK168" s="215">
        <f>IF(AND(ISNUMBER(AK167),ISNUMBER(AK127)),IFERROR(AK167/AK127,""),"")</f>
        <v>0.265235737269032</v>
      </c>
      <c r="AL168" s="215">
        <f>IF(AND(ISNUMBER(AL167),ISNUMBER(AL127)),IFERROR(AL167/AL127,""),"")</f>
        <v>0.328144936756365</v>
      </c>
      <c r="AM168" s="215">
        <f>IF(AND(ISNUMBER(AM167),ISNUMBER(AM127)),IFERROR(AM167/AM127,""),"")</f>
        <v>0.278791254025521</v>
      </c>
      <c r="AN168" s="215">
        <f>IF(AND(ISNUMBER(AN167),ISNUMBER(AN127)),IFERROR(AN167/AN127,""),"")</f>
        <v>0.275913611128058</v>
      </c>
      <c r="AO168" s="215">
        <f>IF(AND(ISNUMBER(AO167),ISNUMBER(AO127)),IFERROR(AO167/AO127,""),"")</f>
        <v>0.253506041677149</v>
      </c>
      <c r="AP168" s="215">
        <f>IF(AND(ISNUMBER(AP167),ISNUMBER(AP127)),IFERROR(AP167/AP127,""),"")</f>
        <v>0.339701956092144</v>
      </c>
      <c r="AQ168" s="215">
        <f>IF(AND(ISNUMBER(AQ167),ISNUMBER(AQ127)),IFERROR(AQ167/AQ127,""),"")</f>
        <v>0.3045810626703</v>
      </c>
      <c r="AR168" s="215">
        <f>IF(AND(ISNUMBER(AR167),ISNUMBER(AR127)),IFERROR(AR167/AR127,""),"")</f>
        <v>0.29536421100904</v>
      </c>
      <c r="AS168" s="215">
        <f>IF(AND(ISNUMBER(AS167),ISNUMBER(AS127)),IFERROR(AS167/AS127,""),"")</f>
        <v>0.26775855599925</v>
      </c>
      <c r="AT168" s="215">
        <f>IF(AND(ISNUMBER(AT167),ISNUMBER(AT127)),IFERROR(AT167/AT127,""),"")</f>
        <v>0.32378373288394</v>
      </c>
      <c r="AU168" s="215">
        <f>IF(AND(ISNUMBER(AU167),ISNUMBER(AU127)),IFERROR(AU167/AU127,""),"")</f>
        <v>0.338452368430279</v>
      </c>
      <c r="AV168" s="215">
        <f>IF(AND(ISNUMBER(AV167),ISNUMBER(AV127)),IFERROR(AV167/AV127,""),"")</f>
        <v>0.410961758326299</v>
      </c>
      <c r="AW168" s="215">
        <f>IF(AND(ISNUMBER(AW167),ISNUMBER(AW127)),IFERROR(AW167/AW127,""),"")</f>
        <v>0.339629928887145</v>
      </c>
      <c r="AX168" s="215">
        <f>IF(AND(ISNUMBER(AX167),ISNUMBER(AX127)),IFERROR(AX167/AX127,""),"")</f>
        <v>0.363159141395712</v>
      </c>
      <c r="AY168" s="215">
        <f>IF(AND(ISNUMBER(AY167),ISNUMBER(AY127)),IFERROR(AY167/AY127,""),"")</f>
        <v>0.393377615350026</v>
      </c>
      <c r="AZ168" s="215">
        <f>IF(AND(ISNUMBER(AZ167),ISNUMBER(AZ127)),IFERROR(AZ167/AZ127,""),"")</f>
        <v>0.393720578146808</v>
      </c>
      <c r="BA168" s="215">
        <f>IF(AND(ISNUMBER(BA167),ISNUMBER(BA127)),IFERROR(BA167/BA127,""),"")</f>
        <v>0.454493285551607</v>
      </c>
      <c r="BB168" s="215">
        <f>IF(AND(ISNUMBER(BB167),ISNUMBER(BB127)),IFERROR(BB167/BB127,""),"")</f>
        <v>0.401826459739802</v>
      </c>
      <c r="BC168" s="215">
        <f>IF(AND(ISNUMBER(BC167),ISNUMBER(BC127)),IFERROR(BC167/BC127,""),"")</f>
        <v>0.45293320221739</v>
      </c>
      <c r="BD168" s="215">
        <f>IF(AND(ISNUMBER(BD167),ISNUMBER(BD127)),IFERROR(BD167/BD127,""),"")</f>
        <v>0.505427007656882</v>
      </c>
      <c r="BE168" s="215">
        <f>IF(AND(ISNUMBER(BE167),ISNUMBER(BE127)),IFERROR(BE167/BE127,""),"")</f>
        <v>0.486282331229976</v>
      </c>
      <c r="BF168" s="215">
        <f>IF(AND(ISNUMBER(BF167),ISNUMBER(BF127)),IFERROR(BF167/BF127,""),"")</f>
        <v>0.469077958870015</v>
      </c>
      <c r="BG168" s="215">
        <f>IF(AND(ISNUMBER(BG167),ISNUMBER(BG127)),IFERROR(BG167/BG127,""),"")</f>
        <v>0.479085437132879</v>
      </c>
      <c r="BH168" s="215">
        <f>IF(AND(ISNUMBER(BH167),ISNUMBER(BH127)),IFERROR(BH167/BH127,""),"")</f>
        <v>0.488227448023893</v>
      </c>
      <c r="BI168" s="215">
        <f>IF(AND(ISNUMBER(BI167),ISNUMBER(BI127)),IFERROR(BI167/BI127,""),"")</f>
        <v>0.491995077130219</v>
      </c>
      <c r="BJ168" s="215">
        <f>IF(AND(ISNUMBER(BJ167),ISNUMBER(BJ127)),IFERROR(BJ167/BJ127,""),"")</f>
        <v>0.527482643069267</v>
      </c>
      <c r="BK168" s="215">
        <f>IF(AND(ISNUMBER(BK167),ISNUMBER(BK127)),IFERROR(BK167/BK127,""),"")</f>
        <v>0.513354014158411</v>
      </c>
      <c r="BL168" s="215">
        <f>IF(AND(ISNUMBER(BL167),ISNUMBER(BL127)),IFERROR(BL167/BL127,""),"")</f>
        <v>0.505984247702597</v>
      </c>
      <c r="BM168" s="215">
        <f>IF(AND(ISNUMBER(BM167),ISNUMBER(BM127)),IFERROR(BM167/BM127,""),"")</f>
        <v>0.479528031010917</v>
      </c>
      <c r="BN168" s="215">
        <f>IF(AND(ISNUMBER(BN167),ISNUMBER(BN127)),IFERROR(BN167/BN127,""),"")</f>
        <v>0.531487359644452</v>
      </c>
      <c r="BO168" s="215">
        <f>IF(AND(ISNUMBER(BO167),ISNUMBER(BO127)),IFERROR(BO167/BO127,""),"")</f>
        <v>0.520177559847181</v>
      </c>
      <c r="BP168" s="215">
        <f>IF(AND(ISNUMBER(BP167),ISNUMBER(BP127)),IFERROR(BP167/BP127,""),"")</f>
        <v>0.522801442897783</v>
      </c>
      <c r="BQ168" s="215">
        <f>IF(AND(ISNUMBER(BQ167),ISNUMBER(BQ127)),IFERROR(BQ167/BQ127,""),"")</f>
        <v>0.514685076092007</v>
      </c>
      <c r="BR168" s="215">
        <f>IF(AND(ISNUMBER(BR167),ISNUMBER(BR127)),IFERROR(BR167/BR127,""),"")</f>
        <v>0.500450032729653</v>
      </c>
      <c r="BS168" s="215">
        <f>IF(AND(ISNUMBER(BS167),ISNUMBER(BS127)),IFERROR(BS167/BS127,""),"")</f>
        <v>0.576161689073356</v>
      </c>
      <c r="BT168" s="215">
        <f>IF(AND(ISNUMBER(BT167),ISNUMBER(BT127)),IFERROR(BT167/BT127,""),"")</f>
        <v>0.56756056411547</v>
      </c>
      <c r="BU168" s="215">
        <f>IF(AND(ISNUMBER(BU167),ISNUMBER(BU127)),IFERROR(BU167/BU127,""),"")</f>
        <v>0.543783725092147</v>
      </c>
      <c r="BV168" s="215">
        <f>IF(AND(ISNUMBER(BV167),ISNUMBER(BV127)),IFERROR(BV167/BV127,""),"")</f>
        <v>0.548724702629857</v>
      </c>
      <c r="BW168" s="215">
        <f>IF(AND(ISNUMBER(BW167),ISNUMBER(BW127)),IFERROR(BW167/BW127,""),"")</f>
        <v>0.543633376891509</v>
      </c>
      <c r="BX168" s="215">
        <f>IF(AND(ISNUMBER(BX167),ISNUMBER(BX127)),IFERROR(BX167/BX127,""),"")</f>
        <v>0.647375870529163</v>
      </c>
      <c r="BY168" s="215">
        <f>IF(AND(ISNUMBER(BY167),ISNUMBER(BY127)),IFERROR(BY167/BY127,""),"")</f>
        <v>0.615494491150836</v>
      </c>
      <c r="BZ168" s="256">
        <f>IF(AND(ISNUMBER(BZ167),ISNUMBER(BZ127)),IFERROR(BZ167/BZ127,""),"")</f>
        <v>0.575696716818816</v>
      </c>
      <c r="CA168" s="256">
        <f>IF(AND(ISNUMBER(CA167),ISNUMBER(CA127)),IFERROR(CA167/CA127,""),"")</f>
        <v>0.599410111457719</v>
      </c>
      <c r="CB168" s="256">
        <f>IF(AND(ISNUMBER(CB167),ISNUMBER(CB127)),IFERROR(CB167/CB127,""),"")</f>
        <v>0.627590512699791</v>
      </c>
      <c r="CC168" s="256">
        <f>IF(AND(ISNUMBER(CC167),ISNUMBER(CC127)),IFERROR(CC167/CC127,""),"")</f>
        <v>0.636466725412819</v>
      </c>
      <c r="CD168" s="256">
        <f>IF(AND(ISNUMBER(CD167),ISNUMBER(CD127)),IFERROR(CD167/CD127,""),"")</f>
        <v>0.642214552104601</v>
      </c>
      <c r="CE168" s="256">
        <f>IF(AND(ISNUMBER(CE167),ISNUMBER(CE127)),IFERROR(CE167/CE127,""),"")</f>
        <v>0.643647944195756</v>
      </c>
      <c r="CF168" s="256">
        <f>IF(AND(ISNUMBER(CF167),ISNUMBER(CF127)),IFERROR(CF167/CF127,""),"")</f>
        <v>0.644409526496989</v>
      </c>
      <c r="CG168" s="153" t="n"/>
      <c r="CI168" s="37">
        <f>IFERROR(AVERAGE(CB168,CC168,CD168,CE168,CF168),"n/m")</f>
        <v>0.638865852181991</v>
      </c>
      <c r="CJ168" s="37">
        <f>IFERROR(AVERAGE(BB168,BG168,BL168,BQ168,BV168),"n/m")</f>
        <v>0.490061184659428</v>
      </c>
      <c r="CK168" s="37">
        <f>IFERROR(AVERAGE(AC168,AH168,AM168,AR168,AW168,BB168,BG168,BL168,BQ168,BV168),"n/m")</f>
        <v>0.390955989825292</v>
      </c>
      <c r="CL168" s="37">
        <f>IFERROR(AVERAGE(C168,D168,E168,F168,G168,H168,I168,N168,S168,X168,AC168,AH168,AM168,AR168,AW168,BB168,BG168,BL168,BQ168,BV168),"n/m")</f>
        <v>0.322290063054253</v>
      </c>
    </row>
    <row r="169" ht="15" customHeight="1" s="251">
      <c r="B169" s="156" t="inlineStr">
        <is>
          <t xml:space="preserve">  Company segment summary: Σ segment operating income + unallocated corporate expenses</t>
        </is>
      </c>
      <c r="C169" s="262">
        <f>IF(ISNUMBER(C23),C23+C44+C62,"")</f>
        <v>214.47</v>
      </c>
      <c r="D169" s="262">
        <f>IF(ISNUMBER(D23),D23+D44+D62,"")</f>
        <v>185.649</v>
      </c>
      <c r="E169" s="262">
        <f>IF(ISNUMBER(E23),E23+E44+E62,"")</f>
        <v>160.173</v>
      </c>
      <c r="F169" s="262">
        <f>IF(ISNUMBER(F23),F23+F44+F62,"")</f>
        <v>148.386</v>
      </c>
      <c r="G169" s="262">
        <f>IF(ISNUMBER(G23),G23+G44+G62,"")</f>
        <v>143.172</v>
      </c>
      <c r="H169" s="262">
        <f>IF(ISNUMBER(H23),H23+H44+H62,"")</f>
        <v>162.969</v>
      </c>
      <c r="I169" s="262">
        <f>IF(ISNUMBER(I23),I23+I44+I62,"")</f>
        <v>201.656</v>
      </c>
      <c r="J169" s="262">
        <f>IF(ISNUMBER(J23),J23+J44+J62,"")</f>
        <v>55.487</v>
      </c>
      <c r="K169" s="262">
        <f>IF(ISNUMBER(K23),K23+K44+K62,"")</f>
        <v>43.223</v>
      </c>
      <c r="L169" s="262">
        <f>IF(ISNUMBER(L23),L23+L44+L62,"")</f>
        <v>45.534</v>
      </c>
      <c r="M169" s="262">
        <f>IF(ISNUMBER(M23),M23+M44+M62,"")</f>
        <v>60.22</v>
      </c>
      <c r="N169" s="262">
        <f>IF(ISNUMBER(N23),N23+N44+N62,"")</f>
        <v>204.464</v>
      </c>
      <c r="O169" s="262">
        <f>IF(ISNUMBER(O23),O23+O44+O62,"")</f>
        <v>49.178</v>
      </c>
      <c r="P169" s="262">
        <f>IF(ISNUMBER(P23),P23+P44+P62,"")</f>
        <v>50.696</v>
      </c>
      <c r="Q169" s="262">
        <f>IF(ISNUMBER(Q23),Q23+Q44+Q62,"")</f>
        <v>49.406</v>
      </c>
      <c r="R169" s="262">
        <f>IF(ISNUMBER(R23),R23+R44+R62,"")</f>
        <v>65.148</v>
      </c>
      <c r="S169" s="262">
        <f>IF(ISNUMBER(S23),S23+S44+S62,"")</f>
        <v>214.428</v>
      </c>
      <c r="T169" s="262">
        <f>IF(ISNUMBER(T23),T23+T44+T62,"")</f>
        <v>36.606</v>
      </c>
      <c r="U169" s="262">
        <f>IF(ISNUMBER(U23),U23+U44+U62,"")</f>
        <v>49.716</v>
      </c>
      <c r="V169" s="262">
        <f>IF(ISNUMBER(V23),V23+V44+V62,"")</f>
        <v>55.075</v>
      </c>
      <c r="W169" s="262">
        <f>IF(ISNUMBER(W23),W23+W44+W62,"")</f>
        <v>73.331</v>
      </c>
      <c r="X169" s="262">
        <f>IF(ISNUMBER(X23),X23+X44+X62,"")</f>
        <v>214.728</v>
      </c>
      <c r="Y169" s="262">
        <f>IF(ISNUMBER(Y23),Y23+Y44+Y62,"")</f>
        <v>49.114</v>
      </c>
      <c r="Z169" s="262">
        <f>IF(ISNUMBER(Z23),Z23+Z44+Z62,"")</f>
        <v>55.631</v>
      </c>
      <c r="AA169" s="262">
        <f>IF(ISNUMBER(AA23),AA23+AA44+AA62,"")</f>
        <v>72.209</v>
      </c>
      <c r="AB169" s="262">
        <f>IF(ISNUMBER(AB23),AB23+AB44+AB62,"")</f>
        <v>62.129</v>
      </c>
      <c r="AC169" s="262">
        <f>IF(ISNUMBER(AC23),AC23+AC44+AC62,"")</f>
        <v>239.083</v>
      </c>
      <c r="AD169" s="262">
        <f>IF(ISNUMBER(AD23),AD23+AD44+AD62,"")</f>
        <v>52.766</v>
      </c>
      <c r="AE169" s="262">
        <f>IF(ISNUMBER(AE23),AE23+AE44+AE62,"")</f>
        <v>58.065</v>
      </c>
      <c r="AF169" s="262">
        <f>IF(ISNUMBER(AF23),AF23+AF44+AF62,"")</f>
        <v>63.58</v>
      </c>
      <c r="AG169" s="262">
        <f>IF(ISNUMBER(AG23),AG23+AG44+AG62,"")</f>
        <v>81.191</v>
      </c>
      <c r="AH169" s="262">
        <f>IF(ISNUMBER(AH23),AH23+AH44+AH62,"")</f>
        <v>255.602</v>
      </c>
      <c r="AI169" s="262">
        <f>IF(ISNUMBER(AI23),AI23+AI44+AI62,"")</f>
        <v>58.202</v>
      </c>
      <c r="AJ169" s="262">
        <f>IF(ISNUMBER(AJ23),AJ23+AJ44+AJ62,"")</f>
        <v>69.002</v>
      </c>
      <c r="AK169" s="262">
        <f>IF(ISNUMBER(AK23),AK23+AK44+AK62,"")</f>
        <v>68.83</v>
      </c>
      <c r="AL169" s="262">
        <f>IF(ISNUMBER(AL23),AL23+AL44+AL62,"")</f>
        <v>91.812</v>
      </c>
      <c r="AM169" s="262">
        <f>IF(ISNUMBER(AM23),AM23+AM44+AM62,"")</f>
        <v>287.845</v>
      </c>
      <c r="AN169" s="262">
        <f>IF(ISNUMBER(AN23),AN23+AN44+AN62,"")</f>
        <v>72.36</v>
      </c>
      <c r="AO169" s="262">
        <f>IF(ISNUMBER(AO23),AO23+AO44+AO62,"")</f>
        <v>70.534</v>
      </c>
      <c r="AP169" s="262">
        <f>IF(ISNUMBER(AP23),AP23+AP44+AP62,"")</f>
        <v>106.751</v>
      </c>
      <c r="AQ169" s="262">
        <f>IF(ISNUMBER(AQ23),AQ23+AQ44+AQ62,"")</f>
        <v>93.002</v>
      </c>
      <c r="AR169" s="262">
        <f>IF(ISNUMBER(AR23),AR23+AR44+AR62,"")</f>
        <v>342.647</v>
      </c>
      <c r="AS169" s="262">
        <f>IF(ISNUMBER(AS23),AS23+AS44+AS62,"")</f>
        <v>79.927</v>
      </c>
      <c r="AT169" s="262">
        <f>IF(ISNUMBER(AT23),AT23+AT44+AT62,"")</f>
        <v>99.716</v>
      </c>
      <c r="AU169" s="262">
        <f>IF(ISNUMBER(AU23),AU23+AU44+AU62,"")</f>
        <v>106.183</v>
      </c>
      <c r="AV169" s="262">
        <f>IF(ISNUMBER(AV23),AV23+AV44+AV62,"")</f>
        <v>153.846</v>
      </c>
      <c r="AW169" s="262">
        <f>IF(ISNUMBER(AW23),AW23+AW44+AW62,"")</f>
        <v>439.672</v>
      </c>
      <c r="AX169" s="262">
        <f>IF(ISNUMBER(AX23),AX23+AX44+AX62,"")</f>
        <v>113.456</v>
      </c>
      <c r="AY169" s="262">
        <f>IF(ISNUMBER(AY23),AY23+AY44+AY62,"")</f>
        <v>130.35</v>
      </c>
      <c r="AZ169" s="262">
        <f>IF(ISNUMBER(AZ23),AZ23+AZ44+AZ62,"")</f>
        <v>133.15</v>
      </c>
      <c r="BA169" s="262">
        <f>IF(ISNUMBER(BA23),BA23+BA44+BA62,"")</f>
        <v>152.063</v>
      </c>
      <c r="BB169" s="262">
        <f>IF(ISNUMBER(BB23),BB23+BB44+BB62,"")</f>
        <v>529.019</v>
      </c>
      <c r="BC169" s="262">
        <f>IF(ISNUMBER(BC23),BC23+BC44+BC62,"")</f>
        <v>146.008</v>
      </c>
      <c r="BD169" s="262">
        <f>IF(ISNUMBER(BD23),BD23+BD44+BD62,"")</f>
        <v>180.536</v>
      </c>
      <c r="BE169" s="262">
        <f>IF(ISNUMBER(BE23),BE23+BE44+BE62,"")</f>
        <v>169.696</v>
      </c>
      <c r="BF169" s="262">
        <f>IF(ISNUMBER(BF23),BF23+BF44+BF62,"")</f>
        <v>163.59</v>
      </c>
      <c r="BG169" s="262">
        <f>IF(ISNUMBER(BG23),BG23+BG44+BG62,"")</f>
        <v>659.83</v>
      </c>
      <c r="BH169" s="262">
        <f>IF(ISNUMBER(BH23),BH23+BH44+BH62,"")</f>
        <v>168.375</v>
      </c>
      <c r="BI169" s="262">
        <f>IF(ISNUMBER(BI23),BI23+BI44+BI62,"")</f>
        <v>187.089</v>
      </c>
      <c r="BJ169" s="262">
        <f>IF(ISNUMBER(BJ23),BJ23+BJ44+BJ62,"")</f>
        <v>210.301</v>
      </c>
      <c r="BK169" s="262">
        <f>IF(ISNUMBER(BK23),BK23+BK44+BK62,"")</f>
        <v>200.071</v>
      </c>
      <c r="BL169" s="262">
        <f>IF(ISNUMBER(BL23),BL23+BL44+BL62,"")</f>
        <v>765.836</v>
      </c>
      <c r="BM169" s="262">
        <f>IF(ISNUMBER(BM23),BM23+BM44+BM62,"")</f>
        <v>183.208</v>
      </c>
      <c r="BN169" s="262">
        <f>IF(ISNUMBER(BN23),BN23+BN44+BN62,"")</f>
        <v>230.564</v>
      </c>
      <c r="BO169" s="262">
        <f>IF(ISNUMBER(BO23),BO23+BO44+BO62,"")</f>
        <v>232.961</v>
      </c>
      <c r="BP169" s="262">
        <f>IF(ISNUMBER(BP23),BP23+BP44+BP62,"")</f>
        <v>237.252</v>
      </c>
      <c r="BQ169" s="262">
        <f>IF(ISNUMBER(BQ23),BQ23+BQ44+BQ62,"")</f>
        <v>883.985</v>
      </c>
      <c r="BR169" s="262">
        <f>IF(ISNUMBER(BR23),BR23+BR44+BR62,"")</f>
        <v>220.182</v>
      </c>
      <c r="BS169" s="262">
        <f>IF(ISNUMBER(BS23),BS23+BS44+BS62,"")</f>
        <v>287.352</v>
      </c>
      <c r="BT169" s="262">
        <f>IF(ISNUMBER(BT23),BT23+BT44+BT62,"")</f>
        <v>304.448</v>
      </c>
      <c r="BU169" s="262">
        <f>IF(ISNUMBER(BU23),BU23+BU44+BU62,"")</f>
        <v>280.457</v>
      </c>
      <c r="BV169" s="262">
        <f>IF(ISNUMBER(BV23),BV23+BV44+BV62,"")</f>
        <v>1092.439</v>
      </c>
      <c r="BW169" s="262">
        <f>IF(ISNUMBER(BW23),BW23+BW44+BW62,"")</f>
        <v>278.318</v>
      </c>
      <c r="BX169" s="262">
        <f>IF(ISNUMBER(BX23),BX23+BX44+BX62,"")</f>
        <v>447.775</v>
      </c>
      <c r="BY169" s="262">
        <f>IF(ISNUMBER(BY23),BY23+BY44+BY62,"")</f>
        <v>414.959</v>
      </c>
      <c r="BZ169" s="153" t="n"/>
      <c r="CA169" s="153" t="n"/>
      <c r="CB169" s="153" t="n"/>
      <c r="CC169" s="153" t="n"/>
      <c r="CD169" s="153" t="n"/>
      <c r="CE169" s="153" t="n"/>
      <c r="CF169" s="153" t="n"/>
      <c r="CG169" s="153" t="n"/>
    </row>
    <row r="170" ht="15" customHeight="1" s="251">
      <c r="B170" s="57" t="inlineStr">
        <is>
          <t xml:space="preserve">  Check: model bridge vs company segment summary (should be 0)</t>
        </is>
      </c>
      <c r="C170" s="262">
        <f>IF(AND(ISNUMBER(C167),ISNUMBER(C169)),IF(ABS(C167-C169)&lt;=0.15,0,ROUND(C167-C169,1)),"n/p")</f>
        <v>0</v>
      </c>
      <c r="D170" s="262">
        <f>IF(AND(ISNUMBER(D167),ISNUMBER(D169)),IF(ABS(D167-D169)&lt;=0.15,0,ROUND(D167-D169,1)),"n/p")</f>
        <v>0</v>
      </c>
      <c r="E170" s="262">
        <f>IF(AND(ISNUMBER(E167),ISNUMBER(E169)),IF(ABS(E167-E169)&lt;=0.15,0,ROUND(E167-E169,1)),"n/p")</f>
        <v>0</v>
      </c>
      <c r="F170" s="262">
        <f>IF(AND(ISNUMBER(F167),ISNUMBER(F169)),IF(ABS(F167-F169)&lt;=0.15,0,ROUND(F167-F169,1)),"n/p")</f>
        <v>0</v>
      </c>
      <c r="G170" s="262">
        <f>IF(AND(ISNUMBER(G167),ISNUMBER(G169)),IF(ABS(G167-G169)&lt;=0.15,0,ROUND(G167-G169,1)),"n/p")</f>
        <v>0</v>
      </c>
      <c r="H170" s="262">
        <f>IF(AND(ISNUMBER(H167),ISNUMBER(H169)),IF(ABS(H167-H169)&lt;=0.15,0,ROUND(H167-H169,1)),"n/p")</f>
        <v>0</v>
      </c>
      <c r="I170" s="262">
        <f>IF(AND(ISNUMBER(I167),ISNUMBER(I169)),IF(ABS(I167-I169)&lt;=0.15,0,ROUND(I167-I169,1)),"n/p")</f>
        <v>0</v>
      </c>
      <c r="J170" s="262">
        <f>IF(AND(ISNUMBER(J167),ISNUMBER(J169)),IF(ABS(J167-J169)&lt;=0.15,0,ROUND(J167-J169,1)),"n/p")</f>
        <v>0</v>
      </c>
      <c r="K170" s="262">
        <f>IF(AND(ISNUMBER(K167),ISNUMBER(K169)),IF(ABS(K167-K169)&lt;=0.15,0,ROUND(K167-K169,1)),"n/p")</f>
        <v>0</v>
      </c>
      <c r="L170" s="262">
        <f>IF(AND(ISNUMBER(L167),ISNUMBER(L169)),IF(ABS(L167-L169)&lt;=0.15,0,ROUND(L167-L169,1)),"n/p")</f>
        <v>0</v>
      </c>
      <c r="M170" s="262">
        <f>IF(AND(ISNUMBER(M167),ISNUMBER(M169)),IF(ABS(M167-M169)&lt;=0.15,0,ROUND(M167-M169,1)),"n/p")</f>
        <v>0</v>
      </c>
      <c r="N170" s="262">
        <f>IF(AND(ISNUMBER(N167),ISNUMBER(N169)),IF(ABS(N167-N169)&lt;=0.15,0,ROUND(N167-N169,1)),"n/p")</f>
        <v>0</v>
      </c>
      <c r="O170" s="262">
        <f>IF(AND(ISNUMBER(O167),ISNUMBER(O169)),IF(ABS(O167-O169)&lt;=0.15,0,ROUND(O167-O169,1)),"n/p")</f>
        <v>0</v>
      </c>
      <c r="P170" s="262">
        <f>IF(AND(ISNUMBER(P167),ISNUMBER(P169)),IF(ABS(P167-P169)&lt;=0.15,0,ROUND(P167-P169,1)),"n/p")</f>
        <v>0</v>
      </c>
      <c r="Q170" s="262">
        <f>IF(AND(ISNUMBER(Q167),ISNUMBER(Q169)),IF(ABS(Q167-Q169)&lt;=0.15,0,ROUND(Q167-Q169,1)),"n/p")</f>
        <v>0</v>
      </c>
      <c r="R170" s="262">
        <f>IF(AND(ISNUMBER(R167),ISNUMBER(R169)),IF(ABS(R167-R169)&lt;=0.15,0,ROUND(R167-R169,1)),"n/p")</f>
        <v>0</v>
      </c>
      <c r="S170" s="262">
        <f>IF(AND(ISNUMBER(S167),ISNUMBER(S169)),IF(ABS(S167-S169)&lt;=0.15,0,ROUND(S167-S169,1)),"n/p")</f>
        <v>0</v>
      </c>
      <c r="T170" s="262">
        <f>IF(AND(ISNUMBER(T167),ISNUMBER(T169)),IF(ABS(T167-T169)&lt;=0.15,0,ROUND(T167-T169,1)),"n/p")</f>
        <v>0</v>
      </c>
      <c r="U170" s="262">
        <f>IF(AND(ISNUMBER(U167),ISNUMBER(U169)),IF(ABS(U167-U169)&lt;=0.15,0,ROUND(U167-U169,1)),"n/p")</f>
        <v>0</v>
      </c>
      <c r="V170" s="262">
        <f>IF(AND(ISNUMBER(V167),ISNUMBER(V169)),IF(ABS(V167-V169)&lt;=0.15,0,ROUND(V167-V169,1)),"n/p")</f>
        <v>0</v>
      </c>
      <c r="W170" s="262">
        <f>IF(AND(ISNUMBER(W167),ISNUMBER(W169)),IF(ABS(W167-W169)&lt;=0.15,0,ROUND(W167-W169,1)),"n/p")</f>
        <v>0</v>
      </c>
      <c r="X170" s="262">
        <f>IF(AND(ISNUMBER(X167),ISNUMBER(X169)),IF(ABS(X167-X169)&lt;=0.15,0,ROUND(X167-X169,1)),"n/p")</f>
        <v>0</v>
      </c>
      <c r="Y170" s="262">
        <f>IF(AND(ISNUMBER(Y167),ISNUMBER(Y169)),IF(ABS(Y167-Y169)&lt;=0.15,0,ROUND(Y167-Y169,1)),"n/p")</f>
        <v>0</v>
      </c>
      <c r="Z170" s="262">
        <f>IF(AND(ISNUMBER(Z167),ISNUMBER(Z169)),IF(ABS(Z167-Z169)&lt;=0.15,0,ROUND(Z167-Z169,1)),"n/p")</f>
        <v>0</v>
      </c>
      <c r="AA170" s="262">
        <f>IF(AND(ISNUMBER(AA167),ISNUMBER(AA169)),IF(ABS(AA167-AA169)&lt;=0.15,0,ROUND(AA167-AA169,1)),"n/p")</f>
        <v>0</v>
      </c>
      <c r="AB170" s="262">
        <f>IF(AND(ISNUMBER(AB167),ISNUMBER(AB169)),IF(ABS(AB167-AB169)&lt;=0.15,0,ROUND(AB167-AB169,1)),"n/p")</f>
        <v>0</v>
      </c>
      <c r="AC170" s="262">
        <f>IF(AND(ISNUMBER(AC167),ISNUMBER(AC169)),IF(ABS(AC167-AC169)&lt;=0.15,0,ROUND(AC167-AC169,1)),"n/p")</f>
        <v>0</v>
      </c>
      <c r="AD170" s="262">
        <f>IF(AND(ISNUMBER(AD167),ISNUMBER(AD169)),IF(ABS(AD167-AD169)&lt;=0.15,0,ROUND(AD167-AD169,1)),"n/p")</f>
        <v>0</v>
      </c>
      <c r="AE170" s="262">
        <f>IF(AND(ISNUMBER(AE167),ISNUMBER(AE169)),IF(ABS(AE167-AE169)&lt;=0.15,0,ROUND(AE167-AE169,1)),"n/p")</f>
        <v>0</v>
      </c>
      <c r="AF170" s="262">
        <f>IF(AND(ISNUMBER(AF167),ISNUMBER(AF169)),IF(ABS(AF167-AF169)&lt;=0.15,0,ROUND(AF167-AF169,1)),"n/p")</f>
        <v>0</v>
      </c>
      <c r="AG170" s="262">
        <f>IF(AND(ISNUMBER(AG167),ISNUMBER(AG169)),IF(ABS(AG167-AG169)&lt;=0.15,0,ROUND(AG167-AG169,1)),"n/p")</f>
        <v>0</v>
      </c>
      <c r="AH170" s="262">
        <f>IF(AND(ISNUMBER(AH167),ISNUMBER(AH169)),IF(ABS(AH167-AH169)&lt;=0.15,0,ROUND(AH167-AH169,1)),"n/p")</f>
        <v>0</v>
      </c>
      <c r="AI170" s="262">
        <f>IF(AND(ISNUMBER(AI167),ISNUMBER(AI169)),IF(ABS(AI167-AI169)&lt;=0.15,0,ROUND(AI167-AI169,1)),"n/p")</f>
        <v>0</v>
      </c>
      <c r="AJ170" s="262">
        <f>IF(AND(ISNUMBER(AJ167),ISNUMBER(AJ169)),IF(ABS(AJ167-AJ169)&lt;=0.15,0,ROUND(AJ167-AJ169,1)),"n/p")</f>
        <v>0</v>
      </c>
      <c r="AK170" s="262">
        <f>IF(AND(ISNUMBER(AK167),ISNUMBER(AK169)),IF(ABS(AK167-AK169)&lt;=0.15,0,ROUND(AK167-AK169,1)),"n/p")</f>
        <v>0</v>
      </c>
      <c r="AL170" s="262">
        <f>IF(AND(ISNUMBER(AL167),ISNUMBER(AL169)),IF(ABS(AL167-AL169)&lt;=0.15,0,ROUND(AL167-AL169,1)),"n/p")</f>
        <v>0</v>
      </c>
      <c r="AM170" s="262">
        <f>IF(AND(ISNUMBER(AM167),ISNUMBER(AM169)),IF(ABS(AM167-AM169)&lt;=0.15,0,ROUND(AM167-AM169,1)),"n/p")</f>
        <v>0</v>
      </c>
      <c r="AN170" s="262">
        <f>IF(AND(ISNUMBER(AN167),ISNUMBER(AN169)),IF(ABS(AN167-AN169)&lt;=0.15,0,ROUND(AN167-AN169,1)),"n/p")</f>
        <v>0</v>
      </c>
      <c r="AO170" s="262">
        <f>IF(AND(ISNUMBER(AO167),ISNUMBER(AO169)),IF(ABS(AO167-AO169)&lt;=0.15,0,ROUND(AO167-AO169,1)),"n/p")</f>
        <v>0</v>
      </c>
      <c r="AP170" s="262">
        <f>IF(AND(ISNUMBER(AP167),ISNUMBER(AP169)),IF(ABS(AP167-AP169)&lt;=0.15,0,ROUND(AP167-AP169,1)),"n/p")</f>
        <v>0</v>
      </c>
      <c r="AQ170" s="262">
        <f>IF(AND(ISNUMBER(AQ167),ISNUMBER(AQ169)),IF(ABS(AQ167-AQ169)&lt;=0.15,0,ROUND(AQ167-AQ169,1)),"n/p")</f>
        <v>0</v>
      </c>
      <c r="AR170" s="262">
        <f>IF(AND(ISNUMBER(AR167),ISNUMBER(AR169)),IF(ABS(AR167-AR169)&lt;=0.15,0,ROUND(AR167-AR169,1)),"n/p")</f>
        <v>0</v>
      </c>
      <c r="AS170" s="262">
        <f>IF(AND(ISNUMBER(AS167),ISNUMBER(AS169)),IF(ABS(AS167-AS169)&lt;=0.15,0,ROUND(AS167-AS169,1)),"n/p")</f>
        <v>0</v>
      </c>
      <c r="AT170" s="262">
        <f>IF(AND(ISNUMBER(AT167),ISNUMBER(AT169)),IF(ABS(AT167-AT169)&lt;=0.15,0,ROUND(AT167-AT169,1)),"n/p")</f>
        <v>0</v>
      </c>
      <c r="AU170" s="262">
        <f>IF(AND(ISNUMBER(AU167),ISNUMBER(AU169)),IF(ABS(AU167-AU169)&lt;=0.15,0,ROUND(AU167-AU169,1)),"n/p")</f>
        <v>0</v>
      </c>
      <c r="AV170" s="262">
        <f>IF(AND(ISNUMBER(AV167),ISNUMBER(AV169)),IF(ABS(AV167-AV169)&lt;=0.15,0,ROUND(AV167-AV169,1)),"n/p")</f>
        <v>0</v>
      </c>
      <c r="AW170" s="262">
        <f>IF(AND(ISNUMBER(AW167),ISNUMBER(AW169)),IF(ABS(AW167-AW169)&lt;=0.15,0,ROUND(AW167-AW169,1)),"n/p")</f>
        <v>0</v>
      </c>
      <c r="AX170" s="262">
        <f>IF(AND(ISNUMBER(AX167),ISNUMBER(AX169)),IF(ABS(AX167-AX169)&lt;=0.15,0,ROUND(AX167-AX169,1)),"n/p")</f>
        <v>0</v>
      </c>
      <c r="AY170" s="262">
        <f>IF(AND(ISNUMBER(AY167),ISNUMBER(AY169)),IF(ABS(AY167-AY169)&lt;=0.15,0,ROUND(AY167-AY169,1)),"n/p")</f>
        <v>0</v>
      </c>
      <c r="AZ170" s="262">
        <f>IF(AND(ISNUMBER(AZ167),ISNUMBER(AZ169)),IF(ABS(AZ167-AZ169)&lt;=0.15,0,ROUND(AZ167-AZ169,1)),"n/p")</f>
        <v>0</v>
      </c>
      <c r="BA170" s="262">
        <f>IF(AND(ISNUMBER(BA167),ISNUMBER(BA169)),IF(ABS(BA167-BA169)&lt;=0.15,0,ROUND(BA167-BA169,1)),"n/p")</f>
        <v>0</v>
      </c>
      <c r="BB170" s="262">
        <f>IF(AND(ISNUMBER(BB167),ISNUMBER(BB169)),IF(ABS(BB167-BB169)&lt;=0.15,0,ROUND(BB167-BB169,1)),"n/p")</f>
        <v>0</v>
      </c>
      <c r="BC170" s="262">
        <f>IF(AND(ISNUMBER(BC167),ISNUMBER(BC169)),IF(ABS(BC167-BC169)&lt;=0.15,0,ROUND(BC167-BC169,1)),"n/p")</f>
        <v>0</v>
      </c>
      <c r="BD170" s="262">
        <f>IF(AND(ISNUMBER(BD167),ISNUMBER(BD169)),IF(ABS(BD167-BD169)&lt;=0.15,0,ROUND(BD167-BD169,1)),"n/p")</f>
        <v>0</v>
      </c>
      <c r="BE170" s="262">
        <f>IF(AND(ISNUMBER(BE167),ISNUMBER(BE169)),IF(ABS(BE167-BE169)&lt;=0.15,0,ROUND(BE167-BE169,1)),"n/p")</f>
        <v>0</v>
      </c>
      <c r="BF170" s="262">
        <f>IF(AND(ISNUMBER(BF167),ISNUMBER(BF169)),IF(ABS(BF167-BF169)&lt;=0.15,0,ROUND(BF167-BF169,1)),"n/p")</f>
        <v>0</v>
      </c>
      <c r="BG170" s="262">
        <f>IF(AND(ISNUMBER(BG167),ISNUMBER(BG169)),IF(ABS(BG167-BG169)&lt;=0.15,0,ROUND(BG167-BG169,1)),"n/p")</f>
        <v>0</v>
      </c>
      <c r="BH170" s="262">
        <f>IF(AND(ISNUMBER(BH167),ISNUMBER(BH169)),IF(ABS(BH167-BH169)&lt;=0.15,0,ROUND(BH167-BH169,1)),"n/p")</f>
        <v>0</v>
      </c>
      <c r="BI170" s="262">
        <f>IF(AND(ISNUMBER(BI167),ISNUMBER(BI169)),IF(ABS(BI167-BI169)&lt;=0.15,0,ROUND(BI167-BI169,1)),"n/p")</f>
        <v>0</v>
      </c>
      <c r="BJ170" s="262">
        <f>IF(AND(ISNUMBER(BJ167),ISNUMBER(BJ169)),IF(ABS(BJ167-BJ169)&lt;=0.15,0,ROUND(BJ167-BJ169,1)),"n/p")</f>
        <v>0</v>
      </c>
      <c r="BK170" s="262">
        <f>IF(AND(ISNUMBER(BK167),ISNUMBER(BK169)),IF(ABS(BK167-BK169)&lt;=0.15,0,ROUND(BK167-BK169,1)),"n/p")</f>
        <v>0</v>
      </c>
      <c r="BL170" s="262">
        <f>IF(AND(ISNUMBER(BL167),ISNUMBER(BL169)),IF(ABS(BL167-BL169)&lt;=0.15,0,ROUND(BL167-BL169,1)),"n/p")</f>
        <v>0</v>
      </c>
      <c r="BM170" s="262">
        <f>IF(AND(ISNUMBER(BM167),ISNUMBER(BM169)),IF(ABS(BM167-BM169)&lt;=0.15,0,ROUND(BM167-BM169,1)),"n/p")</f>
        <v>0</v>
      </c>
      <c r="BN170" s="262">
        <f>IF(AND(ISNUMBER(BN167),ISNUMBER(BN169)),IF(ABS(BN167-BN169)&lt;=0.15,0,ROUND(BN167-BN169,1)),"n/p")</f>
        <v>0</v>
      </c>
      <c r="BO170" s="262">
        <f>IF(AND(ISNUMBER(BO167),ISNUMBER(BO169)),IF(ABS(BO167-BO169)&lt;=0.15,0,ROUND(BO167-BO169,1)),"n/p")</f>
        <v>0</v>
      </c>
      <c r="BP170" s="262">
        <f>IF(AND(ISNUMBER(BP167),ISNUMBER(BP169)),IF(ABS(BP167-BP169)&lt;=0.15,0,ROUND(BP167-BP169,1)),"n/p")</f>
        <v>0</v>
      </c>
      <c r="BQ170" s="262">
        <f>IF(AND(ISNUMBER(BQ167),ISNUMBER(BQ169)),IF(ABS(BQ167-BQ169)&lt;=0.15,0,ROUND(BQ167-BQ169,1)),"n/p")</f>
        <v>0</v>
      </c>
      <c r="BR170" s="262">
        <f>IF(AND(ISNUMBER(BR167),ISNUMBER(BR169)),IF(ABS(BR167-BR169)&lt;=0.15,0,ROUND(BR167-BR169,1)),"n/p")</f>
        <v>0</v>
      </c>
      <c r="BS170" s="262">
        <f>IF(AND(ISNUMBER(BS167),ISNUMBER(BS169)),IF(ABS(BS167-BS169)&lt;=0.15,0,ROUND(BS167-BS169,1)),"n/p")</f>
        <v>0</v>
      </c>
      <c r="BT170" s="262">
        <f>IF(AND(ISNUMBER(BT167),ISNUMBER(BT169)),IF(ABS(BT167-BT169)&lt;=0.15,0,ROUND(BT167-BT169,1)),"n/p")</f>
        <v>0</v>
      </c>
      <c r="BU170" s="262">
        <f>IF(AND(ISNUMBER(BU167),ISNUMBER(BU169)),IF(ABS(BU167-BU169)&lt;=0.15,0,ROUND(BU167-BU169,1)),"n/p")</f>
        <v>0</v>
      </c>
      <c r="BV170" s="262">
        <f>IF(AND(ISNUMBER(BV167),ISNUMBER(BV169)),IF(ABS(BV167-BV169)&lt;=0.15,0,ROUND(BV167-BV169,1)),"n/p")</f>
        <v>0</v>
      </c>
      <c r="BW170" s="262">
        <f>IF(AND(ISNUMBER(BW167),ISNUMBER(BW169)),IF(ABS(BW167-BW169)&lt;=0.15,0,ROUND(BW167-BW169,1)),"n/p")</f>
        <v>0</v>
      </c>
      <c r="BX170" s="262">
        <f>IF(AND(ISNUMBER(BX167),ISNUMBER(BX169)),IF(ABS(BX167-BX169)&lt;=0.15,0,ROUND(BX167-BX169,1)),"n/p")</f>
        <v>0</v>
      </c>
      <c r="BY170" s="262">
        <f>IF(AND(ISNUMBER(BY167),ISNUMBER(BY169)),IF(ABS(BY167-BY169)&lt;=0.15,0,ROUND(BY167-BY169,1)),"n/p")</f>
        <v>0</v>
      </c>
      <c r="BZ170" s="153" t="n"/>
      <c r="CA170" s="153" t="n"/>
      <c r="CB170" s="153" t="n"/>
      <c r="CC170" s="153" t="n"/>
      <c r="CD170" s="153" t="n"/>
      <c r="CE170" s="153" t="n"/>
      <c r="CF170" s="153" t="n"/>
      <c r="CG170" s="153" t="n"/>
    </row>
    <row r="171" ht="15" customHeight="1" s="251">
      <c r="B171" s="158" t="inlineStr">
        <is>
          <t xml:space="preserve">  Definition / basis (segment measure in force)</t>
        </is>
      </c>
      <c r="C171" s="283" t="inlineStr">
        <is>
          <t>FY2006–09: product-line segments; segment results after amortization and corporate costs; unallocated = SBC, restructuring, (gains) / losses on sales</t>
        </is>
      </c>
      <c r="G171" s="283" t="inlineStr">
        <is>
          <t>FY2010+: Applications / Scores / Tools; unallocated corporate expenses, SBC, amortization, restructuring</t>
        </is>
      </c>
      <c r="AC171" s="283" t="inlineStr">
        <is>
          <t>FY2016+: Decision Management Software replaces Tools</t>
        </is>
      </c>
      <c r="BB171" s="283" t="inlineStr">
        <is>
          <t>FY2021 10-K: Scores / Software (quarters from Q1/22)</t>
        </is>
      </c>
      <c r="BV171" s="283" t="inlineStr">
        <is>
          <t>FY2025 10-K: "total segment operating income" shown before unallocated corporate expenses — model measure unchanged</t>
        </is>
      </c>
      <c r="BZ171" s="153" t="n"/>
      <c r="CA171" s="153" t="n"/>
      <c r="CB171" s="153" t="n"/>
      <c r="CC171" s="153" t="n"/>
      <c r="CD171" s="153" t="n"/>
      <c r="CE171" s="153" t="n"/>
      <c r="CF171" s="153" t="n"/>
      <c r="CG171" s="19" t="inlineStr">
        <is>
          <t>Basis changes are flagged in the column where they take effect (cell comment gives the detail).</t>
        </is>
      </c>
    </row>
    <row r="172" ht="15" customHeight="1" s="251">
      <c r="B172" s="22" t="inlineStr">
        <is>
          <t xml:space="preserve">  Non-GAAP operating income y/y %</t>
        </is>
      </c>
      <c r="C172" s="23" t="n"/>
      <c r="D172" s="255">
        <f>IF(AND(ISNUMBER(D167),ISNUMBER(C167)),IFERROR(D167/C167-1,""),"")</f>
        <v>-0.134382431109247</v>
      </c>
      <c r="E172" s="255">
        <f>IF(AND(ISNUMBER(E167),ISNUMBER(D167)),IFERROR(E167/D167-1,""),"")</f>
        <v>-0.137226702002165</v>
      </c>
      <c r="F172" s="255">
        <f>IF(AND(ISNUMBER(F167),ISNUMBER(E167)),IFERROR(F167/E167-1,""),"")</f>
        <v>-0.0735891816972893</v>
      </c>
      <c r="G172" s="255">
        <f>IF(AND(ISNUMBER(G167),ISNUMBER(F167)),IFERROR(G167/F167-1,""),"")</f>
        <v>-0.0351380858032434</v>
      </c>
      <c r="H172" s="255">
        <f>IF(AND(ISNUMBER(H167),ISNUMBER(G167)),IFERROR(H167/G167-1,""),"")</f>
        <v>0.138274243567178</v>
      </c>
      <c r="I172" s="255">
        <f>IF(AND(ISNUMBER(I167),ISNUMBER(H167)),IFERROR(I167/H167-1,""),"")</f>
        <v>0.237388705827489</v>
      </c>
      <c r="J172" s="23" t="n"/>
      <c r="K172" s="23" t="n"/>
      <c r="L172" s="23" t="n"/>
      <c r="M172" s="23" t="n"/>
      <c r="N172" s="255">
        <f>IF(AND(ISNUMBER(N167),ISNUMBER(I167)),IFERROR(N167/I167-1,""),"")</f>
        <v>0.0139247034553895</v>
      </c>
      <c r="O172" s="255">
        <f>IF(AND(ISNUMBER(O167),ISNUMBER(J167)),IFERROR(O167/J167-1,""),"")</f>
        <v>-0.113702308648873</v>
      </c>
      <c r="P172" s="255">
        <f>IF(AND(ISNUMBER(P167),ISNUMBER(K167)),IFERROR(P167/K167-1,""),"")</f>
        <v>0.172894061032321</v>
      </c>
      <c r="Q172" s="255">
        <f>IF(AND(ISNUMBER(Q167),ISNUMBER(L167)),IFERROR(Q167/L167-1,""),"")</f>
        <v>0.0850353581938774</v>
      </c>
      <c r="R172" s="255">
        <f>IF(AND(ISNUMBER(R167),ISNUMBER(M167)),IFERROR(R167/M167-1,""),"")</f>
        <v>0.0818332779807376</v>
      </c>
      <c r="S172" s="255">
        <f>IF(AND(ISNUMBER(S167),ISNUMBER(N167)),IFERROR(S167/N167-1,""),"")</f>
        <v>0.0487322951717657</v>
      </c>
      <c r="T172" s="255">
        <f>IF(AND(ISNUMBER(T167),ISNUMBER(O167)),IFERROR(T167/O167-1,""),"")</f>
        <v>-0.255642767090975</v>
      </c>
      <c r="U172" s="255">
        <f>IF(AND(ISNUMBER(U167),ISNUMBER(P167)),IFERROR(U167/P167-1,""),"")</f>
        <v>-0.019330913681553</v>
      </c>
      <c r="V172" s="255">
        <f>IF(AND(ISNUMBER(V167),ISNUMBER(Q167)),IFERROR(V167/Q167-1,""),"")</f>
        <v>0.114743148605433</v>
      </c>
      <c r="W172" s="255">
        <f>IF(AND(ISNUMBER(W167),ISNUMBER(R167)),IFERROR(W167/R167-1,""),"")</f>
        <v>0.125606311782403</v>
      </c>
      <c r="X172" s="255">
        <f>IF(AND(ISNUMBER(X167),ISNUMBER(S167)),IFERROR(X167/S167-1,""),"")</f>
        <v>0.00139907101684411</v>
      </c>
      <c r="Y172" s="255">
        <f>IF(AND(ISNUMBER(Y167),ISNUMBER(T167)),IFERROR(Y167/T167-1,""),"")</f>
        <v>0.341692618696388</v>
      </c>
      <c r="Z172" s="255">
        <f>IF(AND(ISNUMBER(Z167),ISNUMBER(U167)),IFERROR(Z167/U167-1,""),"")</f>
        <v>0.118975782444284</v>
      </c>
      <c r="AA172" s="255">
        <f>IF(AND(ISNUMBER(AA167),ISNUMBER(V167)),IFERROR(AA167/V167-1,""),"")</f>
        <v>0.311103041307308</v>
      </c>
      <c r="AB172" s="255">
        <f>IF(AND(ISNUMBER(AB167),ISNUMBER(W167)),IFERROR(AB167/W167-1,""),"")</f>
        <v>-0.152759405981099</v>
      </c>
      <c r="AC172" s="255">
        <f>IF(AND(ISNUMBER(AC167),ISNUMBER(X167)),IFERROR(AC167/X167-1,""),"")</f>
        <v>0.113422562497672</v>
      </c>
      <c r="AD172" s="255">
        <f>IF(AND(ISNUMBER(AD167),ISNUMBER(Y167)),IFERROR(AD167/Y167-1,""),"")</f>
        <v>0.0743576169727578</v>
      </c>
      <c r="AE172" s="255">
        <f>IF(AND(ISNUMBER(AE167),ISNUMBER(Z167)),IFERROR(AE167/Z167-1,""),"")</f>
        <v>0.0437525839909401</v>
      </c>
      <c r="AF172" s="255">
        <f>IF(AND(ISNUMBER(AF167),ISNUMBER(AA167)),IFERROR(AF167/AA167-1,""),"")</f>
        <v>-0.119500339292886</v>
      </c>
      <c r="AG172" s="255">
        <f>IF(AND(ISNUMBER(AG167),ISNUMBER(AB167)),IFERROR(AG167/AB167-1,""),"")</f>
        <v>0.306813243412899</v>
      </c>
      <c r="AH172" s="255">
        <f>IF(AND(ISNUMBER(AH167),ISNUMBER(AC167)),IFERROR(AH167/AC167-1,""),"")</f>
        <v>0.069093160115943</v>
      </c>
      <c r="AI172" s="255">
        <f>IF(AND(ISNUMBER(AI167),ISNUMBER(AD167)),IFERROR(AI167/AD167-1,""),"")</f>
        <v>0.103020884660577</v>
      </c>
      <c r="AJ172" s="255">
        <f>IF(AND(ISNUMBER(AJ167),ISNUMBER(AE167)),IFERROR(AJ167/AE167-1,""),"")</f>
        <v>0.188357874795488</v>
      </c>
      <c r="AK172" s="255">
        <f>IF(AND(ISNUMBER(AK167),ISNUMBER(AF167)),IFERROR(AK167/AF167-1,""),"")</f>
        <v>0.0825731362063547</v>
      </c>
      <c r="AL172" s="255">
        <f>IF(AND(ISNUMBER(AL167),ISNUMBER(AG167)),IFERROR(AL167/AG167-1,""),"")</f>
        <v>0.130814991809437</v>
      </c>
      <c r="AM172" s="255">
        <f>IF(AND(ISNUMBER(AM167),ISNUMBER(AH167)),IFERROR(AM167/AH167-1,""),"")</f>
        <v>0.126145335326014</v>
      </c>
      <c r="AN172" s="255">
        <f>IF(AND(ISNUMBER(AN167),ISNUMBER(AI167)),IFERROR(AN167/AI167-1,""),"")</f>
        <v>0.243256245489845</v>
      </c>
      <c r="AO172" s="255">
        <f>IF(AND(ISNUMBER(AO167),ISNUMBER(AJ167)),IFERROR(AO167/AJ167-1,""),"")</f>
        <v>0.0222022550071013</v>
      </c>
      <c r="AP172" s="255">
        <f>IF(AND(ISNUMBER(AP167),ISNUMBER(AK167)),IFERROR(AP167/AK167-1,""),"")</f>
        <v>0.55093709138457</v>
      </c>
      <c r="AQ172" s="255">
        <f>IF(AND(ISNUMBER(AQ167),ISNUMBER(AL167)),IFERROR(AQ167/AL167-1,""),"")</f>
        <v>0.0129612686794751</v>
      </c>
      <c r="AR172" s="255">
        <f>IF(AND(ISNUMBER(AR167),ISNUMBER(AM167)),IFERROR(AR167/AM167-1,""),"")</f>
        <v>0.190387187548855</v>
      </c>
      <c r="AS172" s="255">
        <f>IF(AND(ISNUMBER(AS167),ISNUMBER(AN167)),IFERROR(AS167/AN167-1,""),"")</f>
        <v>0.104574350469874</v>
      </c>
      <c r="AT172" s="255">
        <f>IF(AND(ISNUMBER(AT167),ISNUMBER(AO167)),IFERROR(AT167/AO167-1,""),"")</f>
        <v>0.413729548870049</v>
      </c>
      <c r="AU172" s="255">
        <f>IF(AND(ISNUMBER(AU167),ISNUMBER(AP167)),IFERROR(AU167/AP167-1,""),"")</f>
        <v>-0.00532079324783863</v>
      </c>
      <c r="AV172" s="255">
        <f>IF(AND(ISNUMBER(AV167),ISNUMBER(AQ167)),IFERROR(AV167/AQ167-1,""),"")</f>
        <v>0.654222489838928</v>
      </c>
      <c r="AW172" s="255">
        <f>IF(AND(ISNUMBER(AW167),ISNUMBER(AR167)),IFERROR(AW167/AR167-1,""),"")</f>
        <v>0.283163138740453</v>
      </c>
      <c r="AX172" s="255">
        <f>IF(AND(ISNUMBER(AX167),ISNUMBER(AS167)),IFERROR(AX167/AS167-1,""),"")</f>
        <v>0.419495289451623</v>
      </c>
      <c r="AY172" s="255">
        <f>IF(AND(ISNUMBER(AY167),ISNUMBER(AT167)),IFERROR(AY167/AT167-1,""),"")</f>
        <v>0.307212483453006</v>
      </c>
      <c r="AZ172" s="255">
        <f>IF(AND(ISNUMBER(AZ167),ISNUMBER(AU167)),IFERROR(AZ167/AU167-1,""),"")</f>
        <v>0.253967207556766</v>
      </c>
      <c r="BA172" s="255">
        <f>IF(AND(ISNUMBER(BA167),ISNUMBER(AV167)),IFERROR(BA167/AV167-1,""),"")</f>
        <v>-0.0115895115895115</v>
      </c>
      <c r="BB172" s="255">
        <f>IF(AND(ISNUMBER(BB167),ISNUMBER(AW167)),IFERROR(BB167/AW167-1,""),"")</f>
        <v>0.203212849578778</v>
      </c>
      <c r="BC172" s="255">
        <f>IF(AND(ISNUMBER(BC167),ISNUMBER(AX167)),IFERROR(BC167/AX167-1,""),"")</f>
        <v>0.286912988295022</v>
      </c>
      <c r="BD172" s="255">
        <f>IF(AND(ISNUMBER(BD167),ISNUMBER(AY167)),IFERROR(BD167/AY167-1,""),"")</f>
        <v>0.385009589566552</v>
      </c>
      <c r="BE172" s="255">
        <f>IF(AND(ISNUMBER(BE167),ISNUMBER(AZ167)),IFERROR(BE167/AZ167-1,""),"")</f>
        <v>0.27447239954938</v>
      </c>
      <c r="BF172" s="255">
        <f>IF(AND(ISNUMBER(BF167),ISNUMBER(BA167)),IFERROR(BF167/BA167-1,""),"")</f>
        <v>0.0758041075080722</v>
      </c>
      <c r="BG172" s="255">
        <f>IF(AND(ISNUMBER(BG167),ISNUMBER(BB167)),IFERROR(BG167/BB167-1,""),"")</f>
        <v>0.247270891971743</v>
      </c>
      <c r="BH172" s="255">
        <f>IF(AND(ISNUMBER(BH167),ISNUMBER(BC167)),IFERROR(BH167/BC167-1,""),"")</f>
        <v>0.153190236151443</v>
      </c>
      <c r="BI172" s="255">
        <f>IF(AND(ISNUMBER(BI167),ISNUMBER(BD167)),IFERROR(BI167/BD167-1,""),"")</f>
        <v>0.0362974697567244</v>
      </c>
      <c r="BJ172" s="255">
        <f>IF(AND(ISNUMBER(BJ167),ISNUMBER(BE167)),IFERROR(BJ167/BE167-1,""),"")</f>
        <v>0.239280831604752</v>
      </c>
      <c r="BK172" s="255">
        <f>IF(AND(ISNUMBER(BK167),ISNUMBER(BF167)),IFERROR(BK167/BF167-1,""),"")</f>
        <v>0.223002628522526</v>
      </c>
      <c r="BL172" s="255">
        <f>IF(AND(ISNUMBER(BL167),ISNUMBER(BG167)),IFERROR(BL167/BG167-1,""),"")</f>
        <v>0.160656532743282</v>
      </c>
      <c r="BM172" s="255">
        <f>IF(AND(ISNUMBER(BM167),ISNUMBER(BH167)),IFERROR(BM167/BH167-1,""),"")</f>
        <v>0.0880950259836675</v>
      </c>
      <c r="BN172" s="255">
        <f>IF(AND(ISNUMBER(BN167),ISNUMBER(BI167)),IFERROR(BN167/BI167-1,""),"")</f>
        <v>0.232376034935245</v>
      </c>
      <c r="BO172" s="255">
        <f>IF(AND(ISNUMBER(BO167),ISNUMBER(BJ167)),IFERROR(BO167/BJ167-1,""),"")</f>
        <v>0.107750319779744</v>
      </c>
      <c r="BP172" s="255">
        <f>IF(AND(ISNUMBER(BP167),ISNUMBER(BK167)),IFERROR(BP167/BK167-1,""),"")</f>
        <v>0.185839027145364</v>
      </c>
      <c r="BQ172" s="255">
        <f>IF(AND(ISNUMBER(BQ167),ISNUMBER(BL167)),IFERROR(BQ167/BL167-1,""),"")</f>
        <v>0.154274544419432</v>
      </c>
      <c r="BR172" s="255">
        <f>IF(AND(ISNUMBER(BR167),ISNUMBER(BM167)),IFERROR(BR167/BM167-1,""),"")</f>
        <v>0.201814331251911</v>
      </c>
      <c r="BS172" s="255">
        <f>IF(AND(ISNUMBER(BS167),ISNUMBER(BN167)),IFERROR(BS167/BN167-1,""),"")</f>
        <v>0.246300376468139</v>
      </c>
      <c r="BT172" s="255">
        <f>IF(AND(ISNUMBER(BT167),ISNUMBER(BO167)),IFERROR(BT167/BO167-1,""),"")</f>
        <v>0.306862522053047</v>
      </c>
      <c r="BU172" s="255">
        <f>IF(AND(ISNUMBER(BU167),ISNUMBER(BP167)),IFERROR(BU167/BP167-1,""),"")</f>
        <v>0.18210594641984</v>
      </c>
      <c r="BV172" s="255">
        <f>IF(AND(ISNUMBER(BV167),ISNUMBER(BQ167)),IFERROR(BV167/BQ167-1,""),"")</f>
        <v>0.235811693637335</v>
      </c>
      <c r="BW172" s="255">
        <f>IF(AND(ISNUMBER(BW167),ISNUMBER(BR167)),IFERROR(BW167/BR167-1,""),"")</f>
        <v>0.264036115577113</v>
      </c>
      <c r="BX172" s="255">
        <f>IF(AND(ISNUMBER(BX167),ISNUMBER(BS167)),IFERROR(BX167/BS167-1,""),"")</f>
        <v>0.558280436537766</v>
      </c>
      <c r="BY172" s="255">
        <f>IF(AND(ISNUMBER(BY167),ISNUMBER(BT167)),IFERROR(BY167/BT167-1,""),"")</f>
        <v>0.362988096489385</v>
      </c>
      <c r="BZ172" s="256">
        <f>IF(AND(ISNUMBER(BZ167),ISNUMBER(BU167)),IFERROR(BZ167/BU167-1,""),"")</f>
        <v>0.338727797801546</v>
      </c>
      <c r="CA172" s="256">
        <f>IF(AND(ISNUMBER(CA167),ISNUMBER(BV167)),IFERROR(CA167/BV167-1,""),"")</f>
        <v>0.388185136184289</v>
      </c>
      <c r="CB172" s="256">
        <f>IF(AND(ISNUMBER(CB167),ISNUMBER(CA167)),IFERROR(CB167/CA167-1,""),"")</f>
        <v>0.158260738625101</v>
      </c>
      <c r="CC172" s="256">
        <f>IF(AND(ISNUMBER(CC167),ISNUMBER(CB167)),IFERROR(CC167/CB167-1,""),"")</f>
        <v>0.119003973028199</v>
      </c>
      <c r="CD172" s="256">
        <f>IF(AND(ISNUMBER(CD167),ISNUMBER(CC167)),IFERROR(CD167/CC167-1,""),"")</f>
        <v>0.10431140741946</v>
      </c>
      <c r="CE172" s="256">
        <f>IF(AND(ISNUMBER(CE167),ISNUMBER(CD167)),IFERROR(CE167/CD167-1,""),"")</f>
        <v>0.0904131115724212</v>
      </c>
      <c r="CF172" s="256">
        <f>IF(AND(ISNUMBER(CF167),ISNUMBER(CE167)),IFERROR(CF167/CE167-1,""),"")</f>
        <v>0.0826632692108427</v>
      </c>
      <c r="CG172" s="153" t="n"/>
    </row>
    <row r="173" ht="15" customHeight="1" s="251">
      <c r="B173" s="25" t="inlineStr">
        <is>
          <t xml:space="preserve">  Incremental non-GAAP operating margin (Δ income / Δ revenue)</t>
        </is>
      </c>
      <c r="C173" s="36" t="n"/>
      <c r="D173" s="215">
        <f>IFERROR((D167-C167)/(D127-C127),"")</f>
        <v>9.21093000958771</v>
      </c>
      <c r="E173" s="215">
        <f>IFERROR((E167-D167)/(E127-D127),"")</f>
        <v>0.329172804093339</v>
      </c>
      <c r="F173" s="215">
        <f>IFERROR((F167-E167)/(F127-E127),"")</f>
        <v>0.103297781906456</v>
      </c>
      <c r="G173" s="215">
        <f>IFERROR((G167-F167)/(G127-F127),"")</f>
        <v>0.207795313247254</v>
      </c>
      <c r="H173" s="215">
        <f>IFERROR((H167-G167)/(H127-G127),"")</f>
        <v>1.41004273504273</v>
      </c>
      <c r="I173" s="215">
        <f>IFERROR((I167-H167)/(I127-H127),"")</f>
        <v>0.681829397250618</v>
      </c>
      <c r="J173" s="36" t="n"/>
      <c r="K173" s="36" t="n"/>
      <c r="L173" s="36" t="n"/>
      <c r="M173" s="36" t="n"/>
      <c r="N173" s="215">
        <f>IFERROR((N167-I167)/(N127-I127),"")</f>
        <v>0.0418973157667003</v>
      </c>
      <c r="O173" s="215">
        <f>IFERROR((O167-J167)/(O127-J127),"")</f>
        <v>1.11132640479126</v>
      </c>
      <c r="P173" s="215">
        <f>IFERROR((P167-K167)/(P127-K127),"")</f>
        <v>1.21769594264299</v>
      </c>
      <c r="Q173" s="215">
        <f>IFERROR((Q167-L167)/(Q127-L127),"")</f>
        <v>0.279809220985692</v>
      </c>
      <c r="R173" s="215">
        <f>IFERROR((R167-M167)/(R127-M127),"")</f>
        <v>0.157731331818328</v>
      </c>
      <c r="S173" s="215">
        <f>IFERROR((S167-N167)/(S127-N127),"")</f>
        <v>0.218791857886298</v>
      </c>
      <c r="T173" s="215">
        <f>IFERROR((T167-O167)/(T127-O127),"")</f>
        <v>-2.41444209717686</v>
      </c>
      <c r="U173" s="215">
        <f>IFERROR((U167-P167)/(U127-P127),"")</f>
        <v>-0.0452718621517998</v>
      </c>
      <c r="V173" s="215">
        <f>IFERROR((V167-Q167)/(V127-Q127),"")</f>
        <v>0.482221844164683</v>
      </c>
      <c r="W173" s="215">
        <f>IFERROR((W167-R167)/(W127-R127),"")</f>
        <v>0.731539424280351</v>
      </c>
      <c r="X173" s="215">
        <f>IFERROR((X167-S167)/(X127-S127),"")</f>
        <v>0.00602458028757068</v>
      </c>
      <c r="Y173" s="215">
        <f>IFERROR((Y167-T167)/(Y127-T127),"")</f>
        <v>1.18829564886947</v>
      </c>
      <c r="Z173" s="215">
        <f>IFERROR((Z167-U167)/(Z127-U127),"")</f>
        <v>-13.7238979118326</v>
      </c>
      <c r="AA173" s="215">
        <f>IFERROR((AA167-V167)/(AA127-V127),"")</f>
        <v>0.582551339589283</v>
      </c>
      <c r="AB173" s="215">
        <f>IFERROR((AB167-W167)/(AB127-W127),"")</f>
        <v>-3.65123859191655</v>
      </c>
      <c r="AC173" s="215">
        <f>IFERROR((AC167-X167)/(AC127-X127),"")</f>
        <v>0.572049324721084</v>
      </c>
      <c r="AD173" s="215">
        <f>IFERROR((AD167-Y167)/(AD127-Y127),"")</f>
        <v>0.187051833640649</v>
      </c>
      <c r="AE173" s="215">
        <f>IFERROR((AE167-Z167)/(AE127-Z127),"")</f>
        <v>0.112165898617511</v>
      </c>
      <c r="AF173" s="215">
        <f>IFERROR((AF167-AA167)/(AF127-AA127),"")</f>
        <v>1.10741786447639</v>
      </c>
      <c r="AG173" s="215">
        <f>IFERROR((AG167-AB167)/(AG127-AB127),"")</f>
        <v>1.09671480352109</v>
      </c>
      <c r="AH173" s="215">
        <f>IFERROR((AH167-AC167)/(AH127-AC127),"")</f>
        <v>0.325093972015036</v>
      </c>
      <c r="AI173" s="215">
        <f>IFERROR((AI167-AD167)/(AI127-AD127),"")</f>
        <v>0.345779530564213</v>
      </c>
      <c r="AJ173" s="215">
        <f>IFERROR((AJ167-AE167)/(AJ127-AE127),"")</f>
        <v>0.370997286295794</v>
      </c>
      <c r="AK173" s="215">
        <f>IFERROR((AK167-AF167)/(AK127-AF127),"")</f>
        <v>0.184087801115047</v>
      </c>
      <c r="AL173" s="215">
        <f>IFERROR((AL167-AG167)/(AL127-AG127),"")</f>
        <v>0.39949597532536</v>
      </c>
      <c r="AM173" s="215">
        <f>IFERROR((AM167-AH167)/(AM127-AH127),"")</f>
        <v>0.321446374095266</v>
      </c>
      <c r="AN173" s="215">
        <f>IFERROR((AN167-AI167)/(AN127-AI127),"")</f>
        <v>0.525635789864488</v>
      </c>
      <c r="AO173" s="215">
        <f>IFERROR((AO167-AJ167)/(AO127-AJ127),"")</f>
        <v>0.075186493914409</v>
      </c>
      <c r="AP173" s="215">
        <f>IFERROR((AP167-AK167)/(AP127-AK127),"")</f>
        <v>0.692696916557065</v>
      </c>
      <c r="AQ173" s="215">
        <f>IFERROR((AQ167-AL167)/(AQ127-AL127),"")</f>
        <v>0.046569874378741</v>
      </c>
      <c r="AR173" s="215">
        <f>IFERROR((AR167-AM167)/(AR127-AM127),"")</f>
        <v>0.429455833490064</v>
      </c>
      <c r="AS173" s="215">
        <f>IFERROR((AS167-AN167)/(AS127-AN127),"")</f>
        <v>0.208756345177667</v>
      </c>
      <c r="AT173" s="215">
        <f>IFERROR((AT167-AO167)/(AT127-AO127),"")</f>
        <v>0.981336382284696</v>
      </c>
      <c r="AU173" s="215">
        <f>IFERROR((AU167-AP167)/(AU127-AP127),"")</f>
        <v>1.09652509652509</v>
      </c>
      <c r="AV173" s="215">
        <f>IFERROR((AV167-AQ167)/(AV127-AQ127),"")</f>
        <v>0.881643772097606</v>
      </c>
      <c r="AW173" s="215">
        <f>IFERROR((AW167-AR167)/(AW127-AR127),"")</f>
        <v>0.721488113385733</v>
      </c>
      <c r="AX173" s="215">
        <f>IFERROR((AX167-AS167)/(AX127-AS127),"")</f>
        <v>2.41042415528397</v>
      </c>
      <c r="AY173" s="215">
        <f>IFERROR((AY167-AT167)/(AY127-AT127),"")</f>
        <v>1.30970500213767</v>
      </c>
      <c r="AZ173" s="215">
        <f>IFERROR((AZ167-AU167)/(AZ127-AU127),"")</f>
        <v>1.10280947123052</v>
      </c>
      <c r="BA173" s="215">
        <f>IFERROR((BA167-AV167)/(BA127-AV127),"")</f>
        <v>0.0448226451142559</v>
      </c>
      <c r="BB173" s="215">
        <f>IFERROR((BB167-AW167)/(BB127-AW127),"")</f>
        <v>4.06603258396285</v>
      </c>
      <c r="BC173" s="215">
        <f>IFERROR((BC167-AX167)/(BC127-AX127),"")</f>
        <v>3.27254448577461</v>
      </c>
      <c r="BD173" s="215">
        <f>IFERROR((BD167-AY167)/(BD127-AY127),"")</f>
        <v>1.94263373848417</v>
      </c>
      <c r="BE173" s="215">
        <f>IFERROR((BE167-AZ167)/(BE127-AZ127),"")</f>
        <v>3.38953811908737</v>
      </c>
      <c r="BF173" s="215">
        <f>IFERROR((BF167-BA167)/(BF127-BA127),"")</f>
        <v>0.813421776868252</v>
      </c>
      <c r="BG173" s="215">
        <f>IFERROR((BG167-BB167)/(BG127-BB127),"")</f>
        <v>2.15383475483255</v>
      </c>
      <c r="BH173" s="215">
        <f>IFERROR((BH167-BC167)/(BH127-BC127),"")</f>
        <v>0.993691412323957</v>
      </c>
      <c r="BI173" s="215">
        <f>IFERROR((BI167-BD167)/(BI127-BD127),"")</f>
        <v>0.284036235967231</v>
      </c>
      <c r="BJ173" s="215">
        <f>IFERROR((BJ167-BE167)/(BJ127-BE127),"")</f>
        <v>0.81664052129842</v>
      </c>
      <c r="BK173" s="215">
        <f>IFERROR((BK167-BF167)/(BK127-BF127),"")</f>
        <v>0.890106136391362</v>
      </c>
      <c r="BL173" s="215">
        <f>IFERROR((BL167-BG167)/(BL127-BG127),"")</f>
        <v>0.777814465062697</v>
      </c>
      <c r="BM173" s="215">
        <f>IFERROR((BM167-BH167)/(BM127-BH127),"")</f>
        <v>0.398854499986556</v>
      </c>
      <c r="BN173" s="215">
        <f>IFERROR((BN167-BI167)/(BN127-BI127),"")</f>
        <v>0.81196421567712</v>
      </c>
      <c r="BO173" s="215">
        <f>IFERROR((BO167-BJ167)/(BO127-BJ127),"")</f>
        <v>0.460934480584204</v>
      </c>
      <c r="BP173" s="215">
        <f>IFERROR((BP167-BK167)/(BP127-BK127),"")</f>
        <v>0.580264061427056</v>
      </c>
      <c r="BQ173" s="215">
        <f>IFERROR((BQ167-BL167)/(BQ127-BL127),"")</f>
        <v>0.579249787957975</v>
      </c>
      <c r="BR173" s="215">
        <f>IFERROR((BR167-BM167)/(BR127-BM127),"")</f>
        <v>0.638484518814003</v>
      </c>
      <c r="BS173" s="215">
        <f>IFERROR((BS167-BN167)/(BS127-BN127),"")</f>
        <v>0.874657302159382</v>
      </c>
      <c r="BT173" s="215">
        <f>IFERROR((BT167-BO167)/(BT127-BO127),"")</f>
        <v>0.807160761466024</v>
      </c>
      <c r="BU173" s="215">
        <f>IFERROR((BU167-BP167)/(BU127-BP127),"")</f>
        <v>0.697507345581351</v>
      </c>
      <c r="BV173" s="215">
        <f>IFERROR((BV167-BQ167)/(BV127-BQ127),"")</f>
        <v>0.76260961502581</v>
      </c>
      <c r="BW173" s="215">
        <f>IFERROR((BW167-BR167)/(BW127-BR127),"")</f>
        <v>0.807545387617896</v>
      </c>
      <c r="BX173" s="215">
        <f>IFERROR((BX167-BS167)/(BX127-BS127),"")</f>
        <v>0.831457121829359</v>
      </c>
      <c r="BY173" s="215">
        <f>IFERROR((BY167-BT167)/(BY127-BT127),"")</f>
        <v>0.802123783324745</v>
      </c>
      <c r="BZ173" s="256">
        <f>IFERROR((BZ167-BU167)/(BZ127-BU127),"")</f>
        <v>0.696342913601086</v>
      </c>
      <c r="CA173" s="256">
        <f>IFERROR((CA167-BV167)/(CA127-BV127),"")</f>
        <v>0.786577996791185</v>
      </c>
      <c r="CB173" s="256">
        <f>IFERROR((CB167-CA167)/(CB127-CA127),"")</f>
        <v>0.892813070373343</v>
      </c>
      <c r="CC173" s="256">
        <f>IFERROR((CC167-CB167)/(CC127-CB127),"")</f>
        <v>0.722311620124231</v>
      </c>
      <c r="CD173" s="256">
        <f>IFERROR((CD167-CC167)/(CD127-CC127),"")</f>
        <v>0.703084615050824</v>
      </c>
      <c r="CE173" s="256">
        <f>IFERROR((CE167-CD167)/(CE127-CD127),"")</f>
        <v>0.659939308036866</v>
      </c>
      <c r="CF173" s="256">
        <f>IFERROR((CF167-CE167)/(CF127-CE127),"")</f>
        <v>0.653767443060361</v>
      </c>
      <c r="CG173" s="153" t="n"/>
    </row>
    <row r="174" ht="15" customHeight="1" s="251">
      <c r="CO174" s="11" t="n"/>
      <c r="CP174" s="12" t="n"/>
      <c r="CQ174" s="12" t="n"/>
      <c r="CR174" s="12" t="n"/>
      <c r="CS174" s="13" t="n"/>
    </row>
    <row r="175" ht="15" customHeight="1" s="251">
      <c r="B175" s="10" t="inlineStr">
        <is>
          <t>RECONCILIATION: NET INCOME → EBITDA → ADJUSTED EBITDA (model definitions — FICO publishes no EBITDA)</t>
        </is>
      </c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inlineStr">
        <is>
          <t>EBITDA — net income + taxes + net interest + D&amp;A; + share-based compensation, restructuring / acquisition charges, (gains) / losses on sales and non-operating items FICO excludes = adjusted EBITDA (model)</t>
        </is>
      </c>
    </row>
    <row r="176" ht="15" customHeight="1" s="251">
      <c r="B176" s="16" t="inlineStr">
        <is>
          <t>Net income (GAAP)</t>
        </is>
      </c>
      <c r="C176" s="259">
        <f>C146</f>
        <v>103.486</v>
      </c>
      <c r="D176" s="259">
        <f>D146</f>
        <v>104.65</v>
      </c>
      <c r="E176" s="259">
        <f>E146</f>
        <v>83.952</v>
      </c>
      <c r="F176" s="259">
        <f>F146</f>
        <v>65.1020000000001</v>
      </c>
      <c r="G176" s="259">
        <f>G146</f>
        <v>64.457</v>
      </c>
      <c r="H176" s="259">
        <f>H146</f>
        <v>71.562</v>
      </c>
      <c r="I176" s="259">
        <f>I146</f>
        <v>92.004</v>
      </c>
      <c r="J176" s="259">
        <f>J146</f>
        <v>23.421</v>
      </c>
      <c r="K176" s="259">
        <f>K146</f>
        <v>18.495</v>
      </c>
      <c r="L176" s="259">
        <f>L146</f>
        <v>19.622</v>
      </c>
      <c r="M176" s="259">
        <f>M146</f>
        <v>28.557</v>
      </c>
      <c r="N176" s="259">
        <f>N146</f>
        <v>90.095</v>
      </c>
      <c r="O176" s="259">
        <f>O146</f>
        <v>16.977</v>
      </c>
      <c r="P176" s="259">
        <f>P146</f>
        <v>20.751</v>
      </c>
      <c r="Q176" s="259">
        <f>Q146</f>
        <v>20.548</v>
      </c>
      <c r="R176" s="259">
        <f>R146</f>
        <v>36.603</v>
      </c>
      <c r="S176" s="259">
        <f>S146</f>
        <v>94.8789999999999</v>
      </c>
      <c r="T176" s="259">
        <f>T146</f>
        <v>14.407</v>
      </c>
      <c r="U176" s="259">
        <f>U146</f>
        <v>18.87</v>
      </c>
      <c r="V176" s="259">
        <f>V146</f>
        <v>19.906</v>
      </c>
      <c r="W176" s="259">
        <f>W146</f>
        <v>33.319</v>
      </c>
      <c r="X176" s="259">
        <f>X146</f>
        <v>86.5019999999998</v>
      </c>
      <c r="Y176" s="259">
        <f>Y146</f>
        <v>19.241</v>
      </c>
      <c r="Z176" s="259">
        <f>Z146</f>
        <v>23.116</v>
      </c>
      <c r="AA176" s="259">
        <f>AA146</f>
        <v>34.987</v>
      </c>
      <c r="AB176" s="259">
        <f>AB146</f>
        <v>32.104</v>
      </c>
      <c r="AC176" s="259">
        <f>AC146</f>
        <v>109.448</v>
      </c>
      <c r="AD176" s="259">
        <f>AD146</f>
        <v>37.901</v>
      </c>
      <c r="AE176" s="259">
        <f>AE146</f>
        <v>25.084</v>
      </c>
      <c r="AF176" s="259">
        <f>AF146</f>
        <v>25.227</v>
      </c>
      <c r="AG176" s="259">
        <f>AG146</f>
        <v>40.044</v>
      </c>
      <c r="AH176" s="259">
        <f>AH146</f>
        <v>128.256</v>
      </c>
      <c r="AI176" s="259">
        <f>AI146</f>
        <v>27.299</v>
      </c>
      <c r="AJ176" s="259">
        <f>AJ146</f>
        <v>32.275</v>
      </c>
      <c r="AK176" s="259">
        <f>AK146</f>
        <v>32.361</v>
      </c>
      <c r="AL176" s="259">
        <f>AL146</f>
        <v>50.48</v>
      </c>
      <c r="AM176" s="259">
        <f>AM146</f>
        <v>142.415</v>
      </c>
      <c r="AN176" s="259">
        <f>AN146</f>
        <v>40.007</v>
      </c>
      <c r="AO176" s="259">
        <f>AO146</f>
        <v>33.381</v>
      </c>
      <c r="AP176" s="259">
        <f>AP146</f>
        <v>64.152</v>
      </c>
      <c r="AQ176" s="259">
        <f>AQ146</f>
        <v>54.584</v>
      </c>
      <c r="AR176" s="259">
        <f>AR146</f>
        <v>192.124</v>
      </c>
      <c r="AS176" s="259">
        <f>AS146</f>
        <v>54.9210000000001</v>
      </c>
      <c r="AT176" s="259">
        <f>AT146</f>
        <v>58.288</v>
      </c>
      <c r="AU176" s="259">
        <f>AU146</f>
        <v>64.076</v>
      </c>
      <c r="AV176" s="259">
        <f>AV146</f>
        <v>59.126</v>
      </c>
      <c r="AW176" s="259">
        <f>AW146</f>
        <v>236.411</v>
      </c>
      <c r="AX176" s="259">
        <f>AX146</f>
        <v>86.492</v>
      </c>
      <c r="AY176" s="259">
        <f>AY146</f>
        <v>68.674</v>
      </c>
      <c r="AZ176" s="259">
        <f>AZ146</f>
        <v>151.198</v>
      </c>
      <c r="BA176" s="259">
        <f>BA146</f>
        <v>85.72</v>
      </c>
      <c r="BB176" s="259">
        <f>BB146</f>
        <v>392.084</v>
      </c>
      <c r="BC176" s="259">
        <f>BC146</f>
        <v>84.959</v>
      </c>
      <c r="BD176" s="259">
        <f>BD146</f>
        <v>104.383</v>
      </c>
      <c r="BE176" s="259">
        <f>BE146</f>
        <v>93.5</v>
      </c>
      <c r="BF176" s="259">
        <f>BF146</f>
        <v>90.699</v>
      </c>
      <c r="BG176" s="259">
        <f>BG146</f>
        <v>373.541</v>
      </c>
      <c r="BH176" s="259">
        <f>BH146</f>
        <v>97.643</v>
      </c>
      <c r="BI176" s="259">
        <f>BI146</f>
        <v>101.55</v>
      </c>
      <c r="BJ176" s="259">
        <f>BJ146</f>
        <v>128.758</v>
      </c>
      <c r="BK176" s="259">
        <f>BK146</f>
        <v>101.424</v>
      </c>
      <c r="BL176" s="259">
        <f>BL146</f>
        <v>429.375</v>
      </c>
      <c r="BM176" s="259">
        <f>BM146</f>
        <v>121.065</v>
      </c>
      <c r="BN176" s="259">
        <f>BN146</f>
        <v>129.799</v>
      </c>
      <c r="BO176" s="259">
        <f>BO146</f>
        <v>126.256</v>
      </c>
      <c r="BP176" s="259">
        <f>BP146</f>
        <v>135.691</v>
      </c>
      <c r="BQ176" s="259">
        <f>BQ146</f>
        <v>512.811</v>
      </c>
      <c r="BR176" s="259">
        <f>BR146</f>
        <v>152.528</v>
      </c>
      <c r="BS176" s="259">
        <f>BS146</f>
        <v>162.615</v>
      </c>
      <c r="BT176" s="259">
        <f>BT146</f>
        <v>181.789</v>
      </c>
      <c r="BU176" s="259">
        <f>BU146</f>
        <v>155.014</v>
      </c>
      <c r="BV176" s="259">
        <f>BV146</f>
        <v>651.946</v>
      </c>
      <c r="BW176" s="259">
        <f>BW146</f>
        <v>158.373</v>
      </c>
      <c r="BX176" s="259">
        <f>BX146</f>
        <v>264.458</v>
      </c>
      <c r="BY176" s="259">
        <f>BY146</f>
        <v>237.172</v>
      </c>
      <c r="BZ176" s="260">
        <f>BZ146</f>
        <v>165.278908581081</v>
      </c>
      <c r="CA176" s="260">
        <f>CA146</f>
        <v>825.281908581081</v>
      </c>
      <c r="CB176" s="260">
        <f>CB146</f>
        <v>948.510583928938</v>
      </c>
      <c r="CC176" s="260">
        <f>CC146</f>
        <v>1093.98374737196</v>
      </c>
      <c r="CD176" s="260">
        <f>CD146</f>
        <v>1182.12782589206</v>
      </c>
      <c r="CE176" s="260">
        <f>CE146</f>
        <v>1284.45508425195</v>
      </c>
      <c r="CF176" s="260">
        <f>CF146</f>
        <v>1387.43885688563</v>
      </c>
      <c r="CG176" s="153" t="n"/>
    </row>
    <row r="177" ht="15" customHeight="1" s="251">
      <c r="B177" s="25" t="inlineStr">
        <is>
          <t xml:space="preserve">  (−) Income from discontinued operations</t>
        </is>
      </c>
      <c r="C177" s="262">
        <f>-N(C145)</f>
        <v>0</v>
      </c>
      <c r="D177" s="262">
        <f>-N(D145)</f>
        <v>0</v>
      </c>
      <c r="E177" s="262">
        <f>-N(E145)</f>
        <v>-2.766</v>
      </c>
      <c r="F177" s="262">
        <f>-N(F145)</f>
        <v>0.363</v>
      </c>
      <c r="G177" s="262">
        <f>-N(G145)</f>
        <v>0</v>
      </c>
      <c r="H177" s="262">
        <f>-N(H145)</f>
        <v>0</v>
      </c>
      <c r="I177" s="262">
        <f>-N(I145)</f>
        <v>0</v>
      </c>
      <c r="J177" s="262">
        <f>-N(J145)</f>
        <v>0</v>
      </c>
      <c r="K177" s="262">
        <f>-N(K145)</f>
        <v>0</v>
      </c>
      <c r="L177" s="262">
        <f>-N(L145)</f>
        <v>0</v>
      </c>
      <c r="M177" s="262">
        <f>-N(M145)</f>
        <v>0</v>
      </c>
      <c r="N177" s="262">
        <f>-N(N145)</f>
        <v>0</v>
      </c>
      <c r="O177" s="262">
        <f>-N(O145)</f>
        <v>0</v>
      </c>
      <c r="P177" s="262">
        <f>-N(P145)</f>
        <v>0</v>
      </c>
      <c r="Q177" s="262">
        <f>-N(Q145)</f>
        <v>0</v>
      </c>
      <c r="R177" s="262">
        <f>-N(R145)</f>
        <v>0</v>
      </c>
      <c r="S177" s="262">
        <f>-N(S145)</f>
        <v>0</v>
      </c>
      <c r="T177" s="262">
        <f>-N(T145)</f>
        <v>0</v>
      </c>
      <c r="U177" s="262">
        <f>-N(U145)</f>
        <v>0</v>
      </c>
      <c r="V177" s="262">
        <f>-N(V145)</f>
        <v>0</v>
      </c>
      <c r="W177" s="262">
        <f>-N(W145)</f>
        <v>0</v>
      </c>
      <c r="X177" s="262">
        <f>-N(X145)</f>
        <v>0</v>
      </c>
      <c r="Y177" s="262">
        <f>-N(Y145)</f>
        <v>0</v>
      </c>
      <c r="Z177" s="262">
        <f>-N(Z145)</f>
        <v>0</v>
      </c>
      <c r="AA177" s="262">
        <f>-N(AA145)</f>
        <v>0</v>
      </c>
      <c r="AB177" s="262">
        <f>-N(AB145)</f>
        <v>0</v>
      </c>
      <c r="AC177" s="262">
        <f>-N(AC145)</f>
        <v>0</v>
      </c>
      <c r="AD177" s="262">
        <f>-N(AD145)</f>
        <v>0</v>
      </c>
      <c r="AE177" s="262">
        <f>-N(AE145)</f>
        <v>0</v>
      </c>
      <c r="AF177" s="262">
        <f>-N(AF145)</f>
        <v>0</v>
      </c>
      <c r="AG177" s="262">
        <f>-N(AG145)</f>
        <v>0</v>
      </c>
      <c r="AH177" s="262">
        <f>-N(AH145)</f>
        <v>0</v>
      </c>
      <c r="AI177" s="262">
        <f>-N(AI145)</f>
        <v>0</v>
      </c>
      <c r="AJ177" s="262">
        <f>-N(AJ145)</f>
        <v>0</v>
      </c>
      <c r="AK177" s="262">
        <f>-N(AK145)</f>
        <v>0</v>
      </c>
      <c r="AL177" s="262">
        <f>-N(AL145)</f>
        <v>0</v>
      </c>
      <c r="AM177" s="262">
        <f>-N(AM145)</f>
        <v>0</v>
      </c>
      <c r="AN177" s="262">
        <f>-N(AN145)</f>
        <v>0</v>
      </c>
      <c r="AO177" s="262">
        <f>-N(AO145)</f>
        <v>0</v>
      </c>
      <c r="AP177" s="262">
        <f>-N(AP145)</f>
        <v>0</v>
      </c>
      <c r="AQ177" s="262">
        <f>-N(AQ145)</f>
        <v>0</v>
      </c>
      <c r="AR177" s="262">
        <f>-N(AR145)</f>
        <v>0</v>
      </c>
      <c r="AS177" s="262">
        <f>-N(AS145)</f>
        <v>0</v>
      </c>
      <c r="AT177" s="262">
        <f>-N(AT145)</f>
        <v>0</v>
      </c>
      <c r="AU177" s="262">
        <f>-N(AU145)</f>
        <v>0</v>
      </c>
      <c r="AV177" s="262">
        <f>-N(AV145)</f>
        <v>0</v>
      </c>
      <c r="AW177" s="262">
        <f>-N(AW145)</f>
        <v>0</v>
      </c>
      <c r="AX177" s="262">
        <f>-N(AX145)</f>
        <v>0</v>
      </c>
      <c r="AY177" s="262">
        <f>-N(AY145)</f>
        <v>0</v>
      </c>
      <c r="AZ177" s="262">
        <f>-N(AZ145)</f>
        <v>0</v>
      </c>
      <c r="BA177" s="262">
        <f>-N(BA145)</f>
        <v>0</v>
      </c>
      <c r="BB177" s="262">
        <f>-N(BB145)</f>
        <v>0</v>
      </c>
      <c r="BC177" s="262">
        <f>-N(BC145)</f>
        <v>0</v>
      </c>
      <c r="BD177" s="262">
        <f>-N(BD145)</f>
        <v>0</v>
      </c>
      <c r="BE177" s="262">
        <f>-N(BE145)</f>
        <v>0</v>
      </c>
      <c r="BF177" s="262">
        <f>-N(BF145)</f>
        <v>0</v>
      </c>
      <c r="BG177" s="262">
        <f>-N(BG145)</f>
        <v>0</v>
      </c>
      <c r="BH177" s="262">
        <f>-N(BH145)</f>
        <v>0</v>
      </c>
      <c r="BI177" s="262">
        <f>-N(BI145)</f>
        <v>0</v>
      </c>
      <c r="BJ177" s="262">
        <f>-N(BJ145)</f>
        <v>0</v>
      </c>
      <c r="BK177" s="262">
        <f>-N(BK145)</f>
        <v>0</v>
      </c>
      <c r="BL177" s="262">
        <f>-N(BL145)</f>
        <v>0</v>
      </c>
      <c r="BM177" s="262">
        <f>-N(BM145)</f>
        <v>0</v>
      </c>
      <c r="BN177" s="262">
        <f>-N(BN145)</f>
        <v>0</v>
      </c>
      <c r="BO177" s="262">
        <f>-N(BO145)</f>
        <v>0</v>
      </c>
      <c r="BP177" s="262">
        <f>-N(BP145)</f>
        <v>0</v>
      </c>
      <c r="BQ177" s="262">
        <f>-N(BQ145)</f>
        <v>0</v>
      </c>
      <c r="BR177" s="262">
        <f>-N(BR145)</f>
        <v>0</v>
      </c>
      <c r="BS177" s="262">
        <f>-N(BS145)</f>
        <v>0</v>
      </c>
      <c r="BT177" s="262">
        <f>-N(BT145)</f>
        <v>0</v>
      </c>
      <c r="BU177" s="262">
        <f>-N(BU145)</f>
        <v>0</v>
      </c>
      <c r="BV177" s="262">
        <f>-N(BV145)</f>
        <v>0</v>
      </c>
      <c r="BW177" s="262">
        <f>-N(BW145)</f>
        <v>0</v>
      </c>
      <c r="BX177" s="262">
        <f>-N(BX145)</f>
        <v>0</v>
      </c>
      <c r="BY177" s="262">
        <f>-N(BY145)</f>
        <v>0</v>
      </c>
      <c r="BZ177" s="254">
        <f>-N(BZ145)</f>
        <v>0</v>
      </c>
      <c r="CA177" s="254">
        <f>-N(CA145)</f>
        <v>0</v>
      </c>
      <c r="CB177" s="254">
        <f>-N(CB145)</f>
        <v>0</v>
      </c>
      <c r="CC177" s="254">
        <f>-N(CC145)</f>
        <v>0</v>
      </c>
      <c r="CD177" s="254">
        <f>-N(CD145)</f>
        <v>0</v>
      </c>
      <c r="CE177" s="254">
        <f>-N(CE145)</f>
        <v>0</v>
      </c>
      <c r="CF177" s="254">
        <f>-N(CF145)</f>
        <v>0</v>
      </c>
      <c r="CG177" s="19" t="n"/>
    </row>
    <row r="178" ht="15" customHeight="1" s="251">
      <c r="B178" s="25" t="inlineStr">
        <is>
          <t xml:space="preserve">  (+) Provision for income taxes</t>
        </is>
      </c>
      <c r="C178" s="262">
        <f>C142</f>
        <v>55.706</v>
      </c>
      <c r="D178" s="262">
        <f>D142</f>
        <v>45.012</v>
      </c>
      <c r="E178" s="262">
        <f>E142</f>
        <v>31.809</v>
      </c>
      <c r="F178" s="262">
        <f>F142</f>
        <v>32.105</v>
      </c>
      <c r="G178" s="262">
        <f>G142</f>
        <v>27.847</v>
      </c>
      <c r="H178" s="262">
        <f>H142</f>
        <v>25.893</v>
      </c>
      <c r="I178" s="262">
        <f>I142</f>
        <v>44.239</v>
      </c>
      <c r="J178" s="262">
        <f>J142</f>
        <v>11.622</v>
      </c>
      <c r="K178" s="262">
        <f>K142</f>
        <v>6.892</v>
      </c>
      <c r="L178" s="262">
        <f>L142</f>
        <v>8.999</v>
      </c>
      <c r="M178" s="262">
        <f>M142</f>
        <v>14.376</v>
      </c>
      <c r="N178" s="262">
        <f>N142</f>
        <v>41.889</v>
      </c>
      <c r="O178" s="262">
        <f>O142</f>
        <v>10.206</v>
      </c>
      <c r="P178" s="262">
        <f>P142</f>
        <v>10.536</v>
      </c>
      <c r="Q178" s="262">
        <f>Q142</f>
        <v>9.753</v>
      </c>
      <c r="R178" s="262">
        <f>R142</f>
        <v>7.757</v>
      </c>
      <c r="S178" s="262">
        <f>S142</f>
        <v>38.252</v>
      </c>
      <c r="T178" s="262">
        <f>T142</f>
        <v>3.917</v>
      </c>
      <c r="U178" s="262">
        <f>U142</f>
        <v>7.163</v>
      </c>
      <c r="V178" s="262">
        <f>V142</f>
        <v>10.558</v>
      </c>
      <c r="W178" s="262">
        <f>W142</f>
        <v>1.098</v>
      </c>
      <c r="X178" s="262">
        <f>X142</f>
        <v>22.736</v>
      </c>
      <c r="Y178" s="262">
        <f>Y142</f>
        <v>4.535</v>
      </c>
      <c r="Z178" s="262">
        <f>Z142</f>
        <v>9.028</v>
      </c>
      <c r="AA178" s="262">
        <f>AA142</f>
        <v>15.303</v>
      </c>
      <c r="AB178" s="262">
        <f>AB142</f>
        <v>6.255</v>
      </c>
      <c r="AC178" s="262">
        <f>AC142</f>
        <v>35.121</v>
      </c>
      <c r="AD178" s="262">
        <f>AD142</f>
        <v>-9.246</v>
      </c>
      <c r="AE178" s="262">
        <f>AE142</f>
        <v>8.052</v>
      </c>
      <c r="AF178" s="262">
        <f>AF142</f>
        <v>10.104</v>
      </c>
      <c r="AG178" s="262">
        <f>AG142</f>
        <v>14.158</v>
      </c>
      <c r="AH178" s="262">
        <f>AH142</f>
        <v>23.068</v>
      </c>
      <c r="AI178" s="262">
        <f>AI142</f>
        <v>6.658</v>
      </c>
      <c r="AJ178" s="262">
        <f>AJ142</f>
        <v>8.527</v>
      </c>
      <c r="AK178" s="262">
        <f>AK142</f>
        <v>9.38</v>
      </c>
      <c r="AL178" s="262">
        <f>AL142</f>
        <v>21.03</v>
      </c>
      <c r="AM178" s="262">
        <f>AM142</f>
        <v>45.595</v>
      </c>
      <c r="AN178" s="262">
        <f>AN142</f>
        <v>-2.851</v>
      </c>
      <c r="AO178" s="262">
        <f>AO142</f>
        <v>6.593</v>
      </c>
      <c r="AP178" s="262">
        <f>AP142</f>
        <v>13.902</v>
      </c>
      <c r="AQ178" s="262">
        <f>AQ142</f>
        <v>6.304</v>
      </c>
      <c r="AR178" s="262">
        <f>AR142</f>
        <v>23.948</v>
      </c>
      <c r="AS178" s="262">
        <f>AS142</f>
        <v>-13.026</v>
      </c>
      <c r="AT178" s="262">
        <f>AT142</f>
        <v>4.176</v>
      </c>
      <c r="AU178" s="262">
        <f>AU142</f>
        <v>12.132</v>
      </c>
      <c r="AV178" s="262">
        <f>AV142</f>
        <v>17.307</v>
      </c>
      <c r="AW178" s="262">
        <f>AW142</f>
        <v>20.589</v>
      </c>
      <c r="AX178" s="262">
        <f>AX142</f>
        <v>1.468</v>
      </c>
      <c r="AY178" s="262">
        <f>AY142</f>
        <v>23.15</v>
      </c>
      <c r="AZ178" s="262">
        <f>AZ142</f>
        <v>36.694</v>
      </c>
      <c r="BA178" s="262">
        <f>BA142</f>
        <v>19.746</v>
      </c>
      <c r="BB178" s="262">
        <f>BB142</f>
        <v>81.058</v>
      </c>
      <c r="BC178" s="262">
        <f>BC142</f>
        <v>19.861</v>
      </c>
      <c r="BD178" s="262">
        <f>BD142</f>
        <v>28.102</v>
      </c>
      <c r="BE178" s="262">
        <f>BE142</f>
        <v>27.394</v>
      </c>
      <c r="BF178" s="262">
        <f>BF142</f>
        <v>22.411</v>
      </c>
      <c r="BG178" s="262">
        <f>BG142</f>
        <v>97.768</v>
      </c>
      <c r="BH178" s="262">
        <f>BH142</f>
        <v>20.26</v>
      </c>
      <c r="BI178" s="262">
        <f>BI142</f>
        <v>35.919</v>
      </c>
      <c r="BJ178" s="262">
        <f>BJ142</f>
        <v>29.029</v>
      </c>
      <c r="BK178" s="262">
        <f>BK142</f>
        <v>39.041</v>
      </c>
      <c r="BL178" s="262">
        <f>BL142</f>
        <v>124.249</v>
      </c>
      <c r="BM178" s="262">
        <f>BM142</f>
        <v>9.525</v>
      </c>
      <c r="BN178" s="262">
        <f>BN142</f>
        <v>42.935</v>
      </c>
      <c r="BO178" s="262">
        <f>BO142</f>
        <v>41.062</v>
      </c>
      <c r="BP178" s="262">
        <f>BP142</f>
        <v>35.692</v>
      </c>
      <c r="BQ178" s="262">
        <f>BQ142</f>
        <v>129.214</v>
      </c>
      <c r="BR178" s="262">
        <f>BR142</f>
        <v>-2.399</v>
      </c>
      <c r="BS178" s="262">
        <f>BS142</f>
        <v>50.401</v>
      </c>
      <c r="BT178" s="262">
        <f>BT142</f>
        <v>55.202</v>
      </c>
      <c r="BU178" s="262">
        <f>BU142</f>
        <v>47.445</v>
      </c>
      <c r="BV178" s="262">
        <f>BV142</f>
        <v>150.649</v>
      </c>
      <c r="BW178" s="262">
        <f>BW142</f>
        <v>33.558</v>
      </c>
      <c r="BX178" s="262">
        <f>BX142</f>
        <v>91.571</v>
      </c>
      <c r="BY178" s="262">
        <f>BY142</f>
        <v>77.487</v>
      </c>
      <c r="BZ178" s="254">
        <f>BZ142</f>
        <v>62.0766734069472</v>
      </c>
      <c r="CA178" s="254">
        <f>CA142</f>
        <v>264.692673406947</v>
      </c>
      <c r="CB178" s="254">
        <f>CB142</f>
        <v>304.213626952933</v>
      </c>
      <c r="CC178" s="254">
        <f>CC142</f>
        <v>352.810256663413</v>
      </c>
      <c r="CD178" s="254">
        <f>CD142</f>
        <v>382.331590371263</v>
      </c>
      <c r="CE178" s="254">
        <f>CE142</f>
        <v>416.583415528851</v>
      </c>
      <c r="CF178" s="254">
        <f>CF142</f>
        <v>451.054986454918</v>
      </c>
      <c r="CG178" s="19" t="n"/>
    </row>
    <row r="179" ht="15" customHeight="1" s="251">
      <c r="B179" s="25" t="inlineStr">
        <is>
          <t xml:space="preserve">  (+) Interest expense, net</t>
        </is>
      </c>
      <c r="C179" s="262">
        <f>C139</f>
        <v>-6.679</v>
      </c>
      <c r="D179" s="262">
        <f>D139</f>
        <v>-0.761</v>
      </c>
      <c r="E179" s="262">
        <f>E139</f>
        <v>11.533</v>
      </c>
      <c r="F179" s="262">
        <f>F139</f>
        <v>20.764</v>
      </c>
      <c r="G179" s="262">
        <f>G139</f>
        <v>22.436</v>
      </c>
      <c r="H179" s="262">
        <f>H139</f>
        <v>30.172</v>
      </c>
      <c r="I179" s="262">
        <f>I139</f>
        <v>31.417</v>
      </c>
      <c r="J179" s="262">
        <f>J139</f>
        <v>7.859</v>
      </c>
      <c r="K179" s="262">
        <f>K139</f>
        <v>7.846</v>
      </c>
      <c r="L179" s="262">
        <f>L139</f>
        <v>7.417</v>
      </c>
      <c r="M179" s="262">
        <f>M139</f>
        <v>7.105</v>
      </c>
      <c r="N179" s="262">
        <f>N139</f>
        <v>30.227</v>
      </c>
      <c r="O179" s="262">
        <f>O139</f>
        <v>7.126</v>
      </c>
      <c r="P179" s="262">
        <f>P139</f>
        <v>7.099</v>
      </c>
      <c r="Q179" s="262">
        <f>Q139</f>
        <v>7.051</v>
      </c>
      <c r="R179" s="262">
        <f>R139</f>
        <v>7.274</v>
      </c>
      <c r="S179" s="262">
        <f>S139</f>
        <v>28.55</v>
      </c>
      <c r="T179" s="262">
        <f>T139</f>
        <v>7.205</v>
      </c>
      <c r="U179" s="262">
        <f>U139</f>
        <v>7.718</v>
      </c>
      <c r="V179" s="262">
        <f>V139</f>
        <v>7.36</v>
      </c>
      <c r="W179" s="262">
        <f>W139</f>
        <v>6.867</v>
      </c>
      <c r="X179" s="262">
        <f>X139</f>
        <v>29.15</v>
      </c>
      <c r="Y179" s="262">
        <f>Y139</f>
        <v>6.724</v>
      </c>
      <c r="Z179" s="262">
        <f>Z139</f>
        <v>6.815</v>
      </c>
      <c r="AA179" s="262">
        <f>AA139</f>
        <v>6.781</v>
      </c>
      <c r="AB179" s="262">
        <f>AB139</f>
        <v>6.313</v>
      </c>
      <c r="AC179" s="262">
        <f>AC139</f>
        <v>26.633</v>
      </c>
      <c r="AD179" s="262">
        <f>AD139</f>
        <v>6.172</v>
      </c>
      <c r="AE179" s="262">
        <f>AE139</f>
        <v>6.578</v>
      </c>
      <c r="AF179" s="262">
        <f>AF139</f>
        <v>6.653</v>
      </c>
      <c r="AG179" s="262">
        <f>AG139</f>
        <v>6.387</v>
      </c>
      <c r="AH179" s="262">
        <f>AH139</f>
        <v>25.79</v>
      </c>
      <c r="AI179" s="262">
        <f>AI139</f>
        <v>6.46</v>
      </c>
      <c r="AJ179" s="262">
        <f>AJ139</f>
        <v>7.116</v>
      </c>
      <c r="AK179" s="262">
        <f>AK139</f>
        <v>8.223</v>
      </c>
      <c r="AL179" s="262">
        <f>AL139</f>
        <v>9.512</v>
      </c>
      <c r="AM179" s="262">
        <f>AM139</f>
        <v>31.311</v>
      </c>
      <c r="AN179" s="262">
        <f>AN139</f>
        <v>9.676</v>
      </c>
      <c r="AO179" s="262">
        <f>AO139</f>
        <v>10.008</v>
      </c>
      <c r="AP179" s="262">
        <f>AP139</f>
        <v>10.111</v>
      </c>
      <c r="AQ179" s="262">
        <f>AQ139</f>
        <v>9.957</v>
      </c>
      <c r="AR179" s="262">
        <f>AR139</f>
        <v>39.752</v>
      </c>
      <c r="AS179" s="262">
        <f>AS139</f>
        <v>9.768</v>
      </c>
      <c r="AT179" s="262">
        <f>AT139</f>
        <v>11.254</v>
      </c>
      <c r="AU179" s="262">
        <f>AU139</f>
        <v>11.223</v>
      </c>
      <c r="AV179" s="262">
        <f>AV139</f>
        <v>9.932</v>
      </c>
      <c r="AW179" s="262">
        <f>AW139</f>
        <v>42.177</v>
      </c>
      <c r="AX179" s="262">
        <f>AX139</f>
        <v>9.641</v>
      </c>
      <c r="AY179" s="262">
        <f>AY139</f>
        <v>9.943</v>
      </c>
      <c r="AZ179" s="262">
        <f>AZ139</f>
        <v>10.018</v>
      </c>
      <c r="BA179" s="262">
        <f>BA139</f>
        <v>10.49</v>
      </c>
      <c r="BB179" s="262">
        <f>BB139</f>
        <v>40.092</v>
      </c>
      <c r="BC179" s="262">
        <f>BC139</f>
        <v>12.195</v>
      </c>
      <c r="BD179" s="262">
        <f>BD139</f>
        <v>17.211</v>
      </c>
      <c r="BE179" s="262">
        <f>BE139</f>
        <v>18.721</v>
      </c>
      <c r="BF179" s="262">
        <f>BF139</f>
        <v>20.84</v>
      </c>
      <c r="BG179" s="262">
        <f>BG139</f>
        <v>68.967</v>
      </c>
      <c r="BH179" s="262">
        <f>BH139</f>
        <v>22.8</v>
      </c>
      <c r="BI179" s="262">
        <f>BI139</f>
        <v>23.897</v>
      </c>
      <c r="BJ179" s="262">
        <f>BJ139</f>
        <v>24.545</v>
      </c>
      <c r="BK179" s="262">
        <f>BK139</f>
        <v>24.304</v>
      </c>
      <c r="BL179" s="262">
        <f>BL139</f>
        <v>95.546</v>
      </c>
      <c r="BM179" s="262">
        <f>BM139</f>
        <v>24.162</v>
      </c>
      <c r="BN179" s="262">
        <f>BN139</f>
        <v>26.093</v>
      </c>
      <c r="BO179" s="262">
        <f>BO139</f>
        <v>26.868</v>
      </c>
      <c r="BP179" s="262">
        <f>BP139</f>
        <v>28.515</v>
      </c>
      <c r="BQ179" s="262">
        <f>BQ139</f>
        <v>105.638</v>
      </c>
      <c r="BR179" s="262">
        <f>BR139</f>
        <v>29.488</v>
      </c>
      <c r="BS179" s="262">
        <f>BS139</f>
        <v>31.378</v>
      </c>
      <c r="BT179" s="262">
        <f>BT139</f>
        <v>32.899</v>
      </c>
      <c r="BU179" s="262">
        <f>BU139</f>
        <v>39.882</v>
      </c>
      <c r="BV179" s="262">
        <f>BV139</f>
        <v>133.647</v>
      </c>
      <c r="BW179" s="262">
        <f>BW139</f>
        <v>42.006</v>
      </c>
      <c r="BX179" s="262">
        <f>BX139</f>
        <v>44.579</v>
      </c>
      <c r="BY179" s="262">
        <f>BY139</f>
        <v>59.877</v>
      </c>
      <c r="BZ179" s="254">
        <f>BZ139</f>
        <v>78</v>
      </c>
      <c r="CA179" s="254">
        <f>CA139</f>
        <v>224.462</v>
      </c>
      <c r="CB179" s="254">
        <f>CB139</f>
        <v>309.272134669136</v>
      </c>
      <c r="CC179" s="254">
        <f>CC139</f>
        <v>308.397867616287</v>
      </c>
      <c r="CD179" s="254">
        <f>CD139</f>
        <v>374.764882157121</v>
      </c>
      <c r="CE179" s="254">
        <f>CE139</f>
        <v>413.023071581287</v>
      </c>
      <c r="CF179" s="254">
        <f>CF139</f>
        <v>449.669773846036</v>
      </c>
      <c r="CG179" s="19" t="n"/>
    </row>
    <row r="180" ht="15" customHeight="1" s="251">
      <c r="B180" s="25" t="inlineStr">
        <is>
          <t xml:space="preserve">  (+) Depreciation &amp; amortization</t>
        </is>
      </c>
      <c r="C180" s="262">
        <f>C112</f>
        <v>48.805</v>
      </c>
      <c r="D180" s="262">
        <f>D112</f>
        <v>50.224</v>
      </c>
      <c r="E180" s="262">
        <f>E112</f>
        <v>39.494</v>
      </c>
      <c r="F180" s="262">
        <f>F112</f>
        <v>38.419</v>
      </c>
      <c r="G180" s="262">
        <f>G112</f>
        <v>30.918</v>
      </c>
      <c r="H180" s="262">
        <f>H112</f>
        <v>24.197</v>
      </c>
      <c r="I180" s="262">
        <f>I112</f>
        <v>21.549</v>
      </c>
      <c r="J180" s="262">
        <f>J112</f>
        <v>7.973</v>
      </c>
      <c r="K180" s="262">
        <f>K112</f>
        <v>8.46</v>
      </c>
      <c r="L180" s="262">
        <f>L112</f>
        <v>8.727</v>
      </c>
      <c r="M180" s="262">
        <f>M112</f>
        <v>8.054</v>
      </c>
      <c r="N180" s="262">
        <f>N112</f>
        <v>33.214</v>
      </c>
      <c r="O180" s="262">
        <f>O112</f>
        <v>8.167</v>
      </c>
      <c r="P180" s="262">
        <f>P112</f>
        <v>7.845</v>
      </c>
      <c r="Q180" s="262">
        <f>Q112</f>
        <v>8.184</v>
      </c>
      <c r="R180" s="262">
        <f>R112</f>
        <v>8.436</v>
      </c>
      <c r="S180" s="262">
        <f>S112</f>
        <v>32.632</v>
      </c>
      <c r="T180" s="262">
        <f>T112</f>
        <v>8.107</v>
      </c>
      <c r="U180" s="262">
        <f>U112</f>
        <v>8.94</v>
      </c>
      <c r="V180" s="262">
        <f>V112</f>
        <v>9.046</v>
      </c>
      <c r="W180" s="262">
        <f>W112</f>
        <v>7.796</v>
      </c>
      <c r="X180" s="262">
        <f>X112</f>
        <v>33.889</v>
      </c>
      <c r="Y180" s="262">
        <f>Y112</f>
        <v>7.441</v>
      </c>
      <c r="Z180" s="262">
        <f>Z112</f>
        <v>7.727</v>
      </c>
      <c r="AA180" s="262">
        <f>AA112</f>
        <v>7.959</v>
      </c>
      <c r="AB180" s="262">
        <f>AB112</f>
        <v>8.506</v>
      </c>
      <c r="AC180" s="262">
        <f>AC112</f>
        <v>31.633</v>
      </c>
      <c r="AD180" s="262">
        <f>AD112</f>
        <v>9.058</v>
      </c>
      <c r="AE180" s="262">
        <f>AE112</f>
        <v>9.178</v>
      </c>
      <c r="AF180" s="262">
        <f>AF112</f>
        <v>9.191</v>
      </c>
      <c r="AG180" s="262">
        <f>AG112</f>
        <v>8.787</v>
      </c>
      <c r="AH180" s="262">
        <f>AH112</f>
        <v>36.214</v>
      </c>
      <c r="AI180" s="262">
        <f>AI112</f>
        <v>7.731</v>
      </c>
      <c r="AJ180" s="262">
        <f>AJ112</f>
        <v>7.364</v>
      </c>
      <c r="AK180" s="262">
        <f>AK112</f>
        <v>7.234</v>
      </c>
      <c r="AL180" s="262">
        <f>AL112</f>
        <v>7.853</v>
      </c>
      <c r="AM180" s="262">
        <f>AM112</f>
        <v>30.182</v>
      </c>
      <c r="AN180" s="262">
        <f>AN112</f>
        <v>7.967</v>
      </c>
      <c r="AO180" s="262">
        <f>AO112</f>
        <v>7.819</v>
      </c>
      <c r="AP180" s="262">
        <f>AP112</f>
        <v>7.948</v>
      </c>
      <c r="AQ180" s="262">
        <f>AQ112</f>
        <v>7.878</v>
      </c>
      <c r="AR180" s="262">
        <f>AR112</f>
        <v>31.612</v>
      </c>
      <c r="AS180" s="262">
        <f>AS112</f>
        <v>7.856</v>
      </c>
      <c r="AT180" s="262">
        <f>AT112</f>
        <v>7.679</v>
      </c>
      <c r="AU180" s="262">
        <f>AU112</f>
        <v>8.014</v>
      </c>
      <c r="AV180" s="262">
        <f>AV112</f>
        <v>6.818</v>
      </c>
      <c r="AW180" s="262">
        <f>AW112</f>
        <v>30.367</v>
      </c>
      <c r="AX180" s="262">
        <f>AX112</f>
        <v>7.026</v>
      </c>
      <c r="AY180" s="262">
        <f>AY112</f>
        <v>6.675</v>
      </c>
      <c r="AZ180" s="262">
        <f>AZ112</f>
        <v>6.365</v>
      </c>
      <c r="BA180" s="262">
        <f>BA112</f>
        <v>5.526</v>
      </c>
      <c r="BB180" s="262">
        <f>BB112</f>
        <v>25.592</v>
      </c>
      <c r="BC180" s="262">
        <f>BC112</f>
        <v>5.227</v>
      </c>
      <c r="BD180" s="262">
        <f>BD112</f>
        <v>5.429</v>
      </c>
      <c r="BE180" s="262">
        <f>BE112</f>
        <v>5.163</v>
      </c>
      <c r="BF180" s="262">
        <f>BF112</f>
        <v>4.646</v>
      </c>
      <c r="BG180" s="262">
        <f>BG112</f>
        <v>20.465</v>
      </c>
      <c r="BH180" s="262">
        <f>BH112</f>
        <v>4.28</v>
      </c>
      <c r="BI180" s="262">
        <f>BI112</f>
        <v>4.014</v>
      </c>
      <c r="BJ180" s="262">
        <f>BJ112</f>
        <v>3.348</v>
      </c>
      <c r="BK180" s="262">
        <f>BK112</f>
        <v>2.996</v>
      </c>
      <c r="BL180" s="262">
        <f>BL112</f>
        <v>14.638</v>
      </c>
      <c r="BM180" s="262">
        <f>BM112</f>
        <v>2.824</v>
      </c>
      <c r="BN180" s="262">
        <f>BN112</f>
        <v>3.354</v>
      </c>
      <c r="BO180" s="262">
        <f>BO112</f>
        <v>3.834</v>
      </c>
      <c r="BP180" s="262">
        <f>BP112</f>
        <v>3.815</v>
      </c>
      <c r="BQ180" s="262">
        <f>BQ112</f>
        <v>13.827</v>
      </c>
      <c r="BR180" s="262">
        <f>BR112</f>
        <v>3.535</v>
      </c>
      <c r="BS180" s="262">
        <f>BS112</f>
        <v>3.415</v>
      </c>
      <c r="BT180" s="262">
        <f>BT112</f>
        <v>3.981</v>
      </c>
      <c r="BU180" s="262">
        <f>BU112</f>
        <v>4.021</v>
      </c>
      <c r="BV180" s="262">
        <f>BV112</f>
        <v>14.952</v>
      </c>
      <c r="BW180" s="262">
        <f>BW112</f>
        <v>4.017</v>
      </c>
      <c r="BX180" s="262">
        <f>BX112</f>
        <v>3.888</v>
      </c>
      <c r="BY180" s="262">
        <f>BY112</f>
        <v>4.218</v>
      </c>
      <c r="BZ180" s="254">
        <f>BZ112</f>
        <v>4.3</v>
      </c>
      <c r="CA180" s="254">
        <f>CA112</f>
        <v>16.423</v>
      </c>
      <c r="CB180" s="254">
        <f>CB112</f>
        <v>22.3905384992236</v>
      </c>
      <c r="CC180" s="254">
        <f>CC112</f>
        <v>24.7056812126778</v>
      </c>
      <c r="CD180" s="254">
        <f>CD112</f>
        <v>27.0385845651573</v>
      </c>
      <c r="CE180" s="254">
        <f>CE112</f>
        <v>29.4175685255994</v>
      </c>
      <c r="CF180" s="254">
        <f>CF112</f>
        <v>31.8116804395785</v>
      </c>
      <c r="CG180" s="19" t="n"/>
    </row>
    <row r="181" ht="15" customHeight="1" s="251">
      <c r="B181" s="55" t="inlineStr">
        <is>
          <t xml:space="preserve">  = EBITDA (model)</t>
        </is>
      </c>
      <c r="C181" s="273">
        <f>IF(AND(ISNUMBER(C176),ISNUMBER(C180)),C176+C177+C178+C179+C180,"")</f>
        <v>201.318</v>
      </c>
      <c r="D181" s="273">
        <f>IF(AND(ISNUMBER(D176),ISNUMBER(D180)),D176+D177+D178+D179+D180,"")</f>
        <v>199.125</v>
      </c>
      <c r="E181" s="273">
        <f>IF(AND(ISNUMBER(E176),ISNUMBER(E180)),E176+E177+E178+E179+E180,"")</f>
        <v>164.022</v>
      </c>
      <c r="F181" s="273">
        <f>IF(AND(ISNUMBER(F176),ISNUMBER(F180)),F176+F177+F178+F179+F180,"")</f>
        <v>156.753</v>
      </c>
      <c r="G181" s="273">
        <f>IF(AND(ISNUMBER(G176),ISNUMBER(G180)),G176+G177+G178+G179+G180,"")</f>
        <v>145.658</v>
      </c>
      <c r="H181" s="273">
        <f>IF(AND(ISNUMBER(H176),ISNUMBER(H180)),H176+H177+H178+H179+H180,"")</f>
        <v>151.824</v>
      </c>
      <c r="I181" s="273">
        <f>IF(AND(ISNUMBER(I176),ISNUMBER(I180)),I176+I177+I178+I179+I180,"")</f>
        <v>189.209</v>
      </c>
      <c r="J181" s="273">
        <f>IF(AND(ISNUMBER(J176),ISNUMBER(J180)),J176+J177+J178+J179+J180,"")</f>
        <v>50.875</v>
      </c>
      <c r="K181" s="273">
        <f>IF(AND(ISNUMBER(K176),ISNUMBER(K180)),K176+K177+K178+K179+K180,"")</f>
        <v>41.693</v>
      </c>
      <c r="L181" s="273">
        <f>IF(AND(ISNUMBER(L176),ISNUMBER(L180)),L176+L177+L178+L179+L180,"")</f>
        <v>44.765</v>
      </c>
      <c r="M181" s="273">
        <f>IF(AND(ISNUMBER(M176),ISNUMBER(M180)),M176+M177+M178+M179+M180,"")</f>
        <v>58.092</v>
      </c>
      <c r="N181" s="273">
        <f>IF(AND(ISNUMBER(N176),ISNUMBER(N180)),N176+N177+N178+N179+N180,"")</f>
        <v>195.425</v>
      </c>
      <c r="O181" s="273">
        <f>IF(AND(ISNUMBER(O176),ISNUMBER(O180)),O176+O177+O178+O179+O180,"")</f>
        <v>42.476</v>
      </c>
      <c r="P181" s="273">
        <f>IF(AND(ISNUMBER(P176),ISNUMBER(P180)),P176+P177+P178+P179+P180,"")</f>
        <v>46.231</v>
      </c>
      <c r="Q181" s="273">
        <f>IF(AND(ISNUMBER(Q176),ISNUMBER(Q180)),Q176+Q177+Q178+Q179+Q180,"")</f>
        <v>45.536</v>
      </c>
      <c r="R181" s="273">
        <f>IF(AND(ISNUMBER(R176),ISNUMBER(R180)),R176+R177+R178+R179+R180,"")</f>
        <v>60.07</v>
      </c>
      <c r="S181" s="273">
        <f>IF(AND(ISNUMBER(S176),ISNUMBER(S180)),S176+S177+S178+S179+S180,"")</f>
        <v>194.313</v>
      </c>
      <c r="T181" s="273">
        <f>IF(AND(ISNUMBER(T176),ISNUMBER(T180)),T176+T177+T178+T179+T180,"")</f>
        <v>33.636</v>
      </c>
      <c r="U181" s="273">
        <f>IF(AND(ISNUMBER(U176),ISNUMBER(U180)),U176+U177+U178+U179+U180,"")</f>
        <v>42.691</v>
      </c>
      <c r="V181" s="273">
        <f>IF(AND(ISNUMBER(V176),ISNUMBER(V180)),V176+V177+V178+V179+V180,"")</f>
        <v>46.87</v>
      </c>
      <c r="W181" s="273">
        <f>IF(AND(ISNUMBER(W176),ISNUMBER(W180)),W176+W177+W178+W179+W180,"")</f>
        <v>49.08</v>
      </c>
      <c r="X181" s="273">
        <f>IF(AND(ISNUMBER(X176),ISNUMBER(X180)),X176+X177+X178+X179+X180,"")</f>
        <v>172.277</v>
      </c>
      <c r="Y181" s="273">
        <f>IF(AND(ISNUMBER(Y176),ISNUMBER(Y180)),Y176+Y177+Y178+Y179+Y180,"")</f>
        <v>37.941</v>
      </c>
      <c r="Z181" s="273">
        <f>IF(AND(ISNUMBER(Z176),ISNUMBER(Z180)),Z176+Z177+Z178+Z179+Z180,"")</f>
        <v>46.686</v>
      </c>
      <c r="AA181" s="273">
        <f>IF(AND(ISNUMBER(AA176),ISNUMBER(AA180)),AA176+AA177+AA178+AA179+AA180,"")</f>
        <v>65.03</v>
      </c>
      <c r="AB181" s="273">
        <f>IF(AND(ISNUMBER(AB176),ISNUMBER(AB180)),AB176+AB177+AB178+AB179+AB180,"")</f>
        <v>53.178</v>
      </c>
      <c r="AC181" s="273">
        <f>IF(AND(ISNUMBER(AC176),ISNUMBER(AC180)),AC176+AC177+AC178+AC179+AC180,"")</f>
        <v>202.835</v>
      </c>
      <c r="AD181" s="273">
        <f>IF(AND(ISNUMBER(AD176),ISNUMBER(AD180)),AD176+AD177+AD178+AD179+AD180,"")</f>
        <v>43.885</v>
      </c>
      <c r="AE181" s="273">
        <f>IF(AND(ISNUMBER(AE176),ISNUMBER(AE180)),AE176+AE177+AE178+AE179+AE180,"")</f>
        <v>48.892</v>
      </c>
      <c r="AF181" s="273">
        <f>IF(AND(ISNUMBER(AF176),ISNUMBER(AF180)),AF176+AF177+AF178+AF179+AF180,"")</f>
        <v>51.175</v>
      </c>
      <c r="AG181" s="273">
        <f>IF(AND(ISNUMBER(AG176),ISNUMBER(AG180)),AG176+AG177+AG178+AG179+AG180,"")</f>
        <v>69.376</v>
      </c>
      <c r="AH181" s="273">
        <f>IF(AND(ISNUMBER(AH176),ISNUMBER(AH180)),AH176+AH177+AH178+AH179+AH180,"")</f>
        <v>213.328</v>
      </c>
      <c r="AI181" s="273">
        <f>IF(AND(ISNUMBER(AI176),ISNUMBER(AI180)),AI176+AI177+AI178+AI179+AI180,"")</f>
        <v>48.148</v>
      </c>
      <c r="AJ181" s="273">
        <f>IF(AND(ISNUMBER(AJ176),ISNUMBER(AJ180)),AJ176+AJ177+AJ178+AJ179+AJ180,"")</f>
        <v>55.282</v>
      </c>
      <c r="AK181" s="273">
        <f>IF(AND(ISNUMBER(AK176),ISNUMBER(AK180)),AK176+AK177+AK178+AK179+AK180,"")</f>
        <v>57.198</v>
      </c>
      <c r="AL181" s="273">
        <f>IF(AND(ISNUMBER(AL176),ISNUMBER(AL180)),AL176+AL177+AL178+AL179+AL180,"")</f>
        <v>88.875</v>
      </c>
      <c r="AM181" s="273">
        <f>IF(AND(ISNUMBER(AM176),ISNUMBER(AM180)),AM176+AM177+AM178+AM179+AM180,"")</f>
        <v>249.503</v>
      </c>
      <c r="AN181" s="273">
        <f>IF(AND(ISNUMBER(AN176),ISNUMBER(AN180)),AN176+AN177+AN178+AN179+AN180,"")</f>
        <v>54.799</v>
      </c>
      <c r="AO181" s="273">
        <f>IF(AND(ISNUMBER(AO176),ISNUMBER(AO180)),AO176+AO177+AO178+AO179+AO180,"")</f>
        <v>57.801</v>
      </c>
      <c r="AP181" s="273">
        <f>IF(AND(ISNUMBER(AP176),ISNUMBER(AP180)),AP176+AP177+AP178+AP179+AP180,"")</f>
        <v>96.113</v>
      </c>
      <c r="AQ181" s="273">
        <f>IF(AND(ISNUMBER(AQ176),ISNUMBER(AQ180)),AQ176+AQ177+AQ178+AQ179+AQ180,"")</f>
        <v>78.723</v>
      </c>
      <c r="AR181" s="273">
        <f>IF(AND(ISNUMBER(AR176),ISNUMBER(AR180)),AR176+AR177+AR178+AR179+AR180,"")</f>
        <v>287.436</v>
      </c>
      <c r="AS181" s="273">
        <f>IF(AND(ISNUMBER(AS176),ISNUMBER(AS180)),AS176+AS177+AS178+AS179+AS180,"")</f>
        <v>59.5190000000001</v>
      </c>
      <c r="AT181" s="273">
        <f>IF(AND(ISNUMBER(AT176),ISNUMBER(AT180)),AT176+AT177+AT178+AT179+AT180,"")</f>
        <v>81.397</v>
      </c>
      <c r="AU181" s="273">
        <f>IF(AND(ISNUMBER(AU176),ISNUMBER(AU180)),AU176+AU177+AU178+AU179+AU180,"")</f>
        <v>95.445</v>
      </c>
      <c r="AV181" s="273">
        <f>IF(AND(ISNUMBER(AV176),ISNUMBER(AV180)),AV176+AV177+AV178+AV179+AV180,"")</f>
        <v>93.183</v>
      </c>
      <c r="AW181" s="273">
        <f>IF(AND(ISNUMBER(AW176),ISNUMBER(AW180)),AW176+AW177+AW178+AW179+AW180,"")</f>
        <v>329.544</v>
      </c>
      <c r="AX181" s="273">
        <f>IF(AND(ISNUMBER(AX176),ISNUMBER(AX180)),AX176+AX177+AX178+AX179+AX180,"")</f>
        <v>104.627</v>
      </c>
      <c r="AY181" s="273">
        <f>IF(AND(ISNUMBER(AY176),ISNUMBER(AY180)),AY176+AY177+AY178+AY179+AY180,"")</f>
        <v>108.442</v>
      </c>
      <c r="AZ181" s="273">
        <f>IF(AND(ISNUMBER(AZ176),ISNUMBER(AZ180)),AZ176+AZ177+AZ178+AZ179+AZ180,"")</f>
        <v>204.275</v>
      </c>
      <c r="BA181" s="273">
        <f>IF(AND(ISNUMBER(BA176),ISNUMBER(BA180)),BA176+BA177+BA178+BA179+BA180,"")</f>
        <v>121.482</v>
      </c>
      <c r="BB181" s="273">
        <f>IF(AND(ISNUMBER(BB176),ISNUMBER(BB180)),BB176+BB177+BB178+BB179+BB180,"")</f>
        <v>538.826</v>
      </c>
      <c r="BC181" s="273">
        <f>IF(AND(ISNUMBER(BC176),ISNUMBER(BC180)),BC176+BC177+BC178+BC179+BC180,"")</f>
        <v>122.242</v>
      </c>
      <c r="BD181" s="273">
        <f>IF(AND(ISNUMBER(BD176),ISNUMBER(BD180)),BD176+BD177+BD178+BD179+BD180,"")</f>
        <v>155.125</v>
      </c>
      <c r="BE181" s="273">
        <f>IF(AND(ISNUMBER(BE176),ISNUMBER(BE180)),BE176+BE177+BE178+BE179+BE180,"")</f>
        <v>144.778</v>
      </c>
      <c r="BF181" s="273">
        <f>IF(AND(ISNUMBER(BF176),ISNUMBER(BF180)),BF176+BF177+BF178+BF179+BF180,"")</f>
        <v>138.596</v>
      </c>
      <c r="BG181" s="273">
        <f>IF(AND(ISNUMBER(BG176),ISNUMBER(BG180)),BG176+BG177+BG178+BG179+BG180,"")</f>
        <v>560.741</v>
      </c>
      <c r="BH181" s="273">
        <f>IF(AND(ISNUMBER(BH176),ISNUMBER(BH180)),BH176+BH177+BH178+BH179+BH180,"")</f>
        <v>144.983</v>
      </c>
      <c r="BI181" s="273">
        <f>IF(AND(ISNUMBER(BI176),ISNUMBER(BI180)),BI176+BI177+BI178+BI179+BI180,"")</f>
        <v>165.38</v>
      </c>
      <c r="BJ181" s="273">
        <f>IF(AND(ISNUMBER(BJ176),ISNUMBER(BJ180)),BJ176+BJ177+BJ178+BJ179+BJ180,"")</f>
        <v>185.68</v>
      </c>
      <c r="BK181" s="273">
        <f>IF(AND(ISNUMBER(BK176),ISNUMBER(BK180)),BK176+BK177+BK178+BK179+BK180,"")</f>
        <v>167.765</v>
      </c>
      <c r="BL181" s="273">
        <f>IF(AND(ISNUMBER(BL176),ISNUMBER(BL180)),BL176+BL177+BL178+BL179+BL180,"")</f>
        <v>663.808</v>
      </c>
      <c r="BM181" s="273">
        <f>IF(AND(ISNUMBER(BM176),ISNUMBER(BM180)),BM176+BM177+BM178+BM179+BM180,"")</f>
        <v>157.576</v>
      </c>
      <c r="BN181" s="273">
        <f>IF(AND(ISNUMBER(BN176),ISNUMBER(BN180)),BN176+BN177+BN178+BN179+BN180,"")</f>
        <v>202.181</v>
      </c>
      <c r="BO181" s="273">
        <f>IF(AND(ISNUMBER(BO176),ISNUMBER(BO180)),BO176+BO177+BO178+BO179+BO180,"")</f>
        <v>198.02</v>
      </c>
      <c r="BP181" s="273">
        <f>IF(AND(ISNUMBER(BP176),ISNUMBER(BP180)),BP176+BP177+BP178+BP179+BP180,"")</f>
        <v>203.713</v>
      </c>
      <c r="BQ181" s="273">
        <f>IF(AND(ISNUMBER(BQ176),ISNUMBER(BQ180)),BQ176+BQ177+BQ178+BQ179+BQ180,"")</f>
        <v>761.49</v>
      </c>
      <c r="BR181" s="273">
        <f>IF(AND(ISNUMBER(BR176),ISNUMBER(BR180)),BR176+BR177+BR178+BR179+BR180,"")</f>
        <v>183.152</v>
      </c>
      <c r="BS181" s="273">
        <f>IF(AND(ISNUMBER(BS176),ISNUMBER(BS180)),BS176+BS177+BS178+BS179+BS180,"")</f>
        <v>247.809</v>
      </c>
      <c r="BT181" s="273">
        <f>IF(AND(ISNUMBER(BT176),ISNUMBER(BT180)),BT176+BT177+BT178+BT179+BT180,"")</f>
        <v>273.871</v>
      </c>
      <c r="BU181" s="273">
        <f>IF(AND(ISNUMBER(BU176),ISNUMBER(BU180)),BU176+BU177+BU178+BU179+BU180,"")</f>
        <v>246.362</v>
      </c>
      <c r="BV181" s="273">
        <f>IF(AND(ISNUMBER(BV176),ISNUMBER(BV180)),BV176+BV177+BV178+BV179+BV180,"")</f>
        <v>951.194</v>
      </c>
      <c r="BW181" s="273">
        <f>IF(AND(ISNUMBER(BW176),ISNUMBER(BW180)),BW176+BW177+BW178+BW179+BW180,"")</f>
        <v>237.954</v>
      </c>
      <c r="BX181" s="273">
        <f>IF(AND(ISNUMBER(BX176),ISNUMBER(BX180)),BX176+BX177+BX178+BX179+BX180,"")</f>
        <v>404.496</v>
      </c>
      <c r="BY181" s="273">
        <f>IF(AND(ISNUMBER(BY176),ISNUMBER(BY180)),BY176+BY177+BY178+BY179+BY180,"")</f>
        <v>378.754</v>
      </c>
      <c r="BZ181" s="273">
        <f>IF(AND(ISNUMBER(BZ176),ISNUMBER(BZ180)),BZ176+BZ177+BZ178+BZ179+BZ180,"")</f>
        <v>309.655581988028</v>
      </c>
      <c r="CA181" s="273">
        <f>IF(AND(ISNUMBER(CA176),ISNUMBER(CA180)),CA176+CA177+CA178+CA179+CA180,"")</f>
        <v>1330.85958198803</v>
      </c>
      <c r="CB181" s="273">
        <f>IF(AND(ISNUMBER(CB176),ISNUMBER(CB180)),CB176+CB177+CB178+CB179+CB180,"")</f>
        <v>1584.38688405023</v>
      </c>
      <c r="CC181" s="273">
        <f>IF(AND(ISNUMBER(CC176),ISNUMBER(CC180)),CC176+CC177+CC178+CC179+CC180,"")</f>
        <v>1779.89755286433</v>
      </c>
      <c r="CD181" s="273">
        <f>IF(AND(ISNUMBER(CD176),ISNUMBER(CD180)),CD176+CD177+CD178+CD179+CD180,"")</f>
        <v>1966.2628829856</v>
      </c>
      <c r="CE181" s="273">
        <f>IF(AND(ISNUMBER(CE176),ISNUMBER(CE180)),CE176+CE177+CE178+CE179+CE180,"")</f>
        <v>2143.47913988768</v>
      </c>
      <c r="CF181" s="273">
        <f>IF(AND(ISNUMBER(CF176),ISNUMBER(CF180)),CF176+CF177+CF178+CF179+CF180,"")</f>
        <v>2319.97529762616</v>
      </c>
      <c r="CG181" s="153" t="n"/>
      <c r="CI181" s="20">
        <f>IFERROR((CF181/CA181)^(1/5)-1,"n/m")</f>
        <v>0.117558394208806</v>
      </c>
      <c r="CJ181" s="20">
        <f>IFERROR((BV181/AW181)^(1/5)-1,"n/m")</f>
        <v>0.236149901694086</v>
      </c>
      <c r="CK181" s="20">
        <f>IFERROR((BV181/X181)^(1/10)-1,"n/m")</f>
        <v>0.186326359186561</v>
      </c>
      <c r="CL181" s="20">
        <f>IFERROR((BV181/C181)^(1/19)-1,"n/m")</f>
        <v>0.0851606225680144</v>
      </c>
    </row>
    <row r="182" ht="15" customHeight="1" s="251">
      <c r="B182" s="25" t="inlineStr">
        <is>
          <t xml:space="preserve">  (+) SBC, restructuring / acquisition charges, (gains) / losses on sales, excluded non-operating items</t>
        </is>
      </c>
      <c r="C182" s="262">
        <f>IF(ISNUMBER(C166),C166-N(C163)+N(C196),"")</f>
        <v>61.747</v>
      </c>
      <c r="D182" s="262">
        <f>IF(ISNUMBER(D166),D166-N(D163)+N(D196),"")</f>
        <v>37.175</v>
      </c>
      <c r="E182" s="262">
        <f>IF(ISNUMBER(E166),E166-N(E163)+N(E196),"")</f>
        <v>37.89</v>
      </c>
      <c r="F182" s="262">
        <f>IF(ISNUMBER(F166),F166-N(F163)+N(F196),"")</f>
        <v>31.639</v>
      </c>
      <c r="G182" s="262">
        <f>IF(ISNUMBER(G166),G166-N(G163)+N(G196),"")</f>
        <v>18.922</v>
      </c>
      <c r="H182" s="262">
        <f>IF(ISNUMBER(H166),H166-N(H163)+N(H196),"")</f>
        <v>27.891</v>
      </c>
      <c r="I182" s="262">
        <f>IF(ISNUMBER(I166),I166-N(I163)+N(I196),"")</f>
        <v>26.354</v>
      </c>
      <c r="J182" s="262">
        <f>IF(ISNUMBER(J166),J166-N(J163)+N(J196),"")</f>
        <v>9.121</v>
      </c>
      <c r="K182" s="262">
        <f>IF(ISNUMBER(K166),K166-N(K163)+N(K196),"")</f>
        <v>6.413</v>
      </c>
      <c r="L182" s="262">
        <f>IF(ISNUMBER(L166),L166-N(L163)+N(L196),"")</f>
        <v>6.849</v>
      </c>
      <c r="M182" s="262">
        <f>IF(ISNUMBER(M166),M166-N(M163)+N(M196),"")</f>
        <v>6.953</v>
      </c>
      <c r="N182" s="262">
        <f>IF(ISNUMBER(N166),N166-N(N163)+N(N196),"")</f>
        <v>29.336</v>
      </c>
      <c r="O182" s="262">
        <f>IF(ISNUMBER(O166),O166-N(O163)+N(O196),"")</f>
        <v>10.895</v>
      </c>
      <c r="P182" s="262">
        <f>IF(ISNUMBER(P166),P166-N(P163)+N(P196),"")</f>
        <v>9.051</v>
      </c>
      <c r="Q182" s="262">
        <f>IF(ISNUMBER(Q166),Q166-N(Q163)+N(Q196),"")</f>
        <v>9.966</v>
      </c>
      <c r="R182" s="262">
        <f>IF(ISNUMBER(R166),R166-N(R163)+N(R196),"")</f>
        <v>10.731</v>
      </c>
      <c r="S182" s="262">
        <f>IF(ISNUMBER(S166),S166-N(S163)+N(S196),"")</f>
        <v>40.643</v>
      </c>
      <c r="T182" s="262">
        <f>IF(ISNUMBER(T166),T166-N(T163)+N(T196),"")</f>
        <v>8.794</v>
      </c>
      <c r="U182" s="262">
        <f>IF(ISNUMBER(U166),U166-N(U163)+N(U196),"")</f>
        <v>11.802</v>
      </c>
      <c r="V182" s="262">
        <f>IF(ISNUMBER(V166),V166-N(V163)+N(V196),"")</f>
        <v>14.422</v>
      </c>
      <c r="W182" s="262">
        <f>IF(ISNUMBER(W166),W166-N(W163)+N(W196),"")</f>
        <v>28.532</v>
      </c>
      <c r="X182" s="262">
        <f>IF(ISNUMBER(X166),X166-N(X163)+N(X196),"")</f>
        <v>63.55</v>
      </c>
      <c r="Y182" s="262">
        <f>IF(ISNUMBER(Y166),Y166-N(Y163)+N(Y196),"")</f>
        <v>14.7</v>
      </c>
      <c r="Z182" s="262">
        <f>IF(ISNUMBER(Z166),Z166-N(Z163)+N(Z196),"")</f>
        <v>13.6</v>
      </c>
      <c r="AA182" s="262">
        <f>IF(ISNUMBER(AA166),AA166-N(AA163)+N(AA196),"")</f>
        <v>13.404</v>
      </c>
      <c r="AB182" s="262">
        <f>IF(ISNUMBER(AB166),AB166-N(AB163)+N(AB196),"")</f>
        <v>13.805</v>
      </c>
      <c r="AC182" s="262">
        <f>IF(ISNUMBER(AC166),AC166-N(AC163)+N(AC196),"")</f>
        <v>55.509</v>
      </c>
      <c r="AD182" s="262">
        <f>IF(ISNUMBER(AD166),AD166-N(AD163)+N(AD196),"")</f>
        <v>14.519</v>
      </c>
      <c r="AE182" s="262">
        <f>IF(ISNUMBER(AE166),AE166-N(AE163)+N(AE196),"")</f>
        <v>14.712</v>
      </c>
      <c r="AF182" s="262">
        <f>IF(ISNUMBER(AF166),AF166-N(AF163)+N(AF196),"")</f>
        <v>18.786</v>
      </c>
      <c r="AG182" s="262">
        <f>IF(ISNUMBER(AG166),AG166-N(AG163)+N(AG196),"")</f>
        <v>17.676</v>
      </c>
      <c r="AH182" s="262">
        <f>IF(ISNUMBER(AH166),AH166-N(AH163)+N(AH196),"")</f>
        <v>65.693</v>
      </c>
      <c r="AI182" s="262">
        <f>IF(ISNUMBER(AI166),AI166-N(AI163)+N(AI196),"")</f>
        <v>16.51</v>
      </c>
      <c r="AJ182" s="262">
        <f>IF(ISNUMBER(AJ166),AJ166-N(AJ163)+N(AJ196),"")</f>
        <v>19.239</v>
      </c>
      <c r="AK182" s="262">
        <f>IF(ISNUMBER(AK166),AK166-N(AK163)+N(AK196),"")</f>
        <v>18.883</v>
      </c>
      <c r="AL182" s="262">
        <f>IF(ISNUMBER(AL166),AL166-N(AL163)+N(AL196),"")</f>
        <v>10.183</v>
      </c>
      <c r="AM182" s="262">
        <f>IF(ISNUMBER(AM166),AM166-N(AM163)+N(AM196),"")</f>
        <v>64.814</v>
      </c>
      <c r="AN182" s="262">
        <f>IF(ISNUMBER(AN166),AN166-N(AN163)+N(AN196),"")</f>
        <v>21.854</v>
      </c>
      <c r="AO182" s="262">
        <f>IF(ISNUMBER(AO166),AO166-N(AO163)+N(AO196),"")</f>
        <v>20.482</v>
      </c>
      <c r="AP182" s="262">
        <f>IF(ISNUMBER(AP166),AP166-N(AP163)+N(AP196),"")</f>
        <v>19.595</v>
      </c>
      <c r="AQ182" s="262">
        <f>IF(ISNUMBER(AQ166),AQ166-N(AQ163)+N(AQ196),"")</f>
        <v>21.042</v>
      </c>
      <c r="AR182" s="262">
        <f>IF(ISNUMBER(AR166),AR166-N(AR163)+N(AR196),"")</f>
        <v>82.973</v>
      </c>
      <c r="AS182" s="262">
        <f>IF(ISNUMBER(AS166),AS166-N(AS163)+N(AS196),"")</f>
        <v>26.249</v>
      </c>
      <c r="AT182" s="262">
        <f>IF(ISNUMBER(AT166),AT166-N(AT163)+N(AT196),"")</f>
        <v>22.788</v>
      </c>
      <c r="AU182" s="262">
        <f>IF(ISNUMBER(AU166),AU166-N(AU163)+N(AU196),"")</f>
        <v>22.264</v>
      </c>
      <c r="AV182" s="262">
        <f>IF(ISNUMBER(AV166),AV166-N(AV163)+N(AV196),"")</f>
        <v>67.409</v>
      </c>
      <c r="AW182" s="262">
        <f>IF(ISNUMBER(AW166),AW166-N(AW163)+N(AW196),"")</f>
        <v>138.71</v>
      </c>
      <c r="AX182" s="262">
        <f>IF(ISNUMBER(AX166),AX166-N(AX163)+N(AX196),"")</f>
        <v>17.798</v>
      </c>
      <c r="AY182" s="262">
        <f>IF(ISNUMBER(AY166),AY166-N(AY163)+N(AY196),"")</f>
        <v>28.206</v>
      </c>
      <c r="AZ182" s="262">
        <f>IF(ISNUMBER(AZ166),AZ166-N(AZ163)+N(AZ196),"")</f>
        <v>-62.044</v>
      </c>
      <c r="BA182" s="262">
        <f>IF(ISNUMBER(BA166),BA166-N(BA163)+N(BA196),"")</f>
        <v>36.315</v>
      </c>
      <c r="BB182" s="262">
        <f>IF(ISNUMBER(BB166),BB166-N(BB163)+N(BB196),"")</f>
        <v>20.275</v>
      </c>
      <c r="BC182" s="262">
        <f>IF(ISNUMBER(BC166),BC166-N(BC163)+N(BC196),"")</f>
        <v>29.878</v>
      </c>
      <c r="BD182" s="262">
        <f>IF(ISNUMBER(BD166),BD166-N(BD163)+N(BD196),"")</f>
        <v>27.936</v>
      </c>
      <c r="BE182" s="262">
        <f>IF(ISNUMBER(BE166),BE166-N(BE163)+N(BE196),"")</f>
        <v>28.549</v>
      </c>
      <c r="BF182" s="262">
        <f>IF(ISNUMBER(BF166),BF166-N(BF163)+N(BF196),"")</f>
        <v>28.992</v>
      </c>
      <c r="BG182" s="262">
        <f>IF(ISNUMBER(BG166),BG166-N(BG163)+N(BG196),"")</f>
        <v>115.355</v>
      </c>
      <c r="BH182" s="262">
        <f>IF(ISNUMBER(BH166),BH166-N(BH163)+N(BH196),"")</f>
        <v>27.761</v>
      </c>
      <c r="BI182" s="262">
        <f>IF(ISNUMBER(BI166),BI166-N(BI163)+N(BI196),"")</f>
        <v>27.053</v>
      </c>
      <c r="BJ182" s="262">
        <f>IF(ISNUMBER(BJ166),BJ166-N(BJ163)+N(BJ196),"")</f>
        <v>32.995</v>
      </c>
      <c r="BK182" s="262">
        <f>IF(ISNUMBER(BK166),BK166-N(BK163)+N(BK196),"")</f>
        <v>34.097</v>
      </c>
      <c r="BL182" s="262">
        <f>IF(ISNUMBER(BL166),BL166-N(BL163)+N(BL196),"")</f>
        <v>121.906</v>
      </c>
      <c r="BM182" s="262">
        <f>IF(ISNUMBER(BM166),BM166-N(BM163)+N(BM196),"")</f>
        <v>31.574</v>
      </c>
      <c r="BN182" s="262">
        <f>IF(ISNUMBER(BN166),BN166-N(BN163)+N(BN196),"")</f>
        <v>35.448</v>
      </c>
      <c r="BO182" s="262">
        <f>IF(ISNUMBER(BO166),BO166-N(BO163)+N(BO196),"")</f>
        <v>42.435</v>
      </c>
      <c r="BP182" s="262">
        <f>IF(ISNUMBER(BP166),BP166-N(BP163)+N(BP196),"")</f>
        <v>39.982</v>
      </c>
      <c r="BQ182" s="262">
        <f>IF(ISNUMBER(BQ166),BQ166-N(BQ163)+N(BQ196),"")</f>
        <v>149.439</v>
      </c>
      <c r="BR182" s="262">
        <f>IF(ISNUMBER(BR166),BR166-N(BR163)+N(BR196),"")</f>
        <v>40.654</v>
      </c>
      <c r="BS182" s="262">
        <f>IF(ISNUMBER(BS166),BS166-N(BS163)+N(BS196),"")</f>
        <v>41.704</v>
      </c>
      <c r="BT182" s="262">
        <f>IF(ISNUMBER(BT166),BT166-N(BT163)+N(BT196),"")</f>
        <v>41.93</v>
      </c>
      <c r="BU182" s="262">
        <f>IF(ISNUMBER(BU166),BU166-N(BU163)+N(BU196),"")</f>
        <v>43.301</v>
      </c>
      <c r="BV182" s="262">
        <f>IF(ISNUMBER(BV166),BV166-N(BV163)+N(BV196),"")</f>
        <v>167.589</v>
      </c>
      <c r="BW182" s="262">
        <f>IF(ISNUMBER(BW166),BW166-N(BW163)+N(BW196),"")</f>
        <v>44.269</v>
      </c>
      <c r="BX182" s="262">
        <f>IF(ISNUMBER(BX166),BX166-N(BX163)+N(BX196),"")</f>
        <v>45.31</v>
      </c>
      <c r="BY182" s="262">
        <f>IF(ISNUMBER(BY166),BY166-N(BY163)+N(BY196),"")</f>
        <v>52.331</v>
      </c>
      <c r="BZ182" s="254">
        <f>IF(ISNUMBER(BZ166),BZ166-N(BZ163)+N(BZ196),"")</f>
        <v>73.1</v>
      </c>
      <c r="CA182" s="254">
        <f>IF(ISNUMBER(CA166),CA166-N(CA163)+N(CA196),"")</f>
        <v>215.01</v>
      </c>
      <c r="CB182" s="254">
        <f>IF(ISNUMBER(CB166),CB166-N(CB163)+N(CB196),"")</f>
        <v>206.514846493013</v>
      </c>
      <c r="CC182" s="254">
        <f>IF(ISNUMBER(CC166),CC166-N(CC163)+N(CC196),"")</f>
        <v>222.3511309141</v>
      </c>
      <c r="CD182" s="254">
        <f>IF(ISNUMBER(CD166),CD166-N(CD163)+N(CD196),"")</f>
        <v>243.347261086416</v>
      </c>
      <c r="CE182" s="254">
        <f>IF(ISNUMBER(CE166),CE166-N(CE163)+N(CE196),"")</f>
        <v>264.758116730395</v>
      </c>
      <c r="CF182" s="254">
        <f>IF(ISNUMBER(CF166),CF166-N(CF163)+N(CF196),"")</f>
        <v>286.305123956207</v>
      </c>
      <c r="CG182" s="19" t="n"/>
    </row>
    <row r="183" ht="15" customHeight="1" s="251">
      <c r="B183" s="55" t="inlineStr">
        <is>
          <t xml:space="preserve">  = Adjusted EBITDA (model)</t>
        </is>
      </c>
      <c r="C183" s="273">
        <f>IF(AND(ISNUMBER(C181),ISNUMBER(C182)),C181+C182,"")</f>
        <v>263.065</v>
      </c>
      <c r="D183" s="273">
        <f>IF(AND(ISNUMBER(D181),ISNUMBER(D182)),D181+D182,"")</f>
        <v>236.3</v>
      </c>
      <c r="E183" s="273">
        <f>IF(AND(ISNUMBER(E181),ISNUMBER(E182)),E181+E182,"")</f>
        <v>201.912</v>
      </c>
      <c r="F183" s="273">
        <f>IF(AND(ISNUMBER(F181),ISNUMBER(F182)),F181+F182,"")</f>
        <v>188.392</v>
      </c>
      <c r="G183" s="273">
        <f>IF(AND(ISNUMBER(G181),ISNUMBER(G182)),G181+G182,"")</f>
        <v>164.58</v>
      </c>
      <c r="H183" s="273">
        <f>IF(AND(ISNUMBER(H181),ISNUMBER(H182)),H181+H182,"")</f>
        <v>179.715</v>
      </c>
      <c r="I183" s="273">
        <f>IF(AND(ISNUMBER(I181),ISNUMBER(I182)),I181+I182,"")</f>
        <v>215.563</v>
      </c>
      <c r="J183" s="273">
        <f>IF(AND(ISNUMBER(J181),ISNUMBER(J182)),J181+J182,"")</f>
        <v>59.996</v>
      </c>
      <c r="K183" s="273">
        <f>IF(AND(ISNUMBER(K181),ISNUMBER(K182)),K181+K182,"")</f>
        <v>48.106</v>
      </c>
      <c r="L183" s="273">
        <f>IF(AND(ISNUMBER(L181),ISNUMBER(L182)),L181+L182,"")</f>
        <v>51.614</v>
      </c>
      <c r="M183" s="273">
        <f>IF(AND(ISNUMBER(M181),ISNUMBER(M182)),M181+M182,"")</f>
        <v>65.045</v>
      </c>
      <c r="N183" s="273">
        <f>IF(AND(ISNUMBER(N181),ISNUMBER(N182)),N181+N182,"")</f>
        <v>224.761</v>
      </c>
      <c r="O183" s="273">
        <f>IF(AND(ISNUMBER(O181),ISNUMBER(O182)),O181+O182,"")</f>
        <v>53.371</v>
      </c>
      <c r="P183" s="273">
        <f>IF(AND(ISNUMBER(P181),ISNUMBER(P182)),P181+P182,"")</f>
        <v>55.282</v>
      </c>
      <c r="Q183" s="273">
        <f>IF(AND(ISNUMBER(Q181),ISNUMBER(Q182)),Q181+Q182,"")</f>
        <v>55.502</v>
      </c>
      <c r="R183" s="273">
        <f>IF(AND(ISNUMBER(R181),ISNUMBER(R182)),R181+R182,"")</f>
        <v>70.801</v>
      </c>
      <c r="S183" s="273">
        <f>IF(AND(ISNUMBER(S181),ISNUMBER(S182)),S181+S182,"")</f>
        <v>234.956</v>
      </c>
      <c r="T183" s="273">
        <f>IF(AND(ISNUMBER(T181),ISNUMBER(T182)),T181+T182,"")</f>
        <v>42.43</v>
      </c>
      <c r="U183" s="273">
        <f>IF(AND(ISNUMBER(U181),ISNUMBER(U182)),U181+U182,"")</f>
        <v>54.493</v>
      </c>
      <c r="V183" s="273">
        <f>IF(AND(ISNUMBER(V181),ISNUMBER(V182)),V181+V182,"")</f>
        <v>61.292</v>
      </c>
      <c r="W183" s="273">
        <f>IF(AND(ISNUMBER(W181),ISNUMBER(W182)),W181+W182,"")</f>
        <v>77.612</v>
      </c>
      <c r="X183" s="273">
        <f>IF(AND(ISNUMBER(X181),ISNUMBER(X182)),X181+X182,"")</f>
        <v>235.827</v>
      </c>
      <c r="Y183" s="273">
        <f>IF(AND(ISNUMBER(Y181),ISNUMBER(Y182)),Y181+Y182,"")</f>
        <v>52.641</v>
      </c>
      <c r="Z183" s="273">
        <f>IF(AND(ISNUMBER(Z181),ISNUMBER(Z182)),Z181+Z182,"")</f>
        <v>60.286</v>
      </c>
      <c r="AA183" s="273">
        <f>IF(AND(ISNUMBER(AA181),ISNUMBER(AA182)),AA181+AA182,"")</f>
        <v>78.434</v>
      </c>
      <c r="AB183" s="273">
        <f>IF(AND(ISNUMBER(AB181),ISNUMBER(AB182)),AB181+AB182,"")</f>
        <v>66.983</v>
      </c>
      <c r="AC183" s="273">
        <f>IF(AND(ISNUMBER(AC181),ISNUMBER(AC182)),AC181+AC182,"")</f>
        <v>258.344</v>
      </c>
      <c r="AD183" s="273">
        <f>IF(AND(ISNUMBER(AD181),ISNUMBER(AD182)),AD181+AD182,"")</f>
        <v>58.404</v>
      </c>
      <c r="AE183" s="273">
        <f>IF(AND(ISNUMBER(AE181),ISNUMBER(AE182)),AE181+AE182,"")</f>
        <v>63.604</v>
      </c>
      <c r="AF183" s="273">
        <f>IF(AND(ISNUMBER(AF181),ISNUMBER(AF182)),AF181+AF182,"")</f>
        <v>69.961</v>
      </c>
      <c r="AG183" s="273">
        <f>IF(AND(ISNUMBER(AG181),ISNUMBER(AG182)),AG181+AG182,"")</f>
        <v>87.052</v>
      </c>
      <c r="AH183" s="273">
        <f>IF(AND(ISNUMBER(AH181),ISNUMBER(AH182)),AH181+AH182,"")</f>
        <v>279.021</v>
      </c>
      <c r="AI183" s="273">
        <f>IF(AND(ISNUMBER(AI181),ISNUMBER(AI182)),AI181+AI182,"")</f>
        <v>64.658</v>
      </c>
      <c r="AJ183" s="273">
        <f>IF(AND(ISNUMBER(AJ181),ISNUMBER(AJ182)),AJ181+AJ182,"")</f>
        <v>74.521</v>
      </c>
      <c r="AK183" s="273">
        <f>IF(AND(ISNUMBER(AK181),ISNUMBER(AK182)),AK181+AK182,"")</f>
        <v>76.081</v>
      </c>
      <c r="AL183" s="273">
        <f>IF(AND(ISNUMBER(AL181),ISNUMBER(AL182)),AL181+AL182,"")</f>
        <v>99.058</v>
      </c>
      <c r="AM183" s="273">
        <f>IF(AND(ISNUMBER(AM181),ISNUMBER(AM182)),AM181+AM182,"")</f>
        <v>314.317</v>
      </c>
      <c r="AN183" s="273">
        <f>IF(AND(ISNUMBER(AN181),ISNUMBER(AN182)),AN181+AN182,"")</f>
        <v>76.653</v>
      </c>
      <c r="AO183" s="273">
        <f>IF(AND(ISNUMBER(AO181),ISNUMBER(AO182)),AO181+AO182,"")</f>
        <v>78.283</v>
      </c>
      <c r="AP183" s="273">
        <f>IF(AND(ISNUMBER(AP181),ISNUMBER(AP182)),AP181+AP182,"")</f>
        <v>115.708</v>
      </c>
      <c r="AQ183" s="273">
        <f>IF(AND(ISNUMBER(AQ181),ISNUMBER(AQ182)),AQ181+AQ182,"")</f>
        <v>99.765</v>
      </c>
      <c r="AR183" s="273">
        <f>IF(AND(ISNUMBER(AR181),ISNUMBER(AR182)),AR181+AR182,"")</f>
        <v>370.409</v>
      </c>
      <c r="AS183" s="273">
        <f>IF(AND(ISNUMBER(AS181),ISNUMBER(AS182)),AS181+AS182,"")</f>
        <v>85.7680000000001</v>
      </c>
      <c r="AT183" s="273">
        <f>IF(AND(ISNUMBER(AT181),ISNUMBER(AT182)),AT181+AT182,"")</f>
        <v>104.185</v>
      </c>
      <c r="AU183" s="273">
        <f>IF(AND(ISNUMBER(AU181),ISNUMBER(AU182)),AU181+AU182,"")</f>
        <v>117.709</v>
      </c>
      <c r="AV183" s="273">
        <f>IF(AND(ISNUMBER(AV181),ISNUMBER(AV182)),AV181+AV182,"")</f>
        <v>160.592</v>
      </c>
      <c r="AW183" s="273">
        <f>IF(AND(ISNUMBER(AW181),ISNUMBER(AW182)),AW181+AW182,"")</f>
        <v>468.254</v>
      </c>
      <c r="AX183" s="273">
        <f>IF(AND(ISNUMBER(AX181),ISNUMBER(AX182)),AX181+AX182,"")</f>
        <v>122.425</v>
      </c>
      <c r="AY183" s="273">
        <f>IF(AND(ISNUMBER(AY181),ISNUMBER(AY182)),AY181+AY182,"")</f>
        <v>136.648</v>
      </c>
      <c r="AZ183" s="273">
        <f>IF(AND(ISNUMBER(AZ181),ISNUMBER(AZ182)),AZ181+AZ182,"")</f>
        <v>142.231</v>
      </c>
      <c r="BA183" s="273">
        <f>IF(AND(ISNUMBER(BA181),ISNUMBER(BA182)),BA181+BA182,"")</f>
        <v>157.797</v>
      </c>
      <c r="BB183" s="273">
        <f>IF(AND(ISNUMBER(BB181),ISNUMBER(BB182)),BB181+BB182,"")</f>
        <v>559.101</v>
      </c>
      <c r="BC183" s="273">
        <f>IF(AND(ISNUMBER(BC181),ISNUMBER(BC182)),BC181+BC182,"")</f>
        <v>152.12</v>
      </c>
      <c r="BD183" s="273">
        <f>IF(AND(ISNUMBER(BD181),ISNUMBER(BD182)),BD181+BD182,"")</f>
        <v>183.061</v>
      </c>
      <c r="BE183" s="273">
        <f>IF(AND(ISNUMBER(BE181),ISNUMBER(BE182)),BE181+BE182,"")</f>
        <v>173.327</v>
      </c>
      <c r="BF183" s="273">
        <f>IF(AND(ISNUMBER(BF181),ISNUMBER(BF182)),BF181+BF182,"")</f>
        <v>167.588</v>
      </c>
      <c r="BG183" s="273">
        <f>IF(AND(ISNUMBER(BG181),ISNUMBER(BG182)),BG181+BG182,"")</f>
        <v>676.096</v>
      </c>
      <c r="BH183" s="273">
        <f>IF(AND(ISNUMBER(BH181),ISNUMBER(BH182)),BH181+BH182,"")</f>
        <v>172.744</v>
      </c>
      <c r="BI183" s="273">
        <f>IF(AND(ISNUMBER(BI181),ISNUMBER(BI182)),BI181+BI182,"")</f>
        <v>192.433</v>
      </c>
      <c r="BJ183" s="273">
        <f>IF(AND(ISNUMBER(BJ181),ISNUMBER(BJ182)),BJ181+BJ182,"")</f>
        <v>218.675</v>
      </c>
      <c r="BK183" s="273">
        <f>IF(AND(ISNUMBER(BK181),ISNUMBER(BK182)),BK181+BK182,"")</f>
        <v>201.862</v>
      </c>
      <c r="BL183" s="273">
        <f>IF(AND(ISNUMBER(BL181),ISNUMBER(BL182)),BL181+BL182,"")</f>
        <v>785.714</v>
      </c>
      <c r="BM183" s="273">
        <f>IF(AND(ISNUMBER(BM181),ISNUMBER(BM182)),BM181+BM182,"")</f>
        <v>189.15</v>
      </c>
      <c r="BN183" s="273">
        <f>IF(AND(ISNUMBER(BN181),ISNUMBER(BN182)),BN181+BN182,"")</f>
        <v>237.629</v>
      </c>
      <c r="BO183" s="273">
        <f>IF(AND(ISNUMBER(BO181),ISNUMBER(BO182)),BO181+BO182,"")</f>
        <v>240.455</v>
      </c>
      <c r="BP183" s="273">
        <f>IF(AND(ISNUMBER(BP181),ISNUMBER(BP182)),BP181+BP182,"")</f>
        <v>243.695</v>
      </c>
      <c r="BQ183" s="273">
        <f>IF(AND(ISNUMBER(BQ181),ISNUMBER(BQ182)),BQ181+BQ182,"")</f>
        <v>910.929</v>
      </c>
      <c r="BR183" s="273">
        <f>IF(AND(ISNUMBER(BR181),ISNUMBER(BR182)),BR181+BR182,"")</f>
        <v>223.806</v>
      </c>
      <c r="BS183" s="273">
        <f>IF(AND(ISNUMBER(BS181),ISNUMBER(BS182)),BS181+BS182,"")</f>
        <v>289.513</v>
      </c>
      <c r="BT183" s="273">
        <f>IF(AND(ISNUMBER(BT181),ISNUMBER(BT182)),BT181+BT182,"")</f>
        <v>315.801</v>
      </c>
      <c r="BU183" s="273">
        <f>IF(AND(ISNUMBER(BU181),ISNUMBER(BU182)),BU181+BU182,"")</f>
        <v>289.663</v>
      </c>
      <c r="BV183" s="273">
        <f>IF(AND(ISNUMBER(BV181),ISNUMBER(BV182)),BV181+BV182,"")</f>
        <v>1118.783</v>
      </c>
      <c r="BW183" s="273">
        <f>IF(AND(ISNUMBER(BW181),ISNUMBER(BW182)),BW181+BW182,"")</f>
        <v>282.223</v>
      </c>
      <c r="BX183" s="273">
        <f>IF(AND(ISNUMBER(BX181),ISNUMBER(BX182)),BX181+BX182,"")</f>
        <v>449.806</v>
      </c>
      <c r="BY183" s="273">
        <f>IF(AND(ISNUMBER(BY181),ISNUMBER(BY182)),BY181+BY182,"")</f>
        <v>431.085</v>
      </c>
      <c r="BZ183" s="273">
        <f>IF(AND(ISNUMBER(BZ181),ISNUMBER(BZ182)),BZ181+BZ182,"")</f>
        <v>382.755581988028</v>
      </c>
      <c r="CA183" s="273">
        <f>IF(AND(ISNUMBER(CA181),ISNUMBER(CA182)),CA181+CA182,"")</f>
        <v>1545.86958198803</v>
      </c>
      <c r="CB183" s="273">
        <f>IF(AND(ISNUMBER(CB181),ISNUMBER(CB182)),CB181+CB182,"")</f>
        <v>1790.90173054324</v>
      </c>
      <c r="CC183" s="273">
        <f>IF(AND(ISNUMBER(CC181),ISNUMBER(CC182)),CC181+CC182,"")</f>
        <v>2002.24868377843</v>
      </c>
      <c r="CD183" s="273">
        <f>IF(AND(ISNUMBER(CD181),ISNUMBER(CD182)),CD181+CD182,"")</f>
        <v>2209.61014407202</v>
      </c>
      <c r="CE183" s="273">
        <f>IF(AND(ISNUMBER(CE181),ISNUMBER(CE182)),CE181+CE182,"")</f>
        <v>2408.23725661808</v>
      </c>
      <c r="CF183" s="273">
        <f>IF(AND(ISNUMBER(CF181),ISNUMBER(CF182)),CF181+CF182,"")</f>
        <v>2606.28042158237</v>
      </c>
      <c r="CG183" s="153" t="inlineStr">
        <is>
          <t>Model definition (FICO publishes no EBITDA): excludes share-based compensation, like FICO's non-GAAP measures. Used for leverage (net debt / adjusted EBITDA) and EV / EBITDA.</t>
        </is>
      </c>
      <c r="CI183" s="20">
        <f>IFERROR((CF183/CA183)^(1/5)-1,"n/m")</f>
        <v>0.110119312357689</v>
      </c>
      <c r="CJ183" s="20">
        <f>IFERROR((BV183/AW183)^(1/5)-1,"n/m")</f>
        <v>0.190290239977399</v>
      </c>
      <c r="CK183" s="20">
        <f>IFERROR((BV183/X183)^(1/10)-1,"n/m")</f>
        <v>0.168463722263778</v>
      </c>
      <c r="CL183" s="20">
        <f>IFERROR((BV183/C183)^(1/19)-1,"n/m")</f>
        <v>0.0791667795609512</v>
      </c>
    </row>
    <row r="184" ht="15" customHeight="1" s="251">
      <c r="B184" s="25" t="inlineStr">
        <is>
          <t xml:space="preserve">  Adjusted EBITDA margin %</t>
        </is>
      </c>
      <c r="C184" s="215">
        <f>IF(AND(ISNUMBER(C183),ISNUMBER(C127)),IFERROR(C183/C127,""),"")</f>
        <v>0.31872565471034</v>
      </c>
      <c r="D184" s="215">
        <f>IF(AND(ISNUMBER(D183),ISNUMBER(D127)),IFERROR(D183/D127,""),"")</f>
        <v>0.287387076216561</v>
      </c>
      <c r="E184" s="215">
        <f>IF(AND(ISNUMBER(E183),ISNUMBER(E127)),IFERROR(E183/E127,""),"")</f>
        <v>0.271080309649563</v>
      </c>
      <c r="F184" s="215">
        <f>IF(AND(ISNUMBER(F183),ISNUMBER(F127)),IFERROR(F183/F127,""),"")</f>
        <v>0.298686453106297</v>
      </c>
      <c r="G184" s="215">
        <f>IF(AND(ISNUMBER(G183),ISNUMBER(G127)),IFERROR(G183/G127,""),"")</f>
        <v>0.271744245372274</v>
      </c>
      <c r="H184" s="215">
        <f>IF(AND(ISNUMBER(H183),ISNUMBER(H127)),IFERROR(H183/H127,""),"")</f>
        <v>0.290011183137185</v>
      </c>
      <c r="I184" s="215">
        <f>IF(AND(ISNUMBER(I183),ISNUMBER(I127)),IFERROR(I183/I127,""),"")</f>
        <v>0.318680766325214</v>
      </c>
      <c r="J184" s="215">
        <f>IF(AND(ISNUMBER(J183),ISNUMBER(J127)),IFERROR(J183/J127,""),"")</f>
        <v>0.315735185769919</v>
      </c>
      <c r="K184" s="215">
        <f>IF(AND(ISNUMBER(K183),ISNUMBER(K127)),IFERROR(K183/K127,""),"")</f>
        <v>0.268261536316743</v>
      </c>
      <c r="L184" s="215">
        <f>IF(AND(ISNUMBER(L183),ISNUMBER(L127)),IFERROR(L183/L127,""),"")</f>
        <v>0.280858890364147</v>
      </c>
      <c r="M184" s="215">
        <f>IF(AND(ISNUMBER(M183),ISNUMBER(M127)),IFERROR(M183/M127,""),"")</f>
        <v>0.341753928764705</v>
      </c>
      <c r="N184" s="215">
        <f>IF(AND(ISNUMBER(N183),ISNUMBER(N127)),IFERROR(N183/N127,""),"")</f>
        <v>0.302324048616977</v>
      </c>
      <c r="O184" s="215">
        <f>IF(AND(ISNUMBER(O183),ISNUMBER(O127)),IFERROR(O183/O127,""),"")</f>
        <v>0.289520079417173</v>
      </c>
      <c r="P184" s="215">
        <f>IF(AND(ISNUMBER(P183),ISNUMBER(P127)),IFERROR(P183/P127,""),"")</f>
        <v>0.298077234150392</v>
      </c>
      <c r="Q184" s="215">
        <f>IF(AND(ISNUMBER(Q183),ISNUMBER(Q127)),IFERROR(Q183/Q127,""),"")</f>
        <v>0.280866352917362</v>
      </c>
      <c r="R184" s="215">
        <f>IF(AND(ISNUMBER(R183),ISNUMBER(R127)),IFERROR(R183/R127,""),"")</f>
        <v>0.319542356817259</v>
      </c>
      <c r="S184" s="215">
        <f>IF(AND(ISNUMBER(S183),ISNUMBER(S127)),IFERROR(S183/S127,""),"")</f>
        <v>0.2977952686046</v>
      </c>
      <c r="T184" s="215">
        <f>IF(AND(ISNUMBER(T183),ISNUMBER(T127)),IFERROR(T183/T127,""),"")</f>
        <v>0.223845950936428</v>
      </c>
      <c r="U184" s="215">
        <f>IF(AND(ISNUMBER(U183),ISNUMBER(U127)),IFERROR(U183/U127,""),"")</f>
        <v>0.263112660483127</v>
      </c>
      <c r="V184" s="215">
        <f>IF(AND(ISNUMBER(V183),ISNUMBER(V127)),IFERROR(V183/V127,""),"")</f>
        <v>0.292750494349608</v>
      </c>
      <c r="W184" s="215">
        <f>IF(AND(ISNUMBER(W183),ISNUMBER(W127)),IFERROR(W183/W127,""),"")</f>
        <v>0.333447902524532</v>
      </c>
      <c r="X184" s="215">
        <f>IF(AND(ISNUMBER(X183),ISNUMBER(X127)),IFERROR(X183/X127,""),"")</f>
        <v>0.281154437213051</v>
      </c>
      <c r="Y184" s="215">
        <f>IF(AND(ISNUMBER(Y183),ISNUMBER(Y127)),IFERROR(Y183/Y127,""),"")</f>
        <v>0.263105020092365</v>
      </c>
      <c r="Z184" s="215">
        <f>IF(AND(ISNUMBER(Z183),ISNUMBER(Z127)),IFERROR(Z183/Z127,""),"")</f>
        <v>0.291690455684688</v>
      </c>
      <c r="AA184" s="215">
        <f>IF(AND(ISNUMBER(AA183),ISNUMBER(AA127)),IFERROR(AA183/AA127,""),"")</f>
        <v>0.328480848319359</v>
      </c>
      <c r="AB184" s="215">
        <f>IF(AND(ISNUMBER(AB183),ISNUMBER(AB127)),IFERROR(AB183/AB127,""),"")</f>
        <v>0.284038096207341</v>
      </c>
      <c r="AC184" s="215">
        <f>IF(AND(ISNUMBER(AC183),ISNUMBER(AC127)),IFERROR(AC183/AC127,""),"")</f>
        <v>0.293121054375304</v>
      </c>
      <c r="AD184" s="215">
        <f>IF(AND(ISNUMBER(AD183),ISNUMBER(AD127)),IFERROR(AD183/AD127,""),"")</f>
        <v>0.265956284153006</v>
      </c>
      <c r="AE184" s="215">
        <f>IF(AND(ISNUMBER(AE183),ISNUMBER(AE127)),IFERROR(AE183/AE127,""),"")</f>
        <v>0.278503183318884</v>
      </c>
      <c r="AF184" s="215">
        <f>IF(AND(ISNUMBER(AF183),ISNUMBER(AF127)),IFERROR(AF183/AF127,""),"")</f>
        <v>0.302879828214697</v>
      </c>
      <c r="AG184" s="215">
        <f>IF(AND(ISNUMBER(AG183),ISNUMBER(AG127)),IFERROR(AG183/AG127,""),"")</f>
        <v>0.34380047787366</v>
      </c>
      <c r="AH184" s="215">
        <f>IF(AND(ISNUMBER(AH183),ISNUMBER(AH127)),IFERROR(AH183/AH127,""),"")</f>
        <v>0.299324478715769</v>
      </c>
      <c r="AI184" s="215">
        <f>IF(AND(ISNUMBER(AI183),ISNUMBER(AI127)),IFERROR(AI183/AI127,""),"")</f>
        <v>0.274765108086401</v>
      </c>
      <c r="AJ184" s="215">
        <f>IF(AND(ISNUMBER(AJ183),ISNUMBER(AJ127)),IFERROR(AJ183/AJ127,""),"")</f>
        <v>0.289000147367931</v>
      </c>
      <c r="AK184" s="215">
        <f>IF(AND(ISNUMBER(AK183),ISNUMBER(AK127)),IFERROR(AK183/AK127,""),"")</f>
        <v>0.293177395425907</v>
      </c>
      <c r="AL184" s="215">
        <f>IF(AND(ISNUMBER(AL183),ISNUMBER(AL127)),IFERROR(AL183/AL127,""),"")</f>
        <v>0.3540428391192</v>
      </c>
      <c r="AM184" s="215">
        <f>IF(AND(ISNUMBER(AM183),ISNUMBER(AM127)),IFERROR(AM183/AM127,""),"")</f>
        <v>0.304430615753408</v>
      </c>
      <c r="AN184" s="215">
        <f>IF(AND(ISNUMBER(AN183),ISNUMBER(AN127)),IFERROR(AN183/AN127,""),"")</f>
        <v>0.29228311268379</v>
      </c>
      <c r="AO184" s="215">
        <f>IF(AND(ISNUMBER(AO183),ISNUMBER(AO127)),IFERROR(AO183/AO127,""),"")</f>
        <v>0.28135669975632</v>
      </c>
      <c r="AP184" s="215">
        <f>IF(AND(ISNUMBER(AP183),ISNUMBER(AP127)),IFERROR(AP183/AP127,""),"")</f>
        <v>0.368204831200736</v>
      </c>
      <c r="AQ184" s="215">
        <f>IF(AND(ISNUMBER(AQ183),ISNUMBER(AQ127)),IFERROR(AQ183/AQ127,""),"")</f>
        <v>0.326729852232236</v>
      </c>
      <c r="AR184" s="215">
        <f>IF(AND(ISNUMBER(AR183),ISNUMBER(AR127)),IFERROR(AR183/AR127,""),"")</f>
        <v>0.319295257322105</v>
      </c>
      <c r="AS184" s="215">
        <f>IF(AND(ISNUMBER(AS183),ISNUMBER(AS127)),IFERROR(AS183/AS127,""),"")</f>
        <v>0.287326132983143</v>
      </c>
      <c r="AT184" s="215">
        <f>IF(AND(ISNUMBER(AT183),ISNUMBER(AT127)),IFERROR(AT183/AT127,""),"")</f>
        <v>0.338294839449169</v>
      </c>
      <c r="AU184" s="215">
        <f>IF(AND(ISNUMBER(AU183),ISNUMBER(AU127)),IFERROR(AU183/AU127,""),"")</f>
        <v>0.375190848210728</v>
      </c>
      <c r="AV184" s="215">
        <f>IF(AND(ISNUMBER(AV183),ISNUMBER(AV127)),IFERROR(AV183/AV127,""),"")</f>
        <v>0.428982038487429</v>
      </c>
      <c r="AW184" s="215">
        <f>IF(AND(ISNUMBER(AW183),ISNUMBER(AW127)),IFERROR(AW183/AW127,""),"")</f>
        <v>0.361708438838773</v>
      </c>
      <c r="AX184" s="215">
        <f>IF(AND(ISNUMBER(AX183),ISNUMBER(AX127)),IFERROR(AX183/AX127,""),"")</f>
        <v>0.391867842030127</v>
      </c>
      <c r="AY184" s="215">
        <f>IF(AND(ISNUMBER(AY183),ISNUMBER(AY127)),IFERROR(AY183/AY127,""),"")</f>
        <v>0.412384076581131</v>
      </c>
      <c r="AZ184" s="215">
        <f>IF(AND(ISNUMBER(AZ183),ISNUMBER(AZ127)),IFERROR(AZ183/AZ127,""),"")</f>
        <v>0.420572824261349</v>
      </c>
      <c r="BA184" s="215">
        <f>IF(AND(ISNUMBER(BA183),ISNUMBER(BA127)),IFERROR(BA183/BA127,""),"")</f>
        <v>0.47163134345756</v>
      </c>
      <c r="BB184" s="215">
        <f>IF(AND(ISNUMBER(BB183),ISNUMBER(BB127)),IFERROR(BB183/BB127,""),"")</f>
        <v>0.424675815929075</v>
      </c>
      <c r="BC184" s="215">
        <f>IF(AND(ISNUMBER(BC183),ISNUMBER(BC127)),IFERROR(BC183/BC127,""),"")</f>
        <v>0.471893312156247</v>
      </c>
      <c r="BD184" s="215">
        <f>IF(AND(ISNUMBER(BD183),ISNUMBER(BD127)),IFERROR(BD183/BD127,""),"")</f>
        <v>0.512495975587564</v>
      </c>
      <c r="BE184" s="215">
        <f>IF(AND(ISNUMBER(BE183),ISNUMBER(BE127)),IFERROR(BE183/BE127,""),"")</f>
        <v>0.496687356361365</v>
      </c>
      <c r="BF184" s="215">
        <f>IF(AND(ISNUMBER(BF183),ISNUMBER(BF127)),IFERROR(BF183/BF127,""),"")</f>
        <v>0.480541823895764</v>
      </c>
      <c r="BG184" s="215">
        <f>IF(AND(ISNUMBER(BG183),ISNUMBER(BG127)),IFERROR(BG183/BG127,""),"")</f>
        <v>0.490895757549355</v>
      </c>
      <c r="BH184" s="215">
        <f>IF(AND(ISNUMBER(BH183),ISNUMBER(BH127)),IFERROR(BH183/BH127,""),"")</f>
        <v>0.500895989793255</v>
      </c>
      <c r="BI184" s="215">
        <f>IF(AND(ISNUMBER(BI183),ISNUMBER(BI127)),IFERROR(BI183/BI127,""),"")</f>
        <v>0.506048397700557</v>
      </c>
      <c r="BJ184" s="215">
        <f>IF(AND(ISNUMBER(BJ183),ISNUMBER(BJ127)),IFERROR(BJ183/BJ127,""),"")</f>
        <v>0.548486535837547</v>
      </c>
      <c r="BK184" s="215">
        <f>IF(AND(ISNUMBER(BK183),ISNUMBER(BK127)),IFERROR(BK183/BK127,""),"")</f>
        <v>0.517949467969097</v>
      </c>
      <c r="BL184" s="215">
        <f>IF(AND(ISNUMBER(BL183),ISNUMBER(BL127)),IFERROR(BL183/BL127,""),"")</f>
        <v>0.519117548926139</v>
      </c>
      <c r="BM184" s="215">
        <f>IF(AND(ISNUMBER(BM183),ISNUMBER(BM127)),IFERROR(BM183/BM127,""),"")</f>
        <v>0.495080602734133</v>
      </c>
      <c r="BN184" s="215">
        <f>IF(AND(ISNUMBER(BN183),ISNUMBER(BN127)),IFERROR(BN183/BN127,""),"")</f>
        <v>0.547773328815216</v>
      </c>
      <c r="BO184" s="215">
        <f>IF(AND(ISNUMBER(BO183),ISNUMBER(BO127)),IFERROR(BO183/BO127,""),"")</f>
        <v>0.536910878443404</v>
      </c>
      <c r="BP184" s="215">
        <f>IF(AND(ISNUMBER(BP183),ISNUMBER(BP127)),IFERROR(BP183/BP127,""),"")</f>
        <v>0.536999045854093</v>
      </c>
      <c r="BQ184" s="215">
        <f>IF(AND(ISNUMBER(BQ183),ISNUMBER(BQ127)),IFERROR(BQ183/BQ127,""),"")</f>
        <v>0.530372757093633</v>
      </c>
      <c r="BR184" s="215">
        <f>IF(AND(ISNUMBER(BR183),ISNUMBER(BR127)),IFERROR(BR183/BR127,""),"")</f>
        <v>0.508686995417849</v>
      </c>
      <c r="BS184" s="215">
        <f>IF(AND(ISNUMBER(BS183),ISNUMBER(BS127)),IFERROR(BS183/BS127,""),"")</f>
        <v>0.580494651468215</v>
      </c>
      <c r="BT184" s="215">
        <f>IF(AND(ISNUMBER(BT183),ISNUMBER(BT127)),IFERROR(BT183/BT127,""),"")</f>
        <v>0.588725147507061</v>
      </c>
      <c r="BU184" s="215">
        <f>IF(AND(ISNUMBER(BU183),ISNUMBER(BU127)),IFERROR(BU183/BU127,""),"")</f>
        <v>0.561633423880904</v>
      </c>
      <c r="BV184" s="215">
        <f>IF(AND(ISNUMBER(BV183),ISNUMBER(BV127)),IFERROR(BV183/BV127,""),"")</f>
        <v>0.561957115209489</v>
      </c>
      <c r="BW184" s="215">
        <f>IF(AND(ISNUMBER(BW183),ISNUMBER(BW127)),IFERROR(BW183/BW127,""),"")</f>
        <v>0.551260940817526</v>
      </c>
      <c r="BX184" s="215">
        <f>IF(AND(ISNUMBER(BX183),ISNUMBER(BX127)),IFERROR(BX183/BX127,""),"")</f>
        <v>0.650312212203095</v>
      </c>
      <c r="BY184" s="215">
        <f>IF(AND(ISNUMBER(BY183),ISNUMBER(BY127)),IFERROR(BY183/BY127,""),"")</f>
        <v>0.639413635365803</v>
      </c>
      <c r="BZ184" s="256">
        <f>IF(AND(ISNUMBER(BZ183),ISNUMBER(BZ127)),IFERROR(BZ183/BZ127,""),"")</f>
        <v>0.586890014333597</v>
      </c>
      <c r="CA184" s="256">
        <f>IF(AND(ISNUMBER(CA183),ISNUMBER(CA127)),IFERROR(CA183/CA127,""),"")</f>
        <v>0.611015645054557</v>
      </c>
      <c r="CB184" s="256">
        <f>IF(AND(ISNUMBER(CB183),ISNUMBER(CB127)),IFERROR(CB183/CB127,""),"")</f>
        <v>0.639878037986569</v>
      </c>
      <c r="CC184" s="256">
        <f>IF(AND(ISNUMBER(CC183),ISNUMBER(CC127)),IFERROR(CC183/CC127,""),"")</f>
        <v>0.648352471333913</v>
      </c>
      <c r="CD184" s="256">
        <f>IF(AND(ISNUMBER(CD183),ISNUMBER(CD127)),IFERROR(CD183/CD127,""),"")</f>
        <v>0.653765033815974</v>
      </c>
      <c r="CE184" s="256">
        <f>IF(AND(ISNUMBER(CE183),ISNUMBER(CE127)),IFERROR(CE183/CE127,""),"")</f>
        <v>0.654911300238131</v>
      </c>
      <c r="CF184" s="256">
        <f>IF(AND(ISNUMBER(CF183),ISNUMBER(CF127)),IFERROR(CF183/CF127,""),"")</f>
        <v>0.655427285970033</v>
      </c>
      <c r="CG184" s="153" t="n"/>
      <c r="CI184" s="37">
        <f>IFERROR(AVERAGE(CB184,CC184,CD184,CE184,CF184),"n/m")</f>
        <v>0.650466825868924</v>
      </c>
      <c r="CJ184" s="37">
        <f>IFERROR(AVERAGE(BB184,BG184,BL184,BQ184,BV184),"n/m")</f>
        <v>0.505403798941538</v>
      </c>
      <c r="CK184" s="37">
        <f>IFERROR(AVERAGE(AC184,AH184,AM184,AR184,AW184,BB184,BG184,BL184,BQ184,BV184),"n/m")</f>
        <v>0.410489883971305</v>
      </c>
      <c r="CL184" s="37">
        <f>IFERROR(AVERAGE(C184,D184,E184,F184,G184,H184,I184,N184,S184,X184,AC184,AH184,AM184,AR184,AW184,BB184,BG184,BL184,BQ184,BV184),"n/m")</f>
        <v>0.352124414133256</v>
      </c>
    </row>
    <row r="185" ht="15" customHeight="1" s="251">
      <c r="B185" s="57" t="inlineStr">
        <is>
          <t xml:space="preserve">  Check: adjusted EBITDA = non-GAAP operating income + other income (ex excluded items) + D&amp;A − acquired amortization (should be 0)</t>
        </is>
      </c>
      <c r="C185" s="262">
        <f>IF(ISNUMBER(C183),IF(ABS(C183-(C167+C140+N(C196)+C112-N(C163)))&lt;=0.15,0,ROUND(C183-(C167+C140+N(C196)+C112-N(C163)),1)),"")</f>
        <v>0</v>
      </c>
      <c r="D185" s="262">
        <f>IF(ISNUMBER(D183),IF(ABS(D183-(D167+D140+N(D196)+D112-N(D163)))&lt;=0.15,0,ROUND(D183-(D167+D140+N(D196)+D112-N(D163)),1)),"")</f>
        <v>0</v>
      </c>
      <c r="E185" s="262">
        <f>IF(ISNUMBER(E183),IF(ABS(E183-(E167+E140+N(E196)+E112-N(E163)))&lt;=0.15,0,ROUND(E183-(E167+E140+N(E196)+E112-N(E163)),1)),"")</f>
        <v>0</v>
      </c>
      <c r="F185" s="262">
        <f>IF(ISNUMBER(F183),IF(ABS(F183-(F167+F140+N(F196)+F112-N(F163)))&lt;=0.15,0,ROUND(F183-(F167+F140+N(F196)+F112-N(F163)),1)),"")</f>
        <v>0</v>
      </c>
      <c r="G185" s="262">
        <f>IF(ISNUMBER(G183),IF(ABS(G183-(G167+G140+N(G196)+G112-N(G163)))&lt;=0.15,0,ROUND(G183-(G167+G140+N(G196)+G112-N(G163)),1)),"")</f>
        <v>0</v>
      </c>
      <c r="H185" s="262">
        <f>IF(ISNUMBER(H183),IF(ABS(H183-(H167+H140+N(H196)+H112-N(H163)))&lt;=0.15,0,ROUND(H183-(H167+H140+N(H196)+H112-N(H163)),1)),"")</f>
        <v>0</v>
      </c>
      <c r="I185" s="262">
        <f>IF(ISNUMBER(I183),IF(ABS(I183-(I167+I140+N(I196)+I112-N(I163)))&lt;=0.15,0,ROUND(I183-(I167+I140+N(I196)+I112-N(I163)),1)),"")</f>
        <v>0</v>
      </c>
      <c r="J185" s="262">
        <f>IF(ISNUMBER(J183),IF(ABS(J183-(J167+J140+N(J196)+J112-N(J163)))&lt;=0.15,0,ROUND(J183-(J167+J140+N(J196)+J112-N(J163)),1)),"")</f>
        <v>0</v>
      </c>
      <c r="K185" s="262">
        <f>IF(ISNUMBER(K183),IF(ABS(K183-(K167+K140+N(K196)+K112-N(K163)))&lt;=0.15,0,ROUND(K183-(K167+K140+N(K196)+K112-N(K163)),1)),"")</f>
        <v>0</v>
      </c>
      <c r="L185" s="262">
        <f>IF(ISNUMBER(L183),IF(ABS(L183-(L167+L140+N(L196)+L112-N(L163)))&lt;=0.15,0,ROUND(L183-(L167+L140+N(L196)+L112-N(L163)),1)),"")</f>
        <v>0</v>
      </c>
      <c r="M185" s="262">
        <f>IF(ISNUMBER(M183),IF(ABS(M183-(M167+M140+N(M196)+M112-N(M163)))&lt;=0.15,0,ROUND(M183-(M167+M140+N(M196)+M112-N(M163)),1)),"")</f>
        <v>0</v>
      </c>
      <c r="N185" s="262">
        <f>IF(ISNUMBER(N183),IF(ABS(N183-(N167+N140+N(N196)+N112-N(N163)))&lt;=0.15,0,ROUND(N183-(N167+N140+N(N196)+N112-N(N163)),1)),"")</f>
        <v>0</v>
      </c>
      <c r="O185" s="262">
        <f>IF(ISNUMBER(O183),IF(ABS(O183-(O167+O140+N(O196)+O112-N(O163)))&lt;=0.15,0,ROUND(O183-(O167+O140+N(O196)+O112-N(O163)),1)),"")</f>
        <v>0</v>
      </c>
      <c r="P185" s="262">
        <f>IF(ISNUMBER(P183),IF(ABS(P183-(P167+P140+N(P196)+P112-N(P163)))&lt;=0.15,0,ROUND(P183-(P167+P140+N(P196)+P112-N(P163)),1)),"")</f>
        <v>0</v>
      </c>
      <c r="Q185" s="262">
        <f>IF(ISNUMBER(Q183),IF(ABS(Q183-(Q167+Q140+N(Q196)+Q112-N(Q163)))&lt;=0.15,0,ROUND(Q183-(Q167+Q140+N(Q196)+Q112-N(Q163)),1)),"")</f>
        <v>0</v>
      </c>
      <c r="R185" s="262">
        <f>IF(ISNUMBER(R183),IF(ABS(R183-(R167+R140+N(R196)+R112-N(R163)))&lt;=0.15,0,ROUND(R183-(R167+R140+N(R196)+R112-N(R163)),1)),"")</f>
        <v>0</v>
      </c>
      <c r="S185" s="262">
        <f>IF(ISNUMBER(S183),IF(ABS(S183-(S167+S140+N(S196)+S112-N(S163)))&lt;=0.15,0,ROUND(S183-(S167+S140+N(S196)+S112-N(S163)),1)),"")</f>
        <v>0</v>
      </c>
      <c r="T185" s="262">
        <f>IF(ISNUMBER(T183),IF(ABS(T183-(T167+T140+N(T196)+T112-N(T163)))&lt;=0.15,0,ROUND(T183-(T167+T140+N(T196)+T112-N(T163)),1)),"")</f>
        <v>0</v>
      </c>
      <c r="U185" s="262">
        <f>IF(ISNUMBER(U183),IF(ABS(U183-(U167+U140+N(U196)+U112-N(U163)))&lt;=0.15,0,ROUND(U183-(U167+U140+N(U196)+U112-N(U163)),1)),"")</f>
        <v>0</v>
      </c>
      <c r="V185" s="262">
        <f>IF(ISNUMBER(V183),IF(ABS(V183-(V167+V140+N(V196)+V112-N(V163)))&lt;=0.15,0,ROUND(V183-(V167+V140+N(V196)+V112-N(V163)),1)),"")</f>
        <v>0</v>
      </c>
      <c r="W185" s="262">
        <f>IF(ISNUMBER(W183),IF(ABS(W183-(W167+W140+N(W196)+W112-N(W163)))&lt;=0.15,0,ROUND(W183-(W167+W140+N(W196)+W112-N(W163)),1)),"")</f>
        <v>0</v>
      </c>
      <c r="X185" s="262">
        <f>IF(ISNUMBER(X183),IF(ABS(X183-(X167+X140+N(X196)+X112-N(X163)))&lt;=0.15,0,ROUND(X183-(X167+X140+N(X196)+X112-N(X163)),1)),"")</f>
        <v>0</v>
      </c>
      <c r="Y185" s="262">
        <f>IF(ISNUMBER(Y183),IF(ABS(Y183-(Y167+Y140+N(Y196)+Y112-N(Y163)))&lt;=0.15,0,ROUND(Y183-(Y167+Y140+N(Y196)+Y112-N(Y163)),1)),"")</f>
        <v>0</v>
      </c>
      <c r="Z185" s="262">
        <f>IF(ISNUMBER(Z183),IF(ABS(Z183-(Z167+Z140+N(Z196)+Z112-N(Z163)))&lt;=0.15,0,ROUND(Z183-(Z167+Z140+N(Z196)+Z112-N(Z163)),1)),"")</f>
        <v>0</v>
      </c>
      <c r="AA185" s="262">
        <f>IF(ISNUMBER(AA183),IF(ABS(AA183-(AA167+AA140+N(AA196)+AA112-N(AA163)))&lt;=0.15,0,ROUND(AA183-(AA167+AA140+N(AA196)+AA112-N(AA163)),1)),"")</f>
        <v>0</v>
      </c>
      <c r="AB185" s="262">
        <f>IF(ISNUMBER(AB183),IF(ABS(AB183-(AB167+AB140+N(AB196)+AB112-N(AB163)))&lt;=0.15,0,ROUND(AB183-(AB167+AB140+N(AB196)+AB112-N(AB163)),1)),"")</f>
        <v>0</v>
      </c>
      <c r="AC185" s="262">
        <f>IF(ISNUMBER(AC183),IF(ABS(AC183-(AC167+AC140+N(AC196)+AC112-N(AC163)))&lt;=0.15,0,ROUND(AC183-(AC167+AC140+N(AC196)+AC112-N(AC163)),1)),"")</f>
        <v>0</v>
      </c>
      <c r="AD185" s="262">
        <f>IF(ISNUMBER(AD183),IF(ABS(AD183-(AD167+AD140+N(AD196)+AD112-N(AD163)))&lt;=0.15,0,ROUND(AD183-(AD167+AD140+N(AD196)+AD112-N(AD163)),1)),"")</f>
        <v>0</v>
      </c>
      <c r="AE185" s="262">
        <f>IF(ISNUMBER(AE183),IF(ABS(AE183-(AE167+AE140+N(AE196)+AE112-N(AE163)))&lt;=0.15,0,ROUND(AE183-(AE167+AE140+N(AE196)+AE112-N(AE163)),1)),"")</f>
        <v>0</v>
      </c>
      <c r="AF185" s="262">
        <f>IF(ISNUMBER(AF183),IF(ABS(AF183-(AF167+AF140+N(AF196)+AF112-N(AF163)))&lt;=0.15,0,ROUND(AF183-(AF167+AF140+N(AF196)+AF112-N(AF163)),1)),"")</f>
        <v>0</v>
      </c>
      <c r="AG185" s="262">
        <f>IF(ISNUMBER(AG183),IF(ABS(AG183-(AG167+AG140+N(AG196)+AG112-N(AG163)))&lt;=0.15,0,ROUND(AG183-(AG167+AG140+N(AG196)+AG112-N(AG163)),1)),"")</f>
        <v>0</v>
      </c>
      <c r="AH185" s="262">
        <f>IF(ISNUMBER(AH183),IF(ABS(AH183-(AH167+AH140+N(AH196)+AH112-N(AH163)))&lt;=0.15,0,ROUND(AH183-(AH167+AH140+N(AH196)+AH112-N(AH163)),1)),"")</f>
        <v>0</v>
      </c>
      <c r="AI185" s="262">
        <f>IF(ISNUMBER(AI183),IF(ABS(AI183-(AI167+AI140+N(AI196)+AI112-N(AI163)))&lt;=0.15,0,ROUND(AI183-(AI167+AI140+N(AI196)+AI112-N(AI163)),1)),"")</f>
        <v>0</v>
      </c>
      <c r="AJ185" s="262">
        <f>IF(ISNUMBER(AJ183),IF(ABS(AJ183-(AJ167+AJ140+N(AJ196)+AJ112-N(AJ163)))&lt;=0.15,0,ROUND(AJ183-(AJ167+AJ140+N(AJ196)+AJ112-N(AJ163)),1)),"")</f>
        <v>0</v>
      </c>
      <c r="AK185" s="262">
        <f>IF(ISNUMBER(AK183),IF(ABS(AK183-(AK167+AK140+N(AK196)+AK112-N(AK163)))&lt;=0.15,0,ROUND(AK183-(AK167+AK140+N(AK196)+AK112-N(AK163)),1)),"")</f>
        <v>0</v>
      </c>
      <c r="AL185" s="262">
        <f>IF(ISNUMBER(AL183),IF(ABS(AL183-(AL167+AL140+N(AL196)+AL112-N(AL163)))&lt;=0.15,0,ROUND(AL183-(AL167+AL140+N(AL196)+AL112-N(AL163)),1)),"")</f>
        <v>0</v>
      </c>
      <c r="AM185" s="262">
        <f>IF(ISNUMBER(AM183),IF(ABS(AM183-(AM167+AM140+N(AM196)+AM112-N(AM163)))&lt;=0.15,0,ROUND(AM183-(AM167+AM140+N(AM196)+AM112-N(AM163)),1)),"")</f>
        <v>0</v>
      </c>
      <c r="AN185" s="262">
        <f>IF(ISNUMBER(AN183),IF(ABS(AN183-(AN167+AN140+N(AN196)+AN112-N(AN163)))&lt;=0.15,0,ROUND(AN183-(AN167+AN140+N(AN196)+AN112-N(AN163)),1)),"")</f>
        <v>0</v>
      </c>
      <c r="AO185" s="262">
        <f>IF(ISNUMBER(AO183),IF(ABS(AO183-(AO167+AO140+N(AO196)+AO112-N(AO163)))&lt;=0.15,0,ROUND(AO183-(AO167+AO140+N(AO196)+AO112-N(AO163)),1)),"")</f>
        <v>0</v>
      </c>
      <c r="AP185" s="262">
        <f>IF(ISNUMBER(AP183),IF(ABS(AP183-(AP167+AP140+N(AP196)+AP112-N(AP163)))&lt;=0.15,0,ROUND(AP183-(AP167+AP140+N(AP196)+AP112-N(AP163)),1)),"")</f>
        <v>0</v>
      </c>
      <c r="AQ185" s="262">
        <f>IF(ISNUMBER(AQ183),IF(ABS(AQ183-(AQ167+AQ140+N(AQ196)+AQ112-N(AQ163)))&lt;=0.15,0,ROUND(AQ183-(AQ167+AQ140+N(AQ196)+AQ112-N(AQ163)),1)),"")</f>
        <v>0</v>
      </c>
      <c r="AR185" s="262">
        <f>IF(ISNUMBER(AR183),IF(ABS(AR183-(AR167+AR140+N(AR196)+AR112-N(AR163)))&lt;=0.15,0,ROUND(AR183-(AR167+AR140+N(AR196)+AR112-N(AR163)),1)),"")</f>
        <v>0</v>
      </c>
      <c r="AS185" s="262">
        <f>IF(ISNUMBER(AS183),IF(ABS(AS183-(AS167+AS140+N(AS196)+AS112-N(AS163)))&lt;=0.15,0,ROUND(AS183-(AS167+AS140+N(AS196)+AS112-N(AS163)),1)),"")</f>
        <v>0</v>
      </c>
      <c r="AT185" s="262">
        <f>IF(ISNUMBER(AT183),IF(ABS(AT183-(AT167+AT140+N(AT196)+AT112-N(AT163)))&lt;=0.15,0,ROUND(AT183-(AT167+AT140+N(AT196)+AT112-N(AT163)),1)),"")</f>
        <v>0</v>
      </c>
      <c r="AU185" s="262">
        <f>IF(ISNUMBER(AU183),IF(ABS(AU183-(AU167+AU140+N(AU196)+AU112-N(AU163)))&lt;=0.15,0,ROUND(AU183-(AU167+AU140+N(AU196)+AU112-N(AU163)),1)),"")</f>
        <v>0</v>
      </c>
      <c r="AV185" s="262">
        <f>IF(ISNUMBER(AV183),IF(ABS(AV183-(AV167+AV140+N(AV196)+AV112-N(AV163)))&lt;=0.15,0,ROUND(AV183-(AV167+AV140+N(AV196)+AV112-N(AV163)),1)),"")</f>
        <v>0</v>
      </c>
      <c r="AW185" s="262">
        <f>IF(ISNUMBER(AW183),IF(ABS(AW183-(AW167+AW140+N(AW196)+AW112-N(AW163)))&lt;=0.15,0,ROUND(AW183-(AW167+AW140+N(AW196)+AW112-N(AW163)),1)),"")</f>
        <v>0</v>
      </c>
      <c r="AX185" s="262">
        <f>IF(ISNUMBER(AX183),IF(ABS(AX183-(AX167+AX140+N(AX196)+AX112-N(AX163)))&lt;=0.15,0,ROUND(AX183-(AX167+AX140+N(AX196)+AX112-N(AX163)),1)),"")</f>
        <v>0</v>
      </c>
      <c r="AY185" s="262">
        <f>IF(ISNUMBER(AY183),IF(ABS(AY183-(AY167+AY140+N(AY196)+AY112-N(AY163)))&lt;=0.15,0,ROUND(AY183-(AY167+AY140+N(AY196)+AY112-N(AY163)),1)),"")</f>
        <v>0</v>
      </c>
      <c r="AZ185" s="262">
        <f>IF(ISNUMBER(AZ183),IF(ABS(AZ183-(AZ167+AZ140+N(AZ196)+AZ112-N(AZ163)))&lt;=0.15,0,ROUND(AZ183-(AZ167+AZ140+N(AZ196)+AZ112-N(AZ163)),1)),"")</f>
        <v>0</v>
      </c>
      <c r="BA185" s="262">
        <f>IF(ISNUMBER(BA183),IF(ABS(BA183-(BA167+BA140+N(BA196)+BA112-N(BA163)))&lt;=0.15,0,ROUND(BA183-(BA167+BA140+N(BA196)+BA112-N(BA163)),1)),"")</f>
        <v>0</v>
      </c>
      <c r="BB185" s="262">
        <f>IF(ISNUMBER(BB183),IF(ABS(BB183-(BB167+BB140+N(BB196)+BB112-N(BB163)))&lt;=0.15,0,ROUND(BB183-(BB167+BB140+N(BB196)+BB112-N(BB163)),1)),"")</f>
        <v>0</v>
      </c>
      <c r="BC185" s="262">
        <f>IF(ISNUMBER(BC183),IF(ABS(BC183-(BC167+BC140+N(BC196)+BC112-N(BC163)))&lt;=0.15,0,ROUND(BC183-(BC167+BC140+N(BC196)+BC112-N(BC163)),1)),"")</f>
        <v>0</v>
      </c>
      <c r="BD185" s="262">
        <f>IF(ISNUMBER(BD183),IF(ABS(BD183-(BD167+BD140+N(BD196)+BD112-N(BD163)))&lt;=0.15,0,ROUND(BD183-(BD167+BD140+N(BD196)+BD112-N(BD163)),1)),"")</f>
        <v>0</v>
      </c>
      <c r="BE185" s="262">
        <f>IF(ISNUMBER(BE183),IF(ABS(BE183-(BE167+BE140+N(BE196)+BE112-N(BE163)))&lt;=0.15,0,ROUND(BE183-(BE167+BE140+N(BE196)+BE112-N(BE163)),1)),"")</f>
        <v>0</v>
      </c>
      <c r="BF185" s="262">
        <f>IF(ISNUMBER(BF183),IF(ABS(BF183-(BF167+BF140+N(BF196)+BF112-N(BF163)))&lt;=0.15,0,ROUND(BF183-(BF167+BF140+N(BF196)+BF112-N(BF163)),1)),"")</f>
        <v>0</v>
      </c>
      <c r="BG185" s="262">
        <f>IF(ISNUMBER(BG183),IF(ABS(BG183-(BG167+BG140+N(BG196)+BG112-N(BG163)))&lt;=0.15,0,ROUND(BG183-(BG167+BG140+N(BG196)+BG112-N(BG163)),1)),"")</f>
        <v>0</v>
      </c>
      <c r="BH185" s="262">
        <f>IF(ISNUMBER(BH183),IF(ABS(BH183-(BH167+BH140+N(BH196)+BH112-N(BH163)))&lt;=0.15,0,ROUND(BH183-(BH167+BH140+N(BH196)+BH112-N(BH163)),1)),"")</f>
        <v>0</v>
      </c>
      <c r="BI185" s="262">
        <f>IF(ISNUMBER(BI183),IF(ABS(BI183-(BI167+BI140+N(BI196)+BI112-N(BI163)))&lt;=0.15,0,ROUND(BI183-(BI167+BI140+N(BI196)+BI112-N(BI163)),1)),"")</f>
        <v>0</v>
      </c>
      <c r="BJ185" s="262">
        <f>IF(ISNUMBER(BJ183),IF(ABS(BJ183-(BJ167+BJ140+N(BJ196)+BJ112-N(BJ163)))&lt;=0.15,0,ROUND(BJ183-(BJ167+BJ140+N(BJ196)+BJ112-N(BJ163)),1)),"")</f>
        <v>0</v>
      </c>
      <c r="BK185" s="262">
        <f>IF(ISNUMBER(BK183),IF(ABS(BK183-(BK167+BK140+N(BK196)+BK112-N(BK163)))&lt;=0.15,0,ROUND(BK183-(BK167+BK140+N(BK196)+BK112-N(BK163)),1)),"")</f>
        <v>0</v>
      </c>
      <c r="BL185" s="262">
        <f>IF(ISNUMBER(BL183),IF(ABS(BL183-(BL167+BL140+N(BL196)+BL112-N(BL163)))&lt;=0.15,0,ROUND(BL183-(BL167+BL140+N(BL196)+BL112-N(BL163)),1)),"")</f>
        <v>0</v>
      </c>
      <c r="BM185" s="262">
        <f>IF(ISNUMBER(BM183),IF(ABS(BM183-(BM167+BM140+N(BM196)+BM112-N(BM163)))&lt;=0.15,0,ROUND(BM183-(BM167+BM140+N(BM196)+BM112-N(BM163)),1)),"")</f>
        <v>0</v>
      </c>
      <c r="BN185" s="262">
        <f>IF(ISNUMBER(BN183),IF(ABS(BN183-(BN167+BN140+N(BN196)+BN112-N(BN163)))&lt;=0.15,0,ROUND(BN183-(BN167+BN140+N(BN196)+BN112-N(BN163)),1)),"")</f>
        <v>0</v>
      </c>
      <c r="BO185" s="262">
        <f>IF(ISNUMBER(BO183),IF(ABS(BO183-(BO167+BO140+N(BO196)+BO112-N(BO163)))&lt;=0.15,0,ROUND(BO183-(BO167+BO140+N(BO196)+BO112-N(BO163)),1)),"")</f>
        <v>0</v>
      </c>
      <c r="BP185" s="262">
        <f>IF(ISNUMBER(BP183),IF(ABS(BP183-(BP167+BP140+N(BP196)+BP112-N(BP163)))&lt;=0.15,0,ROUND(BP183-(BP167+BP140+N(BP196)+BP112-N(BP163)),1)),"")</f>
        <v>0</v>
      </c>
      <c r="BQ185" s="262">
        <f>IF(ISNUMBER(BQ183),IF(ABS(BQ183-(BQ167+BQ140+N(BQ196)+BQ112-N(BQ163)))&lt;=0.15,0,ROUND(BQ183-(BQ167+BQ140+N(BQ196)+BQ112-N(BQ163)),1)),"")</f>
        <v>0</v>
      </c>
      <c r="BR185" s="262">
        <f>IF(ISNUMBER(BR183),IF(ABS(BR183-(BR167+BR140+N(BR196)+BR112-N(BR163)))&lt;=0.15,0,ROUND(BR183-(BR167+BR140+N(BR196)+BR112-N(BR163)),1)),"")</f>
        <v>0</v>
      </c>
      <c r="BS185" s="262">
        <f>IF(ISNUMBER(BS183),IF(ABS(BS183-(BS167+BS140+N(BS196)+BS112-N(BS163)))&lt;=0.15,0,ROUND(BS183-(BS167+BS140+N(BS196)+BS112-N(BS163)),1)),"")</f>
        <v>0</v>
      </c>
      <c r="BT185" s="262">
        <f>IF(ISNUMBER(BT183),IF(ABS(BT183-(BT167+BT140+N(BT196)+BT112-N(BT163)))&lt;=0.15,0,ROUND(BT183-(BT167+BT140+N(BT196)+BT112-N(BT163)),1)),"")</f>
        <v>0</v>
      </c>
      <c r="BU185" s="262">
        <f>IF(ISNUMBER(BU183),IF(ABS(BU183-(BU167+BU140+N(BU196)+BU112-N(BU163)))&lt;=0.15,0,ROUND(BU183-(BU167+BU140+N(BU196)+BU112-N(BU163)),1)),"")</f>
        <v>0</v>
      </c>
      <c r="BV185" s="262">
        <f>IF(ISNUMBER(BV183),IF(ABS(BV183-(BV167+BV140+N(BV196)+BV112-N(BV163)))&lt;=0.15,0,ROUND(BV183-(BV167+BV140+N(BV196)+BV112-N(BV163)),1)),"")</f>
        <v>0</v>
      </c>
      <c r="BW185" s="262">
        <f>IF(ISNUMBER(BW183),IF(ABS(BW183-(BW167+BW140+N(BW196)+BW112-N(BW163)))&lt;=0.15,0,ROUND(BW183-(BW167+BW140+N(BW196)+BW112-N(BW163)),1)),"")</f>
        <v>0</v>
      </c>
      <c r="BX185" s="262">
        <f>IF(ISNUMBER(BX183),IF(ABS(BX183-(BX167+BX140+N(BX196)+BX112-N(BX163)))&lt;=0.15,0,ROUND(BX183-(BX167+BX140+N(BX196)+BX112-N(BX163)),1)),"")</f>
        <v>0</v>
      </c>
      <c r="BY185" s="262">
        <f>IF(ISNUMBER(BY183),IF(ABS(BY183-(BY167+BY140+N(BY196)+BY112-N(BY163)))&lt;=0.15,0,ROUND(BY183-(BY167+BY140+N(BY196)+BY112-N(BY163)),1)),"")</f>
        <v>0</v>
      </c>
      <c r="BZ185" s="274">
        <f>IF(ISNUMBER(BZ183),IF(ABS(BZ183-(BZ167+BZ140+N(BZ196)+BZ112-N(BZ163)))&lt;=0.15,0,ROUND(BZ183-(BZ167+BZ140+N(BZ196)+BZ112-N(BZ163)),1)),"")</f>
        <v>0</v>
      </c>
      <c r="CA185" s="274">
        <f>IF(ISNUMBER(CA183),IF(ABS(CA183-(CA167+CA140+N(CA196)+CA112-N(CA163)))&lt;=0.15,0,ROUND(CA183-(CA167+CA140+N(CA196)+CA112-N(CA163)),1)),"")</f>
        <v>0</v>
      </c>
      <c r="CB185" s="274">
        <f>IF(ISNUMBER(CB183),IF(ABS(CB183-(CB167+CB140+N(CB196)+CB112-N(CB163)))&lt;=0.15,0,ROUND(CB183-(CB167+CB140+N(CB196)+CB112-N(CB163)),1)),"")</f>
        <v>0</v>
      </c>
      <c r="CC185" s="274">
        <f>IF(ISNUMBER(CC183),IF(ABS(CC183-(CC167+CC140+N(CC196)+CC112-N(CC163)))&lt;=0.15,0,ROUND(CC183-(CC167+CC140+N(CC196)+CC112-N(CC163)),1)),"")</f>
        <v>0</v>
      </c>
      <c r="CD185" s="274">
        <f>IF(ISNUMBER(CD183),IF(ABS(CD183-(CD167+CD140+N(CD196)+CD112-N(CD163)))&lt;=0.15,0,ROUND(CD183-(CD167+CD140+N(CD196)+CD112-N(CD163)),1)),"")</f>
        <v>0</v>
      </c>
      <c r="CE185" s="274">
        <f>IF(ISNUMBER(CE183),IF(ABS(CE183-(CE167+CE140+N(CE196)+CE112-N(CE163)))&lt;=0.15,0,ROUND(CE183-(CE167+CE140+N(CE196)+CE112-N(CE163)),1)),"")</f>
        <v>0</v>
      </c>
      <c r="CF185" s="274">
        <f>IF(ISNUMBER(CF183),IF(ABS(CF183-(CF167+CF140+N(CF196)+CF112-N(CF163)))&lt;=0.15,0,ROUND(CF183-(CF167+CF140+N(CF196)+CF112-N(CF163)),1)),"")</f>
        <v>0</v>
      </c>
      <c r="CG185" s="153" t="n"/>
    </row>
    <row r="186" ht="15" customHeight="1" s="251">
      <c r="B186" s="25" t="inlineStr">
        <is>
          <t>To adjusted EBITA after share-based compensation (for NOPAT, ROIC and the DCF):</t>
        </is>
      </c>
      <c r="CG186" s="153" t="n"/>
    </row>
    <row r="187" ht="15" customHeight="1" s="251">
      <c r="B187" s="25" t="inlineStr">
        <is>
          <t xml:space="preserve">  (−) Depreciation &amp; software amortization</t>
        </is>
      </c>
      <c r="C187" s="262">
        <f>IF(ISNUMBER(C114),-C114,"")</f>
        <v>-23.614</v>
      </c>
      <c r="D187" s="262">
        <f>IF(ISNUMBER(D114),-D114,"")</f>
        <v>-26.998</v>
      </c>
      <c r="E187" s="262">
        <f>IF(ISNUMBER(E114),-E114,"")</f>
        <v>-25.451</v>
      </c>
      <c r="F187" s="262">
        <f>IF(ISNUMBER(F114),-F114,"")</f>
        <v>-25.528</v>
      </c>
      <c r="G187" s="262">
        <f>IF(ISNUMBER(G114),-G114,"")</f>
        <v>-20.017</v>
      </c>
      <c r="H187" s="262">
        <f>IF(ISNUMBER(H114),-H114,"")</f>
        <v>-16.456</v>
      </c>
      <c r="I187" s="262">
        <f>IF(ISNUMBER(I114),-I114,"")</f>
        <v>-14.605</v>
      </c>
      <c r="J187" s="262">
        <f>IF(ISNUMBER(J114),-J114,"")</f>
        <v>-4.601</v>
      </c>
      <c r="K187" s="262">
        <f>IF(ISNUMBER(K114),-K114,"")</f>
        <v>-4.856</v>
      </c>
      <c r="L187" s="262">
        <f>IF(ISNUMBER(L114),-L114,"")</f>
        <v>-5.25</v>
      </c>
      <c r="M187" s="262">
        <f>IF(ISNUMBER(M114),-M114,"")</f>
        <v>-4.972</v>
      </c>
      <c r="N187" s="262">
        <f>IF(ISNUMBER(N114),-N114,"")</f>
        <v>-19.679</v>
      </c>
      <c r="O187" s="262">
        <f>IF(ISNUMBER(O114),-O114,"")</f>
        <v>-5.154</v>
      </c>
      <c r="P187" s="262">
        <f>IF(ISNUMBER(P114),-P114,"")</f>
        <v>-4.937</v>
      </c>
      <c r="Q187" s="262">
        <f>IF(ISNUMBER(Q114),-Q114,"")</f>
        <v>-5.165</v>
      </c>
      <c r="R187" s="262">
        <f>IF(ISNUMBER(R114),-R114,"")</f>
        <v>-5.459</v>
      </c>
      <c r="S187" s="262">
        <f>IF(ISNUMBER(S114),-S114,"")</f>
        <v>-20.715</v>
      </c>
      <c r="T187" s="262">
        <f>IF(ISNUMBER(T114),-T114,"")</f>
        <v>-5.175</v>
      </c>
      <c r="U187" s="262">
        <f>IF(ISNUMBER(U114),-U114,"")</f>
        <v>-5.425</v>
      </c>
      <c r="V187" s="262">
        <f>IF(ISNUMBER(V114),-V114,"")</f>
        <v>-5.447</v>
      </c>
      <c r="W187" s="262">
        <f>IF(ISNUMBER(W114),-W114,"")</f>
        <v>-4.169</v>
      </c>
      <c r="X187" s="262">
        <f>IF(ISNUMBER(X114),-X114,"")</f>
        <v>-20.216</v>
      </c>
      <c r="Y187" s="262">
        <f>IF(ISNUMBER(Y114),-Y114,"")</f>
        <v>-3.861</v>
      </c>
      <c r="Z187" s="262">
        <f>IF(ISNUMBER(Z114),-Z114,"")</f>
        <v>-4.22</v>
      </c>
      <c r="AA187" s="262">
        <f>IF(ISNUMBER(AA114),-AA114,"")</f>
        <v>-4.473</v>
      </c>
      <c r="AB187" s="262">
        <f>IF(ISNUMBER(AB114),-AB114,"")</f>
        <v>-5.097</v>
      </c>
      <c r="AC187" s="262">
        <f>IF(ISNUMBER(AC114),-AC114,"")</f>
        <v>-17.651</v>
      </c>
      <c r="AD187" s="262">
        <f>IF(ISNUMBER(AD114),-AD114,"")</f>
        <v>-5.738</v>
      </c>
      <c r="AE187" s="262">
        <f>IF(ISNUMBER(AE114),-AE114,"")</f>
        <v>-5.866</v>
      </c>
      <c r="AF187" s="262">
        <f>IF(ISNUMBER(AF114),-AF114,"")</f>
        <v>-5.826</v>
      </c>
      <c r="AG187" s="262">
        <f>IF(ISNUMBER(AG114),-AG114,"")</f>
        <v>-6.075</v>
      </c>
      <c r="AH187" s="262">
        <f>IF(ISNUMBER(AH114),-AH114,"")</f>
        <v>-23.505</v>
      </c>
      <c r="AI187" s="262">
        <f>IF(ISNUMBER(AI114),-AI114,"")</f>
        <v>-5.943</v>
      </c>
      <c r="AJ187" s="262">
        <f>IF(ISNUMBER(AJ114),-AJ114,"")</f>
        <v>-5.68</v>
      </c>
      <c r="AK187" s="262">
        <f>IF(ISNUMBER(AK114),-AK114,"")</f>
        <v>-5.663</v>
      </c>
      <c r="AL187" s="262">
        <f>IF(ISNUMBER(AL114),-AL114,"")</f>
        <v>-6.302</v>
      </c>
      <c r="AM187" s="262">
        <f>IF(ISNUMBER(AM114),-AM114,"")</f>
        <v>-23.588</v>
      </c>
      <c r="AN187" s="262">
        <f>IF(ISNUMBER(AN114),-AN114,"")</f>
        <v>-6.465</v>
      </c>
      <c r="AO187" s="262">
        <f>IF(ISNUMBER(AO114),-AO114,"")</f>
        <v>-6.316</v>
      </c>
      <c r="AP187" s="262">
        <f>IF(ISNUMBER(AP114),-AP114,"")</f>
        <v>-6.5</v>
      </c>
      <c r="AQ187" s="262">
        <f>IF(ISNUMBER(AQ114),-AQ114,"")</f>
        <v>-6.205</v>
      </c>
      <c r="AR187" s="262">
        <f>IF(ISNUMBER(AR114),-AR114,"")</f>
        <v>-25.486</v>
      </c>
      <c r="AS187" s="262">
        <f>IF(ISNUMBER(AS114),-AS114,"")</f>
        <v>-6.06</v>
      </c>
      <c r="AT187" s="262">
        <f>IF(ISNUMBER(AT114),-AT114,"")</f>
        <v>-6.477</v>
      </c>
      <c r="AU187" s="262">
        <f>IF(ISNUMBER(AU114),-AU114,"")</f>
        <v>-6.966</v>
      </c>
      <c r="AV187" s="262">
        <f>IF(ISNUMBER(AV114),-AV114,"")</f>
        <v>-5.871</v>
      </c>
      <c r="AW187" s="262">
        <f>IF(ISNUMBER(AW114),-AW114,"")</f>
        <v>-25.374</v>
      </c>
      <c r="AX187" s="262">
        <f>IF(ISNUMBER(AX114),-AX114,"")</f>
        <v>-6.089</v>
      </c>
      <c r="AY187" s="262">
        <f>IF(ISNUMBER(AY114),-AY114,"")</f>
        <v>-5.73</v>
      </c>
      <c r="AZ187" s="262">
        <f>IF(ISNUMBER(AZ114),-AZ114,"")</f>
        <v>-5.555</v>
      </c>
      <c r="BA187" s="262">
        <f>IF(ISNUMBER(BA114),-BA114,"")</f>
        <v>-4.963</v>
      </c>
      <c r="BB187" s="262">
        <f>IF(ISNUMBER(BB114),-BB114,"")</f>
        <v>-22.337</v>
      </c>
      <c r="BC187" s="262">
        <f>IF(ISNUMBER(BC114),-BC114,"")</f>
        <v>-4.683</v>
      </c>
      <c r="BD187" s="262">
        <f>IF(ISNUMBER(BD114),-BD114,"")</f>
        <v>-4.886</v>
      </c>
      <c r="BE187" s="262">
        <f>IF(ISNUMBER(BE114),-BE114,"")</f>
        <v>-4.631</v>
      </c>
      <c r="BF187" s="262">
        <f>IF(ISNUMBER(BF114),-BF114,"")</f>
        <v>-4.204</v>
      </c>
      <c r="BG187" s="262">
        <f>IF(ISNUMBER(BG114),-BG114,"")</f>
        <v>-18.404</v>
      </c>
      <c r="BH187" s="262">
        <f>IF(ISNUMBER(BH114),-BH114,"")</f>
        <v>-4.005</v>
      </c>
      <c r="BI187" s="262">
        <f>IF(ISNUMBER(BI114),-BI114,"")</f>
        <v>-3.739</v>
      </c>
      <c r="BJ187" s="262">
        <f>IF(ISNUMBER(BJ114),-BJ114,"")</f>
        <v>-3.073</v>
      </c>
      <c r="BK187" s="262">
        <f>IF(ISNUMBER(BK114),-BK114,"")</f>
        <v>-2.721</v>
      </c>
      <c r="BL187" s="262">
        <f>IF(ISNUMBER(BL114),-BL114,"")</f>
        <v>-13.538</v>
      </c>
      <c r="BM187" s="262">
        <f>IF(ISNUMBER(BM114),-BM114,"")</f>
        <v>-2.549</v>
      </c>
      <c r="BN187" s="262">
        <f>IF(ISNUMBER(BN114),-BN114,"")</f>
        <v>-3.079</v>
      </c>
      <c r="BO187" s="262">
        <f>IF(ISNUMBER(BO114),-BO114,"")</f>
        <v>-3.559</v>
      </c>
      <c r="BP187" s="262">
        <f>IF(ISNUMBER(BP114),-BP114,"")</f>
        <v>-3.723</v>
      </c>
      <c r="BQ187" s="262">
        <f>IF(ISNUMBER(BQ114),-BQ114,"")</f>
        <v>-12.91</v>
      </c>
      <c r="BR187" s="262">
        <f>IF(ISNUMBER(BR114),-BR114,"")</f>
        <v>-3.535</v>
      </c>
      <c r="BS187" s="262">
        <f>IF(ISNUMBER(BS114),-BS114,"")</f>
        <v>-3.415</v>
      </c>
      <c r="BT187" s="262">
        <f>IF(ISNUMBER(BT114),-BT114,"")</f>
        <v>-3.981</v>
      </c>
      <c r="BU187" s="262">
        <f>IF(ISNUMBER(BU114),-BU114,"")</f>
        <v>-4.021</v>
      </c>
      <c r="BV187" s="262">
        <f>IF(ISNUMBER(BV114),-BV114,"")</f>
        <v>-14.952</v>
      </c>
      <c r="BW187" s="262">
        <f>IF(ISNUMBER(BW114),-BW114,"")</f>
        <v>-4.017</v>
      </c>
      <c r="BX187" s="262">
        <f>IF(ISNUMBER(BX114),-BX114,"")</f>
        <v>-3.888</v>
      </c>
      <c r="BY187" s="262">
        <f>IF(ISNUMBER(BY114),-BY114,"")</f>
        <v>-4.218</v>
      </c>
      <c r="BZ187" s="254">
        <f>IF(ISNUMBER(BZ114),-BZ114,"")</f>
        <v>-4.3</v>
      </c>
      <c r="CA187" s="254">
        <f>IF(ISNUMBER(CA114),-CA114,"")</f>
        <v>-16.423</v>
      </c>
      <c r="CB187" s="254">
        <f>IF(ISNUMBER(CB114),-CB114,"")</f>
        <v>-22.3905384992236</v>
      </c>
      <c r="CC187" s="254">
        <f>IF(ISNUMBER(CC114),-CC114,"")</f>
        <v>-24.7056812126778</v>
      </c>
      <c r="CD187" s="254">
        <f>IF(ISNUMBER(CD114),-CD114,"")</f>
        <v>-27.0385845651573</v>
      </c>
      <c r="CE187" s="254">
        <f>IF(ISNUMBER(CE114),-CE114,"")</f>
        <v>-29.4175685255994</v>
      </c>
      <c r="CF187" s="254">
        <f>IF(ISNUMBER(CF114),-CF114,"")</f>
        <v>-31.8116804395785</v>
      </c>
      <c r="CG187" s="19" t="n"/>
    </row>
    <row r="188" ht="15" customHeight="1" s="251">
      <c r="B188" s="25" t="inlineStr">
        <is>
          <t xml:space="preserve">  (−) Share-based compensation (a real cost; excluded from FICO's non-GAAP)</t>
        </is>
      </c>
      <c r="C188" s="262">
        <f>IF(ISNUMBER(C119),-C119,"")</f>
        <v>-42.085</v>
      </c>
      <c r="D188" s="262">
        <f>IF(ISNUMBER(D119),-D119,"")</f>
        <v>-36.261</v>
      </c>
      <c r="E188" s="262">
        <f>IF(ISNUMBER(E119),-E119,"")</f>
        <v>-27.724</v>
      </c>
      <c r="F188" s="262">
        <f>IF(ISNUMBER(F119),-F119,"")</f>
        <v>-19.935</v>
      </c>
      <c r="G188" s="262">
        <f>IF(ISNUMBER(G119),-G119,"")</f>
        <v>-17.305</v>
      </c>
      <c r="H188" s="262">
        <f>IF(ISNUMBER(H119),-H119,"")</f>
        <v>-15.5</v>
      </c>
      <c r="I188" s="262">
        <f>IF(ISNUMBER(I119),-I119,"")</f>
        <v>-21.229</v>
      </c>
      <c r="J188" s="262">
        <f>IF(ISNUMBER(J119),-J119,"")</f>
        <v>-5.832</v>
      </c>
      <c r="K188" s="262">
        <f>IF(ISNUMBER(K119),-K119,"")</f>
        <v>-6.413</v>
      </c>
      <c r="L188" s="262">
        <f>IF(ISNUMBER(L119),-L119,"")</f>
        <v>-6.652</v>
      </c>
      <c r="M188" s="262">
        <f>IF(ISNUMBER(M119),-M119,"")</f>
        <v>-6.953</v>
      </c>
      <c r="N188" s="262">
        <f>IF(ISNUMBER(N119),-N119,"")</f>
        <v>-25.85</v>
      </c>
      <c r="O188" s="262">
        <f>IF(ISNUMBER(O119),-O119,"")</f>
        <v>-7.235</v>
      </c>
      <c r="P188" s="262">
        <f>IF(ISNUMBER(P119),-P119,"")</f>
        <v>-9.051</v>
      </c>
      <c r="Q188" s="262">
        <f>IF(ISNUMBER(Q119),-Q119,"")</f>
        <v>-9.345</v>
      </c>
      <c r="R188" s="262">
        <f>IF(ISNUMBER(R119),-R119,"")</f>
        <v>-10.731</v>
      </c>
      <c r="S188" s="262">
        <f>IF(ISNUMBER(S119),-S119,"")</f>
        <v>-36.362</v>
      </c>
      <c r="T188" s="262">
        <f>IF(ISNUMBER(T119),-T119,"")</f>
        <v>-8.794</v>
      </c>
      <c r="U188" s="262">
        <f>IF(ISNUMBER(U119),-U119,"")</f>
        <v>-11.802</v>
      </c>
      <c r="V188" s="262">
        <f>IF(ISNUMBER(V119),-V119,"")</f>
        <v>-12.166</v>
      </c>
      <c r="W188" s="262">
        <f>IF(ISNUMBER(W119),-W119,"")</f>
        <v>-12.546</v>
      </c>
      <c r="X188" s="262">
        <f>IF(ISNUMBER(X119),-X119,"")</f>
        <v>-45.308</v>
      </c>
      <c r="Y188" s="262">
        <f>IF(ISNUMBER(Y119),-Y119,"")</f>
        <v>-14.7</v>
      </c>
      <c r="Z188" s="262">
        <f>IF(ISNUMBER(Z119),-Z119,"")</f>
        <v>-13.6</v>
      </c>
      <c r="AA188" s="262">
        <f>IF(ISNUMBER(AA119),-AA119,"")</f>
        <v>-13.404</v>
      </c>
      <c r="AB188" s="262">
        <f>IF(ISNUMBER(AB119),-AB119,"")</f>
        <v>-13.805</v>
      </c>
      <c r="AC188" s="262">
        <f>IF(ISNUMBER(AC119),-AC119,"")</f>
        <v>-55.509</v>
      </c>
      <c r="AD188" s="262">
        <f>IF(ISNUMBER(AD119),-AD119,"")</f>
        <v>-14.519</v>
      </c>
      <c r="AE188" s="262">
        <f>IF(ISNUMBER(AE119),-AE119,"")</f>
        <v>-14.712</v>
      </c>
      <c r="AF188" s="262">
        <f>IF(ISNUMBER(AF119),-AF119,"")</f>
        <v>-14.315</v>
      </c>
      <c r="AG188" s="262">
        <f>IF(ISNUMBER(AG119),-AG119,"")</f>
        <v>-17.676</v>
      </c>
      <c r="AH188" s="262">
        <f>IF(ISNUMBER(AH119),-AH119,"")</f>
        <v>-61.222</v>
      </c>
      <c r="AI188" s="262">
        <f>IF(ISNUMBER(AI119),-AI119,"")</f>
        <v>-16.51</v>
      </c>
      <c r="AJ188" s="262">
        <f>IF(ISNUMBER(AJ119),-AJ119,"")</f>
        <v>-19.239</v>
      </c>
      <c r="AK188" s="262">
        <f>IF(ISNUMBER(AK119),-AK119,"")</f>
        <v>-18.883</v>
      </c>
      <c r="AL188" s="262">
        <f>IF(ISNUMBER(AL119),-AL119,"")</f>
        <v>-20.183</v>
      </c>
      <c r="AM188" s="262">
        <f>IF(ISNUMBER(AM119),-AM119,"")</f>
        <v>-74.814</v>
      </c>
      <c r="AN188" s="262">
        <f>IF(ISNUMBER(AN119),-AN119,"")</f>
        <v>-21.854</v>
      </c>
      <c r="AO188" s="262">
        <f>IF(ISNUMBER(AO119),-AO119,"")</f>
        <v>-20.482</v>
      </c>
      <c r="AP188" s="262">
        <f>IF(ISNUMBER(AP119),-AP119,"")</f>
        <v>-19.595</v>
      </c>
      <c r="AQ188" s="262">
        <f>IF(ISNUMBER(AQ119),-AQ119,"")</f>
        <v>-21.042</v>
      </c>
      <c r="AR188" s="262">
        <f>IF(ISNUMBER(AR119),-AR119,"")</f>
        <v>-82.973</v>
      </c>
      <c r="AS188" s="262">
        <f>IF(ISNUMBER(AS119),-AS119,"")</f>
        <v>-23.145</v>
      </c>
      <c r="AT188" s="262">
        <f>IF(ISNUMBER(AT119),-AT119,"")</f>
        <v>-22.788</v>
      </c>
      <c r="AU188" s="262">
        <f>IF(ISNUMBER(AU119),-AU119,"")</f>
        <v>-22.264</v>
      </c>
      <c r="AV188" s="262">
        <f>IF(ISNUMBER(AV119),-AV119,"")</f>
        <v>-25.484</v>
      </c>
      <c r="AW188" s="262">
        <f>IF(ISNUMBER(AW119),-AW119,"")</f>
        <v>-93.681</v>
      </c>
      <c r="AX188" s="262">
        <f>IF(ISNUMBER(AX119),-AX119,"")</f>
        <v>-25.132</v>
      </c>
      <c r="AY188" s="262">
        <f>IF(ISNUMBER(AY119),-AY119,"")</f>
        <v>-28.206</v>
      </c>
      <c r="AZ188" s="262">
        <f>IF(ISNUMBER(AZ119),-AZ119,"")</f>
        <v>-30.761</v>
      </c>
      <c r="BA188" s="262">
        <f>IF(ISNUMBER(BA119),-BA119,"")</f>
        <v>-28.358</v>
      </c>
      <c r="BB188" s="262">
        <f>IF(ISNUMBER(BB119),-BB119,"")</f>
        <v>-112.457</v>
      </c>
      <c r="BC188" s="262">
        <f>IF(ISNUMBER(BC119),-BC119,"")</f>
        <v>-29.878</v>
      </c>
      <c r="BD188" s="262">
        <f>IF(ISNUMBER(BD119),-BD119,"")</f>
        <v>-27.936</v>
      </c>
      <c r="BE188" s="262">
        <f>IF(ISNUMBER(BE119),-BE119,"")</f>
        <v>-28.549</v>
      </c>
      <c r="BF188" s="262">
        <f>IF(ISNUMBER(BF119),-BF119,"")</f>
        <v>-28.992</v>
      </c>
      <c r="BG188" s="262">
        <f>IF(ISNUMBER(BG119),-BG119,"")</f>
        <v>-115.355</v>
      </c>
      <c r="BH188" s="262">
        <f>IF(ISNUMBER(BH119),-BH119,"")</f>
        <v>-29.702</v>
      </c>
      <c r="BI188" s="262">
        <f>IF(ISNUMBER(BI119),-BI119,"")</f>
        <v>-27.053</v>
      </c>
      <c r="BJ188" s="262">
        <f>IF(ISNUMBER(BJ119),-BJ119,"")</f>
        <v>-32.995</v>
      </c>
      <c r="BK188" s="262">
        <f>IF(ISNUMBER(BK119),-BK119,"")</f>
        <v>-34.097</v>
      </c>
      <c r="BL188" s="262">
        <f>IF(ISNUMBER(BL119),-BL119,"")</f>
        <v>-123.847</v>
      </c>
      <c r="BM188" s="262">
        <f>IF(ISNUMBER(BM119),-BM119,"")</f>
        <v>-31.574</v>
      </c>
      <c r="BN188" s="262">
        <f>IF(ISNUMBER(BN119),-BN119,"")</f>
        <v>-35.448</v>
      </c>
      <c r="BO188" s="262">
        <f>IF(ISNUMBER(BO119),-BO119,"")</f>
        <v>-42.435</v>
      </c>
      <c r="BP188" s="262">
        <f>IF(ISNUMBER(BP119),-BP119,"")</f>
        <v>-39.982</v>
      </c>
      <c r="BQ188" s="262">
        <f>IF(ISNUMBER(BQ119),-BQ119,"")</f>
        <v>-149.439</v>
      </c>
      <c r="BR188" s="262">
        <f>IF(ISNUMBER(BR119),-BR119,"")</f>
        <v>-40.654</v>
      </c>
      <c r="BS188" s="262">
        <f>IF(ISNUMBER(BS119),-BS119,"")</f>
        <v>-41.704</v>
      </c>
      <c r="BT188" s="262">
        <f>IF(ISNUMBER(BT119),-BT119,"")</f>
        <v>-41.93</v>
      </c>
      <c r="BU188" s="262">
        <f>IF(ISNUMBER(BU119),-BU119,"")</f>
        <v>-32.379</v>
      </c>
      <c r="BV188" s="262">
        <f>IF(ISNUMBER(BV119),-BV119,"")</f>
        <v>-156.667</v>
      </c>
      <c r="BW188" s="262">
        <f>IF(ISNUMBER(BW119),-BW119,"")</f>
        <v>-44.269</v>
      </c>
      <c r="BX188" s="262">
        <f>IF(ISNUMBER(BX119),-BX119,"")</f>
        <v>-45.31</v>
      </c>
      <c r="BY188" s="262">
        <f>IF(ISNUMBER(BY119),-BY119,"")</f>
        <v>-52.331</v>
      </c>
      <c r="BZ188" s="254">
        <f>IF(ISNUMBER(BZ119),-BZ119,"")</f>
        <v>-46.1</v>
      </c>
      <c r="CA188" s="254">
        <f>IF(ISNUMBER(CA119),-CA119,"")</f>
        <v>-188.01</v>
      </c>
      <c r="CB188" s="254">
        <f>IF(ISNUMBER(CB119),-CB119,"")</f>
        <v>-201.514846493013</v>
      </c>
      <c r="CC188" s="254">
        <f>IF(ISNUMBER(CC119),-CC119,"")</f>
        <v>-222.3511309141</v>
      </c>
      <c r="CD188" s="254">
        <f>IF(ISNUMBER(CD119),-CD119,"")</f>
        <v>-243.347261086416</v>
      </c>
      <c r="CE188" s="254">
        <f>IF(ISNUMBER(CE119),-CE119,"")</f>
        <v>-264.758116730395</v>
      </c>
      <c r="CF188" s="254">
        <f>IF(ISNUMBER(CF119),-CF119,"")</f>
        <v>-286.305123956207</v>
      </c>
      <c r="CG188" s="19" t="n"/>
    </row>
    <row r="189" ht="15" customHeight="1" s="251">
      <c r="B189" s="55" t="inlineStr">
        <is>
          <t xml:space="preserve">  = Adjusted EBITA after SBC (before acquired-intangible amortization)</t>
        </is>
      </c>
      <c r="C189" s="273">
        <f>IF(ISNUMBER(C183),C183+C187+C188,"")</f>
        <v>197.366</v>
      </c>
      <c r="D189" s="273">
        <f>IF(ISNUMBER(D183),D183+D187+D188,"")</f>
        <v>173.041</v>
      </c>
      <c r="E189" s="273">
        <f>IF(ISNUMBER(E183),E183+E187+E188,"")</f>
        <v>148.737</v>
      </c>
      <c r="F189" s="273">
        <f>IF(ISNUMBER(F183),F183+F187+F188,"")</f>
        <v>142.929</v>
      </c>
      <c r="G189" s="273">
        <f>IF(ISNUMBER(G183),G183+G187+G188,"")</f>
        <v>127.258</v>
      </c>
      <c r="H189" s="273">
        <f>IF(ISNUMBER(H183),H183+H187+H188,"")</f>
        <v>147.759</v>
      </c>
      <c r="I189" s="273">
        <f>IF(ISNUMBER(I183),I183+I187+I188,"")</f>
        <v>179.729</v>
      </c>
      <c r="J189" s="273">
        <f>IF(ISNUMBER(J183),J183+J187+J188,"")</f>
        <v>49.563</v>
      </c>
      <c r="K189" s="273">
        <f>IF(ISNUMBER(K183),K183+K187+K188,"")</f>
        <v>36.837</v>
      </c>
      <c r="L189" s="273">
        <f>IF(ISNUMBER(L183),L183+L187+L188,"")</f>
        <v>39.712</v>
      </c>
      <c r="M189" s="273">
        <f>IF(ISNUMBER(M183),M183+M187+M188,"")</f>
        <v>53.12</v>
      </c>
      <c r="N189" s="273">
        <f>IF(ISNUMBER(N183),N183+N187+N188,"")</f>
        <v>179.232</v>
      </c>
      <c r="O189" s="273">
        <f>IF(ISNUMBER(O183),O183+O187+O188,"")</f>
        <v>40.982</v>
      </c>
      <c r="P189" s="273">
        <f>IF(ISNUMBER(P183),P183+P187+P188,"")</f>
        <v>41.294</v>
      </c>
      <c r="Q189" s="273">
        <f>IF(ISNUMBER(Q183),Q183+Q187+Q188,"")</f>
        <v>40.992</v>
      </c>
      <c r="R189" s="273">
        <f>IF(ISNUMBER(R183),R183+R187+R188,"")</f>
        <v>54.611</v>
      </c>
      <c r="S189" s="273">
        <f>IF(ISNUMBER(S183),S183+S187+S188,"")</f>
        <v>177.879</v>
      </c>
      <c r="T189" s="273">
        <f>IF(ISNUMBER(T183),T183+T187+T188,"")</f>
        <v>28.461</v>
      </c>
      <c r="U189" s="273">
        <f>IF(ISNUMBER(U183),U183+U187+U188,"")</f>
        <v>37.266</v>
      </c>
      <c r="V189" s="273">
        <f>IF(ISNUMBER(V183),V183+V187+V188,"")</f>
        <v>43.679</v>
      </c>
      <c r="W189" s="273">
        <f>IF(ISNUMBER(W183),W183+W187+W188,"")</f>
        <v>60.897</v>
      </c>
      <c r="X189" s="273">
        <f>IF(ISNUMBER(X183),X183+X187+X188,"")</f>
        <v>170.303</v>
      </c>
      <c r="Y189" s="273">
        <f>IF(ISNUMBER(Y183),Y183+Y187+Y188,"")</f>
        <v>34.08</v>
      </c>
      <c r="Z189" s="273">
        <f>IF(ISNUMBER(Z183),Z183+Z187+Z188,"")</f>
        <v>42.466</v>
      </c>
      <c r="AA189" s="273">
        <f>IF(ISNUMBER(AA183),AA183+AA187+AA188,"")</f>
        <v>60.557</v>
      </c>
      <c r="AB189" s="273">
        <f>IF(ISNUMBER(AB183),AB183+AB187+AB188,"")</f>
        <v>48.081</v>
      </c>
      <c r="AC189" s="273">
        <f>IF(ISNUMBER(AC183),AC183+AC187+AC188,"")</f>
        <v>185.184</v>
      </c>
      <c r="AD189" s="273">
        <f>IF(ISNUMBER(AD183),AD183+AD187+AD188,"")</f>
        <v>38.147</v>
      </c>
      <c r="AE189" s="273">
        <f>IF(ISNUMBER(AE183),AE183+AE187+AE188,"")</f>
        <v>43.026</v>
      </c>
      <c r="AF189" s="273">
        <f>IF(ISNUMBER(AF183),AF183+AF187+AF188,"")</f>
        <v>49.82</v>
      </c>
      <c r="AG189" s="273">
        <f>IF(ISNUMBER(AG183),AG183+AG187+AG188,"")</f>
        <v>63.301</v>
      </c>
      <c r="AH189" s="273">
        <f>IF(ISNUMBER(AH183),AH183+AH187+AH188,"")</f>
        <v>194.294</v>
      </c>
      <c r="AI189" s="273">
        <f>IF(ISNUMBER(AI183),AI183+AI187+AI188,"")</f>
        <v>42.205</v>
      </c>
      <c r="AJ189" s="273">
        <f>IF(ISNUMBER(AJ183),AJ183+AJ187+AJ188,"")</f>
        <v>49.602</v>
      </c>
      <c r="AK189" s="273">
        <f>IF(ISNUMBER(AK183),AK183+AK187+AK188,"")</f>
        <v>51.535</v>
      </c>
      <c r="AL189" s="273">
        <f>IF(ISNUMBER(AL183),AL183+AL187+AL188,"")</f>
        <v>72.573</v>
      </c>
      <c r="AM189" s="273">
        <f>IF(ISNUMBER(AM183),AM183+AM187+AM188,"")</f>
        <v>215.915</v>
      </c>
      <c r="AN189" s="273">
        <f>IF(ISNUMBER(AN183),AN183+AN187+AN188,"")</f>
        <v>48.334</v>
      </c>
      <c r="AO189" s="273">
        <f>IF(ISNUMBER(AO183),AO183+AO187+AO188,"")</f>
        <v>51.485</v>
      </c>
      <c r="AP189" s="273">
        <f>IF(ISNUMBER(AP183),AP183+AP187+AP188,"")</f>
        <v>89.613</v>
      </c>
      <c r="AQ189" s="273">
        <f>IF(ISNUMBER(AQ183),AQ183+AQ187+AQ188,"")</f>
        <v>72.518</v>
      </c>
      <c r="AR189" s="273">
        <f>IF(ISNUMBER(AR183),AR183+AR187+AR188,"")</f>
        <v>261.95</v>
      </c>
      <c r="AS189" s="273">
        <f>IF(ISNUMBER(AS183),AS183+AS187+AS188,"")</f>
        <v>56.5630000000001</v>
      </c>
      <c r="AT189" s="273">
        <f>IF(ISNUMBER(AT183),AT183+AT187+AT188,"")</f>
        <v>74.92</v>
      </c>
      <c r="AU189" s="273">
        <f>IF(ISNUMBER(AU183),AU183+AU187+AU188,"")</f>
        <v>88.479</v>
      </c>
      <c r="AV189" s="273">
        <f>IF(ISNUMBER(AV183),AV183+AV187+AV188,"")</f>
        <v>129.237</v>
      </c>
      <c r="AW189" s="273">
        <f>IF(ISNUMBER(AW183),AW183+AW187+AW188,"")</f>
        <v>349.199</v>
      </c>
      <c r="AX189" s="273">
        <f>IF(ISNUMBER(AX183),AX183+AX187+AX188,"")</f>
        <v>91.204</v>
      </c>
      <c r="AY189" s="273">
        <f>IF(ISNUMBER(AY183),AY183+AY187+AY188,"")</f>
        <v>102.712</v>
      </c>
      <c r="AZ189" s="273">
        <f>IF(ISNUMBER(AZ183),AZ183+AZ187+AZ188,"")</f>
        <v>105.915</v>
      </c>
      <c r="BA189" s="273">
        <f>IF(ISNUMBER(BA183),BA183+BA187+BA188,"")</f>
        <v>124.476</v>
      </c>
      <c r="BB189" s="273">
        <f>IF(ISNUMBER(BB183),BB183+BB187+BB188,"")</f>
        <v>424.307</v>
      </c>
      <c r="BC189" s="273">
        <f>IF(ISNUMBER(BC183),BC183+BC187+BC188,"")</f>
        <v>117.559</v>
      </c>
      <c r="BD189" s="273">
        <f>IF(ISNUMBER(BD183),BD183+BD187+BD188,"")</f>
        <v>150.239</v>
      </c>
      <c r="BE189" s="273">
        <f>IF(ISNUMBER(BE183),BE183+BE187+BE188,"")</f>
        <v>140.147</v>
      </c>
      <c r="BF189" s="273">
        <f>IF(ISNUMBER(BF183),BF183+BF187+BF188,"")</f>
        <v>134.392</v>
      </c>
      <c r="BG189" s="273">
        <f>IF(ISNUMBER(BG183),BG183+BG187+BG188,"")</f>
        <v>542.337</v>
      </c>
      <c r="BH189" s="273">
        <f>IF(ISNUMBER(BH183),BH183+BH187+BH188,"")</f>
        <v>139.037</v>
      </c>
      <c r="BI189" s="273">
        <f>IF(ISNUMBER(BI183),BI183+BI187+BI188,"")</f>
        <v>161.641</v>
      </c>
      <c r="BJ189" s="273">
        <f>IF(ISNUMBER(BJ183),BJ183+BJ187+BJ188,"")</f>
        <v>182.607</v>
      </c>
      <c r="BK189" s="273">
        <f>IF(ISNUMBER(BK183),BK183+BK187+BK188,"")</f>
        <v>165.044</v>
      </c>
      <c r="BL189" s="273">
        <f>IF(ISNUMBER(BL183),BL183+BL187+BL188,"")</f>
        <v>648.329</v>
      </c>
      <c r="BM189" s="273">
        <f>IF(ISNUMBER(BM183),BM183+BM187+BM188,"")</f>
        <v>155.027</v>
      </c>
      <c r="BN189" s="273">
        <f>IF(ISNUMBER(BN183),BN183+BN187+BN188,"")</f>
        <v>199.102</v>
      </c>
      <c r="BO189" s="273">
        <f>IF(ISNUMBER(BO183),BO183+BO187+BO188,"")</f>
        <v>194.461</v>
      </c>
      <c r="BP189" s="273">
        <f>IF(ISNUMBER(BP183),BP183+BP187+BP188,"")</f>
        <v>199.99</v>
      </c>
      <c r="BQ189" s="273">
        <f>IF(ISNUMBER(BQ183),BQ183+BQ187+BQ188,"")</f>
        <v>748.58</v>
      </c>
      <c r="BR189" s="273">
        <f>IF(ISNUMBER(BR183),BR183+BR187+BR188,"")</f>
        <v>179.617</v>
      </c>
      <c r="BS189" s="273">
        <f>IF(ISNUMBER(BS183),BS183+BS187+BS188,"")</f>
        <v>244.394</v>
      </c>
      <c r="BT189" s="273">
        <f>IF(ISNUMBER(BT183),BT183+BT187+BT188,"")</f>
        <v>269.89</v>
      </c>
      <c r="BU189" s="273">
        <f>IF(ISNUMBER(BU183),BU183+BU187+BU188,"")</f>
        <v>253.263</v>
      </c>
      <c r="BV189" s="273">
        <f>IF(ISNUMBER(BV183),BV183+BV187+BV188,"")</f>
        <v>947.164</v>
      </c>
      <c r="BW189" s="273">
        <f>IF(ISNUMBER(BW183),BW183+BW187+BW188,"")</f>
        <v>233.937</v>
      </c>
      <c r="BX189" s="273">
        <f>IF(ISNUMBER(BX183),BX183+BX187+BX188,"")</f>
        <v>400.608</v>
      </c>
      <c r="BY189" s="273">
        <f>IF(ISNUMBER(BY183),BY183+BY187+BY188,"")</f>
        <v>374.536</v>
      </c>
      <c r="BZ189" s="273">
        <f>IF(ISNUMBER(BZ183),BZ183+BZ187+BZ188,"")</f>
        <v>332.355581988028</v>
      </c>
      <c r="CA189" s="273">
        <f>IF(ISNUMBER(CA183),CA183+CA187+CA188,"")</f>
        <v>1341.43658198803</v>
      </c>
      <c r="CB189" s="273">
        <f>IF(ISNUMBER(CB183),CB183+CB187+CB188,"")</f>
        <v>1566.99634555101</v>
      </c>
      <c r="CC189" s="273">
        <f>IF(ISNUMBER(CC183),CC183+CC187+CC188,"")</f>
        <v>1755.19187165166</v>
      </c>
      <c r="CD189" s="273">
        <f>IF(ISNUMBER(CD183),CD183+CD187+CD188,"")</f>
        <v>1939.22429842045</v>
      </c>
      <c r="CE189" s="273">
        <f>IF(ISNUMBER(CE183),CE183+CE187+CE188,"")</f>
        <v>2114.06157136208</v>
      </c>
      <c r="CF189" s="273">
        <f>IF(ISNUMBER(CF183),CF183+CF187+CF188,"")</f>
        <v>2288.16361718658</v>
      </c>
      <c r="CG189" s="153" t="inlineStr">
        <is>
          <t>Standard NOPAT basis: adjusted EBIT before acquired-intangible amortization − SBC; the DCF also deducts cash restructuring.</t>
        </is>
      </c>
      <c r="CI189" s="20">
        <f>IFERROR((CF189/CA189)^(1/5)-1,"n/m")</f>
        <v>0.112713573965997</v>
      </c>
      <c r="CJ189" s="20">
        <f>IFERROR((BV189/AW189)^(1/5)-1,"n/m")</f>
        <v>0.220872856743677</v>
      </c>
      <c r="CK189" s="20">
        <f>IFERROR((BV189/X189)^(1/10)-1,"n/m")</f>
        <v>0.187190160391316</v>
      </c>
      <c r="CL189" s="20">
        <f>IFERROR((BV189/C189)^(1/19)-1,"n/m")</f>
        <v>0.0860508245529577</v>
      </c>
    </row>
    <row r="190" ht="15" customHeight="1" s="251">
      <c r="B190" s="25" t="inlineStr">
        <is>
          <t xml:space="preserve">  Adjusted EBITA after SBC margin %</t>
        </is>
      </c>
      <c r="C190" s="215">
        <f>IF(AND(ISNUMBER(C189),ISNUMBER(C127)),IFERROR(C189/C127,""),"")</f>
        <v>0.23912572013594</v>
      </c>
      <c r="D190" s="215">
        <f>IF(AND(ISNUMBER(D189),ISNUMBER(D127)),IFERROR(D189/D127,""),"")</f>
        <v>0.210451743781591</v>
      </c>
      <c r="E190" s="215">
        <f>IF(AND(ISNUMBER(E189),ISNUMBER(E127)),IFERROR(E189/E127,""),"")</f>
        <v>0.199689330086112</v>
      </c>
      <c r="F190" s="215">
        <f>IF(AND(ISNUMBER(F189),ISNUMBER(F127)),IFERROR(F189/F127,""),"")</f>
        <v>0.226607053675474</v>
      </c>
      <c r="G190" s="215">
        <f>IF(AND(ISNUMBER(G189),ISNUMBER(G127)),IFERROR(G189/G127,""),"")</f>
        <v>0.210120483519169</v>
      </c>
      <c r="H190" s="215">
        <f>IF(AND(ISNUMBER(H189),ISNUMBER(H127)),IFERROR(H189/H127,""),"")</f>
        <v>0.238442881279622</v>
      </c>
      <c r="I190" s="215">
        <f>IF(AND(ISNUMBER(I189),ISNUMBER(I127)),IFERROR(I189/I127,""),"")</f>
        <v>0.265705039598003</v>
      </c>
      <c r="J190" s="215">
        <f>IF(AND(ISNUMBER(J189),ISNUMBER(J127)),IFERROR(J189/J127,""),"")</f>
        <v>0.260830438901168</v>
      </c>
      <c r="K190" s="215">
        <f>IF(AND(ISNUMBER(K189),ISNUMBER(K127)),IFERROR(K189/K127,""),"")</f>
        <v>0.205420326223337</v>
      </c>
      <c r="L190" s="215">
        <f>IF(AND(ISNUMBER(L189),ISNUMBER(L127)),IFERROR(L189/L127,""),"")</f>
        <v>0.216093855429554</v>
      </c>
      <c r="M190" s="215">
        <f>IF(AND(ISNUMBER(M189),ISNUMBER(M127)),IFERROR(M189/M127,""),"")</f>
        <v>0.279098603981569</v>
      </c>
      <c r="N190" s="215">
        <f>IF(AND(ISNUMBER(N189),ISNUMBER(N127)),IFERROR(N189/N127,""),"")</f>
        <v>0.241083390275529</v>
      </c>
      <c r="O190" s="215">
        <f>IF(AND(ISNUMBER(O189),ISNUMBER(O127)),IFERROR(O189/O127,""),"")</f>
        <v>0.222313838876442</v>
      </c>
      <c r="P190" s="215">
        <f>IF(AND(ISNUMBER(P189),ISNUMBER(P127)),IFERROR(P189/P127,""),"")</f>
        <v>0.222654775641371</v>
      </c>
      <c r="Q190" s="215">
        <f>IF(AND(ISNUMBER(Q189),ISNUMBER(Q127)),IFERROR(Q189/Q127,""),"")</f>
        <v>0.207438894792774</v>
      </c>
      <c r="R190" s="215">
        <f>IF(AND(ISNUMBER(R189),ISNUMBER(R127)),IFERROR(R189/R127,""),"")</f>
        <v>0.246472897955499</v>
      </c>
      <c r="S190" s="215">
        <f>IF(AND(ISNUMBER(S189),ISNUMBER(S127)),IFERROR(S189/S127,""),"")</f>
        <v>0.22545295537938</v>
      </c>
      <c r="T190" s="215">
        <f>IF(AND(ISNUMBER(T189),ISNUMBER(T127)),IFERROR(T189/T127,""),"")</f>
        <v>0.150150356106568</v>
      </c>
      <c r="U190" s="215">
        <f>IF(AND(ISNUMBER(U189),ISNUMBER(U127)),IFERROR(U189/U127,""),"")</f>
        <v>0.179934237527099</v>
      </c>
      <c r="V190" s="215">
        <f>IF(AND(ISNUMBER(V189),ISNUMBER(V127)),IFERROR(V189/V127,""),"")</f>
        <v>0.208625087167926</v>
      </c>
      <c r="W190" s="215">
        <f>IF(AND(ISNUMBER(W189),ISNUMBER(W127)),IFERROR(W189/W127,""),"")</f>
        <v>0.261634501366238</v>
      </c>
      <c r="X190" s="215">
        <f>IF(AND(ISNUMBER(X189),ISNUMBER(X127)),IFERROR(X189/X127,""),"")</f>
        <v>0.203036311027551</v>
      </c>
      <c r="Y190" s="215">
        <f>IF(AND(ISNUMBER(Y189),ISNUMBER(Y127)),IFERROR(Y189/Y127,""),"")</f>
        <v>0.170335272596413</v>
      </c>
      <c r="Z190" s="215">
        <f>IF(AND(ISNUMBER(Z189),ISNUMBER(Z127)),IFERROR(Z189/Z127,""),"")</f>
        <v>0.205469377485751</v>
      </c>
      <c r="AA190" s="215">
        <f>IF(AND(ISNUMBER(AA189),ISNUMBER(AA127)),IFERROR(AA189/AA127,""),"")</f>
        <v>0.253612141822111</v>
      </c>
      <c r="AB190" s="215">
        <f>IF(AND(ISNUMBER(AB189),ISNUMBER(AB127)),IFERROR(AB189/AB127,""),"")</f>
        <v>0.203885100753104</v>
      </c>
      <c r="AC190" s="215">
        <f>IF(AND(ISNUMBER(AC189),ISNUMBER(AC127)),IFERROR(AC189/AC127,""),"")</f>
        <v>0.210112599222108</v>
      </c>
      <c r="AD190" s="215">
        <f>IF(AND(ISNUMBER(AD189),ISNUMBER(AD127)),IFERROR(AD189/AD127,""),"")</f>
        <v>0.173711293260474</v>
      </c>
      <c r="AE190" s="215">
        <f>IF(AND(ISNUMBER(AE189),ISNUMBER(AE127)),IFERROR(AE189/AE127,""),"")</f>
        <v>0.188398181961485</v>
      </c>
      <c r="AF190" s="215">
        <f>IF(AND(ISNUMBER(AF189),ISNUMBER(AF127)),IFERROR(AF189/AF127,""),"")</f>
        <v>0.215684067432658</v>
      </c>
      <c r="AG190" s="215">
        <f>IF(AND(ISNUMBER(AG189),ISNUMBER(AG127)),IFERROR(AG189/AG127,""),"")</f>
        <v>0.249999012657728</v>
      </c>
      <c r="AH190" s="215">
        <f>IF(AND(ISNUMBER(AH189),ISNUMBER(AH127)),IFERROR(AH189/AH127,""),"")</f>
        <v>0.208432161979212</v>
      </c>
      <c r="AI190" s="215">
        <f>IF(AND(ISNUMBER(AI189),ISNUMBER(AI127)),IFERROR(AI189/AI127,""),"")</f>
        <v>0.179350759175764</v>
      </c>
      <c r="AJ190" s="215">
        <f>IF(AND(ISNUMBER(AJ189),ISNUMBER(AJ127)),IFERROR(AJ189/AJ127,""),"")</f>
        <v>0.192361687440374</v>
      </c>
      <c r="AK190" s="215">
        <f>IF(AND(ISNUMBER(AK189),ISNUMBER(AK127)),IFERROR(AK189/AK127,""),"")</f>
        <v>0.198589622550625</v>
      </c>
      <c r="AL190" s="215">
        <f>IF(AND(ISNUMBER(AL189),ISNUMBER(AL127)),IFERROR(AL189/AL127,""),"")</f>
        <v>0.259382896519188</v>
      </c>
      <c r="AM190" s="215">
        <f>IF(AND(ISNUMBER(AM189),ISNUMBER(AM127)),IFERROR(AM189/AM127,""),"")</f>
        <v>0.209123707595825</v>
      </c>
      <c r="AN190" s="215">
        <f>IF(AND(ISNUMBER(AN189),ISNUMBER(AN127)),IFERROR(AN189/AN127,""),"")</f>
        <v>0.184300835824538</v>
      </c>
      <c r="AO190" s="215">
        <f>IF(AND(ISNUMBER(AO189),ISNUMBER(AO127)),IFERROR(AO189/AO127,""),"")</f>
        <v>0.185042086876514</v>
      </c>
      <c r="AP190" s="215">
        <f>IF(AND(ISNUMBER(AP189),ISNUMBER(AP127)),IFERROR(AP189/AP127,""),"")</f>
        <v>0.285165585252459</v>
      </c>
      <c r="AQ190" s="215">
        <f>IF(AND(ISNUMBER(AQ189),ISNUMBER(AQ127)),IFERROR(AQ189/AQ127,""),"")</f>
        <v>0.237496070006288</v>
      </c>
      <c r="AR190" s="215">
        <f>IF(AND(ISNUMBER(AR189),ISNUMBER(AR127)),IFERROR(AR189/AR127,""),"")</f>
        <v>0.225802808936947</v>
      </c>
      <c r="AS190" s="215">
        <f>IF(AND(ISNUMBER(AS189),ISNUMBER(AS127)),IFERROR(AS189/AS127,""),"")</f>
        <v>0.189488248063678</v>
      </c>
      <c r="AT190" s="215">
        <f>IF(AND(ISNUMBER(AT189),ISNUMBER(AT127)),IFERROR(AT189/AT127,""),"")</f>
        <v>0.243269658506807</v>
      </c>
      <c r="AU190" s="215">
        <f>IF(AND(ISNUMBER(AU189),ISNUMBER(AU127)),IFERROR(AU189/AU127,""),"")</f>
        <v>0.282021859491093</v>
      </c>
      <c r="AV190" s="215">
        <f>IF(AND(ISNUMBER(AV189),ISNUMBER(AV127)),IFERROR(AV189/AV127,""),"")</f>
        <v>0.34522486617017</v>
      </c>
      <c r="AW190" s="215">
        <f>IF(AND(ISNUMBER(AW189),ISNUMBER(AW127)),IFERROR(AW189/AW127,""),"")</f>
        <v>0.269742970981691</v>
      </c>
      <c r="AX190" s="215">
        <f>IF(AND(ISNUMBER(AX189),ISNUMBER(AX127)),IFERROR(AX189/AX127,""),"")</f>
        <v>0.291933140000128</v>
      </c>
      <c r="AY190" s="215">
        <f>IF(AND(ISNUMBER(AY189),ISNUMBER(AY127)),IFERROR(AY189/AY127,""),"")</f>
        <v>0.309970093040521</v>
      </c>
      <c r="AZ190" s="215">
        <f>IF(AND(ISNUMBER(AZ189),ISNUMBER(AZ127)),IFERROR(AZ189/AZ127,""),"")</f>
        <v>0.313187495564545</v>
      </c>
      <c r="BA190" s="215">
        <f>IF(AND(ISNUMBER(BA189),ISNUMBER(BA127)),IFERROR(BA189/BA127,""),"")</f>
        <v>0.37203991906198</v>
      </c>
      <c r="BB190" s="215">
        <f>IF(AND(ISNUMBER(BB189),ISNUMBER(BB127)),IFERROR(BB189/BB127,""),"")</f>
        <v>0.322290465281618</v>
      </c>
      <c r="BC190" s="215">
        <f>IF(AND(ISNUMBER(BC189),ISNUMBER(BC127)),IFERROR(BC189/BC127,""),"")</f>
        <v>0.364681211436867</v>
      </c>
      <c r="BD190" s="215">
        <f>IF(AND(ISNUMBER(BD189),ISNUMBER(BD127)),IFERROR(BD189/BD127,""),"")</f>
        <v>0.420607791262476</v>
      </c>
      <c r="BE190" s="215">
        <f>IF(AND(ISNUMBER(BE189),ISNUMBER(BE127)),IFERROR(BE189/BE127,""),"")</f>
        <v>0.401606460228217</v>
      </c>
      <c r="BF190" s="215">
        <f>IF(AND(ISNUMBER(BF189),ISNUMBER(BF127)),IFERROR(BF189/BF127,""),"")</f>
        <v>0.385355614942595</v>
      </c>
      <c r="BG190" s="215">
        <f>IF(AND(ISNUMBER(BG189),ISNUMBER(BG127)),IFERROR(BG189/BG127,""),"")</f>
        <v>0.393776819360038</v>
      </c>
      <c r="BH190" s="215">
        <f>IF(AND(ISNUMBER(BH189),ISNUMBER(BH127)),IFERROR(BH189/BH127,""),"")</f>
        <v>0.403157711601473</v>
      </c>
      <c r="BI190" s="215">
        <f>IF(AND(ISNUMBER(BI189),ISNUMBER(BI127)),IFERROR(BI189/BI127,""),"")</f>
        <v>0.425073501180752</v>
      </c>
      <c r="BJ190" s="215">
        <f>IF(AND(ISNUMBER(BJ189),ISNUMBER(BJ127)),IFERROR(BJ189/BJ127,""),"")</f>
        <v>0.45801980496027</v>
      </c>
      <c r="BK190" s="215">
        <f>IF(AND(ISNUMBER(BK189),ISNUMBER(BK127)),IFERROR(BK189/BK127,""),"")</f>
        <v>0.423479664282983</v>
      </c>
      <c r="BL190" s="215">
        <f>IF(AND(ISNUMBER(BL189),ISNUMBER(BL127)),IFERROR(BL189/BL127,""),"")</f>
        <v>0.428347924789089</v>
      </c>
      <c r="BM190" s="215">
        <f>IF(AND(ISNUMBER(BM189),ISNUMBER(BM127)),IFERROR(BM189/BM127,""),"")</f>
        <v>0.405767172085987</v>
      </c>
      <c r="BN190" s="215">
        <f>IF(AND(ISNUMBER(BN189),ISNUMBER(BN127)),IFERROR(BN189/BN127,""),"")</f>
        <v>0.458962354400208</v>
      </c>
      <c r="BO190" s="215">
        <f>IF(AND(ISNUMBER(BO189),ISNUMBER(BO127)),IFERROR(BO189/BO127,""),"")</f>
        <v>0.434211084539655</v>
      </c>
      <c r="BP190" s="215">
        <f>IF(AND(ISNUMBER(BP189),ISNUMBER(BP127)),IFERROR(BP189/BP127,""),"")</f>
        <v>0.440692009193295</v>
      </c>
      <c r="BQ190" s="215">
        <f>IF(AND(ISNUMBER(BQ189),ISNUMBER(BQ127)),IFERROR(BQ189/BQ127,""),"")</f>
        <v>0.435847841604727</v>
      </c>
      <c r="BR190" s="215">
        <f>IF(AND(ISNUMBER(BR189),ISNUMBER(BR127)),IFERROR(BR189/BR127,""),"")</f>
        <v>0.408250145465125</v>
      </c>
      <c r="BS190" s="215">
        <f>IF(AND(ISNUMBER(BS189),ISNUMBER(BS127)),IFERROR(BS189/BS127,""),"")</f>
        <v>0.490027770258755</v>
      </c>
      <c r="BT190" s="215">
        <f>IF(AND(ISNUMBER(BT189),ISNUMBER(BT127)),IFERROR(BT189/BT127,""),"")</f>
        <v>0.503136564040901</v>
      </c>
      <c r="BU190" s="215">
        <f>IF(AND(ISNUMBER(BU189),ISNUMBER(BU127)),IFERROR(BU189/BU127,""),"")</f>
        <v>0.491056730864312</v>
      </c>
      <c r="BV190" s="215">
        <f>IF(AND(ISNUMBER(BV189),ISNUMBER(BV127)),IFERROR(BV189/BV127,""),"")</f>
        <v>0.475754055138736</v>
      </c>
      <c r="BW190" s="215">
        <f>IF(AND(ISNUMBER(BW189),ISNUMBER(BW127)),IFERROR(BW189/BW127,""),"")</f>
        <v>0.456944794407365</v>
      </c>
      <c r="BX190" s="215">
        <f>IF(AND(ISNUMBER(BX189),ISNUMBER(BX127)),IFERROR(BX189/BX127,""),"")</f>
        <v>0.579183636292663</v>
      </c>
      <c r="BY190" s="215">
        <f>IF(AND(ISNUMBER(BY189),ISNUMBER(BY127)),IFERROR(BY189/BY127,""),"")</f>
        <v>0.555536437907527</v>
      </c>
      <c r="BZ190" s="256">
        <f>IF(AND(ISNUMBER(BZ189),ISNUMBER(BZ127)),IFERROR(BZ189/BZ127,""),"")</f>
        <v>0.509610261628806</v>
      </c>
      <c r="CA190" s="256">
        <f>IF(AND(ISNUMBER(CA189),ISNUMBER(CA127)),IFERROR(CA189/CA127,""),"")</f>
        <v>0.530212087742304</v>
      </c>
      <c r="CB190" s="256">
        <f>IF(AND(ISNUMBER(CB189),ISNUMBER(CB127)),IFERROR(CB189/CB127,""),"")</f>
        <v>0.559878037986569</v>
      </c>
      <c r="CC190" s="256">
        <f>IF(AND(ISNUMBER(CC189),ISNUMBER(CC127)),IFERROR(CC189/CC127,""),"")</f>
        <v>0.568352471333913</v>
      </c>
      <c r="CD190" s="256">
        <f>IF(AND(ISNUMBER(CD189),ISNUMBER(CD127)),IFERROR(CD189/CD127,""),"")</f>
        <v>0.573765033815974</v>
      </c>
      <c r="CE190" s="256">
        <f>IF(AND(ISNUMBER(CE189),ISNUMBER(CE127)),IFERROR(CE189/CE127,""),"")</f>
        <v>0.574911300238131</v>
      </c>
      <c r="CF190" s="256">
        <f>IF(AND(ISNUMBER(CF189),ISNUMBER(CF127)),IFERROR(CF189/CF127,""),"")</f>
        <v>0.575427285970033</v>
      </c>
      <c r="CG190" s="153" t="n"/>
      <c r="CI190" s="37">
        <f>IFERROR(AVERAGE(CB190,CC190,CD190,CE190,CF190),"n/m")</f>
        <v>0.570466825868924</v>
      </c>
      <c r="CJ190" s="37">
        <f>IFERROR(AVERAGE(BB190,BG190,BL190,BQ190,BV190),"n/m")</f>
        <v>0.411203421234842</v>
      </c>
      <c r="CK190" s="37">
        <f>IFERROR(AVERAGE(AC190,AH190,AM190,AR190,AW190,BB190,BG190,BL190,BQ190,BV190),"n/m")</f>
        <v>0.317923135488999</v>
      </c>
      <c r="CL190" s="37">
        <f>IFERROR(AVERAGE(C190,D190,E190,F190,G190,H190,I190,N190,S190,X190,AC190,AH190,AM190,AR190,AW190,BB190,BG190,BL190,BQ190,BV190),"n/m")</f>
        <v>0.271947313182418</v>
      </c>
    </row>
    <row r="191" ht="15" customHeight="1" s="251">
      <c r="B191" s="156" t="inlineStr">
        <is>
          <t xml:space="preserve">  Memo: restructuring &amp; acquisition-related charges (cash; deducted in the DCF)</t>
        </is>
      </c>
      <c r="C191" s="262">
        <f>IF(ISNUMBER(C164),C164,"")</f>
        <v>19.662</v>
      </c>
      <c r="D191" s="262">
        <f>IF(ISNUMBER(D164),D164,"")</f>
        <v>2.455</v>
      </c>
      <c r="E191" s="262">
        <f>IF(ISNUMBER(E164),E164,"")</f>
        <v>10.166</v>
      </c>
      <c r="F191" s="262">
        <f>IF(ISNUMBER(F164),F164,"")</f>
        <v>8.711</v>
      </c>
      <c r="G191" s="262">
        <f>IF(ISNUMBER(G164),G164,"")</f>
        <v>1.617</v>
      </c>
      <c r="H191" s="262">
        <f>IF(ISNUMBER(H164),H164,"")</f>
        <v>12.391</v>
      </c>
      <c r="I191" s="262">
        <f>IF(ISNUMBER(I164),I164,"")</f>
        <v>5.125</v>
      </c>
      <c r="J191" s="262">
        <f>IF(ISNUMBER(J164),J164,"")</f>
        <v>3.289</v>
      </c>
      <c r="K191" s="262">
        <f>IF(ISNUMBER(K164),K164,"")</f>
        <v>0</v>
      </c>
      <c r="L191" s="262">
        <f>IF(ISNUMBER(L164),L164,"")</f>
        <v>0.197</v>
      </c>
      <c r="M191" s="262">
        <f>IF(ISNUMBER(M164),M164,"")</f>
        <v>0</v>
      </c>
      <c r="N191" s="262">
        <f>IF(ISNUMBER(N164),N164,"")</f>
        <v>3.486</v>
      </c>
      <c r="O191" s="262">
        <f>IF(ISNUMBER(O164),O164,"")</f>
        <v>3.66</v>
      </c>
      <c r="P191" s="262">
        <f>IF(ISNUMBER(P164),P164,"")</f>
        <v>0</v>
      </c>
      <c r="Q191" s="262">
        <f>IF(ISNUMBER(Q164),Q164,"")</f>
        <v>0.621</v>
      </c>
      <c r="R191" s="262">
        <f>IF(ISNUMBER(R164),R164,"")</f>
        <v>0</v>
      </c>
      <c r="S191" s="262">
        <f>IF(ISNUMBER(S164),S164,"")</f>
        <v>4.281</v>
      </c>
      <c r="T191" s="262">
        <f>IF(ISNUMBER(T164),T164,"")</f>
        <v>0</v>
      </c>
      <c r="U191" s="262">
        <f>IF(ISNUMBER(U164),U164,"")</f>
        <v>0</v>
      </c>
      <c r="V191" s="262">
        <f>IF(ISNUMBER(V164),V164,"")</f>
        <v>2.256</v>
      </c>
      <c r="W191" s="262">
        <f>IF(ISNUMBER(W164),W164,"")</f>
        <v>15.986</v>
      </c>
      <c r="X191" s="262">
        <f>IF(ISNUMBER(X164),X164,"")</f>
        <v>18.242</v>
      </c>
      <c r="Y191" s="262">
        <f>IF(ISNUMBER(Y164),Y164,"")</f>
        <v>0</v>
      </c>
      <c r="Z191" s="262">
        <f>IF(ISNUMBER(Z164),Z164,"")</f>
        <v>0</v>
      </c>
      <c r="AA191" s="262">
        <f>IF(ISNUMBER(AA164),AA164,"")</f>
        <v>0</v>
      </c>
      <c r="AB191" s="262">
        <f>IF(ISNUMBER(AB164),AB164,"")</f>
        <v>0</v>
      </c>
      <c r="AC191" s="262">
        <f>IF(ISNUMBER(AC164),AC164,"")</f>
        <v>0</v>
      </c>
      <c r="AD191" s="262">
        <f>IF(ISNUMBER(AD164),AD164,"")</f>
        <v>0</v>
      </c>
      <c r="AE191" s="262">
        <f>IF(ISNUMBER(AE164),AE164,"")</f>
        <v>0</v>
      </c>
      <c r="AF191" s="262">
        <f>IF(ISNUMBER(AF164),AF164,"")</f>
        <v>4.471</v>
      </c>
      <c r="AG191" s="262">
        <f>IF(ISNUMBER(AG164),AG164,"")</f>
        <v>0</v>
      </c>
      <c r="AH191" s="262">
        <f>IF(ISNUMBER(AH164),AH164,"")</f>
        <v>4.471</v>
      </c>
      <c r="AI191" s="262">
        <f>IF(ISNUMBER(AI164),AI164,"")</f>
        <v>0</v>
      </c>
      <c r="AJ191" s="262">
        <f>IF(ISNUMBER(AJ164),AJ164,"")</f>
        <v>0</v>
      </c>
      <c r="AK191" s="262">
        <f>IF(ISNUMBER(AK164),AK164,"")</f>
        <v>0</v>
      </c>
      <c r="AL191" s="262">
        <f>IF(ISNUMBER(AL164),AL164,"")</f>
        <v>0</v>
      </c>
      <c r="AM191" s="262">
        <f>IF(ISNUMBER(AM164),AM164,"")</f>
        <v>0</v>
      </c>
      <c r="AN191" s="262">
        <f>IF(ISNUMBER(AN164),AN164,"")</f>
        <v>0</v>
      </c>
      <c r="AO191" s="262">
        <f>IF(ISNUMBER(AO164),AO164,"")</f>
        <v>0</v>
      </c>
      <c r="AP191" s="262">
        <f>IF(ISNUMBER(AP164),AP164,"")</f>
        <v>0</v>
      </c>
      <c r="AQ191" s="262">
        <f>IF(ISNUMBER(AQ164),AQ164,"")</f>
        <v>0</v>
      </c>
      <c r="AR191" s="262">
        <f>IF(ISNUMBER(AR164),AR164,"")</f>
        <v>0</v>
      </c>
      <c r="AS191" s="262">
        <f>IF(ISNUMBER(AS164),AS164,"")</f>
        <v>3.104</v>
      </c>
      <c r="AT191" s="262">
        <f>IF(ISNUMBER(AT164),AT164,"")</f>
        <v>0</v>
      </c>
      <c r="AU191" s="262">
        <f>IF(ISNUMBER(AU164),AU164,"")</f>
        <v>0</v>
      </c>
      <c r="AV191" s="262">
        <f>IF(ISNUMBER(AV164),AV164,"")</f>
        <v>41.925</v>
      </c>
      <c r="AW191" s="262">
        <f>IF(ISNUMBER(AW164),AW164,"")</f>
        <v>45.029</v>
      </c>
      <c r="AX191" s="262">
        <f>IF(ISNUMBER(AX164),AX164,"")</f>
        <v>0</v>
      </c>
      <c r="AY191" s="262">
        <f>IF(ISNUMBER(AY164),AY164,"")</f>
        <v>0</v>
      </c>
      <c r="AZ191" s="262">
        <f>IF(ISNUMBER(AZ164),AZ164,"")</f>
        <v>0</v>
      </c>
      <c r="BA191" s="262">
        <f>IF(ISNUMBER(BA164),BA164,"")</f>
        <v>7.957</v>
      </c>
      <c r="BB191" s="262">
        <f>IF(ISNUMBER(BB164),BB164,"")</f>
        <v>7.957</v>
      </c>
      <c r="BC191" s="262">
        <f>IF(ISNUMBER(BC164),BC164,"")</f>
        <v>0</v>
      </c>
      <c r="BD191" s="262">
        <f>IF(ISNUMBER(BD164),BD164,"")</f>
        <v>0</v>
      </c>
      <c r="BE191" s="262">
        <f>IF(ISNUMBER(BE164),BE164,"")</f>
        <v>0</v>
      </c>
      <c r="BF191" s="262">
        <f>IF(ISNUMBER(BF164),BF164,"")</f>
        <v>0</v>
      </c>
      <c r="BG191" s="262">
        <f>IF(ISNUMBER(BG164),BG164,"")</f>
        <v>0</v>
      </c>
      <c r="BH191" s="262">
        <f>IF(ISNUMBER(BH164),BH164,"")</f>
        <v>0</v>
      </c>
      <c r="BI191" s="262">
        <f>IF(ISNUMBER(BI164),BI164,"")</f>
        <v>0</v>
      </c>
      <c r="BJ191" s="262">
        <f>IF(ISNUMBER(BJ164),BJ164,"")</f>
        <v>0</v>
      </c>
      <c r="BK191" s="262">
        <f>IF(ISNUMBER(BK164),BK164,"")</f>
        <v>0</v>
      </c>
      <c r="BL191" s="262">
        <f>IF(ISNUMBER(BL164),BL164,"")</f>
        <v>0</v>
      </c>
      <c r="BM191" s="262">
        <f>IF(ISNUMBER(BM164),BM164,"")</f>
        <v>0</v>
      </c>
      <c r="BN191" s="262">
        <f>IF(ISNUMBER(BN164),BN164,"")</f>
        <v>0</v>
      </c>
      <c r="BO191" s="262">
        <f>IF(ISNUMBER(BO164),BO164,"")</f>
        <v>0</v>
      </c>
      <c r="BP191" s="262">
        <f>IF(ISNUMBER(BP164),BP164,"")</f>
        <v>0</v>
      </c>
      <c r="BQ191" s="262">
        <f>IF(ISNUMBER(BQ164),BQ164,"")</f>
        <v>0</v>
      </c>
      <c r="BR191" s="262">
        <f>IF(ISNUMBER(BR164),BR164,"")</f>
        <v>0</v>
      </c>
      <c r="BS191" s="262">
        <f>IF(ISNUMBER(BS164),BS164,"")</f>
        <v>0</v>
      </c>
      <c r="BT191" s="262">
        <f>IF(ISNUMBER(BT164),BT164,"")</f>
        <v>0</v>
      </c>
      <c r="BU191" s="262">
        <f>IF(ISNUMBER(BU164),BU164,"")</f>
        <v>10.922</v>
      </c>
      <c r="BV191" s="262">
        <f>IF(ISNUMBER(BV164),BV164,"")</f>
        <v>10.922</v>
      </c>
      <c r="BW191" s="262">
        <f>IF(ISNUMBER(BW164),BW164,"")</f>
        <v>0</v>
      </c>
      <c r="BX191" s="262">
        <f>IF(ISNUMBER(BX164),BX164,"")</f>
        <v>0</v>
      </c>
      <c r="BY191" s="262">
        <f>IF(ISNUMBER(BY164),BY164,"")</f>
        <v>0</v>
      </c>
      <c r="BZ191" s="254">
        <f>IF(ISNUMBER(BZ164),BZ164,"")</f>
        <v>27</v>
      </c>
      <c r="CA191" s="254">
        <f>IF(ISNUMBER(CA164),CA164,"")</f>
        <v>27</v>
      </c>
      <c r="CB191" s="254">
        <f>IF(ISNUMBER(CB164),CB164,"")</f>
        <v>5</v>
      </c>
      <c r="CC191" s="254">
        <f>IF(ISNUMBER(CC164),CC164,"")</f>
        <v>0</v>
      </c>
      <c r="CD191" s="254">
        <f>IF(ISNUMBER(CD164),CD164,"")</f>
        <v>0</v>
      </c>
      <c r="CE191" s="254">
        <f>IF(ISNUMBER(CE164),CE164,"")</f>
        <v>0</v>
      </c>
      <c r="CF191" s="254">
        <f>IF(ISNUMBER(CF164),CF164,"")</f>
        <v>0</v>
      </c>
      <c r="CG191" s="153" t="n"/>
    </row>
    <row r="192" ht="15" customHeight="1" s="251">
      <c r="CO192" s="11" t="n"/>
      <c r="CP192" s="12" t="n"/>
      <c r="CQ192" s="12" t="n"/>
      <c r="CR192" s="12" t="n"/>
      <c r="CS192" s="13" t="n"/>
    </row>
    <row r="193" ht="15" customHeight="1" s="251">
      <c r="B193" s="10" t="inlineStr">
        <is>
          <t>RECONCILIATION: NET INCOME / DILUTED EPS → NON-GAAP NET INCOME → NON-GAAP EPS (company definition)</t>
        </is>
      </c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  <c r="CD193" s="10" t="n"/>
      <c r="CE193" s="10" t="n"/>
      <c r="CF193" s="10" t="n"/>
      <c r="CG193" s="10" t="inlineStr">
        <is>
          <t>NON-GAAP EPS — net income + pre-tax adjusting items (+ excluded non-operating gains) + tax effect of the items + excess tax benefit + discrete tax items = non-GAAP net income</t>
        </is>
      </c>
    </row>
    <row r="194" ht="15" customHeight="1" s="251">
      <c r="B194" s="16" t="inlineStr">
        <is>
          <t>Net income (GAAP)</t>
        </is>
      </c>
      <c r="C194" s="259">
        <f>C146</f>
        <v>103.486</v>
      </c>
      <c r="D194" s="259">
        <f>D146</f>
        <v>104.65</v>
      </c>
      <c r="E194" s="259">
        <f>E146</f>
        <v>83.952</v>
      </c>
      <c r="F194" s="259">
        <f>F146</f>
        <v>65.1020000000001</v>
      </c>
      <c r="G194" s="259">
        <f>G146</f>
        <v>64.457</v>
      </c>
      <c r="H194" s="259">
        <f>H146</f>
        <v>71.562</v>
      </c>
      <c r="I194" s="259">
        <f>I146</f>
        <v>92.004</v>
      </c>
      <c r="J194" s="259">
        <f>J146</f>
        <v>23.421</v>
      </c>
      <c r="K194" s="259">
        <f>K146</f>
        <v>18.495</v>
      </c>
      <c r="L194" s="259">
        <f>L146</f>
        <v>19.622</v>
      </c>
      <c r="M194" s="259">
        <f>M146</f>
        <v>28.557</v>
      </c>
      <c r="N194" s="259">
        <f>N146</f>
        <v>90.095</v>
      </c>
      <c r="O194" s="259">
        <f>O146</f>
        <v>16.977</v>
      </c>
      <c r="P194" s="259">
        <f>P146</f>
        <v>20.751</v>
      </c>
      <c r="Q194" s="259">
        <f>Q146</f>
        <v>20.548</v>
      </c>
      <c r="R194" s="259">
        <f>R146</f>
        <v>36.603</v>
      </c>
      <c r="S194" s="259">
        <f>S146</f>
        <v>94.8789999999999</v>
      </c>
      <c r="T194" s="259">
        <f>T146</f>
        <v>14.407</v>
      </c>
      <c r="U194" s="259">
        <f>U146</f>
        <v>18.87</v>
      </c>
      <c r="V194" s="259">
        <f>V146</f>
        <v>19.906</v>
      </c>
      <c r="W194" s="259">
        <f>W146</f>
        <v>33.319</v>
      </c>
      <c r="X194" s="259">
        <f>X146</f>
        <v>86.5019999999998</v>
      </c>
      <c r="Y194" s="259">
        <f>Y146</f>
        <v>19.241</v>
      </c>
      <c r="Z194" s="259">
        <f>Z146</f>
        <v>23.116</v>
      </c>
      <c r="AA194" s="259">
        <f>AA146</f>
        <v>34.987</v>
      </c>
      <c r="AB194" s="259">
        <f>AB146</f>
        <v>32.104</v>
      </c>
      <c r="AC194" s="259">
        <f>AC146</f>
        <v>109.448</v>
      </c>
      <c r="AD194" s="259">
        <f>AD146</f>
        <v>37.901</v>
      </c>
      <c r="AE194" s="259">
        <f>AE146</f>
        <v>25.084</v>
      </c>
      <c r="AF194" s="259">
        <f>AF146</f>
        <v>25.227</v>
      </c>
      <c r="AG194" s="259">
        <f>AG146</f>
        <v>40.044</v>
      </c>
      <c r="AH194" s="259">
        <f>AH146</f>
        <v>128.256</v>
      </c>
      <c r="AI194" s="259">
        <f>AI146</f>
        <v>27.299</v>
      </c>
      <c r="AJ194" s="259">
        <f>AJ146</f>
        <v>32.275</v>
      </c>
      <c r="AK194" s="259">
        <f>AK146</f>
        <v>32.361</v>
      </c>
      <c r="AL194" s="259">
        <f>AL146</f>
        <v>50.48</v>
      </c>
      <c r="AM194" s="259">
        <f>AM146</f>
        <v>142.415</v>
      </c>
      <c r="AN194" s="259">
        <f>AN146</f>
        <v>40.007</v>
      </c>
      <c r="AO194" s="259">
        <f>AO146</f>
        <v>33.381</v>
      </c>
      <c r="AP194" s="259">
        <f>AP146</f>
        <v>64.152</v>
      </c>
      <c r="AQ194" s="259">
        <f>AQ146</f>
        <v>54.584</v>
      </c>
      <c r="AR194" s="259">
        <f>AR146</f>
        <v>192.124</v>
      </c>
      <c r="AS194" s="259">
        <f>AS146</f>
        <v>54.9210000000001</v>
      </c>
      <c r="AT194" s="259">
        <f>AT146</f>
        <v>58.288</v>
      </c>
      <c r="AU194" s="259">
        <f>AU146</f>
        <v>64.076</v>
      </c>
      <c r="AV194" s="259">
        <f>AV146</f>
        <v>59.126</v>
      </c>
      <c r="AW194" s="259">
        <f>AW146</f>
        <v>236.411</v>
      </c>
      <c r="AX194" s="259">
        <f>AX146</f>
        <v>86.492</v>
      </c>
      <c r="AY194" s="259">
        <f>AY146</f>
        <v>68.674</v>
      </c>
      <c r="AZ194" s="259">
        <f>AZ146</f>
        <v>151.198</v>
      </c>
      <c r="BA194" s="259">
        <f>BA146</f>
        <v>85.72</v>
      </c>
      <c r="BB194" s="259">
        <f>BB146</f>
        <v>392.084</v>
      </c>
      <c r="BC194" s="259">
        <f>BC146</f>
        <v>84.959</v>
      </c>
      <c r="BD194" s="259">
        <f>BD146</f>
        <v>104.383</v>
      </c>
      <c r="BE194" s="259">
        <f>BE146</f>
        <v>93.5</v>
      </c>
      <c r="BF194" s="259">
        <f>BF146</f>
        <v>90.699</v>
      </c>
      <c r="BG194" s="259">
        <f>BG146</f>
        <v>373.541</v>
      </c>
      <c r="BH194" s="259">
        <f>BH146</f>
        <v>97.643</v>
      </c>
      <c r="BI194" s="259">
        <f>BI146</f>
        <v>101.55</v>
      </c>
      <c r="BJ194" s="259">
        <f>BJ146</f>
        <v>128.758</v>
      </c>
      <c r="BK194" s="259">
        <f>BK146</f>
        <v>101.424</v>
      </c>
      <c r="BL194" s="259">
        <f>BL146</f>
        <v>429.375</v>
      </c>
      <c r="BM194" s="259">
        <f>BM146</f>
        <v>121.065</v>
      </c>
      <c r="BN194" s="259">
        <f>BN146</f>
        <v>129.799</v>
      </c>
      <c r="BO194" s="259">
        <f>BO146</f>
        <v>126.256</v>
      </c>
      <c r="BP194" s="259">
        <f>BP146</f>
        <v>135.691</v>
      </c>
      <c r="BQ194" s="259">
        <f>BQ146</f>
        <v>512.811</v>
      </c>
      <c r="BR194" s="259">
        <f>BR146</f>
        <v>152.528</v>
      </c>
      <c r="BS194" s="259">
        <f>BS146</f>
        <v>162.615</v>
      </c>
      <c r="BT194" s="259">
        <f>BT146</f>
        <v>181.789</v>
      </c>
      <c r="BU194" s="259">
        <f>BU146</f>
        <v>155.014</v>
      </c>
      <c r="BV194" s="259">
        <f>BV146</f>
        <v>651.946</v>
      </c>
      <c r="BW194" s="259">
        <f>BW146</f>
        <v>158.373</v>
      </c>
      <c r="BX194" s="259">
        <f>BX146</f>
        <v>264.458</v>
      </c>
      <c r="BY194" s="259">
        <f>BY146</f>
        <v>237.172</v>
      </c>
      <c r="BZ194" s="260">
        <f>BZ146</f>
        <v>165.278908581081</v>
      </c>
      <c r="CA194" s="260">
        <f>CA146</f>
        <v>825.281908581081</v>
      </c>
      <c r="CB194" s="260">
        <f>CB146</f>
        <v>948.510583928938</v>
      </c>
      <c r="CC194" s="260">
        <f>CC146</f>
        <v>1093.98374737196</v>
      </c>
      <c r="CD194" s="260">
        <f>CD146</f>
        <v>1182.12782589206</v>
      </c>
      <c r="CE194" s="260">
        <f>CE146</f>
        <v>1284.45508425195</v>
      </c>
      <c r="CF194" s="260">
        <f>CF146</f>
        <v>1387.43885688563</v>
      </c>
      <c r="CG194" s="153" t="n"/>
    </row>
    <row r="195" ht="15" customHeight="1" s="251">
      <c r="B195" s="25" t="inlineStr">
        <is>
          <t xml:space="preserve">  (+) Adjusting items (pre-tax; operating-income bridge above)</t>
        </is>
      </c>
      <c r="C195" s="262">
        <f>C166</f>
        <v>61.747</v>
      </c>
      <c r="D195" s="262">
        <f>D166</f>
        <v>37.175</v>
      </c>
      <c r="E195" s="262">
        <f>E166</f>
        <v>37.89</v>
      </c>
      <c r="F195" s="262">
        <f>F166</f>
        <v>31.639</v>
      </c>
      <c r="G195" s="262">
        <f>G166</f>
        <v>29.823</v>
      </c>
      <c r="H195" s="262">
        <f>H166</f>
        <v>35.632</v>
      </c>
      <c r="I195" s="262">
        <f>I166</f>
        <v>33.298</v>
      </c>
      <c r="J195" s="262">
        <f>J166</f>
        <v>12.493</v>
      </c>
      <c r="K195" s="262">
        <f>K166</f>
        <v>10.017</v>
      </c>
      <c r="L195" s="262">
        <f>L166</f>
        <v>10.326</v>
      </c>
      <c r="M195" s="262">
        <f>M166</f>
        <v>10.035</v>
      </c>
      <c r="N195" s="262">
        <f>N166</f>
        <v>42.871</v>
      </c>
      <c r="O195" s="262">
        <f>O166</f>
        <v>13.908</v>
      </c>
      <c r="P195" s="262">
        <f>P166</f>
        <v>11.959</v>
      </c>
      <c r="Q195" s="262">
        <f>Q166</f>
        <v>12.985</v>
      </c>
      <c r="R195" s="262">
        <f>R166</f>
        <v>13.708</v>
      </c>
      <c r="S195" s="262">
        <f>S166</f>
        <v>52.56</v>
      </c>
      <c r="T195" s="262">
        <f>T166</f>
        <v>11.726</v>
      </c>
      <c r="U195" s="262">
        <f>U166</f>
        <v>15.317</v>
      </c>
      <c r="V195" s="262">
        <f>V166</f>
        <v>18.021</v>
      </c>
      <c r="W195" s="262">
        <f>W166</f>
        <v>32.159</v>
      </c>
      <c r="X195" s="262">
        <f>X166</f>
        <v>77.223</v>
      </c>
      <c r="Y195" s="262">
        <f>Y166</f>
        <v>18.28</v>
      </c>
      <c r="Z195" s="262">
        <f>Z166</f>
        <v>17.107</v>
      </c>
      <c r="AA195" s="262">
        <f>AA166</f>
        <v>16.89</v>
      </c>
      <c r="AB195" s="262">
        <f>AB166</f>
        <v>17.214</v>
      </c>
      <c r="AC195" s="262">
        <f>AC166</f>
        <v>69.491</v>
      </c>
      <c r="AD195" s="262">
        <f>AD166</f>
        <v>17.839</v>
      </c>
      <c r="AE195" s="262">
        <f>AE166</f>
        <v>18.024</v>
      </c>
      <c r="AF195" s="262">
        <f>AF166</f>
        <v>22.151</v>
      </c>
      <c r="AG195" s="262">
        <f>AG166</f>
        <v>20.388</v>
      </c>
      <c r="AH195" s="262">
        <f>AH166</f>
        <v>78.402</v>
      </c>
      <c r="AI195" s="262">
        <f>AI166</f>
        <v>18.298</v>
      </c>
      <c r="AJ195" s="262">
        <f>AJ166</f>
        <v>20.923</v>
      </c>
      <c r="AK195" s="262">
        <f>AK166</f>
        <v>20.454</v>
      </c>
      <c r="AL195" s="262">
        <f>AL166</f>
        <v>21.734</v>
      </c>
      <c r="AM195" s="262">
        <f>AM166</f>
        <v>81.408</v>
      </c>
      <c r="AN195" s="262">
        <f>AN166</f>
        <v>23.356</v>
      </c>
      <c r="AO195" s="262">
        <f>AO166</f>
        <v>21.985</v>
      </c>
      <c r="AP195" s="262">
        <f>AP166</f>
        <v>21.043</v>
      </c>
      <c r="AQ195" s="262">
        <f>AQ166</f>
        <v>22.715</v>
      </c>
      <c r="AR195" s="262">
        <f>AR166</f>
        <v>89.099</v>
      </c>
      <c r="AS195" s="262">
        <f>AS166</f>
        <v>28.045</v>
      </c>
      <c r="AT195" s="262">
        <f>AT166</f>
        <v>23.99</v>
      </c>
      <c r="AU195" s="262">
        <f>AU166</f>
        <v>23.312</v>
      </c>
      <c r="AV195" s="262">
        <f>AV166</f>
        <v>68.356</v>
      </c>
      <c r="AW195" s="262">
        <f>AW166</f>
        <v>143.703</v>
      </c>
      <c r="AX195" s="262">
        <f>AX166</f>
        <v>18.735</v>
      </c>
      <c r="AY195" s="262">
        <f>AY166</f>
        <v>29.151</v>
      </c>
      <c r="AZ195" s="262">
        <f>AZ166</f>
        <v>-61.234</v>
      </c>
      <c r="BA195" s="262">
        <f>BA166</f>
        <v>36.878</v>
      </c>
      <c r="BB195" s="262">
        <f>BB166</f>
        <v>23.53</v>
      </c>
      <c r="BC195" s="262">
        <f>BC166</f>
        <v>30.422</v>
      </c>
      <c r="BD195" s="262">
        <f>BD166</f>
        <v>28.479</v>
      </c>
      <c r="BE195" s="262">
        <f>BE166</f>
        <v>29.081</v>
      </c>
      <c r="BF195" s="262">
        <f>BF166</f>
        <v>29.434</v>
      </c>
      <c r="BG195" s="262">
        <f>BG166</f>
        <v>117.416</v>
      </c>
      <c r="BH195" s="262">
        <f>BH166</f>
        <v>28.036</v>
      </c>
      <c r="BI195" s="262">
        <f>BI166</f>
        <v>27.328</v>
      </c>
      <c r="BJ195" s="262">
        <f>BJ166</f>
        <v>33.27</v>
      </c>
      <c r="BK195" s="262">
        <f>BK166</f>
        <v>34.372</v>
      </c>
      <c r="BL195" s="262">
        <f>BL166</f>
        <v>123.006</v>
      </c>
      <c r="BM195" s="262">
        <f>BM166</f>
        <v>31.849</v>
      </c>
      <c r="BN195" s="262">
        <f>BN166</f>
        <v>35.723</v>
      </c>
      <c r="BO195" s="262">
        <f>BO166</f>
        <v>42.71</v>
      </c>
      <c r="BP195" s="262">
        <f>BP166</f>
        <v>40.074</v>
      </c>
      <c r="BQ195" s="262">
        <f>BQ166</f>
        <v>150.356</v>
      </c>
      <c r="BR195" s="262">
        <f>BR166</f>
        <v>40.654</v>
      </c>
      <c r="BS195" s="262">
        <f>BS166</f>
        <v>41.704</v>
      </c>
      <c r="BT195" s="262">
        <f>BT166</f>
        <v>41.93</v>
      </c>
      <c r="BU195" s="262">
        <f>BU166</f>
        <v>43.301</v>
      </c>
      <c r="BV195" s="262">
        <f>BV166</f>
        <v>167.589</v>
      </c>
      <c r="BW195" s="262">
        <f>BW166</f>
        <v>44.269</v>
      </c>
      <c r="BX195" s="262">
        <f>BX166</f>
        <v>45.31</v>
      </c>
      <c r="BY195" s="262">
        <f>BY166</f>
        <v>52.331</v>
      </c>
      <c r="BZ195" s="254">
        <f>BZ166</f>
        <v>73.1</v>
      </c>
      <c r="CA195" s="254">
        <f>CA166</f>
        <v>215.01</v>
      </c>
      <c r="CB195" s="254">
        <f>CB166</f>
        <v>206.514846493013</v>
      </c>
      <c r="CC195" s="254">
        <f>CC166</f>
        <v>222.3511309141</v>
      </c>
      <c r="CD195" s="254">
        <f>CD166</f>
        <v>243.347261086416</v>
      </c>
      <c r="CE195" s="254">
        <f>CE166</f>
        <v>264.758116730395</v>
      </c>
      <c r="CF195" s="254">
        <f>CF166</f>
        <v>286.305123956207</v>
      </c>
      <c r="CG195" s="19" t="n"/>
    </row>
    <row r="196" ht="15" customHeight="1" s="251">
      <c r="B196" s="25" t="inlineStr">
        <is>
          <t xml:space="preserve">  (+) Non-operating items excluded (realized gain on a cost-method investment FY2018–19)</t>
        </is>
      </c>
      <c r="C196" s="34" t="n"/>
      <c r="D196" s="34" t="n"/>
      <c r="E196" s="34" t="n"/>
      <c r="F196" s="34" t="n"/>
      <c r="G196" s="34" t="n"/>
      <c r="H196" s="34" t="n"/>
      <c r="I196" s="34" t="n"/>
      <c r="J196" s="253" t="n">
        <v>0</v>
      </c>
      <c r="K196" s="253" t="n">
        <v>0</v>
      </c>
      <c r="L196" s="253" t="n">
        <v>0</v>
      </c>
      <c r="M196" s="253" t="n">
        <v>0</v>
      </c>
      <c r="N196" s="253" t="n">
        <v>0</v>
      </c>
      <c r="O196" s="253" t="n">
        <v>0</v>
      </c>
      <c r="P196" s="253" t="n">
        <v>0</v>
      </c>
      <c r="Q196" s="253" t="n">
        <v>0</v>
      </c>
      <c r="R196" s="253" t="n">
        <v>0</v>
      </c>
      <c r="S196" s="253" t="n">
        <v>0</v>
      </c>
      <c r="T196" s="253" t="n">
        <v>0</v>
      </c>
      <c r="U196" s="253" t="n">
        <v>0</v>
      </c>
      <c r="V196" s="253" t="n">
        <v>0</v>
      </c>
      <c r="W196" s="253" t="n">
        <v>0</v>
      </c>
      <c r="X196" s="253" t="n">
        <v>0</v>
      </c>
      <c r="Y196" s="253" t="n">
        <v>0</v>
      </c>
      <c r="Z196" s="253" t="n">
        <v>0</v>
      </c>
      <c r="AA196" s="253" t="n">
        <v>0</v>
      </c>
      <c r="AB196" s="253" t="n">
        <v>0</v>
      </c>
      <c r="AC196" s="253" t="n">
        <v>0</v>
      </c>
      <c r="AD196" s="253" t="n">
        <v>0</v>
      </c>
      <c r="AE196" s="253" t="n">
        <v>0</v>
      </c>
      <c r="AF196" s="253" t="n">
        <v>0</v>
      </c>
      <c r="AG196" s="253" t="n">
        <v>0</v>
      </c>
      <c r="AH196" s="253" t="n">
        <v>0</v>
      </c>
      <c r="AI196" s="253" t="n">
        <v>0</v>
      </c>
      <c r="AJ196" s="253" t="n">
        <v>0</v>
      </c>
      <c r="AK196" s="253" t="n">
        <v>0</v>
      </c>
      <c r="AL196" s="253" t="n">
        <v>-10</v>
      </c>
      <c r="AM196" s="253" t="n">
        <v>-10</v>
      </c>
      <c r="AN196" s="253" t="n">
        <v>0</v>
      </c>
      <c r="AO196" s="253" t="n">
        <v>0</v>
      </c>
      <c r="AP196" s="253" t="n">
        <v>0</v>
      </c>
      <c r="AQ196" s="253" t="n">
        <v>0</v>
      </c>
      <c r="AR196" s="253" t="n">
        <v>0</v>
      </c>
      <c r="AS196" s="253" t="n">
        <v>0</v>
      </c>
      <c r="AT196" s="253" t="n">
        <v>0</v>
      </c>
      <c r="AU196" s="253" t="n">
        <v>0</v>
      </c>
      <c r="AV196" s="253" t="n">
        <v>0</v>
      </c>
      <c r="AW196" s="253" t="n">
        <v>0</v>
      </c>
      <c r="AX196" s="253" t="n">
        <v>0</v>
      </c>
      <c r="AY196" s="253" t="n">
        <v>0</v>
      </c>
      <c r="AZ196" s="253" t="n">
        <v>0</v>
      </c>
      <c r="BA196" s="253" t="n">
        <v>0</v>
      </c>
      <c r="BB196" s="253" t="n">
        <v>0</v>
      </c>
      <c r="BC196" s="253" t="n">
        <v>0</v>
      </c>
      <c r="BD196" s="253" t="n">
        <v>0</v>
      </c>
      <c r="BE196" s="253" t="n">
        <v>0</v>
      </c>
      <c r="BF196" s="253" t="n">
        <v>0</v>
      </c>
      <c r="BG196" s="253" t="n">
        <v>0</v>
      </c>
      <c r="BH196" s="253" t="n">
        <v>0</v>
      </c>
      <c r="BI196" s="253" t="n">
        <v>0</v>
      </c>
      <c r="BJ196" s="253" t="n">
        <v>0</v>
      </c>
      <c r="BK196" s="253" t="n">
        <v>0</v>
      </c>
      <c r="BL196" s="253" t="n">
        <v>0</v>
      </c>
      <c r="BM196" s="253" t="n">
        <v>0</v>
      </c>
      <c r="BN196" s="253" t="n">
        <v>0</v>
      </c>
      <c r="BO196" s="253" t="n">
        <v>0</v>
      </c>
      <c r="BP196" s="253" t="n">
        <v>0</v>
      </c>
      <c r="BQ196" s="253" t="n">
        <v>0</v>
      </c>
      <c r="BR196" s="253" t="n">
        <v>0</v>
      </c>
      <c r="BS196" s="253" t="n">
        <v>0</v>
      </c>
      <c r="BT196" s="253" t="n">
        <v>0</v>
      </c>
      <c r="BU196" s="253" t="n">
        <v>0</v>
      </c>
      <c r="BV196" s="253" t="n">
        <v>0</v>
      </c>
      <c r="BW196" s="253" t="n">
        <v>0</v>
      </c>
      <c r="BX196" s="253" t="n">
        <v>0</v>
      </c>
      <c r="BY196" s="253" t="n">
        <v>0</v>
      </c>
      <c r="BZ196" s="254">
        <f>0</f>
        <v>0</v>
      </c>
      <c r="CA196" s="254">
        <f>SUM(BW196:BZ196)</f>
        <v>0</v>
      </c>
      <c r="CB196" s="254">
        <f>0</f>
        <v>0</v>
      </c>
      <c r="CC196" s="254">
        <f>0</f>
        <v>0</v>
      </c>
      <c r="CD196" s="254">
        <f>0</f>
        <v>0</v>
      </c>
      <c r="CE196" s="254">
        <f>0</f>
        <v>0</v>
      </c>
      <c r="CF196" s="254">
        <f>0</f>
        <v>0</v>
      </c>
      <c r="CG196" s="19" t="n"/>
    </row>
    <row r="197" ht="15" customHeight="1" s="251">
      <c r="B197" s="25" t="inlineStr">
        <is>
          <t xml:space="preserve">  (+) Income tax adjustments (tax effect of the items)</t>
        </is>
      </c>
      <c r="C197" s="262">
        <f>IF(ISNUMBER(C202),C202-C194-C195-N(C196)-N(C199)-N(C200),IF(ISNUMBER(C194),0,""))</f>
        <v>0</v>
      </c>
      <c r="D197" s="262">
        <f>IF(ISNUMBER(D202),D202-D194-D195-N(D196)-N(D199)-N(D200),IF(ISNUMBER(D194),0,""))</f>
        <v>0</v>
      </c>
      <c r="E197" s="262">
        <f>IF(ISNUMBER(E202),E202-E194-E195-N(E196)-N(E199)-N(E200),IF(ISNUMBER(E194),0,""))</f>
        <v>0</v>
      </c>
      <c r="F197" s="262">
        <f>IF(ISNUMBER(F202),F202-F194-F195-N(F196)-N(F199)-N(F200),IF(ISNUMBER(F194),0,""))</f>
        <v>0</v>
      </c>
      <c r="G197" s="262">
        <f>IF(ISNUMBER(G202),G202-G194-G195-N(G196)-N(G199)-N(G200),IF(ISNUMBER(G194),0,""))</f>
        <v>0</v>
      </c>
      <c r="H197" s="262">
        <f>IF(ISNUMBER(H202),H202-H194-H195-N(H196)-N(H199)-N(H200),IF(ISNUMBER(H194),0,""))</f>
        <v>0</v>
      </c>
      <c r="I197" s="262">
        <f>IF(ISNUMBER(I202),I202-I194-I195-N(I196)-N(I199)-N(I200),IF(ISNUMBER(I194),0,""))</f>
        <v>0</v>
      </c>
      <c r="J197" s="262">
        <f>IF(ISNUMBER(J202),J202-J194-J195-N(J196)-N(J199)-N(J200),IF(ISNUMBER(J194),0,""))</f>
        <v>-4.10200000000001</v>
      </c>
      <c r="K197" s="262">
        <f>IF(ISNUMBER(K202),K202-K194-K195-N(K196)-N(K199)-N(K200),IF(ISNUMBER(K194),0,""))</f>
        <v>-3.16099999999999</v>
      </c>
      <c r="L197" s="262">
        <f>IF(ISNUMBER(L202),L202-L194-L195-N(L196)-N(L199)-N(L200),IF(ISNUMBER(L194),0,""))</f>
        <v>-3.16099999999999</v>
      </c>
      <c r="M197" s="262">
        <f>IF(ISNUMBER(M202),M202-M194-M195-N(M196)-N(M199)-N(M200),IF(ISNUMBER(M194),0,""))</f>
        <v>-3.275</v>
      </c>
      <c r="N197" s="262">
        <f>IF(ISNUMBER(N202),N202-N194-N195-N(N196)-N(N199)-N(N200),IF(ISNUMBER(N194),0,""))</f>
        <v>-13.699</v>
      </c>
      <c r="O197" s="262">
        <f>IF(ISNUMBER(O202),O202-O194-O195-N(O196)-N(O199)-N(O200),IF(ISNUMBER(O194),0,""))</f>
        <v>-4.69599999999998</v>
      </c>
      <c r="P197" s="262">
        <f>IF(ISNUMBER(P202),P202-P194-P195-N(P196)-N(P199)-N(P200),IF(ISNUMBER(P194),0,""))</f>
        <v>-4.021</v>
      </c>
      <c r="Q197" s="262">
        <f>IF(ISNUMBER(Q202),Q202-Q194-Q195-N(Q196)-N(Q199)-N(Q200),IF(ISNUMBER(Q194),0,""))</f>
        <v>-4.28700000000001</v>
      </c>
      <c r="R197" s="262">
        <f>IF(ISNUMBER(R202),R202-R194-R195-N(R196)-N(R199)-N(R200),IF(ISNUMBER(R194),0,""))</f>
        <v>-4.20400000000001</v>
      </c>
      <c r="S197" s="262">
        <f>IF(ISNUMBER(S202),S202-S194-S195-N(S196)-N(S199)-N(S200),IF(ISNUMBER(S194),0,""))</f>
        <v>-17.2079999999999</v>
      </c>
      <c r="T197" s="262">
        <f>IF(ISNUMBER(T202),T202-T194-T195-N(T196)-N(T199)-N(T200),IF(ISNUMBER(T194),0,""))</f>
        <v>-3.52700000000001</v>
      </c>
      <c r="U197" s="262">
        <f>IF(ISNUMBER(U202),U202-U194-U195-N(U196)-N(U199)-N(U200),IF(ISNUMBER(U194),0,""))</f>
        <v>-4.51899999999999</v>
      </c>
      <c r="V197" s="262">
        <f>IF(ISNUMBER(V202),V202-V194-V195-N(V196)-N(V199)-N(V200),IF(ISNUMBER(V194),0,""))</f>
        <v>-5.66000000000001</v>
      </c>
      <c r="W197" s="262">
        <f>IF(ISNUMBER(W202),W202-W194-W195-N(W196)-N(W199)-N(W200),IF(ISNUMBER(W194),0,""))</f>
        <v>-9.12200000000002</v>
      </c>
      <c r="X197" s="262">
        <f>IF(ISNUMBER(X202),X202-X194-X195-N(X196)-N(X199)-N(X200),IF(ISNUMBER(X194),0,""))</f>
        <v>-22.8279999999998</v>
      </c>
      <c r="Y197" s="262">
        <f>IF(ISNUMBER(Y202),Y202-Y194-Y195-N(Y196)-N(Y199)-N(Y200),IF(ISNUMBER(Y194),0,""))</f>
        <v>-5.41399999999999</v>
      </c>
      <c r="Z197" s="262">
        <f>IF(ISNUMBER(Z202),Z202-Z194-Z195-N(Z196)-N(Z199)-N(Z200),IF(ISNUMBER(Z194),0,""))</f>
        <v>-5.09399999999999</v>
      </c>
      <c r="AA197" s="262">
        <f>IF(ISNUMBER(AA202),AA202-AA194-AA195-N(AA196)-N(AA199)-N(AA200),IF(ISNUMBER(AA194),0,""))</f>
        <v>-5.05100000000001</v>
      </c>
      <c r="AB197" s="262">
        <f>IF(ISNUMBER(AB202),AB202-AB194-AB195-N(AB196)-N(AB199)-N(AB200),IF(ISNUMBER(AB194),0,""))</f>
        <v>-4.67600000000001</v>
      </c>
      <c r="AC197" s="262">
        <f>IF(ISNUMBER(AC202),AC202-AC194-AC195-N(AC196)-N(AC199)-N(AC200),IF(ISNUMBER(AC194),0,""))</f>
        <v>-20.235</v>
      </c>
      <c r="AD197" s="262">
        <f>IF(ISNUMBER(AD202),AD202-AD194-AD195-N(AD196)-N(AD199)-N(AD200),IF(ISNUMBER(AD194),0,""))</f>
        <v>-4.98700000000001</v>
      </c>
      <c r="AE197" s="262">
        <f>IF(ISNUMBER(AE202),AE202-AE194-AE195-N(AE196)-N(AE199)-N(AE200),IF(ISNUMBER(AE194),0,""))</f>
        <v>-5.54199999999998</v>
      </c>
      <c r="AF197" s="262">
        <f>IF(ISNUMBER(AF202),AF202-AF194-AF195-N(AF196)-N(AF199)-N(AF200),IF(ISNUMBER(AF194),0,""))</f>
        <v>-7.27199999999999</v>
      </c>
      <c r="AG197" s="262">
        <f>IF(ISNUMBER(AG202),AG202-AG194-AG195-N(AG196)-N(AG199)-N(AG200),IF(ISNUMBER(AG194),0,""))</f>
        <v>-6.51500000000001</v>
      </c>
      <c r="AH197" s="262">
        <f>IF(ISNUMBER(AH202),AH202-AH194-AH195-N(AH196)-N(AH199)-N(AH200),IF(ISNUMBER(AH194),0,""))</f>
        <v>-24.316</v>
      </c>
      <c r="AI197" s="262">
        <f>IF(ISNUMBER(AI202),AI202-AI194-AI195-N(AI196)-N(AI199)-N(AI200),IF(ISNUMBER(AI194),0,""))</f>
        <v>-4.69599999999999</v>
      </c>
      <c r="AJ197" s="262">
        <f>IF(ISNUMBER(AJ202),AJ202-AJ194-AJ195-N(AJ196)-N(AJ199)-N(AJ200),IF(ISNUMBER(AJ194),0,""))</f>
        <v>-5.17799999999999</v>
      </c>
      <c r="AK197" s="262">
        <f>IF(ISNUMBER(AK202),AK202-AK194-AK195-N(AK196)-N(AK199)-N(AK200),IF(ISNUMBER(AK194),0,""))</f>
        <v>-5.485</v>
      </c>
      <c r="AL197" s="262">
        <f>IF(ISNUMBER(AL202),AL202-AL194-AL195-N(AL196)-N(AL199)-N(AL200),IF(ISNUMBER(AL194),0,""))</f>
        <v>-3.50300000000003</v>
      </c>
      <c r="AM197" s="262">
        <f>IF(ISNUMBER(AM202),AM202-AM194-AM195-N(AM196)-N(AM199)-N(AM200),IF(ISNUMBER(AM194),0,""))</f>
        <v>-18.8609999999997</v>
      </c>
      <c r="AN197" s="262">
        <f>IF(ISNUMBER(AN202),AN202-AN194-AN195-N(AN196)-N(AN199)-N(AN200),IF(ISNUMBER(AN194),0,""))</f>
        <v>-6.21899999999995</v>
      </c>
      <c r="AO197" s="262">
        <f>IF(ISNUMBER(AO202),AO202-AO194-AO195-N(AO196)-N(AO199)-N(AO200),IF(ISNUMBER(AO194),0,""))</f>
        <v>-5.594</v>
      </c>
      <c r="AP197" s="262">
        <f>IF(ISNUMBER(AP202),AP202-AP194-AP195-N(AP196)-N(AP199)-N(AP200),IF(ISNUMBER(AP194),0,""))</f>
        <v>-5.29</v>
      </c>
      <c r="AQ197" s="262">
        <f>IF(ISNUMBER(AQ202),AQ202-AQ194-AQ195-N(AQ196)-N(AQ199)-N(AQ200),IF(ISNUMBER(AQ194),0,""))</f>
        <v>-5.83599999999999</v>
      </c>
      <c r="AR197" s="262">
        <f>IF(ISNUMBER(AR202),AR202-AR194-AR195-N(AR196)-N(AR199)-N(AR200),IF(ISNUMBER(AR194),0,""))</f>
        <v>-22.939</v>
      </c>
      <c r="AS197" s="262">
        <f>IF(ISNUMBER(AS202),AS202-AS194-AS195-N(AS196)-N(AS199)-N(AS200),IF(ISNUMBER(AS194),0,""))</f>
        <v>-6.76200000000005</v>
      </c>
      <c r="AT197" s="262">
        <f>IF(ISNUMBER(AT202),AT202-AT194-AT195-N(AT196)-N(AT199)-N(AT200),IF(ISNUMBER(AT194),0,""))</f>
        <v>-6.04499999999998</v>
      </c>
      <c r="AU197" s="262">
        <f>IF(ISNUMBER(AU202),AU202-AU194-AU195-N(AU196)-N(AU199)-N(AU200),IF(ISNUMBER(AU194),0,""))</f>
        <v>-5.73799999999997</v>
      </c>
      <c r="AV197" s="262">
        <f>IF(ISNUMBER(AV202),AV202-AV194-AV195-N(AV196)-N(AV199)-N(AV200),IF(ISNUMBER(AV194),0,""))</f>
        <v>-19.326</v>
      </c>
      <c r="AW197" s="262">
        <f>IF(ISNUMBER(AW202),AW202-AW194-AW195-N(AW196)-N(AW199)-N(AW200),IF(ISNUMBER(AW194),0,""))</f>
        <v>-37.8709999999998</v>
      </c>
      <c r="AX197" s="262">
        <f>IF(ISNUMBER(AX202),AX202-AX194-AX195-N(AX196)-N(AX199)-N(AX200),IF(ISNUMBER(AX194),0,""))</f>
        <v>-4.48599999999994</v>
      </c>
      <c r="AY197" s="262">
        <f>IF(ISNUMBER(AY202),AY202-AY194-AY195-N(AY196)-N(AY199)-N(AY200),IF(ISNUMBER(AY194),0,""))</f>
        <v>-7.27100000000001</v>
      </c>
      <c r="AZ197" s="262">
        <f>IF(ISNUMBER(AZ202),AZ202-AZ194-AZ195-N(AZ196)-N(AZ199)-N(AZ200),IF(ISNUMBER(AZ194),0,""))</f>
        <v>11.391</v>
      </c>
      <c r="BA197" s="262">
        <f>IF(ISNUMBER(BA202),BA202-BA194-BA195-N(BA196)-N(BA199)-N(BA200),IF(ISNUMBER(BA194),0,""))</f>
        <v>-8.72400000000003</v>
      </c>
      <c r="BB197" s="262">
        <f>IF(ISNUMBER(BB202),BB202-BB194-BB195-N(BB196)-N(BB199)-N(BB200),IF(ISNUMBER(BB194),0,""))</f>
        <v>-9.09000000000009</v>
      </c>
      <c r="BC197" s="262">
        <f>IF(ISNUMBER(BC202),BC202-BC194-BC195-N(BC196)-N(BC199)-N(BC200),IF(ISNUMBER(BC194),0,""))</f>
        <v>-7.49299999999999</v>
      </c>
      <c r="BD197" s="262">
        <f>IF(ISNUMBER(BD202),BD202-BD194-BD195-N(BD196)-N(BD199)-N(BD200),IF(ISNUMBER(BD194),0,""))</f>
        <v>-6.67700000000001</v>
      </c>
      <c r="BE197" s="262">
        <f>IF(ISNUMBER(BE202),BE202-BE194-BE195-N(BE196)-N(BE199)-N(BE200),IF(ISNUMBER(BE194),0,""))</f>
        <v>-6.84199999999997</v>
      </c>
      <c r="BF197" s="262">
        <f>IF(ISNUMBER(BF202),BF202-BF194-BF195-N(BF196)-N(BF199)-N(BF200),IF(ISNUMBER(BF194),0,""))</f>
        <v>-7.044</v>
      </c>
      <c r="BG197" s="262">
        <f>IF(ISNUMBER(BG202),BG202-BG194-BG195-N(BG196)-N(BG199)-N(BG200),IF(ISNUMBER(BG194),0,""))</f>
        <v>-28.0559999999999</v>
      </c>
      <c r="BH197" s="262">
        <f>IF(ISNUMBER(BH202),BH202-BH194-BH195-N(BH196)-N(BH199)-N(BH200),IF(ISNUMBER(BH194),0,""))</f>
        <v>-6.91399999999998</v>
      </c>
      <c r="BI197" s="262">
        <f>IF(ISNUMBER(BI202),BI202-BI194-BI195-N(BI196)-N(BI199)-N(BI200),IF(ISNUMBER(BI194),0,""))</f>
        <v>-6.818</v>
      </c>
      <c r="BJ197" s="262">
        <f>IF(ISNUMBER(BJ202),BJ202-BJ194-BJ195-N(BJ196)-N(BJ199)-N(BJ200),IF(ISNUMBER(BJ194),0,""))</f>
        <v>-8.31399999999999</v>
      </c>
      <c r="BK197" s="262">
        <f>IF(ISNUMBER(BK202),BK202-BK194-BK195-N(BK196)-N(BK199)-N(BK200),IF(ISNUMBER(BK194),0,""))</f>
        <v>-8.75999999999998</v>
      </c>
      <c r="BL197" s="262">
        <f>IF(ISNUMBER(BL202),BL202-BL194-BL195-N(BL196)-N(BL199)-N(BL200),IF(ISNUMBER(BL194),0,""))</f>
        <v>-30.8059999999998</v>
      </c>
      <c r="BM197" s="262">
        <f>IF(ISNUMBER(BM202),BM202-BM194-BM195-N(BM196)-N(BM199)-N(BM200),IF(ISNUMBER(BM194),0,""))</f>
        <v>-7.915</v>
      </c>
      <c r="BN197" s="262">
        <f>IF(ISNUMBER(BN202),BN202-BN194-BN195-N(BN196)-N(BN199)-N(BN200),IF(ISNUMBER(BN194),0,""))</f>
        <v>-9.09600000000004</v>
      </c>
      <c r="BO197" s="262">
        <f>IF(ISNUMBER(BO202),BO202-BO194-BO195-N(BO196)-N(BO199)-N(BO200),IF(ISNUMBER(BO194),0,""))</f>
        <v>-10.9390000000001</v>
      </c>
      <c r="BP197" s="262">
        <f>IF(ISNUMBER(BP202),BP202-BP194-BP195-N(BP196)-N(BP199)-N(BP200),IF(ISNUMBER(BP194),0,""))</f>
        <v>-10.134</v>
      </c>
      <c r="BQ197" s="262">
        <f>IF(ISNUMBER(BQ202),BQ202-BQ194-BQ195-N(BQ196)-N(BQ199)-N(BQ200),IF(ISNUMBER(BQ194),0,""))</f>
        <v>-38.083</v>
      </c>
      <c r="BR197" s="262">
        <f>IF(ISNUMBER(BR202),BR202-BR194-BR195-N(BR196)-N(BR199)-N(BR200),IF(ISNUMBER(BR194),0,""))</f>
        <v>-9.86300000000009</v>
      </c>
      <c r="BS197" s="262">
        <f>IF(ISNUMBER(BS202),BS202-BS194-BS195-N(BS196)-N(BS199)-N(BS200),IF(ISNUMBER(BS194),0,""))</f>
        <v>-10.366</v>
      </c>
      <c r="BT197" s="262">
        <f>IF(ISNUMBER(BT202),BT202-BT194-BT195-N(BT196)-N(BT199)-N(BT200),IF(ISNUMBER(BT194),0,""))</f>
        <v>-10.3319999999999</v>
      </c>
      <c r="BU197" s="262">
        <f>IF(ISNUMBER(BU202),BU202-BU194-BU195-N(BU196)-N(BU199)-N(BU200),IF(ISNUMBER(BU194),0,""))</f>
        <v>-10.833</v>
      </c>
      <c r="BV197" s="262">
        <f>IF(ISNUMBER(BV202),BV202-BV194-BV195-N(BV196)-N(BV199)-N(BV200),IF(ISNUMBER(BV194),0,""))</f>
        <v>-41.3930000000001</v>
      </c>
      <c r="BW197" s="262">
        <f>IF(ISNUMBER(BW202),BW202-BW194-BW195-N(BW196)-N(BW199)-N(BW200),IF(ISNUMBER(BW194),0,""))</f>
        <v>-11.375</v>
      </c>
      <c r="BX197" s="262">
        <f>IF(ISNUMBER(BX202),BX202-BX194-BX195-N(BX196)-N(BX199)-N(BX200),IF(ISNUMBER(BX194),0,""))</f>
        <v>-11.7120000000001</v>
      </c>
      <c r="BY197" s="262">
        <f>IF(ISNUMBER(BY202),BY202-BY194-BY195-N(BY196)-N(BY199)-N(BY200),IF(ISNUMBER(BY194),0,""))</f>
        <v>-13.4340000000001</v>
      </c>
      <c r="BZ197" s="254">
        <f>-(BZ195+BZ196)*BZ198</f>
        <v>-17.9095</v>
      </c>
      <c r="CA197" s="254">
        <f>SUM(BW197:BZ197)</f>
        <v>-54.4305000000002</v>
      </c>
      <c r="CB197" s="254">
        <f>-(CB195+CB196)*CB198</f>
        <v>-50.5961373907881</v>
      </c>
      <c r="CC197" s="254">
        <f>-(CC195+CC196)*CC198</f>
        <v>-54.4760270739546</v>
      </c>
      <c r="CD197" s="254">
        <f>-(CD195+CD196)*CD198</f>
        <v>-59.6200789661719</v>
      </c>
      <c r="CE197" s="254">
        <f>-(CE195+CE196)*CE198</f>
        <v>-64.8657385989467</v>
      </c>
      <c r="CF197" s="254">
        <f>-(CF195+CF196)*CF198</f>
        <v>-70.1447553692707</v>
      </c>
      <c r="CG197" s="19" t="inlineStr">
        <is>
          <t>Historical: published non-GAAP net income − net income − pre-tax items − excess tax benefit − discrete items (FY2013–Q2/16 the company showed items net of tax; FY2006–12 nothing published: adjusted = GAAP). Forecast: −items × tax rate on items.</t>
        </is>
      </c>
    </row>
    <row r="198" ht="15" customHeight="1" s="251">
      <c r="B198" s="25" t="inlineStr">
        <is>
          <t xml:space="preserve">  Tax rate on adjusting items</t>
        </is>
      </c>
      <c r="C198" s="215">
        <f>IFERROR(-C197/(C195+N(C196)),"")</f>
        <v>0</v>
      </c>
      <c r="D198" s="215">
        <f>IFERROR(-D197/(D195+N(D196)),"")</f>
        <v>0</v>
      </c>
      <c r="E198" s="215">
        <f>IFERROR(-E197/(E195+N(E196)),"")</f>
        <v>0</v>
      </c>
      <c r="F198" s="215">
        <f>IFERROR(-F197/(F195+N(F196)),"")</f>
        <v>0</v>
      </c>
      <c r="G198" s="215">
        <f>IFERROR(-G197/(G195+N(G196)),"")</f>
        <v>0</v>
      </c>
      <c r="H198" s="215">
        <f>IFERROR(-H197/(H195+N(H196)),"")</f>
        <v>0</v>
      </c>
      <c r="I198" s="215">
        <f>IFERROR(-I197/(I195+N(I196)),"")</f>
        <v>0</v>
      </c>
      <c r="J198" s="215">
        <f>IFERROR(-J197/(J195+N(J196)),"")</f>
        <v>0.328343872568639</v>
      </c>
      <c r="K198" s="215">
        <f>IFERROR(-K197/(K195+N(K196)),"")</f>
        <v>0.315563541978635</v>
      </c>
      <c r="L198" s="215">
        <f>IFERROR(-L197/(L195+N(L196)),"")</f>
        <v>0.306120472593452</v>
      </c>
      <c r="M198" s="215">
        <f>IFERROR(-M197/(M195+N(M196)),"")</f>
        <v>0.326357747882412</v>
      </c>
      <c r="N198" s="215">
        <f>IFERROR(-N197/(N195+N(N196)),"")</f>
        <v>0.319540015395023</v>
      </c>
      <c r="O198" s="215">
        <f>IFERROR(-O197/(O195+N(O196)),"")</f>
        <v>0.337647397181477</v>
      </c>
      <c r="P198" s="215">
        <f>IFERROR(-P197/(P195+N(P196)),"")</f>
        <v>0.336232126431976</v>
      </c>
      <c r="Q198" s="215">
        <f>IFERROR(-Q197/(Q195+N(Q196)),"")</f>
        <v>0.330150173276858</v>
      </c>
      <c r="R198" s="215">
        <f>IFERROR(-R197/(R195+N(R196)),"")</f>
        <v>0.306682229355122</v>
      </c>
      <c r="S198" s="215">
        <f>IFERROR(-S197/(S195+N(S196)),"")</f>
        <v>0.327397260273971</v>
      </c>
      <c r="T198" s="215">
        <f>IFERROR(-T197/(T195+N(T196)),"")</f>
        <v>0.300784581272387</v>
      </c>
      <c r="U198" s="215">
        <f>IFERROR(-U197/(U195+N(U196)),"")</f>
        <v>0.295031664164</v>
      </c>
      <c r="V198" s="215">
        <f>IFERROR(-V197/(V195+N(V196)),"")</f>
        <v>0.314078020087676</v>
      </c>
      <c r="W198" s="215">
        <f>IFERROR(-W197/(W195+N(W196)),"")</f>
        <v>0.283653098666004</v>
      </c>
      <c r="X198" s="215">
        <f>IFERROR(-X197/(X195+N(X196)),"")</f>
        <v>0.295611411108088</v>
      </c>
      <c r="Y198" s="215">
        <f>IFERROR(-Y197/(Y195+N(Y196)),"")</f>
        <v>0.29617067833698</v>
      </c>
      <c r="Z198" s="215">
        <f>IFERROR(-Z197/(Z195+N(Z196)),"")</f>
        <v>0.29777284152686</v>
      </c>
      <c r="AA198" s="215">
        <f>IFERROR(-AA197/(AA195+N(AA196)),"")</f>
        <v>0.299052693901718</v>
      </c>
      <c r="AB198" s="215">
        <f>IFERROR(-AB197/(AB195+N(AB196)),"")</f>
        <v>0.271639363308935</v>
      </c>
      <c r="AC198" s="215">
        <f>IFERROR(-AC197/(AC195+N(AC196)),"")</f>
        <v>0.29118878703717</v>
      </c>
      <c r="AD198" s="215">
        <f>IFERROR(-AD197/(AD195+N(AD196)),"")</f>
        <v>0.279556028925389</v>
      </c>
      <c r="AE198" s="215">
        <f>IFERROR(-AE197/(AE195+N(AE196)),"")</f>
        <v>0.307478916999555</v>
      </c>
      <c r="AF198" s="215">
        <f>IFERROR(-AF197/(AF195+N(AF196)),"")</f>
        <v>0.328292176425443</v>
      </c>
      <c r="AG198" s="215">
        <f>IFERROR(-AG197/(AG195+N(AG196)),"")</f>
        <v>0.319550716107515</v>
      </c>
      <c r="AH198" s="215">
        <f>IFERROR(-AH197/(AH195+N(AH196)),"")</f>
        <v>0.310145149358435</v>
      </c>
      <c r="AI198" s="215">
        <f>IFERROR(-AI197/(AI195+N(AI196)),"")</f>
        <v>0.256640069953</v>
      </c>
      <c r="AJ198" s="215">
        <f>IFERROR(-AJ197/(AJ195+N(AJ196)),"")</f>
        <v>0.247478851025187</v>
      </c>
      <c r="AK198" s="215">
        <f>IFERROR(-AK197/(AK195+N(AK196)),"")</f>
        <v>0.268162706561064</v>
      </c>
      <c r="AL198" s="215">
        <f>IFERROR(-AL197/(AL195+N(AL196)),"")</f>
        <v>0.298534174194651</v>
      </c>
      <c r="AM198" s="215">
        <f>IFERROR(-AM197/(AM195+N(AM196)),"")</f>
        <v>0.264130069460001</v>
      </c>
      <c r="AN198" s="215">
        <f>IFERROR(-AN197/(AN195+N(AN196)),"")</f>
        <v>0.266269909231031</v>
      </c>
      <c r="AO198" s="215">
        <f>IFERROR(-AO197/(AO195+N(AO196)),"")</f>
        <v>0.254446213327269</v>
      </c>
      <c r="AP198" s="215">
        <f>IFERROR(-AP197/(AP195+N(AP196)),"")</f>
        <v>0.251390010930001</v>
      </c>
      <c r="AQ198" s="215">
        <f>IFERROR(-AQ197/(AQ195+N(AQ196)),"")</f>
        <v>0.25692273827867</v>
      </c>
      <c r="AR198" s="215">
        <f>IFERROR(-AR197/(AR195+N(AR196)),"")</f>
        <v>0.257455190293942</v>
      </c>
      <c r="AS198" s="215">
        <f>IFERROR(-AS197/(AS195+N(AS196)),"")</f>
        <v>0.24111249777144</v>
      </c>
      <c r="AT198" s="215">
        <f>IFERROR(-AT197/(AT195+N(AT196)),"")</f>
        <v>0.251979991663192</v>
      </c>
      <c r="AU198" s="215">
        <f>IFERROR(-AU197/(AU195+N(AU196)),"")</f>
        <v>0.246139327385037</v>
      </c>
      <c r="AV198" s="215">
        <f>IFERROR(-AV197/(AV195+N(AV196)),"")</f>
        <v>0.282725730001755</v>
      </c>
      <c r="AW198" s="215">
        <f>IFERROR(-AW197/(AW195+N(AW196)),"")</f>
        <v>0.263536599792627</v>
      </c>
      <c r="AX198" s="215">
        <f>IFERROR(-AX197/(AX195+N(AX196)),"")</f>
        <v>0.239444889244726</v>
      </c>
      <c r="AY198" s="215">
        <f>IFERROR(-AY197/(AY195+N(AY196)),"")</f>
        <v>0.249425405646462</v>
      </c>
      <c r="AZ198" s="215">
        <f>IFERROR(-AZ197/(AZ195+N(AZ196)),"")</f>
        <v>0.186024104255805</v>
      </c>
      <c r="BA198" s="215">
        <f>IFERROR(-BA197/(BA195+N(BA196)),"")</f>
        <v>0.236563804978579</v>
      </c>
      <c r="BB198" s="215">
        <f>IFERROR(-BB197/(BB195+N(BB196)),"")</f>
        <v>0.386315342116451</v>
      </c>
      <c r="BC198" s="215">
        <f>IFERROR(-BC197/(BC195+N(BC196)),"")</f>
        <v>0.246302018276247</v>
      </c>
      <c r="BD198" s="215">
        <f>IFERROR(-BD197/(BD195+N(BD196)),"")</f>
        <v>0.234453456933179</v>
      </c>
      <c r="BE198" s="215">
        <f>IFERROR(-BE197/(BE195+N(BE196)),"")</f>
        <v>0.235273890168838</v>
      </c>
      <c r="BF198" s="215">
        <f>IFERROR(-BF197/(BF195+N(BF196)),"")</f>
        <v>0.239315077801182</v>
      </c>
      <c r="BG198" s="215">
        <f>IFERROR(-BG197/(BG195+N(BG196)),"")</f>
        <v>0.238945288546705</v>
      </c>
      <c r="BH198" s="215">
        <f>IFERROR(-BH197/(BH195+N(BH196)),"")</f>
        <v>0.246611499500641</v>
      </c>
      <c r="BI198" s="215">
        <f>IFERROR(-BI197/(BI195+N(BI196)),"")</f>
        <v>0.249487704918033</v>
      </c>
      <c r="BJ198" s="215">
        <f>IFERROR(-BJ197/(BJ195+N(BJ196)),"")</f>
        <v>0.249894800120228</v>
      </c>
      <c r="BK198" s="215">
        <f>IFERROR(-BK197/(BK195+N(BK196)),"")</f>
        <v>0.254858605841964</v>
      </c>
      <c r="BL198" s="215">
        <f>IFERROR(-BL197/(BL195+N(BL196)),"")</f>
        <v>0.250443067817828</v>
      </c>
      <c r="BM198" s="215">
        <f>IFERROR(-BM197/(BM195+N(BM196)),"")</f>
        <v>0.248516436936795</v>
      </c>
      <c r="BN198" s="215">
        <f>IFERROR(-BN197/(BN195+N(BN196)),"")</f>
        <v>0.254625871287407</v>
      </c>
      <c r="BO198" s="215">
        <f>IFERROR(-BO197/(BO195+N(BO196)),"")</f>
        <v>0.256122687895108</v>
      </c>
      <c r="BP198" s="215">
        <f>IFERROR(-BP197/(BP195+N(BP196)),"")</f>
        <v>0.25288216798922</v>
      </c>
      <c r="BQ198" s="215">
        <f>IFERROR(-BQ197/(BQ195+N(BQ196)),"")</f>
        <v>0.253285535662029</v>
      </c>
      <c r="BR198" s="215">
        <f>IFERROR(-BR197/(BR195+N(BR196)),"")</f>
        <v>0.24260835342156</v>
      </c>
      <c r="BS198" s="215">
        <f>IFERROR(-BS197/(BS195+N(BS196)),"")</f>
        <v>0.248561289084981</v>
      </c>
      <c r="BT198" s="215">
        <f>IFERROR(-BT197/(BT195+N(BT196)),"")</f>
        <v>0.246410684474122</v>
      </c>
      <c r="BU198" s="215">
        <f>IFERROR(-BU197/(BU195+N(BU196)),"")</f>
        <v>0.250178979700237</v>
      </c>
      <c r="BV198" s="215">
        <f>IFERROR(-BV197/(BV195+N(BV196)),"")</f>
        <v>0.24699115097053</v>
      </c>
      <c r="BW198" s="215">
        <f>IFERROR(-BW197/(BW195+N(BW196)),"")</f>
        <v>0.256951817298787</v>
      </c>
      <c r="BX198" s="215">
        <f>IFERROR(-BX197/(BX195+N(BX196)),"")</f>
        <v>0.258485985433682</v>
      </c>
      <c r="BY198" s="215">
        <f>IFERROR(-BY197/(BY195+N(BY196)),"")</f>
        <v>0.256712082704326</v>
      </c>
      <c r="BZ198" s="256">
        <f>$CQ$27</f>
        <v>0.245</v>
      </c>
      <c r="CA198" s="256">
        <f>IFERROR(-CA197/(CA195+N(CA196)),"")</f>
        <v>0.253153341705038</v>
      </c>
      <c r="CB198" s="265" t="n">
        <v>0.245</v>
      </c>
      <c r="CC198" s="265" t="n">
        <v>0.245</v>
      </c>
      <c r="CD198" s="265" t="n">
        <v>0.245</v>
      </c>
      <c r="CE198" s="265" t="n">
        <v>0.245</v>
      </c>
      <c r="CF198" s="265" t="n">
        <v>0.245</v>
      </c>
      <c r="CG198" s="153" t="n"/>
    </row>
    <row r="199" ht="15" customHeight="1" s="251">
      <c r="B199" s="25" t="inlineStr">
        <is>
          <t xml:space="preserve">  (+) Excess tax benefit on share-based awards (excluded from FY2017)</t>
        </is>
      </c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  <c r="AA199" s="34" t="n"/>
      <c r="AB199" s="34" t="n"/>
      <c r="AC199" s="34" t="n"/>
      <c r="AD199" s="253" t="n">
        <v>-17.261</v>
      </c>
      <c r="AE199" s="253" t="n">
        <v>-3.602</v>
      </c>
      <c r="AF199" s="253" t="n">
        <v>-2.685</v>
      </c>
      <c r="AG199" s="253" t="n">
        <v>-1.198</v>
      </c>
      <c r="AH199" s="253" t="n">
        <v>-24.746</v>
      </c>
      <c r="AI199" s="253" t="n">
        <v>-11.511</v>
      </c>
      <c r="AJ199" s="253" t="n">
        <v>-1.551</v>
      </c>
      <c r="AK199" s="253" t="n">
        <v>-1.635</v>
      </c>
      <c r="AL199" s="253" t="n">
        <v>-7.556</v>
      </c>
      <c r="AM199" s="253" t="n">
        <v>-22.253</v>
      </c>
      <c r="AN199" s="253" t="n">
        <v>-13.233</v>
      </c>
      <c r="AO199" s="253" t="n">
        <v>-2.501</v>
      </c>
      <c r="AP199" s="253" t="n">
        <v>-4.289</v>
      </c>
      <c r="AQ199" s="253" t="n">
        <v>-10.643</v>
      </c>
      <c r="AR199" s="253" t="n">
        <v>-30.666</v>
      </c>
      <c r="AS199" s="253" t="n">
        <v>-22.018</v>
      </c>
      <c r="AT199" s="253" t="n">
        <v>-11.925</v>
      </c>
      <c r="AU199" s="253" t="n">
        <v>-4.902</v>
      </c>
      <c r="AV199" s="253" t="n">
        <v>-11.192</v>
      </c>
      <c r="AW199" s="253" t="n">
        <v>-50.037</v>
      </c>
      <c r="AX199" s="253" t="n">
        <v>-19.183</v>
      </c>
      <c r="AY199" s="253" t="n">
        <v>-0.329</v>
      </c>
      <c r="AZ199" s="253" t="n">
        <v>-2.561</v>
      </c>
      <c r="BA199" s="253" t="n">
        <v>-1.925</v>
      </c>
      <c r="BB199" s="253" t="n">
        <v>-23.998</v>
      </c>
      <c r="BC199" s="253" t="n">
        <v>-5.957</v>
      </c>
      <c r="BD199" s="253" t="n">
        <v>-2.495</v>
      </c>
      <c r="BE199" s="253" t="n">
        <v>-0.078</v>
      </c>
      <c r="BF199" s="253" t="n">
        <v>-0.595</v>
      </c>
      <c r="BG199" s="253" t="n">
        <v>-9.125</v>
      </c>
      <c r="BH199" s="253" t="n">
        <v>-10.304</v>
      </c>
      <c r="BI199" s="253" t="n">
        <v>-0.612</v>
      </c>
      <c r="BJ199" s="253" t="n">
        <v>-0.8179999999999999</v>
      </c>
      <c r="BK199" s="253" t="n">
        <v>-0.852</v>
      </c>
      <c r="BL199" s="253" t="n">
        <v>-12.586</v>
      </c>
      <c r="BM199" s="253" t="n">
        <v>-23.775</v>
      </c>
      <c r="BN199" s="253" t="n">
        <v>-1.934</v>
      </c>
      <c r="BO199" s="253" t="n">
        <v>-1.636</v>
      </c>
      <c r="BP199" s="253" t="n">
        <v>-2.429</v>
      </c>
      <c r="BQ199" s="253" t="n">
        <v>-29.774</v>
      </c>
      <c r="BR199" s="253" t="n">
        <v>-39.53</v>
      </c>
      <c r="BS199" s="253" t="n">
        <v>-1.264</v>
      </c>
      <c r="BT199" s="253" t="n">
        <v>-2.836</v>
      </c>
      <c r="BU199" s="253" t="n">
        <v>-0.529</v>
      </c>
      <c r="BV199" s="253" t="n">
        <v>-44.159</v>
      </c>
      <c r="BW199" s="253" t="n">
        <v>-15.657</v>
      </c>
      <c r="BX199" s="253" t="n">
        <v>-1.252</v>
      </c>
      <c r="BY199" s="253" t="n">
        <v>0.537</v>
      </c>
      <c r="BZ199" s="254">
        <f>$CQ$28</f>
        <v>3.37</v>
      </c>
      <c r="CA199" s="254">
        <f>SUM(BW199:BZ199)</f>
        <v>-13.002</v>
      </c>
      <c r="CB199" s="277" t="n">
        <v>-10</v>
      </c>
      <c r="CC199" s="277" t="n">
        <v>-10</v>
      </c>
      <c r="CD199" s="277" t="n">
        <v>-10</v>
      </c>
      <c r="CE199" s="277" t="n">
        <v>-10</v>
      </c>
      <c r="CF199" s="277" t="n">
        <v>-10</v>
      </c>
      <c r="CG199" s="19" t="inlineStr">
        <is>
          <t>Q4/26E: FY26 guidance (−$13m) − 9M actual. 2027E+: input (assumption; FY26 guided −$13m).</t>
        </is>
      </c>
    </row>
    <row r="200" ht="15" customHeight="1" s="251">
      <c r="B200" s="25" t="inlineStr">
        <is>
          <t xml:space="preserve">  (+) Discrete tax items (valuation allowance, tax reserves, foreign tax credit, Tax Cuts and Jobs Act)</t>
        </is>
      </c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253" t="n">
        <v>2.474</v>
      </c>
      <c r="M200" s="253" t="n">
        <v>0</v>
      </c>
      <c r="N200" s="253" t="n">
        <v>2.474</v>
      </c>
      <c r="O200" s="34" t="n"/>
      <c r="P200" s="34" t="n"/>
      <c r="Q200" s="253" t="n">
        <v>0</v>
      </c>
      <c r="R200" s="253" t="n">
        <v>-1.927</v>
      </c>
      <c r="S200" s="253" t="n">
        <v>-1.927</v>
      </c>
      <c r="T200" s="34" t="n"/>
      <c r="U200" s="34" t="n"/>
      <c r="V200" s="34" t="n"/>
      <c r="W200" s="253" t="n">
        <v>-5.44</v>
      </c>
      <c r="X200" s="253" t="n">
        <v>-5.44</v>
      </c>
      <c r="Y200" s="34" t="n"/>
      <c r="Z200" s="34" t="n"/>
      <c r="AA200" s="34" t="n"/>
      <c r="AB200" s="253" t="n">
        <v>-3.287</v>
      </c>
      <c r="AC200" s="253" t="n">
        <v>-3.287</v>
      </c>
      <c r="AD200" s="34" t="n"/>
      <c r="AE200" s="34" t="n"/>
      <c r="AF200" s="34" t="n"/>
      <c r="AG200" s="253" t="n">
        <v>0</v>
      </c>
      <c r="AH200" s="253" t="n">
        <v>0</v>
      </c>
      <c r="AI200" s="253" t="n">
        <v>11.755</v>
      </c>
      <c r="AJ200" s="253" t="n">
        <v>1.665</v>
      </c>
      <c r="AK200" s="253" t="n">
        <v>1.42</v>
      </c>
      <c r="AL200" s="253" t="n">
        <v>6.774</v>
      </c>
      <c r="AM200" s="253" t="n">
        <v>21.614</v>
      </c>
      <c r="AN200" s="253" t="n">
        <v>0</v>
      </c>
      <c r="AO200" s="253" t="n">
        <v>0</v>
      </c>
      <c r="AP200" s="253" t="n">
        <v>0</v>
      </c>
      <c r="AQ200" s="253" t="n">
        <v>0</v>
      </c>
      <c r="AR200" s="253" t="n">
        <v>0</v>
      </c>
      <c r="AS200" s="34" t="n"/>
      <c r="AT200" s="34" t="n"/>
      <c r="AU200" s="34" t="n"/>
      <c r="AV200" s="34" t="n"/>
      <c r="AW200" s="34" t="n"/>
      <c r="AX200" s="34" t="n"/>
      <c r="AY200" s="34" t="n"/>
      <c r="AZ200" s="34" t="n"/>
      <c r="BA200" s="34" t="n"/>
      <c r="BB200" s="34" t="n"/>
      <c r="BC200" s="34" t="n"/>
      <c r="BD200" s="34" t="n"/>
      <c r="BE200" s="34" t="n"/>
      <c r="BF200" s="34" t="n"/>
      <c r="BG200" s="34" t="n"/>
      <c r="BH200" s="34" t="n"/>
      <c r="BI200" s="34" t="n"/>
      <c r="BJ200" s="253" t="n">
        <v>-9.5</v>
      </c>
      <c r="BK200" s="253" t="n">
        <v>0.5600000000000001</v>
      </c>
      <c r="BL200" s="253" t="n">
        <v>-8.94</v>
      </c>
      <c r="BM200" s="34" t="n"/>
      <c r="BN200" s="34" t="n"/>
      <c r="BO200" s="253" t="n">
        <v>0</v>
      </c>
      <c r="BP200" s="253" t="n">
        <v>0</v>
      </c>
      <c r="BQ200" s="253" t="n">
        <v>0</v>
      </c>
      <c r="BR200" s="34" t="n"/>
      <c r="BS200" s="34" t="n"/>
      <c r="BT200" s="34" t="n"/>
      <c r="BU200" s="34" t="n"/>
      <c r="BV200" s="34" t="n"/>
      <c r="BW200" s="34" t="n"/>
      <c r="BX200" s="34" t="n"/>
      <c r="BY200" s="34" t="n"/>
      <c r="BZ200" s="254">
        <f>0</f>
        <v>0</v>
      </c>
      <c r="CA200" s="254">
        <f>SUM(BW200:BZ200)</f>
        <v>0</v>
      </c>
      <c r="CB200" s="254">
        <f>0</f>
        <v>0</v>
      </c>
      <c r="CC200" s="254">
        <f>0</f>
        <v>0</v>
      </c>
      <c r="CD200" s="254">
        <f>0</f>
        <v>0</v>
      </c>
      <c r="CE200" s="254">
        <f>0</f>
        <v>0</v>
      </c>
      <c r="CF200" s="254">
        <f>0</f>
        <v>0</v>
      </c>
      <c r="CG200" s="19" t="n"/>
    </row>
    <row r="201" ht="15" customHeight="1" s="251">
      <c r="B201" s="55" t="inlineStr">
        <is>
          <t xml:space="preserve">  = Non-GAAP net income (model bridge)</t>
        </is>
      </c>
      <c r="C201" s="273">
        <f>IF(ISNUMBER(C197),C194+C195+N(C196)+C197+N(C199)+N(C200),"")</f>
        <v>165.233</v>
      </c>
      <c r="D201" s="273">
        <f>IF(ISNUMBER(D197),D194+D195+N(D196)+D197+N(D199)+N(D200),"")</f>
        <v>141.825</v>
      </c>
      <c r="E201" s="273">
        <f>IF(ISNUMBER(E197),E194+E195+N(E196)+E197+N(E199)+N(E200),"")</f>
        <v>121.842</v>
      </c>
      <c r="F201" s="273">
        <f>IF(ISNUMBER(F197),F194+F195+N(F196)+F197+N(F199)+N(F200),"")</f>
        <v>96.7410000000001</v>
      </c>
      <c r="G201" s="273">
        <f>IF(ISNUMBER(G197),G194+G195+N(G196)+G197+N(G199)+N(G200),"")</f>
        <v>94.28</v>
      </c>
      <c r="H201" s="273">
        <f>IF(ISNUMBER(H197),H194+H195+N(H196)+H197+N(H199)+N(H200),"")</f>
        <v>107.194</v>
      </c>
      <c r="I201" s="273">
        <f>IF(ISNUMBER(I197),I194+I195+N(I196)+I197+N(I199)+N(I200),"")</f>
        <v>125.302</v>
      </c>
      <c r="J201" s="273">
        <f>IF(ISNUMBER(J197),J194+J195+N(J196)+J197+N(J199)+N(J200),"")</f>
        <v>31.812</v>
      </c>
      <c r="K201" s="273">
        <f>IF(ISNUMBER(K197),K194+K195+N(K196)+K197+N(K199)+N(K200),"")</f>
        <v>25.351</v>
      </c>
      <c r="L201" s="273">
        <f>IF(ISNUMBER(L197),L194+L195+N(L196)+L197+N(L199)+N(L200),"")</f>
        <v>29.261</v>
      </c>
      <c r="M201" s="273">
        <f>IF(ISNUMBER(M197),M194+M195+N(M196)+M197+N(M199)+N(M200),"")</f>
        <v>35.317</v>
      </c>
      <c r="N201" s="273">
        <f>IF(ISNUMBER(N197),N194+N195+N(N196)+N197+N(N199)+N(N200),"")</f>
        <v>121.741</v>
      </c>
      <c r="O201" s="273">
        <f>IF(ISNUMBER(O197),O194+O195+N(O196)+O197+N(O199)+N(O200),"")</f>
        <v>26.189</v>
      </c>
      <c r="P201" s="273">
        <f>IF(ISNUMBER(P197),P194+P195+N(P196)+P197+N(P199)+N(P200),"")</f>
        <v>28.689</v>
      </c>
      <c r="Q201" s="273">
        <f>IF(ISNUMBER(Q197),Q194+Q195+N(Q196)+Q197+N(Q199)+N(Q200),"")</f>
        <v>29.246</v>
      </c>
      <c r="R201" s="273">
        <f>IF(ISNUMBER(R197),R194+R195+N(R196)+R197+N(R199)+N(R200),"")</f>
        <v>44.18</v>
      </c>
      <c r="S201" s="273">
        <f>IF(ISNUMBER(S197),S194+S195+N(S196)+S197+N(S199)+N(S200),"")</f>
        <v>128.304</v>
      </c>
      <c r="T201" s="273">
        <f>IF(ISNUMBER(T197),T194+T195+N(T196)+T197+N(T199)+N(T200),"")</f>
        <v>22.606</v>
      </c>
      <c r="U201" s="273">
        <f>IF(ISNUMBER(U197),U194+U195+N(U196)+U197+N(U199)+N(U200),"")</f>
        <v>29.668</v>
      </c>
      <c r="V201" s="273">
        <f>IF(ISNUMBER(V197),V194+V195+N(V196)+V197+N(V199)+N(V200),"")</f>
        <v>32.267</v>
      </c>
      <c r="W201" s="273">
        <f>IF(ISNUMBER(W197),W194+W195+N(W196)+W197+N(W199)+N(W200),"")</f>
        <v>50.916</v>
      </c>
      <c r="X201" s="273">
        <f>IF(ISNUMBER(X197),X194+X195+N(X196)+X197+N(X199)+N(X200),"")</f>
        <v>135.457</v>
      </c>
      <c r="Y201" s="273">
        <f>IF(ISNUMBER(Y197),Y194+Y195+N(Y196)+Y197+N(Y199)+N(Y200),"")</f>
        <v>32.107</v>
      </c>
      <c r="Z201" s="273">
        <f>IF(ISNUMBER(Z197),Z194+Z195+N(Z196)+Z197+N(Z199)+N(Z200),"")</f>
        <v>35.129</v>
      </c>
      <c r="AA201" s="273">
        <f>IF(ISNUMBER(AA197),AA194+AA195+N(AA196)+AA197+N(AA199)+N(AA200),"")</f>
        <v>46.826</v>
      </c>
      <c r="AB201" s="273">
        <f>IF(ISNUMBER(AB197),AB194+AB195+N(AB196)+AB197+N(AB199)+N(AB200),"")</f>
        <v>41.355</v>
      </c>
      <c r="AC201" s="273">
        <f>IF(ISNUMBER(AC197),AC194+AC195+N(AC196)+AC197+N(AC199)+N(AC200),"")</f>
        <v>155.417</v>
      </c>
      <c r="AD201" s="273">
        <f>IF(ISNUMBER(AD197),AD194+AD195+N(AD196)+AD197+N(AD199)+N(AD200),"")</f>
        <v>33.492</v>
      </c>
      <c r="AE201" s="273">
        <f>IF(ISNUMBER(AE197),AE194+AE195+N(AE196)+AE197+N(AE199)+N(AE200),"")</f>
        <v>33.964</v>
      </c>
      <c r="AF201" s="273">
        <f>IF(ISNUMBER(AF197),AF194+AF195+N(AF196)+AF197+N(AF199)+N(AF200),"")</f>
        <v>37.421</v>
      </c>
      <c r="AG201" s="273">
        <f>IF(ISNUMBER(AG197),AG194+AG195+N(AG196)+AG197+N(AG199)+N(AG200),"")</f>
        <v>52.719</v>
      </c>
      <c r="AH201" s="273">
        <f>IF(ISNUMBER(AH197),AH194+AH195+N(AH196)+AH197+N(AH199)+N(AH200),"")</f>
        <v>157.596</v>
      </c>
      <c r="AI201" s="273">
        <f>IF(ISNUMBER(AI197),AI194+AI195+N(AI196)+AI197+N(AI199)+N(AI200),"")</f>
        <v>41.145</v>
      </c>
      <c r="AJ201" s="273">
        <f>IF(ISNUMBER(AJ197),AJ194+AJ195+N(AJ196)+AJ197+N(AJ199)+N(AJ200),"")</f>
        <v>48.134</v>
      </c>
      <c r="AK201" s="273">
        <f>IF(ISNUMBER(AK197),AK194+AK195+N(AK196)+AK197+N(AK199)+N(AK200),"")</f>
        <v>47.115</v>
      </c>
      <c r="AL201" s="273">
        <f>IF(ISNUMBER(AL197),AL194+AL195+N(AL196)+AL197+N(AL199)+N(AL200),"")</f>
        <v>57.929</v>
      </c>
      <c r="AM201" s="273">
        <f>IF(ISNUMBER(AM197),AM194+AM195+N(AM196)+AM197+N(AM199)+N(AM200),"")</f>
        <v>194.323</v>
      </c>
      <c r="AN201" s="273">
        <f>IF(ISNUMBER(AN197),AN194+AN195+N(AN196)+AN197+N(AN199)+N(AN200),"")</f>
        <v>43.911</v>
      </c>
      <c r="AO201" s="273">
        <f>IF(ISNUMBER(AO197),AO194+AO195+N(AO196)+AO197+N(AO199)+N(AO200),"")</f>
        <v>47.271</v>
      </c>
      <c r="AP201" s="273">
        <f>IF(ISNUMBER(AP197),AP194+AP195+N(AP196)+AP197+N(AP199)+N(AP200),"")</f>
        <v>75.616</v>
      </c>
      <c r="AQ201" s="273">
        <f>IF(ISNUMBER(AQ197),AQ194+AQ195+N(AQ196)+AQ197+N(AQ199)+N(AQ200),"")</f>
        <v>60.82</v>
      </c>
      <c r="AR201" s="273">
        <f>IF(ISNUMBER(AR197),AR194+AR195+N(AR196)+AR197+N(AR199)+N(AR200),"")</f>
        <v>227.618</v>
      </c>
      <c r="AS201" s="273">
        <f>IF(ISNUMBER(AS197),AS194+AS195+N(AS196)+AS197+N(AS199)+N(AS200),"")</f>
        <v>54.186</v>
      </c>
      <c r="AT201" s="273">
        <f>IF(ISNUMBER(AT197),AT194+AT195+N(AT196)+AT197+N(AT199)+N(AT200),"")</f>
        <v>64.308</v>
      </c>
      <c r="AU201" s="273">
        <f>IF(ISNUMBER(AU197),AU194+AU195+N(AU196)+AU197+N(AU199)+N(AU200),"")</f>
        <v>76.748</v>
      </c>
      <c r="AV201" s="273">
        <f>IF(ISNUMBER(AV197),AV194+AV195+N(AV196)+AV197+N(AV199)+N(AV200),"")</f>
        <v>96.964</v>
      </c>
      <c r="AW201" s="273">
        <f>IF(ISNUMBER(AW197),AW194+AW195+N(AW196)+AW197+N(AW199)+N(AW200),"")</f>
        <v>292.206</v>
      </c>
      <c r="AX201" s="273">
        <f>IF(ISNUMBER(AX197),AX194+AX195+N(AX196)+AX197+N(AX199)+N(AX200),"")</f>
        <v>81.558</v>
      </c>
      <c r="AY201" s="273">
        <f>IF(ISNUMBER(AY197),AY194+AY195+N(AY196)+AY197+N(AY199)+N(AY200),"")</f>
        <v>90.225</v>
      </c>
      <c r="AZ201" s="273">
        <f>IF(ISNUMBER(AZ197),AZ194+AZ195+N(AZ196)+AZ197+N(AZ199)+N(AZ200),"")</f>
        <v>98.794</v>
      </c>
      <c r="BA201" s="273">
        <f>IF(ISNUMBER(BA197),BA194+BA195+N(BA196)+BA197+N(BA199)+N(BA200),"")</f>
        <v>111.949</v>
      </c>
      <c r="BB201" s="273">
        <f>IF(ISNUMBER(BB197),BB194+BB195+N(BB196)+BB197+N(BB199)+N(BB200),"")</f>
        <v>382.526</v>
      </c>
      <c r="BC201" s="273">
        <f>IF(ISNUMBER(BC197),BC194+BC195+N(BC196)+BC197+N(BC199)+N(BC200),"")</f>
        <v>101.931</v>
      </c>
      <c r="BD201" s="273">
        <f>IF(ISNUMBER(BD197),BD194+BD195+N(BD196)+BD197+N(BD199)+N(BD200),"")</f>
        <v>123.69</v>
      </c>
      <c r="BE201" s="273">
        <f>IF(ISNUMBER(BE197),BE194+BE195+N(BE196)+BE197+N(BE199)+N(BE200),"")</f>
        <v>115.661</v>
      </c>
      <c r="BF201" s="273">
        <f>IF(ISNUMBER(BF197),BF194+BF195+N(BF196)+BF197+N(BF199)+N(BF200),"")</f>
        <v>112.494</v>
      </c>
      <c r="BG201" s="273">
        <f>IF(ISNUMBER(BG197),BG194+BG195+N(BG196)+BG197+N(BG199)+N(BG200),"")</f>
        <v>453.776</v>
      </c>
      <c r="BH201" s="273">
        <f>IF(ISNUMBER(BH197),BH194+BH195+N(BH196)+BH197+N(BH199)+N(BH200),"")</f>
        <v>108.461</v>
      </c>
      <c r="BI201" s="273">
        <f>IF(ISNUMBER(BI197),BI194+BI195+N(BI196)+BI197+N(BI199)+N(BI200),"")</f>
        <v>121.448</v>
      </c>
      <c r="BJ201" s="273">
        <f>IF(ISNUMBER(BJ197),BJ194+BJ195+N(BJ196)+BJ197+N(BJ199)+N(BJ200),"")</f>
        <v>143.396</v>
      </c>
      <c r="BK201" s="273">
        <f>IF(ISNUMBER(BK197),BK194+BK195+N(BK196)+BK197+N(BK199)+N(BK200),"")</f>
        <v>126.744</v>
      </c>
      <c r="BL201" s="273">
        <f>IF(ISNUMBER(BL197),BL194+BL195+N(BL196)+BL197+N(BL199)+N(BL200),"")</f>
        <v>500.049</v>
      </c>
      <c r="BM201" s="273">
        <f>IF(ISNUMBER(BM197),BM194+BM195+N(BM196)+BM197+N(BM199)+N(BM200),"")</f>
        <v>121.224</v>
      </c>
      <c r="BN201" s="273">
        <f>IF(ISNUMBER(BN197),BN194+BN195+N(BN196)+BN197+N(BN199)+N(BN200),"")</f>
        <v>154.492</v>
      </c>
      <c r="BO201" s="273">
        <f>IF(ISNUMBER(BO197),BO194+BO195+N(BO196)+BO197+N(BO199)+N(BO200),"")</f>
        <v>156.391</v>
      </c>
      <c r="BP201" s="273">
        <f>IF(ISNUMBER(BP197),BP194+BP195+N(BP196)+BP197+N(BP199)+N(BP200),"")</f>
        <v>163.202</v>
      </c>
      <c r="BQ201" s="273">
        <f>IF(ISNUMBER(BQ197),BQ194+BQ195+N(BQ196)+BQ197+N(BQ199)+N(BQ200),"")</f>
        <v>595.31</v>
      </c>
      <c r="BR201" s="273">
        <f>IF(ISNUMBER(BR197),BR194+BR195+N(BR196)+BR197+N(BR199)+N(BR200),"")</f>
        <v>143.789</v>
      </c>
      <c r="BS201" s="273">
        <f>IF(ISNUMBER(BS197),BS194+BS195+N(BS196)+BS197+N(BS199)+N(BS200),"")</f>
        <v>192.689</v>
      </c>
      <c r="BT201" s="273">
        <f>IF(ISNUMBER(BT197),BT194+BT195+N(BT196)+BT197+N(BT199)+N(BT200),"")</f>
        <v>210.551</v>
      </c>
      <c r="BU201" s="273">
        <f>IF(ISNUMBER(BU197),BU194+BU195+N(BU196)+BU197+N(BU199)+N(BU200),"")</f>
        <v>186.953</v>
      </c>
      <c r="BV201" s="273">
        <f>IF(ISNUMBER(BV197),BV194+BV195+N(BV196)+BV197+N(BV199)+N(BV200),"")</f>
        <v>733.983</v>
      </c>
      <c r="BW201" s="273">
        <f>IF(ISNUMBER(BW197),BW194+BW195+N(BW196)+BW197+N(BW199)+N(BW200),"")</f>
        <v>175.61</v>
      </c>
      <c r="BX201" s="273">
        <f>IF(ISNUMBER(BX197),BX194+BX195+N(BX196)+BX197+N(BX199)+N(BX200),"")</f>
        <v>296.804</v>
      </c>
      <c r="BY201" s="273">
        <f>IF(ISNUMBER(BY197),BY194+BY195+N(BY196)+BY197+N(BY199)+N(BY200),"")</f>
        <v>276.606</v>
      </c>
      <c r="BZ201" s="273">
        <f>BZ209*(1-BZ211)</f>
        <v>223.839408581081</v>
      </c>
      <c r="CA201" s="273">
        <f>SUM(BW201:BZ201)</f>
        <v>972.859408581081</v>
      </c>
      <c r="CB201" s="273">
        <f>CB209*(1-CB211)</f>
        <v>1094.42929303116</v>
      </c>
      <c r="CC201" s="273">
        <f>CC209*(1-CC211)</f>
        <v>1251.8588512121</v>
      </c>
      <c r="CD201" s="273">
        <f>CD209*(1-CD211)</f>
        <v>1355.85500801231</v>
      </c>
      <c r="CE201" s="273">
        <f>CE209*(1-CE211)</f>
        <v>1474.34746238339</v>
      </c>
      <c r="CF201" s="273">
        <f>CF209*(1-CF211)</f>
        <v>1593.59922547257</v>
      </c>
      <c r="CG201" s="153" t="inlineStr">
        <is>
          <t>Forecast = non-GAAP pre-tax income × (1 − non-GAAP tax rate); GAAP net income is derived from it (income-statement tax line).</t>
        </is>
      </c>
      <c r="CI201" s="20">
        <f>IFERROR((CF201/CA201)^(1/5)-1,"n/m")</f>
        <v>0.103737518226021</v>
      </c>
      <c r="CJ201" s="20">
        <f>IFERROR((BV201/AW201)^(1/5)-1,"n/m")</f>
        <v>0.20226270273247</v>
      </c>
      <c r="CK201" s="20">
        <f>IFERROR((BV201/X201)^(1/10)-1,"n/m")</f>
        <v>0.18410020097178</v>
      </c>
      <c r="CL201" s="20">
        <f>IFERROR((BV201/C201)^(1/19)-1,"n/m")</f>
        <v>0.0816422497578806</v>
      </c>
    </row>
    <row r="202" ht="15" customHeight="1" s="251">
      <c r="B202" s="156" t="inlineStr">
        <is>
          <t xml:space="preserve">  Company-published non-GAAP net income</t>
        </is>
      </c>
      <c r="C202" s="34" t="n"/>
      <c r="D202" s="34" t="n"/>
      <c r="E202" s="34" t="n"/>
      <c r="F202" s="34" t="n"/>
      <c r="G202" s="34" t="n"/>
      <c r="H202" s="34" t="n"/>
      <c r="I202" s="34" t="n"/>
      <c r="J202" s="253" t="n">
        <v>31.812</v>
      </c>
      <c r="K202" s="253" t="n">
        <v>25.351</v>
      </c>
      <c r="L202" s="253" t="n">
        <v>29.261</v>
      </c>
      <c r="M202" s="253" t="n">
        <v>35.317</v>
      </c>
      <c r="N202" s="253" t="n">
        <v>121.741</v>
      </c>
      <c r="O202" s="253" t="n">
        <v>26.189</v>
      </c>
      <c r="P202" s="253" t="n">
        <v>28.689</v>
      </c>
      <c r="Q202" s="253" t="n">
        <v>29.246</v>
      </c>
      <c r="R202" s="253" t="n">
        <v>44.18</v>
      </c>
      <c r="S202" s="253" t="n">
        <v>128.304</v>
      </c>
      <c r="T202" s="253" t="n">
        <v>22.606</v>
      </c>
      <c r="U202" s="253" t="n">
        <v>29.668</v>
      </c>
      <c r="V202" s="253" t="n">
        <v>32.267</v>
      </c>
      <c r="W202" s="253" t="n">
        <v>50.916</v>
      </c>
      <c r="X202" s="253" t="n">
        <v>135.457</v>
      </c>
      <c r="Y202" s="253" t="n">
        <v>32.107</v>
      </c>
      <c r="Z202" s="253" t="n">
        <v>35.129</v>
      </c>
      <c r="AA202" s="253" t="n">
        <v>46.826</v>
      </c>
      <c r="AB202" s="253" t="n">
        <v>41.355</v>
      </c>
      <c r="AC202" s="253" t="n">
        <v>155.417</v>
      </c>
      <c r="AD202" s="253" t="n">
        <v>33.492</v>
      </c>
      <c r="AE202" s="253" t="n">
        <v>33.964</v>
      </c>
      <c r="AF202" s="253" t="n">
        <v>37.421</v>
      </c>
      <c r="AG202" s="253" t="n">
        <v>52.719</v>
      </c>
      <c r="AH202" s="253" t="n">
        <v>157.596</v>
      </c>
      <c r="AI202" s="253" t="n">
        <v>41.145</v>
      </c>
      <c r="AJ202" s="253" t="n">
        <v>48.134</v>
      </c>
      <c r="AK202" s="253" t="n">
        <v>47.115</v>
      </c>
      <c r="AL202" s="253" t="n">
        <v>57.929</v>
      </c>
      <c r="AM202" s="253" t="n">
        <v>194.323</v>
      </c>
      <c r="AN202" s="253" t="n">
        <v>43.911</v>
      </c>
      <c r="AO202" s="253" t="n">
        <v>47.271</v>
      </c>
      <c r="AP202" s="253" t="n">
        <v>75.616</v>
      </c>
      <c r="AQ202" s="253" t="n">
        <v>60.82</v>
      </c>
      <c r="AR202" s="253" t="n">
        <v>227.618</v>
      </c>
      <c r="AS202" s="253" t="n">
        <v>54.186</v>
      </c>
      <c r="AT202" s="253" t="n">
        <v>64.30800000000001</v>
      </c>
      <c r="AU202" s="253" t="n">
        <v>76.748</v>
      </c>
      <c r="AV202" s="253" t="n">
        <v>96.964</v>
      </c>
      <c r="AW202" s="253" t="n">
        <v>292.206</v>
      </c>
      <c r="AX202" s="253" t="n">
        <v>81.55800000000001</v>
      </c>
      <c r="AY202" s="253" t="n">
        <v>90.22499999999999</v>
      </c>
      <c r="AZ202" s="253" t="n">
        <v>98.794</v>
      </c>
      <c r="BA202" s="253" t="n">
        <v>111.949</v>
      </c>
      <c r="BB202" s="253" t="n">
        <v>382.526</v>
      </c>
      <c r="BC202" s="253" t="n">
        <v>101.931</v>
      </c>
      <c r="BD202" s="253" t="n">
        <v>123.69</v>
      </c>
      <c r="BE202" s="253" t="n">
        <v>115.661</v>
      </c>
      <c r="BF202" s="253" t="n">
        <v>112.494</v>
      </c>
      <c r="BG202" s="253" t="n">
        <v>453.776</v>
      </c>
      <c r="BH202" s="253" t="n">
        <v>108.461</v>
      </c>
      <c r="BI202" s="253" t="n">
        <v>121.448</v>
      </c>
      <c r="BJ202" s="253" t="n">
        <v>143.396</v>
      </c>
      <c r="BK202" s="253" t="n">
        <v>126.744</v>
      </c>
      <c r="BL202" s="253" t="n">
        <v>500.049</v>
      </c>
      <c r="BM202" s="253" t="n">
        <v>121.224</v>
      </c>
      <c r="BN202" s="253" t="n">
        <v>154.492</v>
      </c>
      <c r="BO202" s="253" t="n">
        <v>156.391</v>
      </c>
      <c r="BP202" s="253" t="n">
        <v>163.202</v>
      </c>
      <c r="BQ202" s="253" t="n">
        <v>595.3099999999999</v>
      </c>
      <c r="BR202" s="253" t="n">
        <v>143.789</v>
      </c>
      <c r="BS202" s="253" t="n">
        <v>192.689</v>
      </c>
      <c r="BT202" s="253" t="n">
        <v>210.551</v>
      </c>
      <c r="BU202" s="253" t="n">
        <v>186.953</v>
      </c>
      <c r="BV202" s="253" t="n">
        <v>733.9829999999999</v>
      </c>
      <c r="BW202" s="253" t="n">
        <v>175.61</v>
      </c>
      <c r="BX202" s="253" t="n">
        <v>296.804</v>
      </c>
      <c r="BY202" s="253" t="n">
        <v>276.606</v>
      </c>
      <c r="BZ202" s="153" t="n"/>
      <c r="CA202" s="153" t="n"/>
      <c r="CB202" s="153" t="n"/>
      <c r="CC202" s="153" t="n"/>
      <c r="CD202" s="153" t="n"/>
      <c r="CE202" s="153" t="n"/>
      <c r="CF202" s="153" t="n"/>
      <c r="CG202" s="153" t="n"/>
    </row>
    <row r="203" ht="15" customHeight="1" s="251">
      <c r="B203" s="57" t="inlineStr">
        <is>
          <t xml:space="preserve">  Check: model bridge vs company-published non-GAAP net income (should be 0)</t>
        </is>
      </c>
      <c r="C203" s="262" t="str">
        <f>IF(AND(ISNUMBER(C201),ISNUMBER(C202)),IF(ABS(C201-C202)&lt;=0.15,0,ROUND(C201-C202,1)),"n/p")</f>
        <v>n/p</v>
      </c>
      <c r="D203" s="262" t="str">
        <f>IF(AND(ISNUMBER(D201),ISNUMBER(D202)),IF(ABS(D201-D202)&lt;=0.15,0,ROUND(D201-D202,1)),"n/p")</f>
        <v>n/p</v>
      </c>
      <c r="E203" s="262" t="str">
        <f>IF(AND(ISNUMBER(E201),ISNUMBER(E202)),IF(ABS(E201-E202)&lt;=0.15,0,ROUND(E201-E202,1)),"n/p")</f>
        <v>n/p</v>
      </c>
      <c r="F203" s="262" t="str">
        <f>IF(AND(ISNUMBER(F201),ISNUMBER(F202)),IF(ABS(F201-F202)&lt;=0.15,0,ROUND(F201-F202,1)),"n/p")</f>
        <v>n/p</v>
      </c>
      <c r="G203" s="262" t="str">
        <f>IF(AND(ISNUMBER(G201),ISNUMBER(G202)),IF(ABS(G201-G202)&lt;=0.15,0,ROUND(G201-G202,1)),"n/p")</f>
        <v>n/p</v>
      </c>
      <c r="H203" s="262" t="str">
        <f>IF(AND(ISNUMBER(H201),ISNUMBER(H202)),IF(ABS(H201-H202)&lt;=0.15,0,ROUND(H201-H202,1)),"n/p")</f>
        <v>n/p</v>
      </c>
      <c r="I203" s="262" t="str">
        <f>IF(AND(ISNUMBER(I201),ISNUMBER(I202)),IF(ABS(I201-I202)&lt;=0.15,0,ROUND(I201-I202,1)),"n/p")</f>
        <v>n/p</v>
      </c>
      <c r="J203" s="262">
        <f>IF(AND(ISNUMBER(J201),ISNUMBER(J202)),IF(ABS(J201-J202)&lt;=0.15,0,ROUND(J201-J202,1)),"n/p")</f>
        <v>0</v>
      </c>
      <c r="K203" s="262">
        <f>IF(AND(ISNUMBER(K201),ISNUMBER(K202)),IF(ABS(K201-K202)&lt;=0.15,0,ROUND(K201-K202,1)),"n/p")</f>
        <v>0</v>
      </c>
      <c r="L203" s="262">
        <f>IF(AND(ISNUMBER(L201),ISNUMBER(L202)),IF(ABS(L201-L202)&lt;=0.15,0,ROUND(L201-L202,1)),"n/p")</f>
        <v>0</v>
      </c>
      <c r="M203" s="262">
        <f>IF(AND(ISNUMBER(M201),ISNUMBER(M202)),IF(ABS(M201-M202)&lt;=0.15,0,ROUND(M201-M202,1)),"n/p")</f>
        <v>0</v>
      </c>
      <c r="N203" s="262">
        <f>IF(AND(ISNUMBER(N201),ISNUMBER(N202)),IF(ABS(N201-N202)&lt;=0.15,0,ROUND(N201-N202,1)),"n/p")</f>
        <v>0</v>
      </c>
      <c r="O203" s="262">
        <f>IF(AND(ISNUMBER(O201),ISNUMBER(O202)),IF(ABS(O201-O202)&lt;=0.15,0,ROUND(O201-O202,1)),"n/p")</f>
        <v>0</v>
      </c>
      <c r="P203" s="262">
        <f>IF(AND(ISNUMBER(P201),ISNUMBER(P202)),IF(ABS(P201-P202)&lt;=0.15,0,ROUND(P201-P202,1)),"n/p")</f>
        <v>0</v>
      </c>
      <c r="Q203" s="262">
        <f>IF(AND(ISNUMBER(Q201),ISNUMBER(Q202)),IF(ABS(Q201-Q202)&lt;=0.15,0,ROUND(Q201-Q202,1)),"n/p")</f>
        <v>0</v>
      </c>
      <c r="R203" s="262">
        <f>IF(AND(ISNUMBER(R201),ISNUMBER(R202)),IF(ABS(R201-R202)&lt;=0.15,0,ROUND(R201-R202,1)),"n/p")</f>
        <v>0</v>
      </c>
      <c r="S203" s="262">
        <f>IF(AND(ISNUMBER(S201),ISNUMBER(S202)),IF(ABS(S201-S202)&lt;=0.15,0,ROUND(S201-S202,1)),"n/p")</f>
        <v>0</v>
      </c>
      <c r="T203" s="262">
        <f>IF(AND(ISNUMBER(T201),ISNUMBER(T202)),IF(ABS(T201-T202)&lt;=0.15,0,ROUND(T201-T202,1)),"n/p")</f>
        <v>0</v>
      </c>
      <c r="U203" s="262">
        <f>IF(AND(ISNUMBER(U201),ISNUMBER(U202)),IF(ABS(U201-U202)&lt;=0.15,0,ROUND(U201-U202,1)),"n/p")</f>
        <v>0</v>
      </c>
      <c r="V203" s="262">
        <f>IF(AND(ISNUMBER(V201),ISNUMBER(V202)),IF(ABS(V201-V202)&lt;=0.15,0,ROUND(V201-V202,1)),"n/p")</f>
        <v>0</v>
      </c>
      <c r="W203" s="262">
        <f>IF(AND(ISNUMBER(W201),ISNUMBER(W202)),IF(ABS(W201-W202)&lt;=0.15,0,ROUND(W201-W202,1)),"n/p")</f>
        <v>0</v>
      </c>
      <c r="X203" s="262">
        <f>IF(AND(ISNUMBER(X201),ISNUMBER(X202)),IF(ABS(X201-X202)&lt;=0.15,0,ROUND(X201-X202,1)),"n/p")</f>
        <v>0</v>
      </c>
      <c r="Y203" s="262">
        <f>IF(AND(ISNUMBER(Y201),ISNUMBER(Y202)),IF(ABS(Y201-Y202)&lt;=0.15,0,ROUND(Y201-Y202,1)),"n/p")</f>
        <v>0</v>
      </c>
      <c r="Z203" s="262">
        <f>IF(AND(ISNUMBER(Z201),ISNUMBER(Z202)),IF(ABS(Z201-Z202)&lt;=0.15,0,ROUND(Z201-Z202,1)),"n/p")</f>
        <v>0</v>
      </c>
      <c r="AA203" s="262">
        <f>IF(AND(ISNUMBER(AA201),ISNUMBER(AA202)),IF(ABS(AA201-AA202)&lt;=0.15,0,ROUND(AA201-AA202,1)),"n/p")</f>
        <v>0</v>
      </c>
      <c r="AB203" s="262">
        <f>IF(AND(ISNUMBER(AB201),ISNUMBER(AB202)),IF(ABS(AB201-AB202)&lt;=0.15,0,ROUND(AB201-AB202,1)),"n/p")</f>
        <v>0</v>
      </c>
      <c r="AC203" s="262">
        <f>IF(AND(ISNUMBER(AC201),ISNUMBER(AC202)),IF(ABS(AC201-AC202)&lt;=0.15,0,ROUND(AC201-AC202,1)),"n/p")</f>
        <v>0</v>
      </c>
      <c r="AD203" s="262">
        <f>IF(AND(ISNUMBER(AD201),ISNUMBER(AD202)),IF(ABS(AD201-AD202)&lt;=0.15,0,ROUND(AD201-AD202,1)),"n/p")</f>
        <v>0</v>
      </c>
      <c r="AE203" s="262">
        <f>IF(AND(ISNUMBER(AE201),ISNUMBER(AE202)),IF(ABS(AE201-AE202)&lt;=0.15,0,ROUND(AE201-AE202,1)),"n/p")</f>
        <v>0</v>
      </c>
      <c r="AF203" s="262">
        <f>IF(AND(ISNUMBER(AF201),ISNUMBER(AF202)),IF(ABS(AF201-AF202)&lt;=0.15,0,ROUND(AF201-AF202,1)),"n/p")</f>
        <v>0</v>
      </c>
      <c r="AG203" s="262">
        <f>IF(AND(ISNUMBER(AG201),ISNUMBER(AG202)),IF(ABS(AG201-AG202)&lt;=0.15,0,ROUND(AG201-AG202,1)),"n/p")</f>
        <v>0</v>
      </c>
      <c r="AH203" s="262">
        <f>IF(AND(ISNUMBER(AH201),ISNUMBER(AH202)),IF(ABS(AH201-AH202)&lt;=0.15,0,ROUND(AH201-AH202,1)),"n/p")</f>
        <v>0</v>
      </c>
      <c r="AI203" s="262">
        <f>IF(AND(ISNUMBER(AI201),ISNUMBER(AI202)),IF(ABS(AI201-AI202)&lt;=0.15,0,ROUND(AI201-AI202,1)),"n/p")</f>
        <v>0</v>
      </c>
      <c r="AJ203" s="262">
        <f>IF(AND(ISNUMBER(AJ201),ISNUMBER(AJ202)),IF(ABS(AJ201-AJ202)&lt;=0.15,0,ROUND(AJ201-AJ202,1)),"n/p")</f>
        <v>0</v>
      </c>
      <c r="AK203" s="262">
        <f>IF(AND(ISNUMBER(AK201),ISNUMBER(AK202)),IF(ABS(AK201-AK202)&lt;=0.15,0,ROUND(AK201-AK202,1)),"n/p")</f>
        <v>0</v>
      </c>
      <c r="AL203" s="262">
        <f>IF(AND(ISNUMBER(AL201),ISNUMBER(AL202)),IF(ABS(AL201-AL202)&lt;=0.15,0,ROUND(AL201-AL202,1)),"n/p")</f>
        <v>0</v>
      </c>
      <c r="AM203" s="262">
        <f>IF(AND(ISNUMBER(AM201),ISNUMBER(AM202)),IF(ABS(AM201-AM202)&lt;=0.15,0,ROUND(AM201-AM202,1)),"n/p")</f>
        <v>0</v>
      </c>
      <c r="AN203" s="262">
        <f>IF(AND(ISNUMBER(AN201),ISNUMBER(AN202)),IF(ABS(AN201-AN202)&lt;=0.15,0,ROUND(AN201-AN202,1)),"n/p")</f>
        <v>0</v>
      </c>
      <c r="AO203" s="262">
        <f>IF(AND(ISNUMBER(AO201),ISNUMBER(AO202)),IF(ABS(AO201-AO202)&lt;=0.15,0,ROUND(AO201-AO202,1)),"n/p")</f>
        <v>0</v>
      </c>
      <c r="AP203" s="262">
        <f>IF(AND(ISNUMBER(AP201),ISNUMBER(AP202)),IF(ABS(AP201-AP202)&lt;=0.15,0,ROUND(AP201-AP202,1)),"n/p")</f>
        <v>0</v>
      </c>
      <c r="AQ203" s="262">
        <f>IF(AND(ISNUMBER(AQ201),ISNUMBER(AQ202)),IF(ABS(AQ201-AQ202)&lt;=0.15,0,ROUND(AQ201-AQ202,1)),"n/p")</f>
        <v>0</v>
      </c>
      <c r="AR203" s="262">
        <f>IF(AND(ISNUMBER(AR201),ISNUMBER(AR202)),IF(ABS(AR201-AR202)&lt;=0.15,0,ROUND(AR201-AR202,1)),"n/p")</f>
        <v>0</v>
      </c>
      <c r="AS203" s="262">
        <f>IF(AND(ISNUMBER(AS201),ISNUMBER(AS202)),IF(ABS(AS201-AS202)&lt;=0.15,0,ROUND(AS201-AS202,1)),"n/p")</f>
        <v>0</v>
      </c>
      <c r="AT203" s="262">
        <f>IF(AND(ISNUMBER(AT201),ISNUMBER(AT202)),IF(ABS(AT201-AT202)&lt;=0.15,0,ROUND(AT201-AT202,1)),"n/p")</f>
        <v>0</v>
      </c>
      <c r="AU203" s="262">
        <f>IF(AND(ISNUMBER(AU201),ISNUMBER(AU202)),IF(ABS(AU201-AU202)&lt;=0.15,0,ROUND(AU201-AU202,1)),"n/p")</f>
        <v>0</v>
      </c>
      <c r="AV203" s="262">
        <f>IF(AND(ISNUMBER(AV201),ISNUMBER(AV202)),IF(ABS(AV201-AV202)&lt;=0.15,0,ROUND(AV201-AV202,1)),"n/p")</f>
        <v>0</v>
      </c>
      <c r="AW203" s="262">
        <f>IF(AND(ISNUMBER(AW201),ISNUMBER(AW202)),IF(ABS(AW201-AW202)&lt;=0.15,0,ROUND(AW201-AW202,1)),"n/p")</f>
        <v>0</v>
      </c>
      <c r="AX203" s="262">
        <f>IF(AND(ISNUMBER(AX201),ISNUMBER(AX202)),IF(ABS(AX201-AX202)&lt;=0.15,0,ROUND(AX201-AX202,1)),"n/p")</f>
        <v>0</v>
      </c>
      <c r="AY203" s="262">
        <f>IF(AND(ISNUMBER(AY201),ISNUMBER(AY202)),IF(ABS(AY201-AY202)&lt;=0.15,0,ROUND(AY201-AY202,1)),"n/p")</f>
        <v>0</v>
      </c>
      <c r="AZ203" s="262">
        <f>IF(AND(ISNUMBER(AZ201),ISNUMBER(AZ202)),IF(ABS(AZ201-AZ202)&lt;=0.15,0,ROUND(AZ201-AZ202,1)),"n/p")</f>
        <v>0</v>
      </c>
      <c r="BA203" s="262">
        <f>IF(AND(ISNUMBER(BA201),ISNUMBER(BA202)),IF(ABS(BA201-BA202)&lt;=0.15,0,ROUND(BA201-BA202,1)),"n/p")</f>
        <v>0</v>
      </c>
      <c r="BB203" s="262">
        <f>IF(AND(ISNUMBER(BB201),ISNUMBER(BB202)),IF(ABS(BB201-BB202)&lt;=0.15,0,ROUND(BB201-BB202,1)),"n/p")</f>
        <v>0</v>
      </c>
      <c r="BC203" s="262">
        <f>IF(AND(ISNUMBER(BC201),ISNUMBER(BC202)),IF(ABS(BC201-BC202)&lt;=0.15,0,ROUND(BC201-BC202,1)),"n/p")</f>
        <v>0</v>
      </c>
      <c r="BD203" s="262">
        <f>IF(AND(ISNUMBER(BD201),ISNUMBER(BD202)),IF(ABS(BD201-BD202)&lt;=0.15,0,ROUND(BD201-BD202,1)),"n/p")</f>
        <v>0</v>
      </c>
      <c r="BE203" s="262">
        <f>IF(AND(ISNUMBER(BE201),ISNUMBER(BE202)),IF(ABS(BE201-BE202)&lt;=0.15,0,ROUND(BE201-BE202,1)),"n/p")</f>
        <v>0</v>
      </c>
      <c r="BF203" s="262">
        <f>IF(AND(ISNUMBER(BF201),ISNUMBER(BF202)),IF(ABS(BF201-BF202)&lt;=0.15,0,ROUND(BF201-BF202,1)),"n/p")</f>
        <v>0</v>
      </c>
      <c r="BG203" s="262">
        <f>IF(AND(ISNUMBER(BG201),ISNUMBER(BG202)),IF(ABS(BG201-BG202)&lt;=0.15,0,ROUND(BG201-BG202,1)),"n/p")</f>
        <v>0</v>
      </c>
      <c r="BH203" s="262">
        <f>IF(AND(ISNUMBER(BH201),ISNUMBER(BH202)),IF(ABS(BH201-BH202)&lt;=0.15,0,ROUND(BH201-BH202,1)),"n/p")</f>
        <v>0</v>
      </c>
      <c r="BI203" s="262">
        <f>IF(AND(ISNUMBER(BI201),ISNUMBER(BI202)),IF(ABS(BI201-BI202)&lt;=0.15,0,ROUND(BI201-BI202,1)),"n/p")</f>
        <v>0</v>
      </c>
      <c r="BJ203" s="262">
        <f>IF(AND(ISNUMBER(BJ201),ISNUMBER(BJ202)),IF(ABS(BJ201-BJ202)&lt;=0.15,0,ROUND(BJ201-BJ202,1)),"n/p")</f>
        <v>0</v>
      </c>
      <c r="BK203" s="262">
        <f>IF(AND(ISNUMBER(BK201),ISNUMBER(BK202)),IF(ABS(BK201-BK202)&lt;=0.15,0,ROUND(BK201-BK202,1)),"n/p")</f>
        <v>0</v>
      </c>
      <c r="BL203" s="262">
        <f>IF(AND(ISNUMBER(BL201),ISNUMBER(BL202)),IF(ABS(BL201-BL202)&lt;=0.15,0,ROUND(BL201-BL202,1)),"n/p")</f>
        <v>0</v>
      </c>
      <c r="BM203" s="262">
        <f>IF(AND(ISNUMBER(BM201),ISNUMBER(BM202)),IF(ABS(BM201-BM202)&lt;=0.15,0,ROUND(BM201-BM202,1)),"n/p")</f>
        <v>0</v>
      </c>
      <c r="BN203" s="262">
        <f>IF(AND(ISNUMBER(BN201),ISNUMBER(BN202)),IF(ABS(BN201-BN202)&lt;=0.15,0,ROUND(BN201-BN202,1)),"n/p")</f>
        <v>0</v>
      </c>
      <c r="BO203" s="262">
        <f>IF(AND(ISNUMBER(BO201),ISNUMBER(BO202)),IF(ABS(BO201-BO202)&lt;=0.15,0,ROUND(BO201-BO202,1)),"n/p")</f>
        <v>0</v>
      </c>
      <c r="BP203" s="262">
        <f>IF(AND(ISNUMBER(BP201),ISNUMBER(BP202)),IF(ABS(BP201-BP202)&lt;=0.15,0,ROUND(BP201-BP202,1)),"n/p")</f>
        <v>0</v>
      </c>
      <c r="BQ203" s="262">
        <f>IF(AND(ISNUMBER(BQ201),ISNUMBER(BQ202)),IF(ABS(BQ201-BQ202)&lt;=0.15,0,ROUND(BQ201-BQ202,1)),"n/p")</f>
        <v>0</v>
      </c>
      <c r="BR203" s="262">
        <f>IF(AND(ISNUMBER(BR201),ISNUMBER(BR202)),IF(ABS(BR201-BR202)&lt;=0.15,0,ROUND(BR201-BR202,1)),"n/p")</f>
        <v>0</v>
      </c>
      <c r="BS203" s="262">
        <f>IF(AND(ISNUMBER(BS201),ISNUMBER(BS202)),IF(ABS(BS201-BS202)&lt;=0.15,0,ROUND(BS201-BS202,1)),"n/p")</f>
        <v>0</v>
      </c>
      <c r="BT203" s="262">
        <f>IF(AND(ISNUMBER(BT201),ISNUMBER(BT202)),IF(ABS(BT201-BT202)&lt;=0.15,0,ROUND(BT201-BT202,1)),"n/p")</f>
        <v>0</v>
      </c>
      <c r="BU203" s="262">
        <f>IF(AND(ISNUMBER(BU201),ISNUMBER(BU202)),IF(ABS(BU201-BU202)&lt;=0.15,0,ROUND(BU201-BU202,1)),"n/p")</f>
        <v>0</v>
      </c>
      <c r="BV203" s="262">
        <f>IF(AND(ISNUMBER(BV201),ISNUMBER(BV202)),IF(ABS(BV201-BV202)&lt;=0.15,0,ROUND(BV201-BV202,1)),"n/p")</f>
        <v>0</v>
      </c>
      <c r="BW203" s="262">
        <f>IF(AND(ISNUMBER(BW201),ISNUMBER(BW202)),IF(ABS(BW201-BW202)&lt;=0.15,0,ROUND(BW201-BW202,1)),"n/p")</f>
        <v>0</v>
      </c>
      <c r="BX203" s="262">
        <f>IF(AND(ISNUMBER(BX201),ISNUMBER(BX202)),IF(ABS(BX201-BX202)&lt;=0.15,0,ROUND(BX201-BX202,1)),"n/p")</f>
        <v>0</v>
      </c>
      <c r="BY203" s="262">
        <f>IF(AND(ISNUMBER(BY201),ISNUMBER(BY202)),IF(ABS(BY201-BY202)&lt;=0.15,0,ROUND(BY201-BY202,1)),"n/p")</f>
        <v>0</v>
      </c>
      <c r="BZ203" s="153" t="n"/>
      <c r="CA203" s="153" t="n"/>
      <c r="CB203" s="153" t="n"/>
      <c r="CC203" s="153" t="n"/>
      <c r="CD203" s="153" t="n"/>
      <c r="CE203" s="153" t="n"/>
      <c r="CF203" s="153" t="n"/>
      <c r="CG203" s="153" t="n"/>
    </row>
    <row r="204" ht="15" customHeight="1" s="251">
      <c r="B204" s="25" t="inlineStr">
        <is>
          <t xml:space="preserve">  Weighted-average diluted shares (m)</t>
        </is>
      </c>
      <c r="C204" s="262">
        <f>IF(ISNUMBER(C153),C153,"")</f>
        <v>65.125</v>
      </c>
      <c r="D204" s="262">
        <f>IF(ISNUMBER(D153),D153,"")</f>
        <v>57.548</v>
      </c>
      <c r="E204" s="262">
        <f>IF(ISNUMBER(E153),E153,"")</f>
        <v>49.373</v>
      </c>
      <c r="F204" s="262">
        <f>IF(ISNUMBER(F153),F153,"")</f>
        <v>48.776</v>
      </c>
      <c r="G204" s="262">
        <f>IF(ISNUMBER(G153),G153,"")</f>
        <v>45.308</v>
      </c>
      <c r="H204" s="262">
        <f>IF(ISNUMBER(H153),H153,"")</f>
        <v>39.988</v>
      </c>
      <c r="I204" s="262">
        <f>IF(ISNUMBER(I153),I153,"")</f>
        <v>36.063</v>
      </c>
      <c r="J204" s="262">
        <f>IF(ISNUMBER(J153),J153,"")</f>
        <v>36.151</v>
      </c>
      <c r="K204" s="262">
        <f>IF(ISNUMBER(K153),K153,"")</f>
        <v>36.492</v>
      </c>
      <c r="L204" s="262">
        <f>IF(ISNUMBER(L153),L153,"")</f>
        <v>36.385</v>
      </c>
      <c r="M204" s="262">
        <f>IF(ISNUMBER(M153),M153,"")</f>
        <v>36.151</v>
      </c>
      <c r="N204" s="262">
        <f>IF(ISNUMBER(N153),N153,"")</f>
        <v>36.292</v>
      </c>
      <c r="O204" s="262">
        <f>IF(ISNUMBER(O153),O153,"")</f>
        <v>35.82</v>
      </c>
      <c r="P204" s="262">
        <f>IF(ISNUMBER(P153),P153,"")</f>
        <v>35.311</v>
      </c>
      <c r="Q204" s="262">
        <f>IF(ISNUMBER(Q153),Q153,"")</f>
        <v>35.162</v>
      </c>
      <c r="R204" s="262">
        <f>IF(ISNUMBER(R153),R153,"")</f>
        <v>33.217</v>
      </c>
      <c r="S204" s="262">
        <f>IF(ISNUMBER(S153),S153,"")</f>
        <v>34.864</v>
      </c>
      <c r="T204" s="262">
        <f>IF(ISNUMBER(T153),T153,"")</f>
        <v>33.128</v>
      </c>
      <c r="U204" s="262">
        <f>IF(ISNUMBER(U153),U153,"")</f>
        <v>32.448</v>
      </c>
      <c r="V204" s="262">
        <f>IF(ISNUMBER(V153),V153,"")</f>
        <v>32.363</v>
      </c>
      <c r="W204" s="262">
        <f>IF(ISNUMBER(W153),W153,"")</f>
        <v>32.494</v>
      </c>
      <c r="X204" s="262">
        <f>IF(ISNUMBER(X153),X153,"")</f>
        <v>32.609</v>
      </c>
      <c r="Y204" s="262">
        <f>IF(ISNUMBER(Y153),Y153,"")</f>
        <v>32.436</v>
      </c>
      <c r="Z204" s="262">
        <f>IF(ISNUMBER(Z153),Z153,"")</f>
        <v>32.262</v>
      </c>
      <c r="AA204" s="262">
        <f>IF(ISNUMBER(AA153),AA153,"")</f>
        <v>32.313</v>
      </c>
      <c r="AB204" s="262">
        <f>IF(ISNUMBER(AB153),AB153,"")</f>
        <v>32.221</v>
      </c>
      <c r="AC204" s="262">
        <f>IF(ISNUMBER(AC153),AC153,"")</f>
        <v>32.308</v>
      </c>
      <c r="AD204" s="262">
        <f>IF(ISNUMBER(AD153),AD153,"")</f>
        <v>32.536</v>
      </c>
      <c r="AE204" s="262">
        <f>IF(ISNUMBER(AE153),AE153,"")</f>
        <v>32.26</v>
      </c>
      <c r="AF204" s="262">
        <f>IF(ISNUMBER(AF153),AF153,"")</f>
        <v>32.224</v>
      </c>
      <c r="AG204" s="262">
        <f>IF(ISNUMBER(AG153),AG153,"")</f>
        <v>31.963</v>
      </c>
      <c r="AH204" s="262">
        <f>IF(ISNUMBER(AH153),AH153,"")</f>
        <v>32.245</v>
      </c>
      <c r="AI204" s="262">
        <f>IF(ISNUMBER(AI153),AI153,"")</f>
        <v>31.561</v>
      </c>
      <c r="AJ204" s="262">
        <f>IF(ISNUMBER(AJ153),AJ153,"")</f>
        <v>31.3</v>
      </c>
      <c r="AK204" s="262">
        <f>IF(ISNUMBER(AK153),AK153,"")</f>
        <v>31.161</v>
      </c>
      <c r="AL204" s="262">
        <f>IF(ISNUMBER(AL153),AL153,"")</f>
        <v>30.702</v>
      </c>
      <c r="AM204" s="262">
        <f>IF(ISNUMBER(AM153),AM153,"")</f>
        <v>31.18</v>
      </c>
      <c r="AN204" s="262">
        <f>IF(ISNUMBER(AN153),AN153,"")</f>
        <v>30.336</v>
      </c>
      <c r="AO204" s="262">
        <f>IF(ISNUMBER(AO153),AO153,"")</f>
        <v>30.259</v>
      </c>
      <c r="AP204" s="262">
        <f>IF(ISNUMBER(AP153),AP153,"")</f>
        <v>30.292</v>
      </c>
      <c r="AQ204" s="262">
        <f>IF(ISNUMBER(AQ153),AQ153,"")</f>
        <v>30.29</v>
      </c>
      <c r="AR204" s="262">
        <f>IF(ISNUMBER(AR153),AR153,"")</f>
        <v>30.294</v>
      </c>
      <c r="AS204" s="262">
        <f>IF(ISNUMBER(AS153),AS153,"")</f>
        <v>30.169</v>
      </c>
      <c r="AT204" s="262">
        <f>IF(ISNUMBER(AT153),AT153,"")</f>
        <v>29.985</v>
      </c>
      <c r="AU204" s="262">
        <f>IF(ISNUMBER(AU153),AU153,"")</f>
        <v>29.744</v>
      </c>
      <c r="AV204" s="262">
        <f>IF(ISNUMBER(AV153),AV153,"")</f>
        <v>29.833</v>
      </c>
      <c r="AW204" s="262">
        <f>IF(ISNUMBER(AW153),AW153,"")</f>
        <v>29.932</v>
      </c>
      <c r="AX204" s="262">
        <f>IF(ISNUMBER(AX153),AX153,"")</f>
        <v>29.789</v>
      </c>
      <c r="AY204" s="262">
        <f>IF(ISNUMBER(AY153),AY153,"")</f>
        <v>29.531</v>
      </c>
      <c r="AZ204" s="262">
        <f>IF(ISNUMBER(AZ153),AZ153,"")</f>
        <v>29.195</v>
      </c>
      <c r="BA204" s="262">
        <f>IF(ISNUMBER(BA153),BA153,"")</f>
        <v>28.531</v>
      </c>
      <c r="BB204" s="262">
        <f>IF(ISNUMBER(BB153),BB153,"")</f>
        <v>29.26</v>
      </c>
      <c r="BC204" s="262">
        <f>IF(ISNUMBER(BC153),BC153,"")</f>
        <v>27.524</v>
      </c>
      <c r="BD204" s="262">
        <f>IF(ISNUMBER(BD153),BD153,"")</f>
        <v>26.421</v>
      </c>
      <c r="BE204" s="262">
        <f>IF(ISNUMBER(BE153),BE153,"")</f>
        <v>25.867</v>
      </c>
      <c r="BF204" s="262">
        <f>IF(ISNUMBER(BF153),BF153,"")</f>
        <v>25.573</v>
      </c>
      <c r="BG204" s="262">
        <f>IF(ISNUMBER(BG153),BG153,"")</f>
        <v>26.347</v>
      </c>
      <c r="BH204" s="262">
        <f>IF(ISNUMBER(BH153),BH153,"")</f>
        <v>25.443</v>
      </c>
      <c r="BI204" s="262">
        <f>IF(ISNUMBER(BI153),BI153,"")</f>
        <v>25.419</v>
      </c>
      <c r="BJ204" s="262">
        <f>IF(ISNUMBER(BJ153),BJ153,"")</f>
        <v>25.337</v>
      </c>
      <c r="BK204" s="262">
        <f>IF(ISNUMBER(BK153),BK153,"")</f>
        <v>25.273</v>
      </c>
      <c r="BL204" s="262">
        <f>IF(ISNUMBER(BL153),BL153,"")</f>
        <v>25.367</v>
      </c>
      <c r="BM204" s="262">
        <f>IF(ISNUMBER(BM153),BM153,"")</f>
        <v>25.219</v>
      </c>
      <c r="BN204" s="262">
        <f>IF(ISNUMBER(BN153),BN153,"")</f>
        <v>25.154</v>
      </c>
      <c r="BO204" s="262">
        <f>IF(ISNUMBER(BO153),BO153,"")</f>
        <v>25.015</v>
      </c>
      <c r="BP204" s="262">
        <f>IF(ISNUMBER(BP153),BP153,"")</f>
        <v>24.95</v>
      </c>
      <c r="BQ204" s="262">
        <f>IF(ISNUMBER(BQ153),BQ153,"")</f>
        <v>25.079</v>
      </c>
      <c r="BR204" s="262">
        <f>IF(ISNUMBER(BR153),BR153,"")</f>
        <v>24.827</v>
      </c>
      <c r="BS204" s="262">
        <f>IF(ISNUMBER(BS153),BS153,"")</f>
        <v>24.685</v>
      </c>
      <c r="BT204" s="262">
        <f>IF(ISNUMBER(BT153),BT153,"")</f>
        <v>24.575</v>
      </c>
      <c r="BU204" s="262">
        <f>IF(ISNUMBER(BU153),BU153,"")</f>
        <v>24.16</v>
      </c>
      <c r="BV204" s="262">
        <f>IF(ISNUMBER(BV153),BV153,"")</f>
        <v>24.561</v>
      </c>
      <c r="BW204" s="262">
        <f>IF(ISNUMBER(BW153),BW153,"")</f>
        <v>23.958</v>
      </c>
      <c r="BX204" s="262">
        <f>IF(ISNUMBER(BX153),BX153,"")</f>
        <v>23.748</v>
      </c>
      <c r="BY204" s="262">
        <f>IF(ISNUMBER(BY153),BY153,"")</f>
        <v>22.703</v>
      </c>
      <c r="BZ204" s="254">
        <f>IF(ISNUMBER(BZ153),BZ153,"")</f>
        <v>21.3052972972973</v>
      </c>
      <c r="CA204" s="254">
        <f>IF(ISNUMBER(CA153),CA153,"")</f>
        <v>22.9285743243243</v>
      </c>
      <c r="CB204" s="254">
        <f>IF(ISNUMBER(CB153),CB153,"")</f>
        <v>20.4748887664363</v>
      </c>
      <c r="CC204" s="254">
        <f>IF(ISNUMBER(CC153),CC153,"")</f>
        <v>18.9182593532966</v>
      </c>
      <c r="CD204" s="254">
        <f>IF(ISNUMBER(CD153),CD153,"")</f>
        <v>16.9836537502718</v>
      </c>
      <c r="CE204" s="254">
        <f>IF(ISNUMBER(CE153),CE153,"")</f>
        <v>15.1164381557209</v>
      </c>
      <c r="CF204" s="254">
        <f>IF(ISNUMBER(CF153),CF153,"")</f>
        <v>13.3064473519616</v>
      </c>
      <c r="CG204" s="19" t="n"/>
    </row>
    <row r="205" ht="15" customHeight="1" s="251">
      <c r="B205" s="55" t="inlineStr">
        <is>
          <t>Non-GAAP diluted EPS ($) (model bridge)</t>
        </is>
      </c>
      <c r="C205" s="280">
        <f>IF(AND(ISNUMBER(C201),ISNUMBER(C204)),IFERROR(C201/C204,""),"")</f>
        <v>2.5371669865643</v>
      </c>
      <c r="D205" s="280">
        <f>IF(AND(ISNUMBER(D201),ISNUMBER(D204)),IFERROR(D201/D204,""),"")</f>
        <v>2.46446444707027</v>
      </c>
      <c r="E205" s="280">
        <f>IF(AND(ISNUMBER(E201),ISNUMBER(E204)),IFERROR(E201/E204,""),"")</f>
        <v>2.46778603690276</v>
      </c>
      <c r="F205" s="280">
        <f>IF(AND(ISNUMBER(F201),ISNUMBER(F204)),IFERROR(F201/F204,""),"")</f>
        <v>1.98337297031327</v>
      </c>
      <c r="G205" s="280">
        <f>IF(AND(ISNUMBER(G201),ISNUMBER(G204)),IFERROR(G201/G204,""),"")</f>
        <v>2.08086872075572</v>
      </c>
      <c r="H205" s="280">
        <f>IF(AND(ISNUMBER(H201),ISNUMBER(H204)),IFERROR(H201/H204,""),"")</f>
        <v>2.68065419625888</v>
      </c>
      <c r="I205" s="280">
        <f>IF(AND(ISNUMBER(I201),ISNUMBER(I204)),IFERROR(I201/I204,""),"")</f>
        <v>3.47453068241688</v>
      </c>
      <c r="J205" s="280">
        <f>IF(AND(ISNUMBER(J201),ISNUMBER(J204)),IFERROR(J201/J204,""),"")</f>
        <v>0.879975657658156</v>
      </c>
      <c r="K205" s="280">
        <f>IF(AND(ISNUMBER(K201),ISNUMBER(K204)),IFERROR(K201/K204,""),"")</f>
        <v>0.694700208264825</v>
      </c>
      <c r="L205" s="280">
        <f>IF(AND(ISNUMBER(L201),ISNUMBER(L204)),IFERROR(L201/L204,""),"")</f>
        <v>0.804205029545142</v>
      </c>
      <c r="M205" s="280">
        <f>IF(AND(ISNUMBER(M201),ISNUMBER(M204)),IFERROR(M201/M204,""),"")</f>
        <v>0.976930098752455</v>
      </c>
      <c r="N205" s="280">
        <f>IF(AND(ISNUMBER(N201),ISNUMBER(N204)),IFERROR(N201/N204,""),"")</f>
        <v>3.35448583709909</v>
      </c>
      <c r="O205" s="280">
        <f>IF(AND(ISNUMBER(O201),ISNUMBER(O204)),IFERROR(O201/O204,""),"")</f>
        <v>0.731127861529872</v>
      </c>
      <c r="P205" s="280">
        <f>IF(AND(ISNUMBER(P201),ISNUMBER(P204)),IFERROR(P201/P204,""),"")</f>
        <v>0.812466370252896</v>
      </c>
      <c r="Q205" s="280">
        <f>IF(AND(ISNUMBER(Q201),ISNUMBER(Q204)),IFERROR(Q201/Q204,""),"")</f>
        <v>0.831750184858654</v>
      </c>
      <c r="R205" s="280">
        <f>IF(AND(ISNUMBER(R201),ISNUMBER(R204)),IFERROR(R201/R204,""),"")</f>
        <v>1.33004184604269</v>
      </c>
      <c r="S205" s="280">
        <f>IF(AND(ISNUMBER(S201),ISNUMBER(S204)),IFERROR(S201/S204,""),"")</f>
        <v>3.68012849931161</v>
      </c>
      <c r="T205" s="280">
        <f>IF(AND(ISNUMBER(T201),ISNUMBER(T204)),IFERROR(T201/T204,""),"")</f>
        <v>0.682383482250664</v>
      </c>
      <c r="U205" s="280">
        <f>IF(AND(ISNUMBER(U201),ISNUMBER(U204)),IFERROR(U201/U204,""),"")</f>
        <v>0.914324457593688</v>
      </c>
      <c r="V205" s="280">
        <f>IF(AND(ISNUMBER(V201),ISNUMBER(V204)),IFERROR(V201/V204,""),"")</f>
        <v>0.997033649538053</v>
      </c>
      <c r="W205" s="280">
        <f>IF(AND(ISNUMBER(W201),ISNUMBER(W204)),IFERROR(W201/W204,""),"")</f>
        <v>1.56693543423401</v>
      </c>
      <c r="X205" s="280">
        <f>IF(AND(ISNUMBER(X201),ISNUMBER(X204)),IFERROR(X201/X204,""),"")</f>
        <v>4.15397589622497</v>
      </c>
      <c r="Y205" s="280">
        <f>IF(AND(ISNUMBER(Y201),ISNUMBER(Y204)),IFERROR(Y201/Y204,""),"")</f>
        <v>0.989856949068936</v>
      </c>
      <c r="Z205" s="280">
        <f>IF(AND(ISNUMBER(Z201),ISNUMBER(Z204)),IFERROR(Z201/Z204,""),"")</f>
        <v>1.08886615832868</v>
      </c>
      <c r="AA205" s="280">
        <f>IF(AND(ISNUMBER(AA201),ISNUMBER(AA204)),IFERROR(AA201/AA204,""),"")</f>
        <v>1.44913811778541</v>
      </c>
      <c r="AB205" s="280">
        <f>IF(AND(ISNUMBER(AB201),ISNUMBER(AB204)),IFERROR(AB201/AB204,""),"")</f>
        <v>1.28347971819621</v>
      </c>
      <c r="AC205" s="280">
        <f>IF(AND(ISNUMBER(AC201),ISNUMBER(AC204)),IFERROR(AC201/AC204,""),"")</f>
        <v>4.81048037637737</v>
      </c>
      <c r="AD205" s="280">
        <f>IF(AND(ISNUMBER(AD201),ISNUMBER(AD204)),IFERROR(AD201/AD204,""),"")</f>
        <v>1.02938283747234</v>
      </c>
      <c r="AE205" s="280">
        <f>IF(AND(ISNUMBER(AE201),ISNUMBER(AE204)),IFERROR(AE201/AE204,""),"")</f>
        <v>1.05282083075016</v>
      </c>
      <c r="AF205" s="280">
        <f>IF(AND(ISNUMBER(AF201),ISNUMBER(AF204)),IFERROR(AF201/AF204,""),"")</f>
        <v>1.16127730883813</v>
      </c>
      <c r="AG205" s="280">
        <f>IF(AND(ISNUMBER(AG201),ISNUMBER(AG204)),IFERROR(AG201/AG204,""),"")</f>
        <v>1.64937584081594</v>
      </c>
      <c r="AH205" s="280">
        <f>IF(AND(ISNUMBER(AH201),ISNUMBER(AH204)),IFERROR(AH201/AH204,""),"")</f>
        <v>4.88745541944487</v>
      </c>
      <c r="AI205" s="280">
        <f>IF(AND(ISNUMBER(AI201),ISNUMBER(AI204)),IFERROR(AI201/AI204,""),"")</f>
        <v>1.30366591679605</v>
      </c>
      <c r="AJ205" s="280">
        <f>IF(AND(ISNUMBER(AJ201),ISNUMBER(AJ204)),IFERROR(AJ201/AJ204,""),"")</f>
        <v>1.53782747603834</v>
      </c>
      <c r="AK205" s="280">
        <f>IF(AND(ISNUMBER(AK201),ISNUMBER(AK204)),IFERROR(AK201/AK204,""),"")</f>
        <v>1.5119861365168</v>
      </c>
      <c r="AL205" s="280">
        <f>IF(AND(ISNUMBER(AL201),ISNUMBER(AL204)),IFERROR(AL201/AL204,""),"")</f>
        <v>1.88681519119276</v>
      </c>
      <c r="AM205" s="280">
        <f>IF(AND(ISNUMBER(AM201),ISNUMBER(AM204)),IFERROR(AM201/AM204,""),"")</f>
        <v>6.23229634381014</v>
      </c>
      <c r="AN205" s="280">
        <f>IF(AND(ISNUMBER(AN201),ISNUMBER(AN204)),IFERROR(AN201/AN204,""),"")</f>
        <v>1.44748813291139</v>
      </c>
      <c r="AO205" s="280">
        <f>IF(AND(ISNUMBER(AO201),ISNUMBER(AO204)),IFERROR(AO201/AO204,""),"")</f>
        <v>1.56221289533692</v>
      </c>
      <c r="AP205" s="280">
        <f>IF(AND(ISNUMBER(AP201),ISNUMBER(AP204)),IFERROR(AP201/AP204,""),"")</f>
        <v>2.49623663013337</v>
      </c>
      <c r="AQ205" s="280">
        <f>IF(AND(ISNUMBER(AQ201),ISNUMBER(AQ204)),IFERROR(AQ201/AQ204,""),"")</f>
        <v>2.00792340706504</v>
      </c>
      <c r="AR205" s="280">
        <f>IF(AND(ISNUMBER(AR201),ISNUMBER(AR204)),IFERROR(AR201/AR204,""),"")</f>
        <v>7.51363306265267</v>
      </c>
      <c r="AS205" s="280">
        <f>IF(AND(ISNUMBER(AS201),ISNUMBER(AS204)),IFERROR(AS201/AS204,""),"")</f>
        <v>1.79608207100003</v>
      </c>
      <c r="AT205" s="280">
        <f>IF(AND(ISNUMBER(AT201),ISNUMBER(AT204)),IFERROR(AT201/AT204,""),"")</f>
        <v>2.14467233616808</v>
      </c>
      <c r="AU205" s="280">
        <f>IF(AND(ISNUMBER(AU201),ISNUMBER(AU204)),IFERROR(AU201/AU204,""),"")</f>
        <v>2.58028509951587</v>
      </c>
      <c r="AV205" s="280">
        <f>IF(AND(ISNUMBER(AV201),ISNUMBER(AV204)),IFERROR(AV201/AV204,""),"")</f>
        <v>3.25022625951128</v>
      </c>
      <c r="AW205" s="280">
        <f>IF(AND(ISNUMBER(AW201),ISNUMBER(AW204)),IFERROR(AW201/AW204,""),"")</f>
        <v>9.76232794333824</v>
      </c>
      <c r="AX205" s="280">
        <f>IF(AND(ISNUMBER(AX201),ISNUMBER(AX204)),IFERROR(AX201/AX204,""),"")</f>
        <v>2.73785625566484</v>
      </c>
      <c r="AY205" s="280">
        <f>IF(AND(ISNUMBER(AY201),ISNUMBER(AY204)),IFERROR(AY201/AY204,""),"")</f>
        <v>3.05526395990654</v>
      </c>
      <c r="AZ205" s="280">
        <f>IF(AND(ISNUMBER(AZ201),ISNUMBER(AZ204)),IFERROR(AZ201/AZ204,""),"")</f>
        <v>3.38393560541188</v>
      </c>
      <c r="BA205" s="280">
        <f>IF(AND(ISNUMBER(BA201),ISNUMBER(BA204)),IFERROR(BA201/BA204,""),"")</f>
        <v>3.92376713048964</v>
      </c>
      <c r="BB205" s="280">
        <f>IF(AND(ISNUMBER(BB201),ISNUMBER(BB204)),IFERROR(BB201/BB204,""),"")</f>
        <v>13.0733424470267</v>
      </c>
      <c r="BC205" s="280">
        <f>IF(AND(ISNUMBER(BC201),ISNUMBER(BC204)),IFERROR(BC201/BC204,""),"")</f>
        <v>3.70334980380759</v>
      </c>
      <c r="BD205" s="280">
        <f>IF(AND(ISNUMBER(BD201),ISNUMBER(BD204)),IFERROR(BD201/BD204,""),"")</f>
        <v>4.68150334960827</v>
      </c>
      <c r="BE205" s="280">
        <f>IF(AND(ISNUMBER(BE201),ISNUMBER(BE204)),IFERROR(BE201/BE204,""),"")</f>
        <v>4.47137279158774</v>
      </c>
      <c r="BF205" s="280">
        <f>IF(AND(ISNUMBER(BF201),ISNUMBER(BF204)),IFERROR(BF201/BF204,""),"")</f>
        <v>4.3989363782114</v>
      </c>
      <c r="BG205" s="280">
        <f>IF(AND(ISNUMBER(BG201),ISNUMBER(BG204)),IFERROR(BG201/BG204,""),"")</f>
        <v>17.2230614491213</v>
      </c>
      <c r="BH205" s="280">
        <f>IF(AND(ISNUMBER(BH201),ISNUMBER(BH204)),IFERROR(BH201/BH204,""),"")</f>
        <v>4.26290138741501</v>
      </c>
      <c r="BI205" s="280">
        <f>IF(AND(ISNUMBER(BI201),ISNUMBER(BI204)),IFERROR(BI201/BI204,""),"")</f>
        <v>4.77784334552894</v>
      </c>
      <c r="BJ205" s="280">
        <f>IF(AND(ISNUMBER(BJ201),ISNUMBER(BJ204)),IFERROR(BJ201/BJ204,""),"")</f>
        <v>5.65954927576272</v>
      </c>
      <c r="BK205" s="280">
        <f>IF(AND(ISNUMBER(BK201),ISNUMBER(BK204)),IFERROR(BK201/BK204,""),"")</f>
        <v>5.01499624104776</v>
      </c>
      <c r="BL205" s="280">
        <f>IF(AND(ISNUMBER(BL201),ISNUMBER(BL204)),IFERROR(BL201/BL204,""),"")</f>
        <v>19.712579335357</v>
      </c>
      <c r="BM205" s="280">
        <f>IF(AND(ISNUMBER(BM201),ISNUMBER(BM204)),IFERROR(BM201/BM204,""),"")</f>
        <v>4.80685197668425</v>
      </c>
      <c r="BN205" s="280">
        <f>IF(AND(ISNUMBER(BN201),ISNUMBER(BN204)),IFERROR(BN201/BN204,""),"")</f>
        <v>6.1418462272402</v>
      </c>
      <c r="BO205" s="280">
        <f>IF(AND(ISNUMBER(BO201),ISNUMBER(BO204)),IFERROR(BO201/BO204,""),"")</f>
        <v>6.25188886667999</v>
      </c>
      <c r="BP205" s="280">
        <f>IF(AND(ISNUMBER(BP201),ISNUMBER(BP204)),IFERROR(BP201/BP204,""),"")</f>
        <v>6.5411623246493</v>
      </c>
      <c r="BQ205" s="280">
        <f>IF(AND(ISNUMBER(BQ201),ISNUMBER(BQ204)),IFERROR(BQ201/BQ204,""),"")</f>
        <v>23.7373898480801</v>
      </c>
      <c r="BR205" s="280">
        <f>IF(AND(ISNUMBER(BR201),ISNUMBER(BR204)),IFERROR(BR201/BR204,""),"")</f>
        <v>5.79163813590043</v>
      </c>
      <c r="BS205" s="280">
        <f>IF(AND(ISNUMBER(BS201),ISNUMBER(BS204)),IFERROR(BS201/BS204,""),"")</f>
        <v>7.80591452298967</v>
      </c>
      <c r="BT205" s="280">
        <f>IF(AND(ISNUMBER(BT201),ISNUMBER(BT204)),IFERROR(BT201/BT204,""),"")</f>
        <v>8.56769074262462</v>
      </c>
      <c r="BU205" s="280">
        <f>IF(AND(ISNUMBER(BU201),ISNUMBER(BU204)),IFERROR(BU201/BU204,""),"")</f>
        <v>7.73812086092715</v>
      </c>
      <c r="BV205" s="280">
        <f>IF(AND(ISNUMBER(BV201),ISNUMBER(BV204)),IFERROR(BV201/BV204,""),"")</f>
        <v>29.8840845242458</v>
      </c>
      <c r="BW205" s="280">
        <f>IF(AND(ISNUMBER(BW201),ISNUMBER(BW204)),IFERROR(BW201/BW204,""),"")</f>
        <v>7.32991067701812</v>
      </c>
      <c r="BX205" s="280">
        <f>IF(AND(ISNUMBER(BX201),ISNUMBER(BX204)),IFERROR(BX201/BX204,""),"")</f>
        <v>12.4980629947785</v>
      </c>
      <c r="BY205" s="280">
        <f>IF(AND(ISNUMBER(BY201),ISNUMBER(BY204)),IFERROR(BY201/BY204,""),"")</f>
        <v>12.1836761661454</v>
      </c>
      <c r="BZ205" s="280">
        <f>IF(AND(ISNUMBER(BZ201),ISNUMBER(BZ204)),IFERROR(BZ201/BZ204,""),"")</f>
        <v>10.506279516197</v>
      </c>
      <c r="CA205" s="280">
        <f>IF(AND(ISNUMBER(CA201),ISNUMBER(CA204)),IFERROR(CA201/CA204,""),"")</f>
        <v>42.43</v>
      </c>
      <c r="CB205" s="280">
        <f>IF(AND(ISNUMBER(CB201),ISNUMBER(CB204)),IFERROR(CB201/CB204,""),"")</f>
        <v>53.452270511243</v>
      </c>
      <c r="CC205" s="280">
        <f>IF(AND(ISNUMBER(CC201),ISNUMBER(CC204)),IFERROR(CC201/CC204,""),"")</f>
        <v>66.171989073295</v>
      </c>
      <c r="CD205" s="280">
        <f>IF(AND(ISNUMBER(CD201),ISNUMBER(CD204)),IFERROR(CD201/CD204,""),"")</f>
        <v>79.832939834316</v>
      </c>
      <c r="CE205" s="280">
        <f>IF(AND(ISNUMBER(CE201),ISNUMBER(CE204)),IFERROR(CE201/CE204,""),"")</f>
        <v>97.5327287549824</v>
      </c>
      <c r="CF205" s="280">
        <f>IF(AND(ISNUMBER(CF201),ISNUMBER(CF204)),IFERROR(CF201/CF204,""),"")</f>
        <v>119.761434688098</v>
      </c>
      <c r="CG205" s="19" t="n"/>
      <c r="CI205" s="20">
        <f>IFERROR((CF205/CA205)^(1/5)-1,"n/m")</f>
        <v>0.230633665713383</v>
      </c>
      <c r="CJ205" s="20">
        <f>IFERROR((BV205/AW205)^(1/5)-1,"n/m")</f>
        <v>0.250769587103861</v>
      </c>
      <c r="CK205" s="20">
        <f>IFERROR((BV205/X205)^(1/10)-1,"n/m")</f>
        <v>0.218141105282151</v>
      </c>
      <c r="CL205" s="20">
        <f>IFERROR((BV205/C205)^(1/19)-1,"n/m")</f>
        <v>0.138605311666799</v>
      </c>
    </row>
    <row r="206" ht="15" customHeight="1" s="251">
      <c r="B206" s="156" t="inlineStr">
        <is>
          <t xml:space="preserve">  Company-published non-GAAP diluted EPS ($)</t>
        </is>
      </c>
      <c r="C206" s="27" t="n"/>
      <c r="D206" s="27" t="n"/>
      <c r="E206" s="27" t="n"/>
      <c r="F206" s="27" t="n"/>
      <c r="G206" s="27" t="n"/>
      <c r="H206" s="27" t="n"/>
      <c r="I206" s="27" t="n"/>
      <c r="J206" s="281" t="n">
        <v>0.88</v>
      </c>
      <c r="K206" s="281" t="n">
        <v>0.6899999999999999</v>
      </c>
      <c r="L206" s="281" t="n">
        <v>0.8</v>
      </c>
      <c r="M206" s="281" t="n">
        <v>0.98</v>
      </c>
      <c r="N206" s="281" t="n">
        <v>3.35</v>
      </c>
      <c r="O206" s="281" t="n">
        <v>0.73</v>
      </c>
      <c r="P206" s="281" t="n">
        <v>0.8100000000000001</v>
      </c>
      <c r="Q206" s="281" t="n">
        <v>0.83</v>
      </c>
      <c r="R206" s="281" t="n">
        <v>1.33</v>
      </c>
      <c r="S206" s="281" t="n">
        <v>3.68</v>
      </c>
      <c r="T206" s="281" t="n">
        <v>0.68</v>
      </c>
      <c r="U206" s="281" t="n">
        <v>0.91</v>
      </c>
      <c r="V206" s="281" t="n">
        <v>1</v>
      </c>
      <c r="W206" s="281" t="n">
        <v>1.57</v>
      </c>
      <c r="X206" s="281" t="n">
        <v>4.15</v>
      </c>
      <c r="Y206" s="281" t="n">
        <v>0.99</v>
      </c>
      <c r="Z206" s="281" t="n">
        <v>1.09</v>
      </c>
      <c r="AA206" s="281" t="n">
        <v>1.45</v>
      </c>
      <c r="AB206" s="281" t="n">
        <v>1.28</v>
      </c>
      <c r="AC206" s="281" t="n">
        <v>4.81</v>
      </c>
      <c r="AD206" s="281" t="n">
        <v>1.03</v>
      </c>
      <c r="AE206" s="281" t="n">
        <v>1.05</v>
      </c>
      <c r="AF206" s="281" t="n">
        <v>1.16</v>
      </c>
      <c r="AG206" s="281" t="n">
        <v>1.65</v>
      </c>
      <c r="AH206" s="281" t="n">
        <v>4.89</v>
      </c>
      <c r="AI206" s="281" t="n">
        <v>1.3</v>
      </c>
      <c r="AJ206" s="281" t="n">
        <v>1.54</v>
      </c>
      <c r="AK206" s="281" t="n">
        <v>1.51</v>
      </c>
      <c r="AL206" s="281" t="n">
        <v>1.89</v>
      </c>
      <c r="AM206" s="281" t="n">
        <v>6.23</v>
      </c>
      <c r="AN206" s="281" t="n">
        <v>1.45</v>
      </c>
      <c r="AO206" s="281" t="n">
        <v>1.56</v>
      </c>
      <c r="AP206" s="281" t="n">
        <v>2.5</v>
      </c>
      <c r="AQ206" s="281" t="n">
        <v>2.01</v>
      </c>
      <c r="AR206" s="281" t="n">
        <v>7.51</v>
      </c>
      <c r="AS206" s="281" t="n">
        <v>1.8</v>
      </c>
      <c r="AT206" s="281" t="n">
        <v>2.14</v>
      </c>
      <c r="AU206" s="281" t="n">
        <v>2.58</v>
      </c>
      <c r="AV206" s="281" t="n">
        <v>3.25</v>
      </c>
      <c r="AW206" s="281" t="n">
        <v>9.76</v>
      </c>
      <c r="AX206" s="281" t="n">
        <v>2.74</v>
      </c>
      <c r="AY206" s="281" t="n">
        <v>3.06</v>
      </c>
      <c r="AZ206" s="281" t="n">
        <v>3.38</v>
      </c>
      <c r="BA206" s="281" t="n">
        <v>3.92</v>
      </c>
      <c r="BB206" s="281" t="n">
        <v>13.07</v>
      </c>
      <c r="BC206" s="281" t="n">
        <v>3.7</v>
      </c>
      <c r="BD206" s="281" t="n">
        <v>4.68</v>
      </c>
      <c r="BE206" s="281" t="n">
        <v>4.47</v>
      </c>
      <c r="BF206" s="281" t="n">
        <v>4.4</v>
      </c>
      <c r="BG206" s="281" t="n">
        <v>17.22</v>
      </c>
      <c r="BH206" s="281" t="n">
        <v>4.26</v>
      </c>
      <c r="BI206" s="281" t="n">
        <v>4.78</v>
      </c>
      <c r="BJ206" s="281" t="n">
        <v>5.66</v>
      </c>
      <c r="BK206" s="281" t="n">
        <v>5.01</v>
      </c>
      <c r="BL206" s="281" t="n">
        <v>19.71</v>
      </c>
      <c r="BM206" s="281" t="n">
        <v>4.81</v>
      </c>
      <c r="BN206" s="281" t="n">
        <v>6.14</v>
      </c>
      <c r="BO206" s="281" t="n">
        <v>6.25</v>
      </c>
      <c r="BP206" s="281" t="n">
        <v>6.54</v>
      </c>
      <c r="BQ206" s="281" t="n">
        <v>23.74</v>
      </c>
      <c r="BR206" s="281" t="n">
        <v>5.79</v>
      </c>
      <c r="BS206" s="281" t="n">
        <v>7.81</v>
      </c>
      <c r="BT206" s="281" t="n">
        <v>8.57</v>
      </c>
      <c r="BU206" s="281" t="n">
        <v>7.74</v>
      </c>
      <c r="BV206" s="281" t="n">
        <v>29.88</v>
      </c>
      <c r="BW206" s="281" t="n">
        <v>7.33</v>
      </c>
      <c r="BX206" s="281" t="n">
        <v>12.5</v>
      </c>
      <c r="BY206" s="281" t="n">
        <v>12.18</v>
      </c>
      <c r="BZ206" s="153" t="n"/>
      <c r="CA206" s="153" t="n"/>
      <c r="CB206" s="153" t="n"/>
      <c r="CC206" s="153" t="n"/>
      <c r="CD206" s="153" t="n"/>
      <c r="CE206" s="153" t="n"/>
      <c r="CF206" s="153" t="n"/>
      <c r="CG206" s="153" t="n"/>
    </row>
    <row r="207" ht="15" customHeight="1" s="251">
      <c r="B207" s="57" t="inlineStr">
        <is>
          <t xml:space="preserve">  Check: model vs company-published (should be 0.00; ±0.015 — shares printed in thousands)</t>
        </is>
      </c>
      <c r="C207" s="282" t="str">
        <f>IF(AND(ISNUMBER(C206),ISNUMBER(C205)),IF(ABS(C205-C206)&lt;=0.0151,0,ROUND(C205-C206,2)),"n/p")</f>
        <v>n/p</v>
      </c>
      <c r="D207" s="282" t="str">
        <f>IF(AND(ISNUMBER(D206),ISNUMBER(D205)),IF(ABS(D205-D206)&lt;=0.0151,0,ROUND(D205-D206,2)),"n/p")</f>
        <v>n/p</v>
      </c>
      <c r="E207" s="282" t="str">
        <f>IF(AND(ISNUMBER(E206),ISNUMBER(E205)),IF(ABS(E205-E206)&lt;=0.0151,0,ROUND(E205-E206,2)),"n/p")</f>
        <v>n/p</v>
      </c>
      <c r="F207" s="282" t="str">
        <f>IF(AND(ISNUMBER(F206),ISNUMBER(F205)),IF(ABS(F205-F206)&lt;=0.0151,0,ROUND(F205-F206,2)),"n/p")</f>
        <v>n/p</v>
      </c>
      <c r="G207" s="282" t="str">
        <f>IF(AND(ISNUMBER(G206),ISNUMBER(G205)),IF(ABS(G205-G206)&lt;=0.0151,0,ROUND(G205-G206,2)),"n/p")</f>
        <v>n/p</v>
      </c>
      <c r="H207" s="282" t="str">
        <f>IF(AND(ISNUMBER(H206),ISNUMBER(H205)),IF(ABS(H205-H206)&lt;=0.0151,0,ROUND(H205-H206,2)),"n/p")</f>
        <v>n/p</v>
      </c>
      <c r="I207" s="282" t="str">
        <f>IF(AND(ISNUMBER(I206),ISNUMBER(I205)),IF(ABS(I205-I206)&lt;=0.0151,0,ROUND(I205-I206,2)),"n/p")</f>
        <v>n/p</v>
      </c>
      <c r="J207" s="282">
        <f>IF(AND(ISNUMBER(J206),ISNUMBER(J205)),IF(ABS(J205-J206)&lt;=0.0151,0,ROUND(J205-J206,2)),"n/p")</f>
        <v>0</v>
      </c>
      <c r="K207" s="282">
        <f>IF(AND(ISNUMBER(K206),ISNUMBER(K205)),IF(ABS(K205-K206)&lt;=0.0151,0,ROUND(K205-K206,2)),"n/p")</f>
        <v>0</v>
      </c>
      <c r="L207" s="282">
        <f>IF(AND(ISNUMBER(L206),ISNUMBER(L205)),IF(ABS(L205-L206)&lt;=0.0151,0,ROUND(L205-L206,2)),"n/p")</f>
        <v>0</v>
      </c>
      <c r="M207" s="282">
        <f>IF(AND(ISNUMBER(M206),ISNUMBER(M205)),IF(ABS(M205-M206)&lt;=0.0151,0,ROUND(M205-M206,2)),"n/p")</f>
        <v>0</v>
      </c>
      <c r="N207" s="282">
        <f>IF(AND(ISNUMBER(N206),ISNUMBER(N205)),IF(ABS(N205-N206)&lt;=0.0151,0,ROUND(N205-N206,2)),"n/p")</f>
        <v>0</v>
      </c>
      <c r="O207" s="282">
        <f>IF(AND(ISNUMBER(O206),ISNUMBER(O205)),IF(ABS(O205-O206)&lt;=0.0151,0,ROUND(O205-O206,2)),"n/p")</f>
        <v>0</v>
      </c>
      <c r="P207" s="282">
        <f>IF(AND(ISNUMBER(P206),ISNUMBER(P205)),IF(ABS(P205-P206)&lt;=0.0151,0,ROUND(P205-P206,2)),"n/p")</f>
        <v>0</v>
      </c>
      <c r="Q207" s="282">
        <f>IF(AND(ISNUMBER(Q206),ISNUMBER(Q205)),IF(ABS(Q205-Q206)&lt;=0.0151,0,ROUND(Q205-Q206,2)),"n/p")</f>
        <v>0</v>
      </c>
      <c r="R207" s="282">
        <f>IF(AND(ISNUMBER(R206),ISNUMBER(R205)),IF(ABS(R205-R206)&lt;=0.0151,0,ROUND(R205-R206,2)),"n/p")</f>
        <v>0</v>
      </c>
      <c r="S207" s="282">
        <f>IF(AND(ISNUMBER(S206),ISNUMBER(S205)),IF(ABS(S205-S206)&lt;=0.0151,0,ROUND(S205-S206,2)),"n/p")</f>
        <v>0</v>
      </c>
      <c r="T207" s="282">
        <f>IF(AND(ISNUMBER(T206),ISNUMBER(T205)),IF(ABS(T205-T206)&lt;=0.0151,0,ROUND(T205-T206,2)),"n/p")</f>
        <v>0</v>
      </c>
      <c r="U207" s="282">
        <f>IF(AND(ISNUMBER(U206),ISNUMBER(U205)),IF(ABS(U205-U206)&lt;=0.0151,0,ROUND(U205-U206,2)),"n/p")</f>
        <v>0</v>
      </c>
      <c r="V207" s="282">
        <f>IF(AND(ISNUMBER(V206),ISNUMBER(V205)),IF(ABS(V205-V206)&lt;=0.0151,0,ROUND(V205-V206,2)),"n/p")</f>
        <v>0</v>
      </c>
      <c r="W207" s="282">
        <f>IF(AND(ISNUMBER(W206),ISNUMBER(W205)),IF(ABS(W205-W206)&lt;=0.0151,0,ROUND(W205-W206,2)),"n/p")</f>
        <v>0</v>
      </c>
      <c r="X207" s="282">
        <f>IF(AND(ISNUMBER(X206),ISNUMBER(X205)),IF(ABS(X205-X206)&lt;=0.0151,0,ROUND(X205-X206,2)),"n/p")</f>
        <v>0</v>
      </c>
      <c r="Y207" s="282">
        <f>IF(AND(ISNUMBER(Y206),ISNUMBER(Y205)),IF(ABS(Y205-Y206)&lt;=0.0151,0,ROUND(Y205-Y206,2)),"n/p")</f>
        <v>0</v>
      </c>
      <c r="Z207" s="282">
        <f>IF(AND(ISNUMBER(Z206),ISNUMBER(Z205)),IF(ABS(Z205-Z206)&lt;=0.0151,0,ROUND(Z205-Z206,2)),"n/p")</f>
        <v>0</v>
      </c>
      <c r="AA207" s="282">
        <f>IF(AND(ISNUMBER(AA206),ISNUMBER(AA205)),IF(ABS(AA205-AA206)&lt;=0.0151,0,ROUND(AA205-AA206,2)),"n/p")</f>
        <v>0</v>
      </c>
      <c r="AB207" s="282">
        <f>IF(AND(ISNUMBER(AB206),ISNUMBER(AB205)),IF(ABS(AB205-AB206)&lt;=0.0151,0,ROUND(AB205-AB206,2)),"n/p")</f>
        <v>0</v>
      </c>
      <c r="AC207" s="282">
        <f>IF(AND(ISNUMBER(AC206),ISNUMBER(AC205)),IF(ABS(AC205-AC206)&lt;=0.0151,0,ROUND(AC205-AC206,2)),"n/p")</f>
        <v>0</v>
      </c>
      <c r="AD207" s="282">
        <f>IF(AND(ISNUMBER(AD206),ISNUMBER(AD205)),IF(ABS(AD205-AD206)&lt;=0.0151,0,ROUND(AD205-AD206,2)),"n/p")</f>
        <v>0</v>
      </c>
      <c r="AE207" s="282">
        <f>IF(AND(ISNUMBER(AE206),ISNUMBER(AE205)),IF(ABS(AE205-AE206)&lt;=0.0151,0,ROUND(AE205-AE206,2)),"n/p")</f>
        <v>0</v>
      </c>
      <c r="AF207" s="282">
        <f>IF(AND(ISNUMBER(AF206),ISNUMBER(AF205)),IF(ABS(AF205-AF206)&lt;=0.0151,0,ROUND(AF205-AF206,2)),"n/p")</f>
        <v>0</v>
      </c>
      <c r="AG207" s="282">
        <f>IF(AND(ISNUMBER(AG206),ISNUMBER(AG205)),IF(ABS(AG205-AG206)&lt;=0.0151,0,ROUND(AG205-AG206,2)),"n/p")</f>
        <v>0</v>
      </c>
      <c r="AH207" s="282">
        <f>IF(AND(ISNUMBER(AH206),ISNUMBER(AH205)),IF(ABS(AH205-AH206)&lt;=0.0151,0,ROUND(AH205-AH206,2)),"n/p")</f>
        <v>0</v>
      </c>
      <c r="AI207" s="282">
        <f>IF(AND(ISNUMBER(AI206),ISNUMBER(AI205)),IF(ABS(AI205-AI206)&lt;=0.0151,0,ROUND(AI205-AI206,2)),"n/p")</f>
        <v>0</v>
      </c>
      <c r="AJ207" s="282">
        <f>IF(AND(ISNUMBER(AJ206),ISNUMBER(AJ205)),IF(ABS(AJ205-AJ206)&lt;=0.0151,0,ROUND(AJ205-AJ206,2)),"n/p")</f>
        <v>0</v>
      </c>
      <c r="AK207" s="282">
        <f>IF(AND(ISNUMBER(AK206),ISNUMBER(AK205)),IF(ABS(AK205-AK206)&lt;=0.0151,0,ROUND(AK205-AK206,2)),"n/p")</f>
        <v>0</v>
      </c>
      <c r="AL207" s="282">
        <f>IF(AND(ISNUMBER(AL206),ISNUMBER(AL205)),IF(ABS(AL205-AL206)&lt;=0.0151,0,ROUND(AL205-AL206,2)),"n/p")</f>
        <v>0</v>
      </c>
      <c r="AM207" s="282">
        <f>IF(AND(ISNUMBER(AM206),ISNUMBER(AM205)),IF(ABS(AM205-AM206)&lt;=0.0151,0,ROUND(AM205-AM206,2)),"n/p")</f>
        <v>0</v>
      </c>
      <c r="AN207" s="282">
        <f>IF(AND(ISNUMBER(AN206),ISNUMBER(AN205)),IF(ABS(AN205-AN206)&lt;=0.0151,0,ROUND(AN205-AN206,2)),"n/p")</f>
        <v>0</v>
      </c>
      <c r="AO207" s="282">
        <f>IF(AND(ISNUMBER(AO206),ISNUMBER(AO205)),IF(ABS(AO205-AO206)&lt;=0.0151,0,ROUND(AO205-AO206,2)),"n/p")</f>
        <v>0</v>
      </c>
      <c r="AP207" s="282">
        <f>IF(AND(ISNUMBER(AP206),ISNUMBER(AP205)),IF(ABS(AP205-AP206)&lt;=0.0151,0,ROUND(AP205-AP206,2)),"n/p")</f>
        <v>0</v>
      </c>
      <c r="AQ207" s="282">
        <f>IF(AND(ISNUMBER(AQ206),ISNUMBER(AQ205)),IF(ABS(AQ205-AQ206)&lt;=0.0151,0,ROUND(AQ205-AQ206,2)),"n/p")</f>
        <v>0</v>
      </c>
      <c r="AR207" s="282">
        <f>IF(AND(ISNUMBER(AR206),ISNUMBER(AR205)),IF(ABS(AR205-AR206)&lt;=0.0151,0,ROUND(AR205-AR206,2)),"n/p")</f>
        <v>0</v>
      </c>
      <c r="AS207" s="282">
        <f>IF(AND(ISNUMBER(AS206),ISNUMBER(AS205)),IF(ABS(AS205-AS206)&lt;=0.0151,0,ROUND(AS205-AS206,2)),"n/p")</f>
        <v>0</v>
      </c>
      <c r="AT207" s="282">
        <f>IF(AND(ISNUMBER(AT206),ISNUMBER(AT205)),IF(ABS(AT205-AT206)&lt;=0.0151,0,ROUND(AT205-AT206,2)),"n/p")</f>
        <v>0</v>
      </c>
      <c r="AU207" s="282">
        <f>IF(AND(ISNUMBER(AU206),ISNUMBER(AU205)),IF(ABS(AU205-AU206)&lt;=0.0151,0,ROUND(AU205-AU206,2)),"n/p")</f>
        <v>0</v>
      </c>
      <c r="AV207" s="282">
        <f>IF(AND(ISNUMBER(AV206),ISNUMBER(AV205)),IF(ABS(AV205-AV206)&lt;=0.0151,0,ROUND(AV205-AV206,2)),"n/p")</f>
        <v>0</v>
      </c>
      <c r="AW207" s="282">
        <f>IF(AND(ISNUMBER(AW206),ISNUMBER(AW205)),IF(ABS(AW205-AW206)&lt;=0.0151,0,ROUND(AW205-AW206,2)),"n/p")</f>
        <v>0</v>
      </c>
      <c r="AX207" s="282">
        <f>IF(AND(ISNUMBER(AX206),ISNUMBER(AX205)),IF(ABS(AX205-AX206)&lt;=0.0151,0,ROUND(AX205-AX206,2)),"n/p")</f>
        <v>0</v>
      </c>
      <c r="AY207" s="282">
        <f>IF(AND(ISNUMBER(AY206),ISNUMBER(AY205)),IF(ABS(AY205-AY206)&lt;=0.0151,0,ROUND(AY205-AY206,2)),"n/p")</f>
        <v>0</v>
      </c>
      <c r="AZ207" s="282">
        <f>IF(AND(ISNUMBER(AZ206),ISNUMBER(AZ205)),IF(ABS(AZ205-AZ206)&lt;=0.0151,0,ROUND(AZ205-AZ206,2)),"n/p")</f>
        <v>0</v>
      </c>
      <c r="BA207" s="282">
        <f>IF(AND(ISNUMBER(BA206),ISNUMBER(BA205)),IF(ABS(BA205-BA206)&lt;=0.0151,0,ROUND(BA205-BA206,2)),"n/p")</f>
        <v>0</v>
      </c>
      <c r="BB207" s="282">
        <f>IF(AND(ISNUMBER(BB206),ISNUMBER(BB205)),IF(ABS(BB205-BB206)&lt;=0.0151,0,ROUND(BB205-BB206,2)),"n/p")</f>
        <v>0</v>
      </c>
      <c r="BC207" s="282">
        <f>IF(AND(ISNUMBER(BC206),ISNUMBER(BC205)),IF(ABS(BC205-BC206)&lt;=0.0151,0,ROUND(BC205-BC206,2)),"n/p")</f>
        <v>0</v>
      </c>
      <c r="BD207" s="282">
        <f>IF(AND(ISNUMBER(BD206),ISNUMBER(BD205)),IF(ABS(BD205-BD206)&lt;=0.0151,0,ROUND(BD205-BD206,2)),"n/p")</f>
        <v>0</v>
      </c>
      <c r="BE207" s="282">
        <f>IF(AND(ISNUMBER(BE206),ISNUMBER(BE205)),IF(ABS(BE205-BE206)&lt;=0.0151,0,ROUND(BE205-BE206,2)),"n/p")</f>
        <v>0</v>
      </c>
      <c r="BF207" s="282">
        <f>IF(AND(ISNUMBER(BF206),ISNUMBER(BF205)),IF(ABS(BF205-BF206)&lt;=0.0151,0,ROUND(BF205-BF206,2)),"n/p")</f>
        <v>0</v>
      </c>
      <c r="BG207" s="282">
        <f>IF(AND(ISNUMBER(BG206),ISNUMBER(BG205)),IF(ABS(BG205-BG206)&lt;=0.0151,0,ROUND(BG205-BG206,2)),"n/p")</f>
        <v>0</v>
      </c>
      <c r="BH207" s="282">
        <f>IF(AND(ISNUMBER(BH206),ISNUMBER(BH205)),IF(ABS(BH205-BH206)&lt;=0.0151,0,ROUND(BH205-BH206,2)),"n/p")</f>
        <v>0</v>
      </c>
      <c r="BI207" s="282">
        <f>IF(AND(ISNUMBER(BI206),ISNUMBER(BI205)),IF(ABS(BI205-BI206)&lt;=0.0151,0,ROUND(BI205-BI206,2)),"n/p")</f>
        <v>0</v>
      </c>
      <c r="BJ207" s="282">
        <f>IF(AND(ISNUMBER(BJ206),ISNUMBER(BJ205)),IF(ABS(BJ205-BJ206)&lt;=0.0151,0,ROUND(BJ205-BJ206,2)),"n/p")</f>
        <v>0</v>
      </c>
      <c r="BK207" s="282">
        <f>IF(AND(ISNUMBER(BK206),ISNUMBER(BK205)),IF(ABS(BK205-BK206)&lt;=0.0151,0,ROUND(BK205-BK206,2)),"n/p")</f>
        <v>0</v>
      </c>
      <c r="BL207" s="282">
        <f>IF(AND(ISNUMBER(BL206),ISNUMBER(BL205)),IF(ABS(BL205-BL206)&lt;=0.0151,0,ROUND(BL205-BL206,2)),"n/p")</f>
        <v>0</v>
      </c>
      <c r="BM207" s="282">
        <f>IF(AND(ISNUMBER(BM206),ISNUMBER(BM205)),IF(ABS(BM205-BM206)&lt;=0.0151,0,ROUND(BM205-BM206,2)),"n/p")</f>
        <v>0</v>
      </c>
      <c r="BN207" s="282">
        <f>IF(AND(ISNUMBER(BN206),ISNUMBER(BN205)),IF(ABS(BN205-BN206)&lt;=0.0151,0,ROUND(BN205-BN206,2)),"n/p")</f>
        <v>0</v>
      </c>
      <c r="BO207" s="282">
        <f>IF(AND(ISNUMBER(BO206),ISNUMBER(BO205)),IF(ABS(BO205-BO206)&lt;=0.0151,0,ROUND(BO205-BO206,2)),"n/p")</f>
        <v>0</v>
      </c>
      <c r="BP207" s="282">
        <f>IF(AND(ISNUMBER(BP206),ISNUMBER(BP205)),IF(ABS(BP205-BP206)&lt;=0.0151,0,ROUND(BP205-BP206,2)),"n/p")</f>
        <v>0</v>
      </c>
      <c r="BQ207" s="282">
        <f>IF(AND(ISNUMBER(BQ206),ISNUMBER(BQ205)),IF(ABS(BQ205-BQ206)&lt;=0.0151,0,ROUND(BQ205-BQ206,2)),"n/p")</f>
        <v>0</v>
      </c>
      <c r="BR207" s="282">
        <f>IF(AND(ISNUMBER(BR206),ISNUMBER(BR205)),IF(ABS(BR205-BR206)&lt;=0.0151,0,ROUND(BR205-BR206,2)),"n/p")</f>
        <v>0</v>
      </c>
      <c r="BS207" s="282">
        <f>IF(AND(ISNUMBER(BS206),ISNUMBER(BS205)),IF(ABS(BS205-BS206)&lt;=0.0151,0,ROUND(BS205-BS206,2)),"n/p")</f>
        <v>0</v>
      </c>
      <c r="BT207" s="282">
        <f>IF(AND(ISNUMBER(BT206),ISNUMBER(BT205)),IF(ABS(BT205-BT206)&lt;=0.0151,0,ROUND(BT205-BT206,2)),"n/p")</f>
        <v>0</v>
      </c>
      <c r="BU207" s="282">
        <f>IF(AND(ISNUMBER(BU206),ISNUMBER(BU205)),IF(ABS(BU205-BU206)&lt;=0.0151,0,ROUND(BU205-BU206,2)),"n/p")</f>
        <v>0</v>
      </c>
      <c r="BV207" s="282">
        <f>IF(AND(ISNUMBER(BV206),ISNUMBER(BV205)),IF(ABS(BV205-BV206)&lt;=0.0151,0,ROUND(BV205-BV206,2)),"n/p")</f>
        <v>0</v>
      </c>
      <c r="BW207" s="282">
        <f>IF(AND(ISNUMBER(BW206),ISNUMBER(BW205)),IF(ABS(BW205-BW206)&lt;=0.0151,0,ROUND(BW205-BW206,2)),"n/p")</f>
        <v>0</v>
      </c>
      <c r="BX207" s="282">
        <f>IF(AND(ISNUMBER(BX206),ISNUMBER(BX205)),IF(ABS(BX205-BX206)&lt;=0.0151,0,ROUND(BX205-BX206,2)),"n/p")</f>
        <v>0</v>
      </c>
      <c r="BY207" s="282">
        <f>IF(AND(ISNUMBER(BY206),ISNUMBER(BY205)),IF(ABS(BY205-BY206)&lt;=0.0151,0,ROUND(BY205-BY206,2)),"n/p")</f>
        <v>0</v>
      </c>
      <c r="BZ207" s="153" t="n"/>
      <c r="CA207" s="153" t="n"/>
      <c r="CB207" s="153" t="n"/>
      <c r="CC207" s="153" t="n"/>
      <c r="CD207" s="153" t="n"/>
      <c r="CE207" s="153" t="n"/>
      <c r="CF207" s="153" t="n"/>
      <c r="CG207" s="153" t="n"/>
    </row>
    <row r="208" ht="15" customHeight="1" s="251">
      <c r="B208" s="22" t="inlineStr">
        <is>
          <t xml:space="preserve">  Non-GAAP EPS y/y %</t>
        </is>
      </c>
      <c r="C208" s="23" t="n"/>
      <c r="D208" s="255">
        <f>IF(AND(ISNUMBER(D205),ISNUMBER(C205)),IFERROR(D205/C205-1,""),"")</f>
        <v>-0.0286550076833845</v>
      </c>
      <c r="E208" s="255">
        <f>IF(AND(ISNUMBER(E205),ISNUMBER(D205)),IFERROR(E205/D205-1,""),"")</f>
        <v>0.00134779377176231</v>
      </c>
      <c r="F208" s="255">
        <f>IF(AND(ISNUMBER(F205),ISNUMBER(E205)),IFERROR(F205/E205-1,""),"")</f>
        <v>-0.196294597402562</v>
      </c>
      <c r="G208" s="255">
        <f>IF(AND(ISNUMBER(G205),ISNUMBER(F205)),IFERROR(G205/F205-1,""),"")</f>
        <v>0.0491565388364885</v>
      </c>
      <c r="H208" s="255">
        <f>IF(AND(ISNUMBER(H205),ISNUMBER(G205)),IFERROR(H205/G205-1,""),"")</f>
        <v>0.288238017862719</v>
      </c>
      <c r="I208" s="255">
        <f>IF(AND(ISNUMBER(I205),ISNUMBER(H205)),IFERROR(I205/H205-1,""),"")</f>
        <v>0.29615027826638</v>
      </c>
      <c r="J208" s="23" t="n"/>
      <c r="K208" s="23" t="n"/>
      <c r="L208" s="23" t="n"/>
      <c r="M208" s="23" t="n"/>
      <c r="N208" s="255">
        <f>IF(AND(ISNUMBER(N205),ISNUMBER(I205)),IFERROR(N205/I205-1,""),"")</f>
        <v>-0.034549945385514</v>
      </c>
      <c r="O208" s="255">
        <f>IF(AND(ISNUMBER(O205),ISNUMBER(J205)),IFERROR(O205/J205-1,""),"")</f>
        <v>-0.169149901855703</v>
      </c>
      <c r="P208" s="255">
        <f>IF(AND(ISNUMBER(P205),ISNUMBER(K205)),IFERROR(P205/K205-1,""),"")</f>
        <v>0.169520838754632</v>
      </c>
      <c r="Q208" s="255">
        <f>IF(AND(ISNUMBER(Q205),ISNUMBER(L205)),IFERROR(Q205/L205-1,""),"")</f>
        <v>0.0342514089088593</v>
      </c>
      <c r="R208" s="255">
        <f>IF(AND(ISNUMBER(R205),ISNUMBER(M205)),IFERROR(R205/M205-1,""),"")</f>
        <v>0.361450371670563</v>
      </c>
      <c r="S208" s="255">
        <f>IF(AND(ISNUMBER(S205),ISNUMBER(N205)),IFERROR(S205/N205-1,""),"")</f>
        <v>0.0970767736179017</v>
      </c>
      <c r="T208" s="255">
        <f>IF(AND(ISNUMBER(T205),ISNUMBER(O205)),IFERROR(T205/O205-1,""),"")</f>
        <v>-0.0666701159181797</v>
      </c>
      <c r="U208" s="255">
        <f>IF(AND(ISNUMBER(U205),ISNUMBER(P205)),IFERROR(U205/P205-1,""),"")</f>
        <v>0.125368988883918</v>
      </c>
      <c r="V208" s="255">
        <f>IF(AND(ISNUMBER(V205),ISNUMBER(Q205)),IFERROR(V205/Q205-1,""),"")</f>
        <v>0.198717677120188</v>
      </c>
      <c r="W208" s="255">
        <f>IF(AND(ISNUMBER(W205),ISNUMBER(R205)),IFERROR(W205/R205-1,""),"")</f>
        <v>0.178109875938234</v>
      </c>
      <c r="X208" s="255">
        <f>IF(AND(ISNUMBER(X205),ISNUMBER(S205)),IFERROR(X205/S205-1,""),"")</f>
        <v>0.128758383573289</v>
      </c>
      <c r="Y208" s="255">
        <f>IF(AND(ISNUMBER(Y205),ISNUMBER(T205)),IFERROR(Y205/T205-1,""),"")</f>
        <v>0.450587499281417</v>
      </c>
      <c r="Z208" s="255">
        <f>IF(AND(ISNUMBER(Z205),ISNUMBER(U205)),IFERROR(Z205/U205-1,""),"")</f>
        <v>0.19089689582881</v>
      </c>
      <c r="AA208" s="255">
        <f>IF(AND(ISNUMBER(AA205),ISNUMBER(V205)),IFERROR(AA205/V205-1,""),"")</f>
        <v>0.453449558554847</v>
      </c>
      <c r="AB208" s="255">
        <f>IF(AND(ISNUMBER(AB205),ISNUMBER(W205)),IFERROR(AB205/W205-1,""),"")</f>
        <v>-0.180898146691265</v>
      </c>
      <c r="AC208" s="255">
        <f>IF(AND(ISNUMBER(AC205),ISNUMBER(X205)),IFERROR(AC205/X205-1,""),"")</f>
        <v>0.158042438510299</v>
      </c>
      <c r="AD208" s="255">
        <f>IF(AND(ISNUMBER(AD205),ISNUMBER(Y205)),IFERROR(AD205/Y205-1,""),"")</f>
        <v>0.0399309096537444</v>
      </c>
      <c r="AE208" s="255">
        <f>IF(AND(ISNUMBER(AE205),ISNUMBER(Z205)),IFERROR(AE205/Z205-1,""),"")</f>
        <v>-0.0331035428944317</v>
      </c>
      <c r="AF208" s="255">
        <f>IF(AND(ISNUMBER(AF205),ISNUMBER(AA205)),IFERROR(AF205/AA205-1,""),"")</f>
        <v>-0.198642769391223</v>
      </c>
      <c r="AG208" s="255">
        <f>IF(AND(ISNUMBER(AG205),ISNUMBER(AB205)),IFERROR(AG205/AB205-1,""),"")</f>
        <v>0.285081343656886</v>
      </c>
      <c r="AH208" s="255">
        <f>IF(AND(ISNUMBER(AH205),ISNUMBER(AC205)),IFERROR(AH205/AC205-1,""),"")</f>
        <v>0.0160015293785429</v>
      </c>
      <c r="AI208" s="255">
        <f>IF(AND(ISNUMBER(AI205),ISNUMBER(AD205)),IFERROR(AI205/AD205-1,""),"")</f>
        <v>0.266453907466743</v>
      </c>
      <c r="AJ208" s="255">
        <f>IF(AND(ISNUMBER(AJ205),ISNUMBER(AE205)),IFERROR(AJ205/AE205-1,""),"")</f>
        <v>0.460673488899917</v>
      </c>
      <c r="AK208" s="255">
        <f>IF(AND(ISNUMBER(AK205),ISNUMBER(AF205)),IFERROR(AK205/AF205-1,""),"")</f>
        <v>0.302002652604617</v>
      </c>
      <c r="AL208" s="255">
        <f>IF(AND(ISNUMBER(AL205),ISNUMBER(AG205)),IFERROR(AL205/AG205-1,""),"")</f>
        <v>0.143957092435252</v>
      </c>
      <c r="AM208" s="255">
        <f>IF(AND(ISNUMBER(AM205),ISNUMBER(AH205)),IFERROR(AM205/AH205-1,""),"")</f>
        <v>0.275161778256795</v>
      </c>
      <c r="AN208" s="255">
        <f>IF(AND(ISNUMBER(AN205),ISNUMBER(AI205)),IFERROR(AN205/AI205-1,""),"")</f>
        <v>0.110321374719078</v>
      </c>
      <c r="AO208" s="255">
        <f>IF(AND(ISNUMBER(AO205),ISNUMBER(AJ205)),IFERROR(AO205/AJ205-1,""),"")</f>
        <v>0.0158570578810351</v>
      </c>
      <c r="AP208" s="255">
        <f>IF(AND(ISNUMBER(AP205),ISNUMBER(AK205)),IFERROR(AP205/AK205-1,""),"")</f>
        <v>0.650965289856434</v>
      </c>
      <c r="AQ208" s="255">
        <f>IF(AND(ISNUMBER(AQ205),ISNUMBER(AL205)),IFERROR(AQ205/AL205-1,""),"")</f>
        <v>0.0641865808785027</v>
      </c>
      <c r="AR208" s="255">
        <f>IF(AND(ISNUMBER(AR205),ISNUMBER(AM205)),IFERROR(AR205/AM205-1,""),"")</f>
        <v>0.205596243849211</v>
      </c>
      <c r="AS208" s="255">
        <f>IF(AND(ISNUMBER(AS205),ISNUMBER(AN205)),IFERROR(AS205/AN205-1,""),"")</f>
        <v>0.240826802073672</v>
      </c>
      <c r="AT208" s="255">
        <f>IF(AND(ISNUMBER(AT205),ISNUMBER(AO205)),IFERROR(AT205/AO205-1,""),"")</f>
        <v>0.372842550826301</v>
      </c>
      <c r="AU208" s="255">
        <f>IF(AND(ISNUMBER(AU205),ISNUMBER(AP205)),IFERROR(AU205/AP205-1,""),"")</f>
        <v>0.0336700729281465</v>
      </c>
      <c r="AV208" s="255">
        <f>IF(AND(ISNUMBER(AV205),ISNUMBER(AQ205)),IFERROR(AV205/AQ205-1,""),"")</f>
        <v>0.618700318983832</v>
      </c>
      <c r="AW208" s="255">
        <f>IF(AND(ISNUMBER(AW205),ISNUMBER(AR205)),IFERROR(AW205/AR205-1,""),"")</f>
        <v>0.299281966784211</v>
      </c>
      <c r="AX208" s="255">
        <f>IF(AND(ISNUMBER(AX205),ISNUMBER(AS205)),IFERROR(AX205/AS205-1,""),"")</f>
        <v>0.524349193096974</v>
      </c>
      <c r="AY208" s="255">
        <f>IF(AND(ISNUMBER(AY205),ISNUMBER(AT205)),IFERROR(AY205/AT205-1,""),"")</f>
        <v>0.424583097558586</v>
      </c>
      <c r="AZ208" s="255">
        <f>IF(AND(ISNUMBER(AZ205),ISNUMBER(AU205)),IFERROR(AZ205/AU205-1,""),"")</f>
        <v>0.311458026885015</v>
      </c>
      <c r="BA208" s="255">
        <f>IF(AND(ISNUMBER(BA205),ISNUMBER(AV205)),IFERROR(BA205/AV205-1,""),"")</f>
        <v>0.207228917989125</v>
      </c>
      <c r="BB208" s="255">
        <f>IF(AND(ISNUMBER(BB205),ISNUMBER(AW205)),IFERROR(BB205/AW205-1,""),"")</f>
        <v>0.339162392710628</v>
      </c>
      <c r="BC208" s="255">
        <f>IF(AND(ISNUMBER(BC205),ISNUMBER(AX205)),IFERROR(BC205/AX205-1,""),"")</f>
        <v>0.352645814090882</v>
      </c>
      <c r="BD208" s="255">
        <f>IF(AND(ISNUMBER(BD205),ISNUMBER(AY205)),IFERROR(BD205/AY205-1,""),"")</f>
        <v>0.53227459592443</v>
      </c>
      <c r="BE208" s="255">
        <f>IF(AND(ISNUMBER(BE205),ISNUMBER(AZ205)),IFERROR(BE205/AZ205-1,""),"")</f>
        <v>0.321352801287568</v>
      </c>
      <c r="BF208" s="255">
        <f>IF(AND(ISNUMBER(BF205),ISNUMBER(BA205)),IFERROR(BF205/BA205-1,""),"")</f>
        <v>0.121100267146194</v>
      </c>
      <c r="BG208" s="255">
        <f>IF(AND(ISNUMBER(BG205),ISNUMBER(BB205)),IFERROR(BG205/BB205-1,""),"")</f>
        <v>0.317418366336642</v>
      </c>
      <c r="BH208" s="255">
        <f>IF(AND(ISNUMBER(BH205),ISNUMBER(BC205)),IFERROR(BH205/BC205-1,""),"")</f>
        <v>0.151093364994071</v>
      </c>
      <c r="BI208" s="255">
        <f>IF(AND(ISNUMBER(BI205),ISNUMBER(BD205)),IFERROR(BI205/BD205-1,""),"")</f>
        <v>0.0205788586969033</v>
      </c>
      <c r="BJ208" s="255">
        <f>IF(AND(ISNUMBER(BJ205),ISNUMBER(BE205)),IFERROR(BJ205/BE205-1,""),"")</f>
        <v>0.265729685167465</v>
      </c>
      <c r="BK208" s="255">
        <f>IF(AND(ISNUMBER(BK205),ISNUMBER(BF205)),IFERROR(BK205/BF205-1,""),"")</f>
        <v>0.14004745917395</v>
      </c>
      <c r="BL208" s="255">
        <f>IF(AND(ISNUMBER(BL205),ISNUMBER(BG205)),IFERROR(BL205/BG205-1,""),"")</f>
        <v>0.144545607852001</v>
      </c>
      <c r="BM208" s="255">
        <f>IF(AND(ISNUMBER(BM205),ISNUMBER(BH205)),IFERROR(BM205/BH205-1,""),"")</f>
        <v>0.127601025647719</v>
      </c>
      <c r="BN208" s="255">
        <f>IF(AND(ISNUMBER(BN205),ISNUMBER(BI205)),IFERROR(BN205/BI205-1,""),"")</f>
        <v>0.285485057392618</v>
      </c>
      <c r="BO208" s="255">
        <f>IF(AND(ISNUMBER(BO205),ISNUMBER(BJ205)),IFERROR(BO205/BJ205-1,""),"")</f>
        <v>0.104661972545057</v>
      </c>
      <c r="BP208" s="255">
        <f>IF(AND(ISNUMBER(BP205),ISNUMBER(BK205)),IFERROR(BP205/BK205-1,""),"")</f>
        <v>0.304320484053381</v>
      </c>
      <c r="BQ208" s="255">
        <f>IF(AND(ISNUMBER(BQ205),ISNUMBER(BL205)),IFERROR(BQ205/BL205-1,""),"")</f>
        <v>0.204174727429206</v>
      </c>
      <c r="BR208" s="255">
        <f>IF(AND(ISNUMBER(BR205),ISNUMBER(BM205)),IFERROR(BR205/BM205-1,""),"")</f>
        <v>0.204871330341128</v>
      </c>
      <c r="BS208" s="255">
        <f>IF(AND(ISNUMBER(BS205),ISNUMBER(BN205)),IFERROR(BS205/BN205-1,""),"")</f>
        <v>0.270939426710005</v>
      </c>
      <c r="BT208" s="255">
        <f>IF(AND(ISNUMBER(BT205),ISNUMBER(BO205)),IFERROR(BT205/BO205-1,""),"")</f>
        <v>0.37041635341391</v>
      </c>
      <c r="BU208" s="255">
        <f>IF(AND(ISNUMBER(BU205),ISNUMBER(BP205)),IFERROR(BU205/BP205-1,""),"")</f>
        <v>0.18298866116918</v>
      </c>
      <c r="BV208" s="255">
        <f>IF(AND(ISNUMBER(BV205),ISNUMBER(BQ205)),IFERROR(BV205/BQ205-1,""),"")</f>
        <v>0.258945685077623</v>
      </c>
      <c r="BW208" s="255">
        <f>IF(AND(ISNUMBER(BW205),ISNUMBER(BR205)),IFERROR(BW205/BR205-1,""),"")</f>
        <v>0.265602322697347</v>
      </c>
      <c r="BX208" s="255">
        <f>IF(AND(ISNUMBER(BX205),ISNUMBER(BS205)),IFERROR(BX205/BS205-1,""),"")</f>
        <v>0.60110169768958</v>
      </c>
      <c r="BY208" s="255">
        <f>IF(AND(ISNUMBER(BY205),ISNUMBER(BT205)),IFERROR(BY205/BT205-1,""),"")</f>
        <v>0.422049013222565</v>
      </c>
      <c r="BZ208" s="256">
        <f>IF(AND(ISNUMBER(BZ205),ISNUMBER(BU205)),IFERROR(BZ205/BU205-1,""),"")</f>
        <v>0.357730087836614</v>
      </c>
      <c r="CA208" s="256">
        <f>IF(AND(ISNUMBER(CA205),ISNUMBER(BV205)),IFERROR(CA205/BV205-1,""),"")</f>
        <v>0.419819300991985</v>
      </c>
      <c r="CB208" s="256">
        <f>IF(AND(ISNUMBER(CB205),ISNUMBER(CA205)),IFERROR(CB205/CA205-1,""),"")</f>
        <v>0.259775406816945</v>
      </c>
      <c r="CC208" s="256">
        <f>IF(AND(ISNUMBER(CC205),ISNUMBER(CB205)),IFERROR(CC205/CB205-1,""),"")</f>
        <v>0.237964046061928</v>
      </c>
      <c r="CD208" s="256">
        <f>IF(AND(ISNUMBER(CD205),ISNUMBER(CC205)),IFERROR(CD205/CC205-1,""),"")</f>
        <v>0.206446125503188</v>
      </c>
      <c r="CE208" s="256">
        <f>IF(AND(ISNUMBER(CE205),ISNUMBER(CD205)),IFERROR(CE205/CD205-1,""),"")</f>
        <v>0.221710348602973</v>
      </c>
      <c r="CF208" s="256">
        <f>IF(AND(ISNUMBER(CF205),ISNUMBER(CE205)),IFERROR(CF205/CE205-1,""),"")</f>
        <v>0.227910222720806</v>
      </c>
      <c r="CG208" s="153" t="n"/>
    </row>
    <row r="209" ht="15" customHeight="1" s="251">
      <c r="B209" s="25" t="inlineStr">
        <is>
          <t xml:space="preserve">  Non-GAAP pre-tax income (non-GAAP operating income − net interest + other income excl. excluded gains)</t>
        </is>
      </c>
      <c r="C209" s="262">
        <f>IF(ISNUMBER(C167),C167-N(C139)+N(C140)+N(C196),"")</f>
        <v>220.939</v>
      </c>
      <c r="D209" s="262">
        <f>IF(ISNUMBER(D167),D167-N(D139)+N(D140)+N(D196),"")</f>
        <v>186.837</v>
      </c>
      <c r="E209" s="262">
        <f>IF(ISNUMBER(E167),E167-N(E139)+N(E140)+N(E196),"")</f>
        <v>150.885</v>
      </c>
      <c r="F209" s="262">
        <f>IF(ISNUMBER(F167),F167-N(F139)+N(F140)+N(F196),"")</f>
        <v>129.209</v>
      </c>
      <c r="G209" s="262">
        <f>IF(ISNUMBER(G167),G167-N(G139)+N(G140)+N(G196),"")</f>
        <v>122.127</v>
      </c>
      <c r="H209" s="262">
        <f>IF(ISNUMBER(H167),H167-N(H139)+N(H140)+N(H196),"")</f>
        <v>133.087</v>
      </c>
      <c r="I209" s="262">
        <f>IF(ISNUMBER(I167),I167-N(I139)+N(I140)+N(I196),"")</f>
        <v>169.541</v>
      </c>
      <c r="J209" s="262">
        <f>IF(ISNUMBER(J167),J167-N(J139)+N(J140)+N(J196),"")</f>
        <v>47.536</v>
      </c>
      <c r="K209" s="262">
        <f>IF(ISNUMBER(K167),K167-N(K139)+N(K140)+N(K196),"")</f>
        <v>35.404</v>
      </c>
      <c r="L209" s="262">
        <f>IF(ISNUMBER(L167),L167-N(L139)+N(L140)+N(L196),"")</f>
        <v>38.947</v>
      </c>
      <c r="M209" s="262">
        <f>IF(ISNUMBER(M167),M167-N(M139)+N(M140)+N(M196),"")</f>
        <v>52.968</v>
      </c>
      <c r="N209" s="262">
        <f>IF(ISNUMBER(N167),N167-N(N139)+N(N140)+N(N196),"")</f>
        <v>174.855</v>
      </c>
      <c r="O209" s="262">
        <f>IF(ISNUMBER(O167),O167-N(O139)+N(O140)+N(O196),"")</f>
        <v>41.091</v>
      </c>
      <c r="P209" s="262">
        <f>IF(ISNUMBER(P167),P167-N(P139)+N(P140)+N(P196),"")</f>
        <v>43.246</v>
      </c>
      <c r="Q209" s="262">
        <f>IF(ISNUMBER(Q167),Q167-N(Q139)+N(Q140)+N(Q196),"")</f>
        <v>43.286</v>
      </c>
      <c r="R209" s="262">
        <f>IF(ISNUMBER(R167),R167-N(R139)+N(R140)+N(R196),"")</f>
        <v>58.068</v>
      </c>
      <c r="S209" s="262">
        <f>IF(ISNUMBER(S167),S167-N(S139)+N(S140)+N(S196),"")</f>
        <v>185.691</v>
      </c>
      <c r="T209" s="262">
        <f>IF(ISNUMBER(T167),T167-N(T139)+N(T140)+N(T196),"")</f>
        <v>30.05</v>
      </c>
      <c r="U209" s="262">
        <f>IF(ISNUMBER(U167),U167-N(U139)+N(U140)+N(U196),"")</f>
        <v>41.35</v>
      </c>
      <c r="V209" s="262">
        <f>IF(ISNUMBER(V167),V167-N(V139)+N(V140)+N(V196),"")</f>
        <v>48.485</v>
      </c>
      <c r="W209" s="262">
        <f>IF(ISNUMBER(W167),W167-N(W139)+N(W140)+N(W196),"")</f>
        <v>66.576</v>
      </c>
      <c r="X209" s="262">
        <f>IF(ISNUMBER(X167),X167-N(X139)+N(X140)+N(X196),"")</f>
        <v>186.461</v>
      </c>
      <c r="Y209" s="262">
        <f>IF(ISNUMBER(Y167),Y167-N(Y139)+N(Y140)+N(Y196),"")</f>
        <v>42.056</v>
      </c>
      <c r="Z209" s="262">
        <f>IF(ISNUMBER(Z167),Z167-N(Z139)+N(Z140)+N(Z196),"")</f>
        <v>49.251</v>
      </c>
      <c r="AA209" s="262">
        <f>IF(ISNUMBER(AA167),AA167-N(AA139)+N(AA140)+N(AA196),"")</f>
        <v>67.18</v>
      </c>
      <c r="AB209" s="262">
        <f>IF(ISNUMBER(AB167),AB167-N(AB139)+N(AB140)+N(AB196),"")</f>
        <v>55.573</v>
      </c>
      <c r="AC209" s="262">
        <f>IF(ISNUMBER(AC167),AC167-N(AC139)+N(AC140)+N(AC196),"")</f>
        <v>214.06</v>
      </c>
      <c r="AD209" s="262">
        <f>IF(ISNUMBER(AD167),AD167-N(AD139)+N(AD140)+N(AD196),"")</f>
        <v>46.494</v>
      </c>
      <c r="AE209" s="262">
        <f>IF(ISNUMBER(AE167),AE167-N(AE139)+N(AE140)+N(AE196),"")</f>
        <v>51.16</v>
      </c>
      <c r="AF209" s="262">
        <f>IF(ISNUMBER(AF167),AF167-N(AF139)+N(AF140)+N(AF196),"")</f>
        <v>57.482</v>
      </c>
      <c r="AG209" s="262">
        <f>IF(ISNUMBER(AG167),AG167-N(AG139)+N(AG140)+N(AG196),"")</f>
        <v>74.59</v>
      </c>
      <c r="AH209" s="262">
        <f>IF(ISNUMBER(AH167),AH167-N(AH139)+N(AH140)+N(AH196),"")</f>
        <v>229.726</v>
      </c>
      <c r="AI209" s="262">
        <f>IF(ISNUMBER(AI167),AI167-N(AI139)+N(AI140)+N(AI196),"")</f>
        <v>52.255</v>
      </c>
      <c r="AJ209" s="262">
        <f>IF(ISNUMBER(AJ167),AJ167-N(AJ139)+N(AJ140)+N(AJ196),"")</f>
        <v>61.725</v>
      </c>
      <c r="AK209" s="262">
        <f>IF(ISNUMBER(AK167),AK167-N(AK139)+N(AK140)+N(AK196),"")</f>
        <v>62.195</v>
      </c>
      <c r="AL209" s="262">
        <f>IF(ISNUMBER(AL167),AL167-N(AL139)+N(AL140)+N(AL196),"")</f>
        <v>83.244</v>
      </c>
      <c r="AM209" s="262">
        <f>IF(ISNUMBER(AM167),AM167-N(AM139)+N(AM140)+N(AM196),"")</f>
        <v>259.418</v>
      </c>
      <c r="AN209" s="262">
        <f>IF(ISNUMBER(AN167),AN167-N(AN139)+N(AN140)+N(AN196),"")</f>
        <v>60.512</v>
      </c>
      <c r="AO209" s="262">
        <f>IF(ISNUMBER(AO167),AO167-N(AO139)+N(AO140)+N(AO196),"")</f>
        <v>61.959</v>
      </c>
      <c r="AP209" s="262">
        <f>IF(ISNUMBER(AP167),AP167-N(AP139)+N(AP140)+N(AP196),"")</f>
        <v>99.097</v>
      </c>
      <c r="AQ209" s="262">
        <f>IF(ISNUMBER(AQ167),AQ167-N(AQ139)+N(AQ140)+N(AQ196),"")</f>
        <v>83.603</v>
      </c>
      <c r="AR209" s="262">
        <f>IF(ISNUMBER(AR167),AR167-N(AR139)+N(AR140)+N(AR196),"")</f>
        <v>305.171</v>
      </c>
      <c r="AS209" s="262">
        <f>IF(ISNUMBER(AS167),AS167-N(AS139)+N(AS140)+N(AS196),"")</f>
        <v>69.9400000000001</v>
      </c>
      <c r="AT209" s="262">
        <f>IF(ISNUMBER(AT167),AT167-N(AT139)+N(AT140)+N(AT196),"")</f>
        <v>86.454</v>
      </c>
      <c r="AU209" s="262">
        <f>IF(ISNUMBER(AU167),AU167-N(AU139)+N(AU140)+N(AU196),"")</f>
        <v>99.52</v>
      </c>
      <c r="AV209" s="262">
        <f>IF(ISNUMBER(AV167),AV167-N(AV139)+N(AV140)+N(AV196),"")</f>
        <v>144.789</v>
      </c>
      <c r="AW209" s="262">
        <f>IF(ISNUMBER(AW167),AW167-N(AW139)+N(AW140)+N(AW196),"")</f>
        <v>400.703</v>
      </c>
      <c r="AX209" s="262">
        <f>IF(ISNUMBER(AX167),AX167-N(AX139)+N(AX140)+N(AX196),"")</f>
        <v>106.695</v>
      </c>
      <c r="AY209" s="262">
        <f>IF(ISNUMBER(AY167),AY167-N(AY139)+N(AY140)+N(AY196),"")</f>
        <v>120.975</v>
      </c>
      <c r="AZ209" s="262">
        <f>IF(ISNUMBER(AZ167),AZ167-N(AZ139)+N(AZ140)+N(AZ196),"")</f>
        <v>126.658</v>
      </c>
      <c r="BA209" s="262">
        <f>IF(ISNUMBER(BA167),BA167-N(BA139)+N(BA140)+N(BA196),"")</f>
        <v>142.344</v>
      </c>
      <c r="BB209" s="262">
        <f>IF(ISNUMBER(BB167),BB167-N(BB139)+N(BB140)+N(BB196),"")</f>
        <v>496.672</v>
      </c>
      <c r="BC209" s="262">
        <f>IF(ISNUMBER(BC167),BC167-N(BC139)+N(BC140)+N(BC196),"")</f>
        <v>135.242</v>
      </c>
      <c r="BD209" s="262">
        <f>IF(ISNUMBER(BD167),BD167-N(BD139)+N(BD140)+N(BD196),"")</f>
        <v>160.964</v>
      </c>
      <c r="BE209" s="262">
        <f>IF(ISNUMBER(BE167),BE167-N(BE139)+N(BE140)+N(BE196),"")</f>
        <v>149.975</v>
      </c>
      <c r="BF209" s="262">
        <f>IF(ISNUMBER(BF167),BF167-N(BF139)+N(BF140)+N(BF196),"")</f>
        <v>142.544</v>
      </c>
      <c r="BG209" s="262">
        <f>IF(ISNUMBER(BG167),BG167-N(BG139)+N(BG140)+N(BG196),"")</f>
        <v>588.725</v>
      </c>
      <c r="BH209" s="262">
        <f>IF(ISNUMBER(BH167),BH167-N(BH139)+N(BH140)+N(BH196),"")</f>
        <v>145.939</v>
      </c>
      <c r="BI209" s="262">
        <f>IF(ISNUMBER(BI167),BI167-N(BI139)+N(BI140)+N(BI196),"")</f>
        <v>164.797</v>
      </c>
      <c r="BJ209" s="262">
        <f>IF(ISNUMBER(BJ167),BJ167-N(BJ139)+N(BJ140)+N(BJ196),"")</f>
        <v>191.057</v>
      </c>
      <c r="BK209" s="262">
        <f>IF(ISNUMBER(BK167),BK167-N(BK139)+N(BK140)+N(BK196),"")</f>
        <v>174.837</v>
      </c>
      <c r="BL209" s="262">
        <f>IF(ISNUMBER(BL167),BL167-N(BL139)+N(BL140)+N(BL196),"")</f>
        <v>676.63</v>
      </c>
      <c r="BM209" s="262">
        <f>IF(ISNUMBER(BM167),BM167-N(BM139)+N(BM140)+N(BM196),"")</f>
        <v>162.439</v>
      </c>
      <c r="BN209" s="262">
        <f>IF(ISNUMBER(BN167),BN167-N(BN139)+N(BN140)+N(BN196),"")</f>
        <v>208.457</v>
      </c>
      <c r="BO209" s="262">
        <f>IF(ISNUMBER(BO167),BO167-N(BO139)+N(BO140)+N(BO196),"")</f>
        <v>210.028</v>
      </c>
      <c r="BP209" s="262">
        <f>IF(ISNUMBER(BP167),BP167-N(BP139)+N(BP140)+N(BP196),"")</f>
        <v>211.457</v>
      </c>
      <c r="BQ209" s="262">
        <f>IF(ISNUMBER(BQ167),BQ167-N(BQ139)+N(BQ140)+N(BQ196),"")</f>
        <v>792.381</v>
      </c>
      <c r="BR209" s="262">
        <f>IF(ISNUMBER(BR167),BR167-N(BR139)+N(BR140)+N(BR196),"")</f>
        <v>190.783</v>
      </c>
      <c r="BS209" s="262">
        <f>IF(ISNUMBER(BS167),BS167-N(BS139)+N(BS140)+N(BS196),"")</f>
        <v>254.72</v>
      </c>
      <c r="BT209" s="262">
        <f>IF(ISNUMBER(BT167),BT167-N(BT139)+N(BT140)+N(BT196),"")</f>
        <v>278.921</v>
      </c>
      <c r="BU209" s="262">
        <f>IF(ISNUMBER(BU167),BU167-N(BU139)+N(BU140)+N(BU196),"")</f>
        <v>245.76</v>
      </c>
      <c r="BV209" s="262">
        <f>IF(ISNUMBER(BV167),BV167-N(BV139)+N(BV140)+N(BV196),"")</f>
        <v>970.184</v>
      </c>
      <c r="BW209" s="262">
        <f>IF(ISNUMBER(BW167),BW167-N(BW139)+N(BW140)+N(BW196),"")</f>
        <v>236.2</v>
      </c>
      <c r="BX209" s="262">
        <f>IF(ISNUMBER(BX167),BX167-N(BX139)+N(BX140)+N(BX196),"")</f>
        <v>401.339</v>
      </c>
      <c r="BY209" s="262">
        <f>IF(ISNUMBER(BY167),BY167-N(BY139)+N(BY140)+N(BY196),"")</f>
        <v>366.99</v>
      </c>
      <c r="BZ209" s="254">
        <f>IF(ISNUMBER(BZ167),BZ167-N(BZ139)+N(BZ140)+N(BZ196),"")</f>
        <v>300.455581988028</v>
      </c>
      <c r="CA209" s="254">
        <f>IF(ISNUMBER(CA167),CA167-N(CA139)+N(CA140)+N(CA196),"")</f>
        <v>1304.98458198803</v>
      </c>
      <c r="CB209" s="254">
        <f>IF(ISNUMBER(CB167),CB167-N(CB139)+N(CB140)+N(CB196),"")</f>
        <v>1459.23905737488</v>
      </c>
      <c r="CC209" s="254">
        <f>IF(ISNUMBER(CC167),CC167-N(CC139)+N(CC140)+N(CC196),"")</f>
        <v>1669.14513494947</v>
      </c>
      <c r="CD209" s="254">
        <f>IF(ISNUMBER(CD167),CD167-N(CD139)+N(CD140)+N(CD196),"")</f>
        <v>1807.80667734974</v>
      </c>
      <c r="CE209" s="254">
        <f>IF(ISNUMBER(CE167),CE167-N(CE139)+N(CE140)+N(CE196),"")</f>
        <v>1965.79661651119</v>
      </c>
      <c r="CF209" s="254">
        <f>IF(ISNUMBER(CF167),CF167-N(CF139)+N(CF140)+N(CF196),"")</f>
        <v>2124.79896729675</v>
      </c>
      <c r="CG209" s="19" t="n"/>
    </row>
    <row r="210" ht="15" customHeight="1" s="251">
      <c r="B210" s="25" t="inlineStr">
        <is>
          <t xml:space="preserve">  Non-GAAP income tax (pre-tax income − non-GAAP net income)</t>
        </is>
      </c>
      <c r="C210" s="262">
        <f>IF(AND(ISNUMBER(C201),ISNUMBER(C209)),C209-C201,"")</f>
        <v>55.706</v>
      </c>
      <c r="D210" s="262">
        <f>IF(AND(ISNUMBER(D201),ISNUMBER(D209)),D209-D201,"")</f>
        <v>45.012</v>
      </c>
      <c r="E210" s="262">
        <f>IF(AND(ISNUMBER(E201),ISNUMBER(E209)),E209-E201,"")</f>
        <v>29.043</v>
      </c>
      <c r="F210" s="262">
        <f>IF(AND(ISNUMBER(F201),ISNUMBER(F209)),F209-F201,"")</f>
        <v>32.468</v>
      </c>
      <c r="G210" s="262">
        <f>IF(AND(ISNUMBER(G201),ISNUMBER(G209)),G209-G201,"")</f>
        <v>27.847</v>
      </c>
      <c r="H210" s="262">
        <f>IF(AND(ISNUMBER(H201),ISNUMBER(H209)),H209-H201,"")</f>
        <v>25.893</v>
      </c>
      <c r="I210" s="262">
        <f>IF(AND(ISNUMBER(I201),ISNUMBER(I209)),I209-I201,"")</f>
        <v>44.239</v>
      </c>
      <c r="J210" s="262">
        <f>IF(AND(ISNUMBER(J201),ISNUMBER(J209)),J209-J201,"")</f>
        <v>15.724</v>
      </c>
      <c r="K210" s="262">
        <f>IF(AND(ISNUMBER(K201),ISNUMBER(K209)),K209-K201,"")</f>
        <v>10.053</v>
      </c>
      <c r="L210" s="262">
        <f>IF(AND(ISNUMBER(L201),ISNUMBER(L209)),L209-L201,"")</f>
        <v>9.68599999999999</v>
      </c>
      <c r="M210" s="262">
        <f>IF(AND(ISNUMBER(M201),ISNUMBER(M209)),M209-M201,"")</f>
        <v>17.651</v>
      </c>
      <c r="N210" s="262">
        <f>IF(AND(ISNUMBER(N201),ISNUMBER(N209)),N209-N201,"")</f>
        <v>53.114</v>
      </c>
      <c r="O210" s="262">
        <f>IF(AND(ISNUMBER(O201),ISNUMBER(O209)),O209-O201,"")</f>
        <v>14.902</v>
      </c>
      <c r="P210" s="262">
        <f>IF(AND(ISNUMBER(P201),ISNUMBER(P209)),P209-P201,"")</f>
        <v>14.557</v>
      </c>
      <c r="Q210" s="262">
        <f>IF(AND(ISNUMBER(Q201),ISNUMBER(Q209)),Q209-Q201,"")</f>
        <v>14.04</v>
      </c>
      <c r="R210" s="262">
        <f>IF(AND(ISNUMBER(R201),ISNUMBER(R209)),R209-R201,"")</f>
        <v>13.888</v>
      </c>
      <c r="S210" s="262">
        <f>IF(AND(ISNUMBER(S201),ISNUMBER(S209)),S209-S201,"")</f>
        <v>57.3869999999999</v>
      </c>
      <c r="T210" s="262">
        <f>IF(AND(ISNUMBER(T201),ISNUMBER(T209)),T209-T201,"")</f>
        <v>7.44400000000002</v>
      </c>
      <c r="U210" s="262">
        <f>IF(AND(ISNUMBER(U201),ISNUMBER(U209)),U209-U201,"")</f>
        <v>11.682</v>
      </c>
      <c r="V210" s="262">
        <f>IF(AND(ISNUMBER(V201),ISNUMBER(V209)),V209-V201,"")</f>
        <v>16.218</v>
      </c>
      <c r="W210" s="262">
        <f>IF(AND(ISNUMBER(W201),ISNUMBER(W209)),W209-W201,"")</f>
        <v>15.66</v>
      </c>
      <c r="X210" s="262">
        <f>IF(AND(ISNUMBER(X201),ISNUMBER(X209)),X209-X201,"")</f>
        <v>51.0039999999998</v>
      </c>
      <c r="Y210" s="262">
        <f>IF(AND(ISNUMBER(Y201),ISNUMBER(Y209)),Y209-Y201,"")</f>
        <v>9.94899999999998</v>
      </c>
      <c r="Z210" s="262">
        <f>IF(AND(ISNUMBER(Z201),ISNUMBER(Z209)),Z209-Z201,"")</f>
        <v>14.122</v>
      </c>
      <c r="AA210" s="262">
        <f>IF(AND(ISNUMBER(AA201),ISNUMBER(AA209)),AA209-AA201,"")</f>
        <v>20.354</v>
      </c>
      <c r="AB210" s="262">
        <f>IF(AND(ISNUMBER(AB201),ISNUMBER(AB209)),AB209-AB201,"")</f>
        <v>14.218</v>
      </c>
      <c r="AC210" s="262">
        <f>IF(AND(ISNUMBER(AC201),ISNUMBER(AC209)),AC209-AC201,"")</f>
        <v>58.643</v>
      </c>
      <c r="AD210" s="262">
        <f>IF(AND(ISNUMBER(AD201),ISNUMBER(AD209)),AD209-AD201,"")</f>
        <v>13.002</v>
      </c>
      <c r="AE210" s="262">
        <f>IF(AND(ISNUMBER(AE201),ISNUMBER(AE209)),AE209-AE201,"")</f>
        <v>17.196</v>
      </c>
      <c r="AF210" s="262">
        <f>IF(AND(ISNUMBER(AF201),ISNUMBER(AF209)),AF209-AF201,"")</f>
        <v>20.061</v>
      </c>
      <c r="AG210" s="262">
        <f>IF(AND(ISNUMBER(AG201),ISNUMBER(AG209)),AG209-AG201,"")</f>
        <v>21.871</v>
      </c>
      <c r="AH210" s="262">
        <f>IF(AND(ISNUMBER(AH201),ISNUMBER(AH209)),AH209-AH201,"")</f>
        <v>72.1300000000001</v>
      </c>
      <c r="AI210" s="262">
        <f>IF(AND(ISNUMBER(AI201),ISNUMBER(AI209)),AI209-AI201,"")</f>
        <v>11.11</v>
      </c>
      <c r="AJ210" s="262">
        <f>IF(AND(ISNUMBER(AJ201),ISNUMBER(AJ209)),AJ209-AJ201,"")</f>
        <v>13.591</v>
      </c>
      <c r="AK210" s="262">
        <f>IF(AND(ISNUMBER(AK201),ISNUMBER(AK209)),AK209-AK201,"")</f>
        <v>15.08</v>
      </c>
      <c r="AL210" s="262">
        <f>IF(AND(ISNUMBER(AL201),ISNUMBER(AL209)),AL209-AL201,"")</f>
        <v>25.315</v>
      </c>
      <c r="AM210" s="262">
        <f>IF(AND(ISNUMBER(AM201),ISNUMBER(AM209)),AM209-AM201,"")</f>
        <v>65.0949999999998</v>
      </c>
      <c r="AN210" s="262">
        <f>IF(AND(ISNUMBER(AN201),ISNUMBER(AN209)),AN209-AN201,"")</f>
        <v>16.601</v>
      </c>
      <c r="AO210" s="262">
        <f>IF(AND(ISNUMBER(AO201),ISNUMBER(AO209)),AO209-AO201,"")</f>
        <v>14.688</v>
      </c>
      <c r="AP210" s="262">
        <f>IF(AND(ISNUMBER(AP201),ISNUMBER(AP209)),AP209-AP201,"")</f>
        <v>23.481</v>
      </c>
      <c r="AQ210" s="262">
        <f>IF(AND(ISNUMBER(AQ201),ISNUMBER(AQ209)),AQ209-AQ201,"")</f>
        <v>22.783</v>
      </c>
      <c r="AR210" s="262">
        <f>IF(AND(ISNUMBER(AR201),ISNUMBER(AR209)),AR209-AR201,"")</f>
        <v>77.553</v>
      </c>
      <c r="AS210" s="262">
        <f>IF(AND(ISNUMBER(AS201),ISNUMBER(AS209)),AS209-AS201,"")</f>
        <v>15.754</v>
      </c>
      <c r="AT210" s="262">
        <f>IF(AND(ISNUMBER(AT201),ISNUMBER(AT209)),AT209-AT201,"")</f>
        <v>22.146</v>
      </c>
      <c r="AU210" s="262">
        <f>IF(AND(ISNUMBER(AU201),ISNUMBER(AU209)),AU209-AU201,"")</f>
        <v>22.772</v>
      </c>
      <c r="AV210" s="262">
        <f>IF(AND(ISNUMBER(AV201),ISNUMBER(AV209)),AV209-AV201,"")</f>
        <v>47.825</v>
      </c>
      <c r="AW210" s="262">
        <f>IF(AND(ISNUMBER(AW201),ISNUMBER(AW209)),AW209-AW201,"")</f>
        <v>108.497</v>
      </c>
      <c r="AX210" s="262">
        <f>IF(AND(ISNUMBER(AX201),ISNUMBER(AX209)),AX209-AX201,"")</f>
        <v>25.137</v>
      </c>
      <c r="AY210" s="262">
        <f>IF(AND(ISNUMBER(AY201),ISNUMBER(AY209)),AY209-AY201,"")</f>
        <v>30.75</v>
      </c>
      <c r="AZ210" s="262">
        <f>IF(AND(ISNUMBER(AZ201),ISNUMBER(AZ209)),AZ209-AZ201,"")</f>
        <v>27.864</v>
      </c>
      <c r="BA210" s="262">
        <f>IF(AND(ISNUMBER(BA201),ISNUMBER(BA209)),BA209-BA201,"")</f>
        <v>30.395</v>
      </c>
      <c r="BB210" s="262">
        <f>IF(AND(ISNUMBER(BB201),ISNUMBER(BB209)),BB209-BB201,"")</f>
        <v>114.146</v>
      </c>
      <c r="BC210" s="262">
        <f>IF(AND(ISNUMBER(BC201),ISNUMBER(BC209)),BC209-BC201,"")</f>
        <v>33.311</v>
      </c>
      <c r="BD210" s="262">
        <f>IF(AND(ISNUMBER(BD201),ISNUMBER(BD209)),BD209-BD201,"")</f>
        <v>37.274</v>
      </c>
      <c r="BE210" s="262">
        <f>IF(AND(ISNUMBER(BE201),ISNUMBER(BE209)),BE209-BE201,"")</f>
        <v>34.314</v>
      </c>
      <c r="BF210" s="262">
        <f>IF(AND(ISNUMBER(BF201),ISNUMBER(BF209)),BF209-BF201,"")</f>
        <v>30.05</v>
      </c>
      <c r="BG210" s="262">
        <f>IF(AND(ISNUMBER(BG201),ISNUMBER(BG209)),BG209-BG201,"")</f>
        <v>134.949</v>
      </c>
      <c r="BH210" s="262">
        <f>IF(AND(ISNUMBER(BH201),ISNUMBER(BH209)),BH209-BH201,"")</f>
        <v>37.478</v>
      </c>
      <c r="BI210" s="262">
        <f>IF(AND(ISNUMBER(BI201),ISNUMBER(BI209)),BI209-BI201,"")</f>
        <v>43.349</v>
      </c>
      <c r="BJ210" s="262">
        <f>IF(AND(ISNUMBER(BJ201),ISNUMBER(BJ209)),BJ209-BJ201,"")</f>
        <v>47.661</v>
      </c>
      <c r="BK210" s="262">
        <f>IF(AND(ISNUMBER(BK201),ISNUMBER(BK209)),BK209-BK201,"")</f>
        <v>48.093</v>
      </c>
      <c r="BL210" s="262">
        <f>IF(AND(ISNUMBER(BL201),ISNUMBER(BL209)),BL209-BL201,"")</f>
        <v>176.581</v>
      </c>
      <c r="BM210" s="262">
        <f>IF(AND(ISNUMBER(BM201),ISNUMBER(BM209)),BM209-BM201,"")</f>
        <v>41.215</v>
      </c>
      <c r="BN210" s="262">
        <f>IF(AND(ISNUMBER(BN201),ISNUMBER(BN209)),BN209-BN201,"")</f>
        <v>53.965</v>
      </c>
      <c r="BO210" s="262">
        <f>IF(AND(ISNUMBER(BO201),ISNUMBER(BO209)),BO209-BO201,"")</f>
        <v>53.6370000000001</v>
      </c>
      <c r="BP210" s="262">
        <f>IF(AND(ISNUMBER(BP201),ISNUMBER(BP209)),BP209-BP201,"")</f>
        <v>48.2550000000001</v>
      </c>
      <c r="BQ210" s="262">
        <f>IF(AND(ISNUMBER(BQ201),ISNUMBER(BQ209)),BQ209-BQ201,"")</f>
        <v>197.071</v>
      </c>
      <c r="BR210" s="262">
        <f>IF(AND(ISNUMBER(BR201),ISNUMBER(BR209)),BR209-BR201,"")</f>
        <v>46.9940000000001</v>
      </c>
      <c r="BS210" s="262">
        <f>IF(AND(ISNUMBER(BS201),ISNUMBER(BS209)),BS209-BS201,"")</f>
        <v>62.0310000000001</v>
      </c>
      <c r="BT210" s="262">
        <f>IF(AND(ISNUMBER(BT201),ISNUMBER(BT209)),BT209-BT201,"")</f>
        <v>68.37</v>
      </c>
      <c r="BU210" s="262">
        <f>IF(AND(ISNUMBER(BU201),ISNUMBER(BU209)),BU209-BU201,"")</f>
        <v>58.807</v>
      </c>
      <c r="BV210" s="262">
        <f>IF(AND(ISNUMBER(BV201),ISNUMBER(BV209)),BV209-BV201,"")</f>
        <v>236.201</v>
      </c>
      <c r="BW210" s="262">
        <f>IF(AND(ISNUMBER(BW201),ISNUMBER(BW209)),BW209-BW201,"")</f>
        <v>60.59</v>
      </c>
      <c r="BX210" s="262">
        <f>IF(AND(ISNUMBER(BX201),ISNUMBER(BX209)),BX209-BX201,"")</f>
        <v>104.535</v>
      </c>
      <c r="BY210" s="262">
        <f>IF(AND(ISNUMBER(BY201),ISNUMBER(BY209)),BY209-BY201,"")</f>
        <v>90.3840000000001</v>
      </c>
      <c r="BZ210" s="254">
        <f>IF(AND(ISNUMBER(BZ201),ISNUMBER(BZ209)),BZ209-BZ201,"")</f>
        <v>76.6161734069472</v>
      </c>
      <c r="CA210" s="254">
        <f>IF(AND(ISNUMBER(CA201),ISNUMBER(CA209)),CA209-CA201,"")</f>
        <v>332.125173406947</v>
      </c>
      <c r="CB210" s="254">
        <f>IF(AND(ISNUMBER(CB201),ISNUMBER(CB209)),CB209-CB201,"")</f>
        <v>364.809764343721</v>
      </c>
      <c r="CC210" s="254">
        <f>IF(AND(ISNUMBER(CC201),ISNUMBER(CC209)),CC209-CC201,"")</f>
        <v>417.286283737367</v>
      </c>
      <c r="CD210" s="254">
        <f>IF(AND(ISNUMBER(CD201),ISNUMBER(CD209)),CD209-CD201,"")</f>
        <v>451.951669337435</v>
      </c>
      <c r="CE210" s="254">
        <f>IF(AND(ISNUMBER(CE201),ISNUMBER(CE209)),CE209-CE201,"")</f>
        <v>491.449154127798</v>
      </c>
      <c r="CF210" s="254">
        <f>IF(AND(ISNUMBER(CF201),ISNUMBER(CF209)),CF209-CF201,"")</f>
        <v>531.199741824189</v>
      </c>
      <c r="CG210" s="19" t="n"/>
    </row>
    <row r="211" ht="15" customHeight="1" s="251">
      <c r="B211" s="25" t="inlineStr">
        <is>
          <t xml:space="preserve">  Non-GAAP effective tax rate</t>
        </is>
      </c>
      <c r="C211" s="215">
        <f>IF(AND(ISNUMBER(C210),ISNUMBER(C209)),IFERROR(C210/C209,""),"")</f>
        <v>0.252132941671683</v>
      </c>
      <c r="D211" s="215">
        <f>IF(AND(ISNUMBER(D210),ISNUMBER(D209)),IFERROR(D210/D209,""),"")</f>
        <v>0.240915878546541</v>
      </c>
      <c r="E211" s="215">
        <f>IF(AND(ISNUMBER(E210),ISNUMBER(E209)),IFERROR(E210/E209,""),"")</f>
        <v>0.192484342379958</v>
      </c>
      <c r="F211" s="215">
        <f>IF(AND(ISNUMBER(F210),ISNUMBER(F209)),IFERROR(F210/F209,""),"")</f>
        <v>0.251282805377334</v>
      </c>
      <c r="G211" s="215">
        <f>IF(AND(ISNUMBER(G210),ISNUMBER(G209)),IFERROR(G210/G209,""),"")</f>
        <v>0.228016736675756</v>
      </c>
      <c r="H211" s="215">
        <f>IF(AND(ISNUMBER(H210),ISNUMBER(H209)),IFERROR(H210/H209,""),"")</f>
        <v>0.194556943953955</v>
      </c>
      <c r="I211" s="215">
        <f>IF(AND(ISNUMBER(I210),ISNUMBER(I209)),IFERROR(I210/I209,""),"")</f>
        <v>0.260933933384845</v>
      </c>
      <c r="J211" s="215">
        <f>IF(AND(ISNUMBER(J210),ISNUMBER(J209)),IFERROR(J210/J209,""),"")</f>
        <v>0.33078088185796</v>
      </c>
      <c r="K211" s="215">
        <f>IF(AND(ISNUMBER(K210),ISNUMBER(K209)),IFERROR(K210/K209,""),"")</f>
        <v>0.283950965992543</v>
      </c>
      <c r="L211" s="215">
        <f>IF(AND(ISNUMBER(L210),ISNUMBER(L209)),IFERROR(L210/L209,""),"")</f>
        <v>0.248696947133284</v>
      </c>
      <c r="M211" s="215">
        <f>IF(AND(ISNUMBER(M210),ISNUMBER(M209)),IFERROR(M210/M209,""),"")</f>
        <v>0.333238936716508</v>
      </c>
      <c r="N211" s="215">
        <f>IF(AND(ISNUMBER(N210),ISNUMBER(N209)),IFERROR(N210/N209,""),"")</f>
        <v>0.3037602584999</v>
      </c>
      <c r="O211" s="215">
        <f>IF(AND(ISNUMBER(O210),ISNUMBER(O209)),IFERROR(O210/O209,""),"")</f>
        <v>0.362658489693607</v>
      </c>
      <c r="P211" s="215">
        <f>IF(AND(ISNUMBER(P210),ISNUMBER(P209)),IFERROR(P210/P209,""),"")</f>
        <v>0.336609166165657</v>
      </c>
      <c r="Q211" s="215">
        <f>IF(AND(ISNUMBER(Q210),ISNUMBER(Q209)),IFERROR(Q210/Q209,""),"")</f>
        <v>0.324354294691124</v>
      </c>
      <c r="R211" s="215">
        <f>IF(AND(ISNUMBER(R210),ISNUMBER(R209)),IFERROR(R210/R209,""),"")</f>
        <v>0.239167872149893</v>
      </c>
      <c r="S211" s="215">
        <f>IF(AND(ISNUMBER(S210),ISNUMBER(S209)),IFERROR(S210/S209,""),"")</f>
        <v>0.309045672649724</v>
      </c>
      <c r="T211" s="215">
        <f>IF(AND(ISNUMBER(T210),ISNUMBER(T209)),IFERROR(T210/T209,""),"")</f>
        <v>0.247720465890183</v>
      </c>
      <c r="U211" s="215">
        <f>IF(AND(ISNUMBER(U210),ISNUMBER(U209)),IFERROR(U210/U209,""),"")</f>
        <v>0.282515114873035</v>
      </c>
      <c r="V211" s="215">
        <f>IF(AND(ISNUMBER(V210),ISNUMBER(V209)),IFERROR(V210/V209,""),"")</f>
        <v>0.334495204702485</v>
      </c>
      <c r="W211" s="215">
        <f>IF(AND(ISNUMBER(W210),ISNUMBER(W209)),IFERROR(W210/W209,""),"")</f>
        <v>0.235219899062725</v>
      </c>
      <c r="X211" s="215">
        <f>IF(AND(ISNUMBER(X210),ISNUMBER(X209)),IFERROR(X210/X209,""),"")</f>
        <v>0.273537093547712</v>
      </c>
      <c r="Y211" s="215">
        <f>IF(AND(ISNUMBER(Y210),ISNUMBER(Y209)),IFERROR(Y210/Y209,""),"")</f>
        <v>0.236565531672056</v>
      </c>
      <c r="Z211" s="215">
        <f>IF(AND(ISNUMBER(Z210),ISNUMBER(Z209)),IFERROR(Z210/Z209,""),"")</f>
        <v>0.286735294714828</v>
      </c>
      <c r="AA211" s="215">
        <f>IF(AND(ISNUMBER(AA210),ISNUMBER(AA209)),IFERROR(AA210/AA209,""),"")</f>
        <v>0.302977076510866</v>
      </c>
      <c r="AB211" s="215">
        <f>IF(AND(ISNUMBER(AB210),ISNUMBER(AB209)),IFERROR(AB210/AB209,""),"")</f>
        <v>0.255843665089162</v>
      </c>
      <c r="AC211" s="215">
        <f>IF(AND(ISNUMBER(AC210),ISNUMBER(AC209)),IFERROR(AC210/AC209,""),"")</f>
        <v>0.273955900214893</v>
      </c>
      <c r="AD211" s="215">
        <f>IF(AND(ISNUMBER(AD210),ISNUMBER(AD209)),IFERROR(AD210/AD209,""),"")</f>
        <v>0.27964898696606</v>
      </c>
      <c r="AE211" s="215">
        <f>IF(AND(ISNUMBER(AE210),ISNUMBER(AE209)),IFERROR(AE210/AE209,""),"")</f>
        <v>0.336121970289288</v>
      </c>
      <c r="AF211" s="215">
        <f>IF(AND(ISNUMBER(AF210),ISNUMBER(AF209)),IFERROR(AF210/AF209,""),"")</f>
        <v>0.348996207508437</v>
      </c>
      <c r="AG211" s="215">
        <f>IF(AND(ISNUMBER(AG210),ISNUMBER(AG209)),IFERROR(AG210/AG209,""),"")</f>
        <v>0.293216248826921</v>
      </c>
      <c r="AH211" s="215">
        <f>IF(AND(ISNUMBER(AH210),ISNUMBER(AH209)),IFERROR(AH210/AH209,""),"")</f>
        <v>0.313982744661031</v>
      </c>
      <c r="AI211" s="215">
        <f>IF(AND(ISNUMBER(AI210),ISNUMBER(AI209)),IFERROR(AI210/AI209,""),"")</f>
        <v>0.212611233374797</v>
      </c>
      <c r="AJ211" s="215">
        <f>IF(AND(ISNUMBER(AJ210),ISNUMBER(AJ209)),IFERROR(AJ210/AJ209,""),"")</f>
        <v>0.220186310247064</v>
      </c>
      <c r="AK211" s="215">
        <f>IF(AND(ISNUMBER(AK210),ISNUMBER(AK209)),IFERROR(AK210/AK209,""),"")</f>
        <v>0.242463220516119</v>
      </c>
      <c r="AL211" s="215">
        <f>IF(AND(ISNUMBER(AL210),ISNUMBER(AL209)),IFERROR(AL210/AL209,""),"")</f>
        <v>0.304106001633752</v>
      </c>
      <c r="AM211" s="215">
        <f>IF(AND(ISNUMBER(AM210),ISNUMBER(AM209)),IFERROR(AM210/AM209,""),"")</f>
        <v>0.250927075222228</v>
      </c>
      <c r="AN211" s="215">
        <f>IF(AND(ISNUMBER(AN210),ISNUMBER(AN209)),IFERROR(AN210/AN209,""),"")</f>
        <v>0.274342279217345</v>
      </c>
      <c r="AO211" s="215">
        <f>IF(AND(ISNUMBER(AO210),ISNUMBER(AO209)),IFERROR(AO210/AO209,""),"")</f>
        <v>0.237059991284559</v>
      </c>
      <c r="AP211" s="215">
        <f>IF(AND(ISNUMBER(AP210),ISNUMBER(AP209)),IFERROR(AP210/AP209,""),"")</f>
        <v>0.236949655388155</v>
      </c>
      <c r="AQ211" s="215">
        <f>IF(AND(ISNUMBER(AQ210),ISNUMBER(AQ209)),IFERROR(AQ210/AQ209,""),"")</f>
        <v>0.272514144229274</v>
      </c>
      <c r="AR211" s="215">
        <f>IF(AND(ISNUMBER(AR210),ISNUMBER(AR209)),IFERROR(AR210/AR209,""),"")</f>
        <v>0.254129651900082</v>
      </c>
      <c r="AS211" s="215">
        <f>IF(AND(ISNUMBER(AS210),ISNUMBER(AS209)),IFERROR(AS210/AS209,""),"")</f>
        <v>0.225250214469546</v>
      </c>
      <c r="AT211" s="215">
        <f>IF(AND(ISNUMBER(AT210),ISNUMBER(AT209)),IFERROR(AT210/AT209,""),"")</f>
        <v>0.256159344853911</v>
      </c>
      <c r="AU211" s="215">
        <f>IF(AND(ISNUMBER(AU210),ISNUMBER(AU209)),IFERROR(AU210/AU209,""),"")</f>
        <v>0.228818327974276</v>
      </c>
      <c r="AV211" s="215">
        <f>IF(AND(ISNUMBER(AV210),ISNUMBER(AV209)),IFERROR(AV210/AV209,""),"")</f>
        <v>0.330308241648192</v>
      </c>
      <c r="AW211" s="215">
        <f>IF(AND(ISNUMBER(AW210),ISNUMBER(AW209)),IFERROR(AW210/AW209,""),"")</f>
        <v>0.270766627651901</v>
      </c>
      <c r="AX211" s="215">
        <f>IF(AND(ISNUMBER(AX210),ISNUMBER(AX209)),IFERROR(AX210/AX209,""),"")</f>
        <v>0.235596794601434</v>
      </c>
      <c r="AY211" s="215">
        <f>IF(AND(ISNUMBER(AY210),ISNUMBER(AY209)),IFERROR(AY210/AY209,""),"")</f>
        <v>0.254184748915065</v>
      </c>
      <c r="AZ211" s="215">
        <f>IF(AND(ISNUMBER(AZ210),ISNUMBER(AZ209)),IFERROR(AZ210/AZ209,""),"")</f>
        <v>0.219993999589446</v>
      </c>
      <c r="BA211" s="215">
        <f>IF(AND(ISNUMBER(BA210),ISNUMBER(BA209)),IFERROR(BA210/BA209,""),"")</f>
        <v>0.213532006969033</v>
      </c>
      <c r="BB211" s="215">
        <f>IF(AND(ISNUMBER(BB210),ISNUMBER(BB209)),IFERROR(BB210/BB209,""),"")</f>
        <v>0.229821693189872</v>
      </c>
      <c r="BC211" s="215">
        <f>IF(AND(ISNUMBER(BC210),ISNUMBER(BC209)),IFERROR(BC210/BC209,""),"")</f>
        <v>0.246306620724331</v>
      </c>
      <c r="BD211" s="215">
        <f>IF(AND(ISNUMBER(BD210),ISNUMBER(BD209)),IFERROR(BD210/BD209,""),"")</f>
        <v>0.231567306975473</v>
      </c>
      <c r="BE211" s="215">
        <f>IF(AND(ISNUMBER(BE210),ISNUMBER(BE209)),IFERROR(BE210/BE209,""),"")</f>
        <v>0.22879813302217</v>
      </c>
      <c r="BF211" s="215">
        <f>IF(AND(ISNUMBER(BF210),ISNUMBER(BF209)),IFERROR(BF210/BF209,""),"")</f>
        <v>0.210812100123471</v>
      </c>
      <c r="BG211" s="215">
        <f>IF(AND(ISNUMBER(BG210),ISNUMBER(BG209)),IFERROR(BG210/BG209,""),"")</f>
        <v>0.229222472291817</v>
      </c>
      <c r="BH211" s="215">
        <f>IF(AND(ISNUMBER(BH210),ISNUMBER(BH209)),IFERROR(BH210/BH209,""),"")</f>
        <v>0.256805925763504</v>
      </c>
      <c r="BI211" s="215">
        <f>IF(AND(ISNUMBER(BI210),ISNUMBER(BI209)),IFERROR(BI210/BI209,""),"")</f>
        <v>0.263044836981256</v>
      </c>
      <c r="BJ211" s="215">
        <f>IF(AND(ISNUMBER(BJ210),ISNUMBER(BJ209)),IFERROR(BJ210/BJ209,""),"")</f>
        <v>0.249459585359343</v>
      </c>
      <c r="BK211" s="215">
        <f>IF(AND(ISNUMBER(BK210),ISNUMBER(BK209)),IFERROR(BK210/BK209,""),"")</f>
        <v>0.275073354038333</v>
      </c>
      <c r="BL211" s="215">
        <f>IF(AND(ISNUMBER(BL210),ISNUMBER(BL209)),IFERROR(BL210/BL209,""),"")</f>
        <v>0.260971284158255</v>
      </c>
      <c r="BM211" s="215">
        <f>IF(AND(ISNUMBER(BM210),ISNUMBER(BM209)),IFERROR(BM210/BM209,""),"")</f>
        <v>0.253726014072975</v>
      </c>
      <c r="BN211" s="215">
        <f>IF(AND(ISNUMBER(BN210),ISNUMBER(BN209)),IFERROR(BN210/BN209,""),"")</f>
        <v>0.258878329823417</v>
      </c>
      <c r="BO211" s="215">
        <f>IF(AND(ISNUMBER(BO210),ISNUMBER(BO209)),IFERROR(BO210/BO209,""),"")</f>
        <v>0.255380235016284</v>
      </c>
      <c r="BP211" s="215">
        <f>IF(AND(ISNUMBER(BP210),ISNUMBER(BP209)),IFERROR(BP210/BP209,""),"")</f>
        <v>0.228202424133512</v>
      </c>
      <c r="BQ211" s="215">
        <f>IF(AND(ISNUMBER(BQ210),ISNUMBER(BQ209)),IFERROR(BQ210/BQ209,""),"")</f>
        <v>0.248707376880566</v>
      </c>
      <c r="BR211" s="215">
        <f>IF(AND(ISNUMBER(BR210),ISNUMBER(BR209)),IFERROR(BR210/BR209,""),"")</f>
        <v>0.246321737261706</v>
      </c>
      <c r="BS211" s="215">
        <f>IF(AND(ISNUMBER(BS210),ISNUMBER(BS209)),IFERROR(BS210/BS209,""),"")</f>
        <v>0.243526224874372</v>
      </c>
      <c r="BT211" s="215">
        <f>IF(AND(ISNUMBER(BT210),ISNUMBER(BT209)),IFERROR(BT210/BT209,""),"")</f>
        <v>0.245123171077115</v>
      </c>
      <c r="BU211" s="215">
        <f>IF(AND(ISNUMBER(BU210),ISNUMBER(BU209)),IFERROR(BU210/BU209,""),"")</f>
        <v>0.239286295572917</v>
      </c>
      <c r="BV211" s="215">
        <f>IF(AND(ISNUMBER(BV210),ISNUMBER(BV209)),IFERROR(BV210/BV209,""),"")</f>
        <v>0.243460003463261</v>
      </c>
      <c r="BW211" s="215">
        <f>IF(AND(ISNUMBER(BW210),ISNUMBER(BW209)),IFERROR(BW210/BW209,""),"")</f>
        <v>0.256519898391194</v>
      </c>
      <c r="BX211" s="215">
        <f>IF(AND(ISNUMBER(BX210),ISNUMBER(BX209)),IFERROR(BX210/BX209,""),"")</f>
        <v>0.260465591432679</v>
      </c>
      <c r="BY211" s="215">
        <f>IF(AND(ISNUMBER(BY210),ISNUMBER(BY209)),IFERROR(BY210/BY209,""),"")</f>
        <v>0.246284639908445</v>
      </c>
      <c r="BZ211" s="256">
        <f>$CQ$26</f>
        <v>0.255</v>
      </c>
      <c r="CA211" s="256">
        <f>IF(AND(ISNUMBER(CA210),ISNUMBER(CA209)),IFERROR(CA210/CA209,""),"")</f>
        <v>0.254505055455126</v>
      </c>
      <c r="CB211" s="265" t="n">
        <v>0.25</v>
      </c>
      <c r="CC211" s="265" t="n">
        <v>0.25</v>
      </c>
      <c r="CD211" s="265" t="n">
        <v>0.25</v>
      </c>
      <c r="CE211" s="265" t="n">
        <v>0.25</v>
      </c>
      <c r="CF211" s="265" t="n">
        <v>0.25</v>
      </c>
      <c r="CG211" s="153" t="inlineStr">
        <is>
          <t>9M FY26 25.4%; FY2025 24.3%. Forecast input.</t>
        </is>
      </c>
      <c r="CI211" s="37">
        <f>IFERROR(AVERAGE(CB211,CC211,CD211,CE211,CF211),"n/m")</f>
        <v>0.25</v>
      </c>
      <c r="CJ211" s="37">
        <f>IFERROR(AVERAGE(BB211,BG211,BL211,BQ211,BV211),"n/m")</f>
        <v>0.242436565996754</v>
      </c>
      <c r="CK211" s="37">
        <f>IFERROR(AVERAGE(AC211,AH211,AM211,AR211,AW211,BB211,BG211,BL211,BQ211,BV211),"n/m")</f>
        <v>0.257594482963391</v>
      </c>
      <c r="CL211" s="37">
        <f>IFERROR(AVERAGE(C211,D211,E211,F211,G211,H211,I211,N211,S211,X211,AC211,AH211,AM211,AR211,AW211,BB211,BG211,BL211,BQ211,BV211),"n/m")</f>
        <v>0.254130571816066</v>
      </c>
    </row>
    <row r="212" ht="15" customHeight="1" s="251">
      <c r="B212" s="158" t="inlineStr">
        <is>
          <t xml:space="preserve">  Definition / basis (company non-GAAP definition in force)</t>
        </is>
      </c>
      <c r="C212" s="283" t="inlineStr">
        <is>
          <t>FY2006–12: no non-GAAP measures published — non-GAAP = GAAP (flag)</t>
        </is>
      </c>
      <c r="J212" s="283" t="inlineStr">
        <is>
          <t>Q1 FY13+: non-GAAP NI / EPS excl. amortization, restructuring &amp; acquisition, SBC (items shown net of tax); FCF published</t>
        </is>
      </c>
      <c r="AA212" s="283" t="inlineStr">
        <is>
          <t>Q3 FY16+: items pre-tax with a separate "income tax adjustments" line</t>
        </is>
      </c>
      <c r="AD212" s="283" t="inlineStr">
        <is>
          <t>Q1 FY17+: excess tax benefit on share-based awards excluded (ASU 2016-09)</t>
        </is>
      </c>
      <c r="AI212" s="283" t="inlineStr">
        <is>
          <t>FY2018–19: Tax Cuts and Jobs Act effects and a realized gain on a cost-method investment excluded</t>
        </is>
      </c>
      <c r="AX212" s="283" t="inlineStr">
        <is>
          <t>FY2021–24: gains on product-line asset sales and the C&amp;R divestiture excluded</t>
        </is>
      </c>
      <c r="BZ212" s="153" t="n"/>
      <c r="CA212" s="153" t="n"/>
      <c r="CB212" s="153" t="n"/>
      <c r="CC212" s="153" t="n"/>
      <c r="CD212" s="153" t="n"/>
      <c r="CE212" s="153" t="n"/>
      <c r="CF212" s="153" t="n"/>
      <c r="CG212" s="19" t="n"/>
    </row>
    <row r="213" ht="15" customHeight="1" s="251">
      <c r="CO213" s="11" t="n"/>
      <c r="CP213" s="12" t="n"/>
      <c r="CQ213" s="12" t="n"/>
      <c r="CR213" s="12" t="n"/>
      <c r="CS213" s="13" t="n"/>
    </row>
    <row r="214" ht="15" customHeight="1" s="251">
      <c r="B214" s="10" t="inlineStr">
        <is>
          <t>GROWTH &amp; MARGINS</t>
        </is>
      </c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0" t="n"/>
      <c r="BJ214" s="10" t="n"/>
      <c r="BK214" s="10" t="n"/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/>
      <c r="CB214" s="10" t="n"/>
      <c r="CC214" s="10" t="n"/>
      <c r="CD214" s="10" t="n"/>
      <c r="CE214" s="10" t="n"/>
      <c r="CF214" s="10" t="n"/>
      <c r="CG214" s="10" t="inlineStr">
        <is>
          <t>GROWTH &amp; MARGINS (consolidated) — forecast outputs</t>
        </is>
      </c>
    </row>
    <row r="215" ht="15" customHeight="1" s="251">
      <c r="B215" s="22" t="inlineStr">
        <is>
          <t xml:space="preserve">  Revenue y/y %</t>
        </is>
      </c>
      <c r="C215" s="23" t="n"/>
      <c r="D215" s="255">
        <f>IF(AND(ISNUMBER(D127),ISNUMBER(C127)),IFERROR(D127/C127-1,""),"")</f>
        <v>-0.00379105002029412</v>
      </c>
      <c r="E215" s="255">
        <f>IF(AND(ISNUMBER(E127),ISNUMBER(D127)),IFERROR(E127/D127-1,""),"")</f>
        <v>-0.0941262605869848</v>
      </c>
      <c r="F215" s="255">
        <f>IF(AND(ISNUMBER(F127),ISNUMBER(E127)),IFERROR(F127/E127-1,""),"")</f>
        <v>-0.153196248331861</v>
      </c>
      <c r="G215" s="255">
        <f>IF(AND(ISNUMBER(G127),ISNUMBER(F127)),IFERROR(G127/F127-1,""),"")</f>
        <v>-0.0397821589098433</v>
      </c>
      <c r="H215" s="255">
        <f>IF(AND(ISNUMBER(H127),ISNUMBER(G127)),IFERROR(H127/G127-1,""),"")</f>
        <v>0.023181973538867</v>
      </c>
      <c r="I215" s="255">
        <f>IF(AND(ISNUMBER(I127),ISNUMBER(H127)),IFERROR(I127/H127-1,""),"")</f>
        <v>0.0915629442795751</v>
      </c>
      <c r="J215" s="23" t="n"/>
      <c r="K215" s="23" t="n"/>
      <c r="L215" s="23" t="n"/>
      <c r="M215" s="23" t="n"/>
      <c r="N215" s="255">
        <f>IF(AND(ISNUMBER(N127),ISNUMBER(I127)),IFERROR(N127/I127-1,""),"")</f>
        <v>0.0990814919066914</v>
      </c>
      <c r="O215" s="255">
        <f>IF(AND(ISNUMBER(O127),ISNUMBER(J127)),IFERROR(O127/J127-1,""),"")</f>
        <v>-0.0298758025471004</v>
      </c>
      <c r="P215" s="255">
        <f>IF(AND(ISNUMBER(P127),ISNUMBER(K127)),IFERROR(P127/K127-1,""),"")</f>
        <v>0.0342227798689529</v>
      </c>
      <c r="Q215" s="255">
        <f>IF(AND(ISNUMBER(Q127),ISNUMBER(L127)),IFERROR(Q127/L127-1,""),"")</f>
        <v>0.0752998280477986</v>
      </c>
      <c r="R215" s="255">
        <f>IF(AND(ISNUMBER(R127),ISNUMBER(M127)),IFERROR(R127/M127-1,""),"")</f>
        <v>0.164154323874175</v>
      </c>
      <c r="S215" s="255">
        <f>IF(AND(ISNUMBER(S127),ISNUMBER(N127)),IFERROR(S127/N127-1,""),"")</f>
        <v>0.0612567994361379</v>
      </c>
      <c r="T215" s="255">
        <f>IF(AND(ISNUMBER(T127),ISNUMBER(O127)),IFERROR(T127/O127-1,""),"")</f>
        <v>0.0282462583336498</v>
      </c>
      <c r="U215" s="255">
        <f>IF(AND(ISNUMBER(U127),ISNUMBER(P127)),IFERROR(U127/P127-1,""),"")</f>
        <v>0.116719327948583</v>
      </c>
      <c r="V215" s="255">
        <f>IF(AND(ISNUMBER(V127),ISNUMBER(Q127)),IFERROR(V127/Q127-1,""),"")</f>
        <v>0.0594909164515967</v>
      </c>
      <c r="W215" s="255">
        <f>IF(AND(ISNUMBER(W127),ISNUMBER(R127)),IFERROR(W127/R127-1,""),"")</f>
        <v>0.050485173985648</v>
      </c>
      <c r="X215" s="255">
        <f>IF(AND(ISNUMBER(X127),ISNUMBER(S127)),IFERROR(X127/S127-1,""),"")</f>
        <v>0.0631140008998903</v>
      </c>
      <c r="Y215" s="255">
        <f>IF(AND(ISNUMBER(Y127),ISNUMBER(T127)),IFERROR(Y127/T127-1,""),"")</f>
        <v>0.0555315220258505</v>
      </c>
      <c r="Z215" s="255">
        <f>IF(AND(ISNUMBER(Z127),ISNUMBER(U127)),IFERROR(Z127/U127-1,""),"")</f>
        <v>-0.00208102979590463</v>
      </c>
      <c r="AA215" s="255">
        <f>IF(AND(ISNUMBER(AA127),ISNUMBER(V127)),IFERROR(AA127/V127-1,""),"")</f>
        <v>0.140481262478148</v>
      </c>
      <c r="AB215" s="255">
        <f>IF(AND(ISNUMBER(AB127),ISNUMBER(W127)),IFERROR(AB127/W127-1,""),"")</f>
        <v>0.0131811854474213</v>
      </c>
      <c r="AC215" s="255">
        <f>IF(AND(ISNUMBER(AC127),ISNUMBER(X127)),IFERROR(AC127/X127-1,""),"")</f>
        <v>0.050758183602156</v>
      </c>
      <c r="AD215" s="255">
        <f>IF(AND(ISNUMBER(AD127),ISNUMBER(Y127)),IFERROR(AD127/Y127-1,""),"")</f>
        <v>0.0975829184909733</v>
      </c>
      <c r="AE215" s="255">
        <f>IF(AND(ISNUMBER(AE127),ISNUMBER(Z127)),IFERROR(AE127/Z127-1,""),"")</f>
        <v>0.104994242251231</v>
      </c>
      <c r="AF215" s="255">
        <f>IF(AND(ISNUMBER(AF127),ISNUMBER(AA127)),IFERROR(AF127/AA127-1,""),"")</f>
        <v>-0.0326328221192908</v>
      </c>
      <c r="AG215" s="255">
        <f>IF(AND(ISNUMBER(AG127),ISNUMBER(AB127)),IFERROR(AG127/AB127-1,""),"")</f>
        <v>0.0737032702354299</v>
      </c>
      <c r="AH215" s="255">
        <f>IF(AND(ISNUMBER(AH127),ISNUMBER(AC127)),IFERROR(AH127/AC127-1,""),"")</f>
        <v>0.0576532071035993</v>
      </c>
      <c r="AI215" s="255">
        <f>IF(AND(ISNUMBER(AI127),ISNUMBER(AD127)),IFERROR(AI127/AD127-1,""),"")</f>
        <v>0.0715892531876139</v>
      </c>
      <c r="AJ215" s="255">
        <f>IF(AND(ISNUMBER(AJ127),ISNUMBER(AE127)),IFERROR(AJ127/AE127-1,""),"")</f>
        <v>0.129084237536015</v>
      </c>
      <c r="AK215" s="255">
        <f>IF(AND(ISNUMBER(AK127),ISNUMBER(AF127)),IFERROR(AK127/AF127-1,""),"")</f>
        <v>0.123466357268406</v>
      </c>
      <c r="AL215" s="255">
        <f>IF(AND(ISNUMBER(AL127),ISNUMBER(AG127)),IFERROR(AL127/AG127-1,""),"")</f>
        <v>0.104997926581229</v>
      </c>
      <c r="AM215" s="255">
        <f>IF(AND(ISNUMBER(AM127),ISNUMBER(AH127)),IFERROR(AM127/AH127-1,""),"")</f>
        <v>0.107604951462664</v>
      </c>
      <c r="AN215" s="255">
        <f>IF(AND(ISNUMBER(AN127),ISNUMBER(AI127)),IFERROR(AN127/AI127-1,""),"")</f>
        <v>0.114460672868125</v>
      </c>
      <c r="AO215" s="255">
        <f>IF(AND(ISNUMBER(AO127),ISNUMBER(AJ127)),IFERROR(AO127/AJ127-1,""),"")</f>
        <v>0.0790202359438139</v>
      </c>
      <c r="AP215" s="255">
        <f>IF(AND(ISNUMBER(AP127),ISNUMBER(AK127)),IFERROR(AP127/AK127-1,""),"")</f>
        <v>0.210955472919597</v>
      </c>
      <c r="AQ215" s="255">
        <f>IF(AND(ISNUMBER(AQ127),ISNUMBER(AL127)),IFERROR(AQ127/AL127-1,""),"")</f>
        <v>0.0913288847747069</v>
      </c>
      <c r="AR215" s="255">
        <f>IF(AND(ISNUMBER(AR127),ISNUMBER(AM127)),IFERROR(AR127/AM127-1,""),"")</f>
        <v>0.123594275890458</v>
      </c>
      <c r="AS215" s="255">
        <f>IF(AND(ISNUMBER(AS127),ISNUMBER(AN127)),IFERROR(AS127/AN127-1,""),"")</f>
        <v>0.138216094198036</v>
      </c>
      <c r="AT215" s="255">
        <f>IF(AND(ISNUMBER(AT127),ISNUMBER(AO127)),IFERROR(AT127/AO127-1,""),"")</f>
        <v>0.106877664124442</v>
      </c>
      <c r="AU215" s="255">
        <f>IF(AND(ISNUMBER(AU127),ISNUMBER(AP127)),IFERROR(AU127/AP127-1,""),"")</f>
        <v>-0.00164837437827969</v>
      </c>
      <c r="AV215" s="255">
        <f>IF(AND(ISNUMBER(AV127),ISNUMBER(AQ127)),IFERROR(AV127/AQ127-1,""),"")</f>
        <v>0.226013938377699</v>
      </c>
      <c r="AW215" s="255">
        <f>IF(AND(ISNUMBER(AW127),ISNUMBER(AR127)),IFERROR(AW127/AR127-1,""),"")</f>
        <v>0.115921878003556</v>
      </c>
      <c r="AX215" s="255">
        <f>IF(AND(ISNUMBER(AX127),ISNUMBER(AS127)),IFERROR(AX127/AS127-1,""),"")</f>
        <v>0.0465990405488703</v>
      </c>
      <c r="AY215" s="255">
        <f>IF(AND(ISNUMBER(AY127),ISNUMBER(AT127)),IFERROR(AY127/AT127-1,""),"")</f>
        <v>0.0759487094564098</v>
      </c>
      <c r="AZ215" s="255">
        <f>IF(AND(ISNUMBER(AZ127),ISNUMBER(AU127)),IFERROR(AZ127/AU127-1,""),"")</f>
        <v>0.0779425686336386</v>
      </c>
      <c r="BA215" s="255">
        <f>IF(AND(ISNUMBER(BA127),ISNUMBER(AV127)),IFERROR(BA127/AV127-1,""),"")</f>
        <v>-0.106259816858819</v>
      </c>
      <c r="BB215" s="255">
        <f>IF(AND(ISNUMBER(BB127),ISNUMBER(AW127)),IFERROR(BB127/AW127-1,""),"")</f>
        <v>0.0169740808087988</v>
      </c>
      <c r="BC215" s="255">
        <f>IF(AND(ISNUMBER(BC127),ISNUMBER(AX127)),IFERROR(BC127/AX127-1,""),"")</f>
        <v>0.0318391621374203</v>
      </c>
      <c r="BD215" s="255">
        <f>IF(AND(ISNUMBER(BD127),ISNUMBER(AY127)),IFERROR(BD127/AY127-1,""),"")</f>
        <v>0.0779633088987539</v>
      </c>
      <c r="BE215" s="255">
        <f>IF(AND(ISNUMBER(BE127),ISNUMBER(AZ127)),IFERROR(BE127/AZ127-1,""),"")</f>
        <v>0.0318820523738557</v>
      </c>
      <c r="BF215" s="255">
        <f>IF(AND(ISNUMBER(BF127),ISNUMBER(BA127)),IFERROR(BF127/BA127-1,""),"")</f>
        <v>0.0423549735935225</v>
      </c>
      <c r="BG215" s="255">
        <f>IF(AND(ISNUMBER(BG127),ISNUMBER(BB127)),IFERROR(BG127/BB127-1,""),"")</f>
        <v>0.0461316667375598</v>
      </c>
      <c r="BH215" s="255">
        <f>IF(AND(ISNUMBER(BH127),ISNUMBER(BC127)),IFERROR(BH127/BC127-1,""),"")</f>
        <v>0.0698254441449184</v>
      </c>
      <c r="BI215" s="255">
        <f>IF(AND(ISNUMBER(BI127),ISNUMBER(BD127)),IFERROR(BI127/BD127-1,""),"")</f>
        <v>0.0645893699519871</v>
      </c>
      <c r="BJ215" s="255">
        <f>IF(AND(ISNUMBER(BJ127),ISNUMBER(BE127)),IFERROR(BJ127/BE127-1,""),"")</f>
        <v>0.142483794982892</v>
      </c>
      <c r="BK215" s="255">
        <f>IF(AND(ISNUMBER(BK127),ISNUMBER(BF127)),IFERROR(BK127/BF127-1,""),"")</f>
        <v>0.11752038721369</v>
      </c>
      <c r="BL215" s="255">
        <f>IF(AND(ISNUMBER(BL127),ISNUMBER(BG127)),IFERROR(BL127/BG127-1,""),"")</f>
        <v>0.0989544533751552</v>
      </c>
      <c r="BM215" s="255">
        <f>IF(AND(ISNUMBER(BM127),ISNUMBER(BH127)),IFERROR(BM127/BH127-1,""),"")</f>
        <v>0.107834836315133</v>
      </c>
      <c r="BN215" s="255">
        <f>IF(AND(ISNUMBER(BN127),ISNUMBER(BI127)),IFERROR(BN127/BI127-1,""),"")</f>
        <v>0.140804068730836</v>
      </c>
      <c r="BO215" s="255">
        <f>IF(AND(ISNUMBER(BO127),ISNUMBER(BJ127)),IFERROR(BO127/BJ127-1,""),"")</f>
        <v>0.123306946785456</v>
      </c>
      <c r="BP215" s="255">
        <f>IF(AND(ISNUMBER(BP127),ISNUMBER(BK127)),IFERROR(BP127/BK127-1,""),"")</f>
        <v>0.164409993508376</v>
      </c>
      <c r="BQ215" s="255">
        <f>IF(AND(ISNUMBER(BQ127),ISNUMBER(BL127)),IFERROR(BQ127/BL127-1,""),"")</f>
        <v>0.134761360160205</v>
      </c>
      <c r="BR215" s="255">
        <f>IF(AND(ISNUMBER(BR127),ISNUMBER(BM127)),IFERROR(BR127/BM127-1,""),"")</f>
        <v>0.151570830683219</v>
      </c>
      <c r="BS215" s="255">
        <f>IF(AND(ISNUMBER(BS127),ISNUMBER(BN127)),IFERROR(BS127/BN127-1,""),"")</f>
        <v>0.149664944710691</v>
      </c>
      <c r="BT215" s="255">
        <f>IF(AND(ISNUMBER(BT127),ISNUMBER(BO127)),IFERROR(BT127/BO127-1,""),"")</f>
        <v>0.197758619534709</v>
      </c>
      <c r="BU215" s="255">
        <f>IF(AND(ISNUMBER(BU127),ISNUMBER(BP127)),IFERROR(BU127/BP127-1,""),"")</f>
        <v>0.136493546844598</v>
      </c>
      <c r="BV215" s="255">
        <f>IF(AND(ISNUMBER(BV127),ISNUMBER(BQ127)),IFERROR(BV127/BQ127-1,""),"")</f>
        <v>0.159149264698176</v>
      </c>
      <c r="BW215" s="255">
        <f>IF(AND(ISNUMBER(BW127),ISNUMBER(BR127)),IFERROR(BW127/BR127-1,""),"")</f>
        <v>0.163627809295221</v>
      </c>
      <c r="BX215" s="255">
        <f>IF(AND(ISNUMBER(BX127),ISNUMBER(BS127)),IFERROR(BX127/BS127-1,""),"")</f>
        <v>0.386862762789858</v>
      </c>
      <c r="BY215" s="255">
        <f>IF(AND(ISNUMBER(BY127),ISNUMBER(BT127)),IFERROR(BY127/BT127-1,""),"")</f>
        <v>0.256840319528723</v>
      </c>
      <c r="BZ215" s="256">
        <f>IF(AND(ISNUMBER(BZ127),ISNUMBER(BU127)),IFERROR(BZ127/BU127-1,""),"")</f>
        <v>0.264517179801881</v>
      </c>
      <c r="CA215" s="256">
        <f>IF(AND(ISNUMBER(CA127),ISNUMBER(BV127)),IFERROR(CA127/BV127-1,""),"")</f>
        <v>0.270801845827124</v>
      </c>
      <c r="CB215" s="256">
        <f>IF(AND(ISNUMBER(CB127),ISNUMBER(CA127)),IFERROR(CB127/CA127-1,""),"")</f>
        <v>0.106251902135555</v>
      </c>
      <c r="CC215" s="256">
        <f>IF(AND(ISNUMBER(CC127),ISNUMBER(CB127)),IFERROR(CC127/CB127-1,""),"")</f>
        <v>0.103398259650363</v>
      </c>
      <c r="CD215" s="256">
        <f>IF(AND(ISNUMBER(CD127),ISNUMBER(CC127)),IFERROR(CD127/CC127-1,""),"")</f>
        <v>0.0944278092312785</v>
      </c>
      <c r="CE215" s="256">
        <f>IF(AND(ISNUMBER(CE127),ISNUMBER(CD127)),IFERROR(CE127/CD127-1,""),"")</f>
        <v>0.0879847816999895</v>
      </c>
      <c r="CF215" s="256">
        <f>IF(AND(ISNUMBER(CF127),ISNUMBER(CE127)),IFERROR(CF127/CE127-1,""),"")</f>
        <v>0.0813837456313145</v>
      </c>
      <c r="CG215" s="153" t="n"/>
      <c r="CI215" s="37">
        <f>IFERROR(AVERAGE(CB215,CC215,CD215,CE215,CF215),"n/m")</f>
        <v>0.0946892996697001</v>
      </c>
      <c r="CJ215" s="37">
        <f>IFERROR(AVERAGE(BB215,BG215,BL215,BQ215,BV215),"n/m")</f>
        <v>0.0911941651559791</v>
      </c>
      <c r="CK215" s="37">
        <f>IFERROR(AVERAGE(AC215,AH215,AM215,AR215,AW215,BB215,BG215,BL215,BQ215,BV215),"n/m")</f>
        <v>0.0911503321842329</v>
      </c>
      <c r="CL215" s="37">
        <f>IFERROR(AVERAGE(C215,D215,E215,F215,G215,H215,I215,N215,S215,X215,AC215,AH215,AM215,AR215,AW215,BB215,BG215,BL215,BQ215,BV215),"n/m")</f>
        <v>0.0504634112660267</v>
      </c>
    </row>
    <row r="216" ht="15" customHeight="1" s="251">
      <c r="B216" s="22" t="inlineStr">
        <is>
          <t xml:space="preserve">  Scores segment revenue y/y %</t>
        </is>
      </c>
      <c r="C216" s="23" t="n"/>
      <c r="D216" s="255">
        <f>IF(AND(ISNUMBER(D17),ISNUMBER(C17)),IFERROR(D17/C17-1,""),"")</f>
        <v>0.0185829118497109</v>
      </c>
      <c r="E216" s="255">
        <f>IF(AND(ISNUMBER(E17),ISNUMBER(D17)),IFERROR(E17/D17-1,""),"")</f>
        <v>-0.130943672275055</v>
      </c>
      <c r="F216" s="255">
        <f>IF(AND(ISNUMBER(F17),ISNUMBER(E17)),IFERROR(F17/E17-1,""),"")</f>
        <v>-0.160666003469034</v>
      </c>
      <c r="G216" s="255">
        <f>IF(AND(ISNUMBER(G17),ISNUMBER(F17)),IFERROR(G17/F17-1,""),"")</f>
        <v>0.309357929205826</v>
      </c>
      <c r="H216" s="255">
        <f>IF(AND(ISNUMBER(H17),ISNUMBER(G17)),IFERROR(H17/G17-1,""),"")</f>
        <v>-0.0218870946216468</v>
      </c>
      <c r="I216" s="255">
        <f>IF(AND(ISNUMBER(I17),ISNUMBER(H17)),IFERROR(I17/H17-1,""),"")</f>
        <v>0.0418587267970598</v>
      </c>
      <c r="J216" s="23" t="n"/>
      <c r="K216" s="23" t="n"/>
      <c r="L216" s="23" t="n"/>
      <c r="M216" s="23" t="n"/>
      <c r="N216" s="255">
        <f>IF(AND(ISNUMBER(N17),ISNUMBER(I17)),IFERROR(N17/I17-1,""),"")</f>
        <v>0.0295519379580123</v>
      </c>
      <c r="O216" s="255">
        <f>IF(AND(ISNUMBER(O17),ISNUMBER(J17)),IFERROR(O17/J17-1,""),"")</f>
        <v>0.0859207770386907</v>
      </c>
      <c r="P216" s="255">
        <f>IF(AND(ISNUMBER(P17),ISNUMBER(K17)),IFERROR(P17/K17-1,""),"")</f>
        <v>0.0861513322136989</v>
      </c>
      <c r="Q216" s="255">
        <f>IF(AND(ISNUMBER(Q17),ISNUMBER(L17)),IFERROR(Q17/L17-1,""),"")</f>
        <v>-0.0386409908381405</v>
      </c>
      <c r="R216" s="255">
        <f>IF(AND(ISNUMBER(R17),ISNUMBER(M17)),IFERROR(R17/M17-1,""),"")</f>
        <v>-0.00110504420176816</v>
      </c>
      <c r="S216" s="255">
        <f>IF(AND(ISNUMBER(S17),ISNUMBER(N17)),IFERROR(S17/N17-1,""),"")</f>
        <v>0.0312809366583156</v>
      </c>
      <c r="T216" s="255">
        <f>IF(AND(ISNUMBER(T17),ISNUMBER(O17)),IFERROR(T17/O17-1,""),"")</f>
        <v>-0.0686519711742263</v>
      </c>
      <c r="U216" s="255">
        <f>IF(AND(ISNUMBER(U17),ISNUMBER(P17)),IFERROR(U17/P17-1,""),"")</f>
        <v>0.0434410129967822</v>
      </c>
      <c r="V216" s="255">
        <f>IF(AND(ISNUMBER(V17),ISNUMBER(Q17)),IFERROR(V17/Q17-1,""),"")</f>
        <v>0.22995808515332</v>
      </c>
      <c r="W216" s="255">
        <f>IF(AND(ISNUMBER(W17),ISNUMBER(R17)),IFERROR(W17/R17-1,""),"")</f>
        <v>0.244550009761177</v>
      </c>
      <c r="X216" s="255">
        <f>IF(AND(ISNUMBER(X17),ISNUMBER(S17)),IFERROR(X17/S17-1,""),"")</f>
        <v>0.110141632121157</v>
      </c>
      <c r="Y216" s="255">
        <f>IF(AND(ISNUMBER(Y17),ISNUMBER(T17)),IFERROR(Y17/T17-1,""),"")</f>
        <v>0.274481691358867</v>
      </c>
      <c r="Z216" s="255">
        <f>IF(AND(ISNUMBER(Z17),ISNUMBER(U17)),IFERROR(Z17/U17-1,""),"")</f>
        <v>0.223862066203416</v>
      </c>
      <c r="AA216" s="255">
        <f>IF(AND(ISNUMBER(AA17),ISNUMBER(V17)),IFERROR(AA17/V17-1,""),"")</f>
        <v>0.0964235749901354</v>
      </c>
      <c r="AB216" s="255">
        <f>IF(AND(ISNUMBER(AB17),ISNUMBER(W17)),IFERROR(AB17/W17-1,""),"")</f>
        <v>0.0947450980392157</v>
      </c>
      <c r="AC216" s="255">
        <f>IF(AND(ISNUMBER(AC17),ISNUMBER(X17)),IFERROR(AC17/X17-1,""),"")</f>
        <v>0.164496852763433</v>
      </c>
      <c r="AD216" s="255">
        <f>IF(AND(ISNUMBER(AD17),ISNUMBER(Y17)),IFERROR(AD17/Y17-1,""),"")</f>
        <v>0.0603549873218814</v>
      </c>
      <c r="AE216" s="255">
        <f>IF(AND(ISNUMBER(AE17),ISNUMBER(Z17)),IFERROR(AE17/Z17-1,""),"")</f>
        <v>0.0706361672884353</v>
      </c>
      <c r="AF216" s="255">
        <f>IF(AND(ISNUMBER(AF17),ISNUMBER(AA17)),IFERROR(AF17/AA17-1,""),"")</f>
        <v>0.137150335350891</v>
      </c>
      <c r="AG216" s="255">
        <f>IF(AND(ISNUMBER(AG17),ISNUMBER(AB17)),IFERROR(AG17/AB17-1,""),"")</f>
        <v>0.146694050405184</v>
      </c>
      <c r="AH216" s="255">
        <f>IF(AND(ISNUMBER(AH17),ISNUMBER(AC17)),IFERROR(AH17/AC17-1,""),"")</f>
        <v>0.104932817277098</v>
      </c>
      <c r="AI216" s="255">
        <f>IF(AND(ISNUMBER(AI17),ISNUMBER(AD17)),IFERROR(AI17/AD17-1,""),"")</f>
        <v>0.177376982924119</v>
      </c>
      <c r="AJ216" s="255">
        <f>IF(AND(ISNUMBER(AJ17),ISNUMBER(AE17)),IFERROR(AJ17/AE17-1,""),"")</f>
        <v>0.343511683706998</v>
      </c>
      <c r="AK216" s="255">
        <f>IF(AND(ISNUMBER(AK17),ISNUMBER(AF17)),IFERROR(AK17/AF17-1,""),"")</f>
        <v>0.324984895129039</v>
      </c>
      <c r="AL216" s="255">
        <f>IF(AND(ISNUMBER(AL17),ISNUMBER(AG17)),IFERROR(AL17/AG17-1,""),"")</f>
        <v>0.287303019784797</v>
      </c>
      <c r="AM216" s="255">
        <f>IF(AND(ISNUMBER(AM17),ISNUMBER(AH17)),IFERROR(AM17/AH17-1,""),"")</f>
        <v>0.286438348964161</v>
      </c>
      <c r="AN216" s="255">
        <f>IF(AND(ISNUMBER(AN17),ISNUMBER(AI17)),IFERROR(AN17/AI17-1,""),"")</f>
        <v>0.225531001930916</v>
      </c>
      <c r="AO216" s="255">
        <f>IF(AND(ISNUMBER(AO17),ISNUMBER(AJ17)),IFERROR(AO17/AJ17-1,""),"")</f>
        <v>0.187612330792857</v>
      </c>
      <c r="AP216" s="255">
        <f>IF(AND(ISNUMBER(AP17),ISNUMBER(AK17)),IFERROR(AP17/AK17-1,""),"")</f>
        <v>0.250160143314695</v>
      </c>
      <c r="AQ216" s="255">
        <f>IF(AND(ISNUMBER(AQ17),ISNUMBER(AL17)),IFERROR(AQ17/AL17-1,""),"")</f>
        <v>0.250512306132574</v>
      </c>
      <c r="AR216" s="255">
        <f>IF(AND(ISNUMBER(AR17),ISNUMBER(AM17)),IFERROR(AR17/AM17-1,""),"")</f>
        <v>0.229182718124723</v>
      </c>
      <c r="AS216" s="255">
        <f>IF(AND(ISNUMBER(AS17),ISNUMBER(AN17)),IFERROR(AS17/AN17-1,""),"")</f>
        <v>0.343767141673377</v>
      </c>
      <c r="AT216" s="255">
        <f>IF(AND(ISNUMBER(AT17),ISNUMBER(AO17)),IFERROR(AT17/AO17-1,""),"")</f>
        <v>0.237014262042278</v>
      </c>
      <c r="AU216" s="255">
        <f>IF(AND(ISNUMBER(AU17),ISNUMBER(AP17)),IFERROR(AU17/AP17-1,""),"")</f>
        <v>0.142462612683029</v>
      </c>
      <c r="AV216" s="255">
        <f>IF(AND(ISNUMBER(AV17),ISNUMBER(AQ17)),IFERROR(AV17/AQ17-1,""),"")</f>
        <v>0.317098624347751</v>
      </c>
      <c r="AW216" s="255">
        <f>IF(AND(ISNUMBER(AW17),ISNUMBER(AR17)),IFERROR(AW17/AR17-1,""),"")</f>
        <v>0.254928450508931</v>
      </c>
      <c r="AX216" s="255">
        <f>IF(AND(ISNUMBER(AX17),ISNUMBER(AS17)),IFERROR(AX17/AS17-1,""),"")</f>
        <v>0.256327189980719</v>
      </c>
      <c r="AY216" s="255">
        <f>IF(AND(ISNUMBER(AY17),ISNUMBER(AT17)),IFERROR(AY17/AT17-1,""),"")</f>
        <v>0.306400408833277</v>
      </c>
      <c r="AZ216" s="255">
        <f>IF(AND(ISNUMBER(AZ17),ISNUMBER(AU17)),IFERROR(AZ17/AU17-1,""),"")</f>
        <v>0.309023185100722</v>
      </c>
      <c r="BA216" s="255">
        <f>IF(AND(ISNUMBER(BA17),ISNUMBER(AV17)),IFERROR(BA17/AV17-1,""),"")</f>
        <v>0.103882497004145</v>
      </c>
      <c r="BB216" s="255">
        <f>IF(AND(ISNUMBER(BB17),ISNUMBER(AW17)),IFERROR(BB17/AW17-1,""),"")</f>
        <v>0.237632604101433</v>
      </c>
      <c r="BC216" s="255">
        <f>IF(AND(ISNUMBER(BC17),ISNUMBER(AX17)),IFERROR(BC17/AX17-1,""),"")</f>
        <v>0.171696013162716</v>
      </c>
      <c r="BD216" s="255">
        <f>IF(AND(ISNUMBER(BD17),ISNUMBER(AY17)),IFERROR(BD17/AY17-1,""),"")</f>
        <v>0.089041542446316</v>
      </c>
      <c r="BE216" s="255">
        <f>IF(AND(ISNUMBER(BE17),ISNUMBER(AZ17)),IFERROR(BE17/AZ17-1,""),"")</f>
        <v>0.0415384258022555</v>
      </c>
      <c r="BF216" s="255">
        <f>IF(AND(ISNUMBER(BF17),ISNUMBER(BA17)),IFERROR(BF17/BA17-1,""),"")</f>
        <v>0.0325315141628355</v>
      </c>
      <c r="BG216" s="255">
        <f>IF(AND(ISNUMBER(BG17),ISNUMBER(BB17)),IFERROR(BG17/BB17-1,""),"")</f>
        <v>0.0802510750641674</v>
      </c>
      <c r="BH216" s="255">
        <f>IF(AND(ISNUMBER(BH17),ISNUMBER(BC17)),IFERROR(BH17/BC17-1,""),"")</f>
        <v>0.0501572391982865</v>
      </c>
      <c r="BI216" s="255">
        <f>IF(AND(ISNUMBER(BI17),ISNUMBER(BD17)),IFERROR(BI17/BD17-1,""),"")</f>
        <v>0.0803572400431041</v>
      </c>
      <c r="BJ216" s="255">
        <f>IF(AND(ISNUMBER(BJ17),ISNUMBER(BE17)),IFERROR(BJ17/BE17-1,""),"")</f>
        <v>0.125020211312759</v>
      </c>
      <c r="BK216" s="255">
        <f>IF(AND(ISNUMBER(BK17),ISNUMBER(BF17)),IFERROR(BK17/BF17-1,""),"")</f>
        <v>0.1234983540064</v>
      </c>
      <c r="BL216" s="255">
        <f>IF(AND(ISNUMBER(BL17),ISNUMBER(BG17)),IFERROR(BL17/BG17-1,""),"")</f>
        <v>0.0950762973665627</v>
      </c>
      <c r="BM216" s="255">
        <f>IF(AND(ISNUMBER(BM17),ISNUMBER(BH17)),IFERROR(BM17/BH17-1,""),"")</f>
        <v>0.0793536642919748</v>
      </c>
      <c r="BN216" s="255">
        <f>IF(AND(ISNUMBER(BN17),ISNUMBER(BI17)),IFERROR(BN17/BI17-1,""),"")</f>
        <v>0.193333232581219</v>
      </c>
      <c r="BO216" s="255">
        <f>IF(AND(ISNUMBER(BO17),ISNUMBER(BJ17)),IFERROR(BO17/BJ17-1,""),"")</f>
        <v>0.196612118268592</v>
      </c>
      <c r="BP216" s="255">
        <f>IF(AND(ISNUMBER(BP17),ISNUMBER(BK17)),IFERROR(BP17/BK17-1,""),"")</f>
        <v>0.274337143003247</v>
      </c>
      <c r="BQ216" s="255">
        <f>IF(AND(ISNUMBER(BQ17),ISNUMBER(BL17)),IFERROR(BQ17/BL17-1,""),"")</f>
        <v>0.188442392883173</v>
      </c>
      <c r="BR216" s="255">
        <f>IF(AND(ISNUMBER(BR17),ISNUMBER(BM17)),IFERROR(BR17/BM17-1,""),"")</f>
        <v>0.226758349296244</v>
      </c>
      <c r="BS216" s="255">
        <f>IF(AND(ISNUMBER(BS17),ISNUMBER(BN17)),IFERROR(BS17/BN17-1,""),"")</f>
        <v>0.25393756464107</v>
      </c>
      <c r="BT216" s="255">
        <f>IF(AND(ISNUMBER(BT17),ISNUMBER(BO17)),IFERROR(BT17/BO17-1,""),"")</f>
        <v>0.343172499482294</v>
      </c>
      <c r="BU216" s="255">
        <f>IF(AND(ISNUMBER(BU17),ISNUMBER(BP17)),IFERROR(BU17/BP17-1,""),"")</f>
        <v>0.250193617251799</v>
      </c>
      <c r="BV216" s="255">
        <f>IF(AND(ISNUMBER(BV17),ISNUMBER(BQ17)),IFERROR(BV17/BQ17-1,""),"")</f>
        <v>0.270673625835916</v>
      </c>
      <c r="BW216" s="255">
        <f>IF(AND(ISNUMBER(BW17),ISNUMBER(BR17)),IFERROR(BW17/BR17-1,""),"")</f>
        <v>0.292177787206959</v>
      </c>
      <c r="BX216" s="255">
        <f>IF(AND(ISNUMBER(BX17),ISNUMBER(BS17)),IFERROR(BX17/BS17-1,""),"")</f>
        <v>0.59902571716172</v>
      </c>
      <c r="BY216" s="255">
        <f>IF(AND(ISNUMBER(BY17),ISNUMBER(BT17)),IFERROR(BY17/BT17-1,""),"")</f>
        <v>0.414999275382429</v>
      </c>
      <c r="BZ216" s="256">
        <f>IF(AND(ISNUMBER(BZ17),ISNUMBER(BU17)),IFERROR(BZ17/BU17-1,""),"")</f>
        <v>0.4171997393802</v>
      </c>
      <c r="CA216" s="256">
        <f>IF(AND(ISNUMBER(CA17),ISNUMBER(BV17)),IFERROR(CA17/BV17-1,""),"")</f>
        <v>0.437593148238992</v>
      </c>
      <c r="CB216" s="256">
        <f>IF(AND(ISNUMBER(CB17),ISNUMBER(CA17)),IFERROR(CB17/CA17-1,""),"")</f>
        <v>0.134972220008537</v>
      </c>
      <c r="CC216" s="256">
        <f>IF(AND(ISNUMBER(CC17),ISNUMBER(CB17)),IFERROR(CC17/CB17-1,""),"")</f>
        <v>0.109985247109634</v>
      </c>
      <c r="CD216" s="256">
        <f>IF(AND(ISNUMBER(CD17),ISNUMBER(CC17)),IFERROR(CD17/CC17-1,""),"")</f>
        <v>0.0929625125425531</v>
      </c>
      <c r="CE216" s="256">
        <f>IF(AND(ISNUMBER(CE17),ISNUMBER(CD17)),IFERROR(CE17/CD17-1,""),"")</f>
        <v>0.0833035334041616</v>
      </c>
      <c r="CF216" s="256">
        <f>IF(AND(ISNUMBER(CF17),ISNUMBER(CE17)),IFERROR(CF17/CE17-1,""),"")</f>
        <v>0.0746941920546502</v>
      </c>
      <c r="CG216" s="153" t="n"/>
      <c r="CI216" s="37">
        <f>IFERROR(AVERAGE(CB216,CC216,CD216,CE216,CF216),"n/m")</f>
        <v>0.0991835410239073</v>
      </c>
      <c r="CJ216" s="37">
        <f>IFERROR(AVERAGE(BB216,BG216,BL216,BQ216,BV216),"n/m")</f>
        <v>0.17441519905025</v>
      </c>
      <c r="CK216" s="37">
        <f>IFERROR(AVERAGE(AC216,AH216,AM216,AR216,AW216,BB216,BG216,BL216,BQ216,BV216),"n/m")</f>
        <v>0.19120551828896</v>
      </c>
      <c r="CL216" s="37">
        <f>IFERROR(AVERAGE(C216,D216,E216,F216,G216,H216,I216,N216,S216,X216,AC216,AH216,AM216,AR216,AW216,BB216,BG216,BL216,BQ216,BV216),"n/m")</f>
        <v>0.112596446690208</v>
      </c>
    </row>
    <row r="217" ht="15" customHeight="1" s="251">
      <c r="B217" s="22" t="inlineStr">
        <is>
          <t xml:space="preserve">  Software segment revenue y/y %</t>
        </is>
      </c>
      <c r="C217" s="23" t="n"/>
      <c r="D217" s="255">
        <f>IF(AND(ISNUMBER(D38),ISNUMBER(C38)),IFERROR(D38/C38-1,""),"")</f>
        <v>-0.00990569457878809</v>
      </c>
      <c r="E217" s="255">
        <f>IF(AND(ISNUMBER(E38),ISNUMBER(D38)),IFERROR(E38/D38-1,""),"")</f>
        <v>-0.0837748055444756</v>
      </c>
      <c r="F217" s="255">
        <f>IF(AND(ISNUMBER(F38),ISNUMBER(E38)),IFERROR(F38/E38-1,""),"")</f>
        <v>-0.15120419845381</v>
      </c>
      <c r="G217" s="255">
        <f>IF(AND(ISNUMBER(G38),ISNUMBER(F38)),IFERROR(G38/F38-1,""),"")</f>
        <v>-0.131853644658335</v>
      </c>
      <c r="H217" s="255">
        <f>IF(AND(ISNUMBER(H38),ISNUMBER(G38)),IFERROR(H38/G38-1,""),"")</f>
        <v>0.041107398039252</v>
      </c>
      <c r="I217" s="255">
        <f>IF(AND(ISNUMBER(I38),ISNUMBER(H38)),IFERROR(I38/H38-1,""),"")</f>
        <v>0.110135752223375</v>
      </c>
      <c r="J217" s="23" t="n"/>
      <c r="K217" s="23" t="n"/>
      <c r="L217" s="23" t="n"/>
      <c r="M217" s="23" t="n"/>
      <c r="N217" s="255">
        <f>IF(AND(ISNUMBER(N38),ISNUMBER(I38)),IFERROR(N38/I38-1,""),"")</f>
        <v>0.12346445686901</v>
      </c>
      <c r="O217" s="255">
        <f>IF(AND(ISNUMBER(O38),ISNUMBER(J38)),IFERROR(O38/J38-1,""),"")</f>
        <v>-0.0642000914220218</v>
      </c>
      <c r="P217" s="255">
        <f>IF(AND(ISNUMBER(P38),ISNUMBER(K38)),IFERROR(P38/K38-1,""),"")</f>
        <v>0.0173070240938025</v>
      </c>
      <c r="Q217" s="255">
        <f>IF(AND(ISNUMBER(Q38),ISNUMBER(L38)),IFERROR(Q38/L38-1,""),"")</f>
        <v>0.114624505928854</v>
      </c>
      <c r="R217" s="255">
        <f>IF(AND(ISNUMBER(R38),ISNUMBER(M38)),IFERROR(R38/M38-1,""),"")</f>
        <v>0.217055661522455</v>
      </c>
      <c r="S217" s="255">
        <f>IF(AND(ISNUMBER(S38),ISNUMBER(N38)),IFERROR(S38/N38-1,""),"")</f>
        <v>0.070890157136738</v>
      </c>
      <c r="T217" s="255">
        <f>IF(AND(ISNUMBER(T38),ISNUMBER(O38)),IFERROR(T38/O38-1,""),"")</f>
        <v>0.0615763726369356</v>
      </c>
      <c r="U217" s="255">
        <f>IF(AND(ISNUMBER(U38),ISNUMBER(P38)),IFERROR(U38/P38-1,""),"")</f>
        <v>0.142205168454405</v>
      </c>
      <c r="V217" s="255">
        <f>IF(AND(ISNUMBER(V38),ISNUMBER(Q38)),IFERROR(V38/Q38-1,""),"")</f>
        <v>0.00874704491725775</v>
      </c>
      <c r="W217" s="255">
        <f>IF(AND(ISNUMBER(W38),ISNUMBER(R38)),IFERROR(W38/R38-1,""),"")</f>
        <v>-0.000501513087781902</v>
      </c>
      <c r="X217" s="255">
        <f>IF(AND(ISNUMBER(X38),ISNUMBER(S38)),IFERROR(X38/S38-1,""),"")</f>
        <v>0.0485597062982561</v>
      </c>
      <c r="Y217" s="255">
        <f>IF(AND(ISNUMBER(Y38),ISNUMBER(T38)),IFERROR(Y38/T38-1,""),"")</f>
        <v>-0.0105419307872453</v>
      </c>
      <c r="Z217" s="255">
        <f>IF(AND(ISNUMBER(Z38),ISNUMBER(U38)),IFERROR(Z38/U38-1,""),"")</f>
        <v>-0.0738681190033848</v>
      </c>
      <c r="AA217" s="255">
        <f>IF(AND(ISNUMBER(AA38),ISNUMBER(V38)),IFERROR(AA38/V38-1,""),"")</f>
        <v>0.156472150613233</v>
      </c>
      <c r="AB217" s="255">
        <f>IF(AND(ISNUMBER(AB38),ISNUMBER(W38)),IFERROR(AB38/W38-1,""),"")</f>
        <v>-0.0135020327173411</v>
      </c>
      <c r="AC217" s="255">
        <f>IF(AND(ISNUMBER(AC38),ISNUMBER(X38)),IFERROR(AC38/X38-1,""),"")</f>
        <v>0.0134905836580803</v>
      </c>
      <c r="AD217" s="255">
        <f>IF(AND(ISNUMBER(AD38),ISNUMBER(Y38)),IFERROR(AD38/Y38-1,""),"")</f>
        <v>0.112053528048086</v>
      </c>
      <c r="AE217" s="255">
        <f>IF(AND(ISNUMBER(AE38),ISNUMBER(Z38)),IFERROR(AE38/Z38-1,""),"")</f>
        <v>0.119419903546255</v>
      </c>
      <c r="AF217" s="255">
        <f>IF(AND(ISNUMBER(AF38),ISNUMBER(AA38)),IFERROR(AF38/AA38-1,""),"")</f>
        <v>-0.0910564712239934</v>
      </c>
      <c r="AG217" s="255">
        <f>IF(AND(ISNUMBER(AG38),ISNUMBER(AB38)),IFERROR(AG38/AB38-1,""),"")</f>
        <v>0.0472045453231837</v>
      </c>
      <c r="AH217" s="255">
        <f>IF(AND(ISNUMBER(AH38),ISNUMBER(AC38)),IFERROR(AH38/AC38-1,""),"")</f>
        <v>0.039853380540593</v>
      </c>
      <c r="AI217" s="255">
        <f>IF(AND(ISNUMBER(AI38),ISNUMBER(AD38)),IFERROR(AI38/AD38-1,""),"")</f>
        <v>0.03238088104957</v>
      </c>
      <c r="AJ217" s="255">
        <f>IF(AND(ISNUMBER(AJ38),ISNUMBER(AE38)),IFERROR(AJ38/AE38-1,""),"")</f>
        <v>0.0429776918592164</v>
      </c>
      <c r="AK217" s="255">
        <f>IF(AND(ISNUMBER(AK38),ISNUMBER(AF38)),IFERROR(AK38/AF38-1,""),"")</f>
        <v>0.0367122473246135</v>
      </c>
      <c r="AL217" s="255">
        <f>IF(AND(ISNUMBER(AL38),ISNUMBER(AG38)),IFERROR(AL38/AG38-1,""),"")</f>
        <v>0.0325256650844463</v>
      </c>
      <c r="AM217" s="255">
        <f>IF(AND(ISNUMBER(AM38),ISNUMBER(AH38)),IFERROR(AM38/AH38-1,""),"")</f>
        <v>0.0360640718517906</v>
      </c>
      <c r="AN217" s="255">
        <f>IF(AND(ISNUMBER(AN38),ISNUMBER(AI38)),IFERROR(AN38/AI38-1,""),"")</f>
        <v>0.0675126658041425</v>
      </c>
      <c r="AO217" s="255">
        <f>IF(AND(ISNUMBER(AO38),ISNUMBER(AJ38)),IFERROR(AO38/AJ38-1,""),"")</f>
        <v>0.022848165321157</v>
      </c>
      <c r="AP217" s="255">
        <f>IF(AND(ISNUMBER(AP38),ISNUMBER(AK38)),IFERROR(AP38/AK38-1,""),"")</f>
        <v>0.189384707287933</v>
      </c>
      <c r="AQ217" s="255">
        <f>IF(AND(ISNUMBER(AQ38),ISNUMBER(AL38)),IFERROR(AQ38/AL38-1,""),"")</f>
        <v>0.0124336488964201</v>
      </c>
      <c r="AR217" s="255">
        <f>IF(AND(ISNUMBER(AR38),ISNUMBER(AM38)),IFERROR(AR38/AM38-1,""),"")</f>
        <v>0.071146823768858</v>
      </c>
      <c r="AS217" s="255">
        <f>IF(AND(ISNUMBER(AS38),ISNUMBER(AN38)),IFERROR(AS38/AN38-1,""),"")</f>
        <v>0.0384713404654167</v>
      </c>
      <c r="AT217" s="255">
        <f>IF(AND(ISNUMBER(AT38),ISNUMBER(AO38)),IFERROR(AT38/AO38-1,""),"")</f>
        <v>0.0287175475030346</v>
      </c>
      <c r="AU217" s="255">
        <f>IF(AND(ISNUMBER(AU38),ISNUMBER(AP38)),IFERROR(AU38/AP38-1,""),"")</f>
        <v>-0.0849911854668186</v>
      </c>
      <c r="AV217" s="255">
        <f>IF(AND(ISNUMBER(AV38),ISNUMBER(AQ38)),IFERROR(AV38/AQ38-1,""),"")</f>
        <v>0.170254330804281</v>
      </c>
      <c r="AW217" s="255">
        <f>IF(AND(ISNUMBER(AW38),ISNUMBER(AR38)),IFERROR(AW38/AR38-1,""),"")</f>
        <v>0.0366880225630866</v>
      </c>
      <c r="AX217" s="255">
        <f>IF(AND(ISNUMBER(AX38),ISNUMBER(AS38)),IFERROR(AX38/AS38-1,""),"")</f>
        <v>-0.0850921108602467</v>
      </c>
      <c r="AY217" s="255">
        <f>IF(AND(ISNUMBER(AY38),ISNUMBER(AT38)),IFERROR(AY38/AT38-1,""),"")</f>
        <v>-0.0904861231497067</v>
      </c>
      <c r="AZ217" s="255">
        <f>IF(AND(ISNUMBER(AZ38),ISNUMBER(AU38)),IFERROR(AZ38/AU38-1,""),"")</f>
        <v>-0.0889170659948074</v>
      </c>
      <c r="BA217" s="255">
        <f>IF(AND(ISNUMBER(BA38),ISNUMBER(AV38)),IFERROR(BA38/AV38-1,""),"")</f>
        <v>-0.251045590922421</v>
      </c>
      <c r="BB217" s="255">
        <f>IF(AND(ISNUMBER(BB38),ISNUMBER(AW38)),IFERROR(BB38/AW38-1,""),"")</f>
        <v>-0.135279335261059</v>
      </c>
      <c r="BC217" s="255">
        <f>IF(AND(ISNUMBER(BC38),ISNUMBER(AX38)),IFERROR(BC38/AX38-1,""),"")</f>
        <v>-0.0887502011766598</v>
      </c>
      <c r="BD217" s="255">
        <f>IF(AND(ISNUMBER(BD38),ISNUMBER(AY38)),IFERROR(BD38/AY38-1,""),"")</f>
        <v>0.0664711452146432</v>
      </c>
      <c r="BE217" s="255">
        <f>IF(AND(ISNUMBER(BE38),ISNUMBER(AZ38)),IFERROR(BE38/AZ38-1,""),"")</f>
        <v>0.0218638165584222</v>
      </c>
      <c r="BF217" s="255">
        <f>IF(AND(ISNUMBER(BF38),ISNUMBER(BA38)),IFERROR(BF38/BA38-1,""),"")</f>
        <v>0.0523306948109059</v>
      </c>
      <c r="BG217" s="255">
        <f>IF(AND(ISNUMBER(BG38),ISNUMBER(BB38)),IFERROR(BG38/BB38-1,""),"")</f>
        <v>0.0124368007318962</v>
      </c>
      <c r="BH217" s="255">
        <f>IF(AND(ISNUMBER(BH38),ISNUMBER(BC38)),IFERROR(BH38/BC38-1,""),"")</f>
        <v>0.0916310163925846</v>
      </c>
      <c r="BI217" s="255">
        <f>IF(AND(ISNUMBER(BI38),ISNUMBER(BD38)),IFERROR(BI38/BD38-1,""),"")</f>
        <v>0.0478861708935563</v>
      </c>
      <c r="BJ217" s="255">
        <f>IF(AND(ISNUMBER(BJ38),ISNUMBER(BE38)),IFERROR(BJ38/BE38-1,""),"")</f>
        <v>0.160950645889712</v>
      </c>
      <c r="BK217" s="255">
        <f>IF(AND(ISNUMBER(BK38),ISNUMBER(BF38)),IFERROR(BK38/BF38-1,""),"")</f>
        <v>0.111563979414846</v>
      </c>
      <c r="BL217" s="255">
        <f>IF(AND(ISNUMBER(BL38),ISNUMBER(BG38)),IFERROR(BL38/BG38-1,""),"")</f>
        <v>0.103040885618981</v>
      </c>
      <c r="BM217" s="255">
        <f>IF(AND(ISNUMBER(BM38),ISNUMBER(BH38)),IFERROR(BM38/BH38-1,""),"")</f>
        <v>0.138211430831366</v>
      </c>
      <c r="BN217" s="255">
        <f>IF(AND(ISNUMBER(BN38),ISNUMBER(BI38)),IFERROR(BN38/BI38-1,""),"")</f>
        <v>0.0834346579811729</v>
      </c>
      <c r="BO217" s="255">
        <f>IF(AND(ISNUMBER(BO38),ISNUMBER(BJ38)),IFERROR(BO38/BJ38-1,""),"")</f>
        <v>0.0481895282108578</v>
      </c>
      <c r="BP217" s="255">
        <f>IF(AND(ISNUMBER(BP38),ISNUMBER(BK38)),IFERROR(BP38/BK38-1,""),"")</f>
        <v>0.0537033031548373</v>
      </c>
      <c r="BQ217" s="255">
        <f>IF(AND(ISNUMBER(BQ38),ISNUMBER(BL38)),IFERROR(BQ38/BL38-1,""),"")</f>
        <v>0.0786058137507113</v>
      </c>
      <c r="BR217" s="255">
        <f>IF(AND(ISNUMBER(BR38),ISNUMBER(BM38)),IFERROR(BR38/BM38-1,""),"")</f>
        <v>0.0755263310291818</v>
      </c>
      <c r="BS217" s="255">
        <f>IF(AND(ISNUMBER(BS38),ISNUMBER(BN38)),IFERROR(BS38/BN38-1,""),"")</f>
        <v>0.0242326989092239</v>
      </c>
      <c r="BT217" s="255">
        <f>IF(AND(ISNUMBER(BT38),ISNUMBER(BO38)),IFERROR(BT38/BO38-1,""),"")</f>
        <v>0.0276503277632161</v>
      </c>
      <c r="BU217" s="255">
        <f>IF(AND(ISNUMBER(BU38),ISNUMBER(BP38)),IFERROR(BU38/BP38-1,""),"")</f>
        <v>-0.00198918897784028</v>
      </c>
      <c r="BV217" s="255">
        <f>IF(AND(ISNUMBER(BV38),ISNUMBER(BQ38)),IFERROR(BV38/BQ38-1,""),"")</f>
        <v>0.0306037529641197</v>
      </c>
      <c r="BW217" s="255">
        <f>IF(AND(ISNUMBER(BW38),ISNUMBER(BR38)),IFERROR(BW38/BR38-1,""),"")</f>
        <v>0.0153309217643287</v>
      </c>
      <c r="BX217" s="255">
        <f>IF(AND(ISNUMBER(BX38),ISNUMBER(BS38)),IFERROR(BX38/BS38-1,""),"")</f>
        <v>0.0744090115817866</v>
      </c>
      <c r="BY217" s="255">
        <f>IF(AND(ISNUMBER(BY38),ISNUMBER(BT38)),IFERROR(BY38/BT38-1,""),"")</f>
        <v>0.0150160768672267</v>
      </c>
      <c r="BZ217" s="256">
        <f>IF(AND(ISNUMBER(BZ38),ISNUMBER(BU38)),IFERROR(BZ38/BU38-1,""),"")</f>
        <v>0.031565222144182</v>
      </c>
      <c r="CA217" s="256">
        <f>IF(AND(ISNUMBER(CA38),ISNUMBER(BV38)),IFERROR(CA38/BV38-1,""),"")</f>
        <v>0.0337720897837268</v>
      </c>
      <c r="CB217" s="256">
        <f>IF(AND(ISNUMBER(CB38),ISNUMBER(CA38)),IFERROR(CB38/CA38-1,""),"")</f>
        <v>0.0494935336272286</v>
      </c>
      <c r="CC217" s="256">
        <f>IF(AND(ISNUMBER(CC38),ISNUMBER(CB38)),IFERROR(CC38/CB38-1,""),"")</f>
        <v>0.0893205189270385</v>
      </c>
      <c r="CD217" s="256">
        <f>IF(AND(ISNUMBER(CD38),ISNUMBER(CC38)),IFERROR(CD38/CC38-1,""),"")</f>
        <v>0.0976188563443532</v>
      </c>
      <c r="CE217" s="256">
        <f>IF(AND(ISNUMBER(CE38),ISNUMBER(CD38)),IFERROR(CE38/CD38-1,""),"")</f>
        <v>0.0981361137091545</v>
      </c>
      <c r="CF217" s="256">
        <f>IF(AND(ISNUMBER(CF38),ISNUMBER(CE38)),IFERROR(CF38/CE38-1,""),"")</f>
        <v>0.0956941688215256</v>
      </c>
      <c r="CG217" s="153" t="n"/>
      <c r="CI217" s="37">
        <f>IFERROR(AVERAGE(CB217,CC217,CD217,CE217,CF217),"n/m")</f>
        <v>0.0860526382858601</v>
      </c>
      <c r="CJ217" s="37">
        <f>IFERROR(AVERAGE(BB217,BG217,BL217,BQ217,BV217),"n/m")</f>
        <v>0.0178815835609298</v>
      </c>
      <c r="CK217" s="37">
        <f>IFERROR(AVERAGE(AC217,AH217,AM217,AR217,AW217,BB217,BG217,BL217,BQ217,BV217),"n/m")</f>
        <v>0.0286650800187057</v>
      </c>
      <c r="CL217" s="37">
        <f>IFERROR(AVERAGE(C217,D217,E217,F217,G217,H217,I217,N217,S217,X217,AC217,AH217,AM217,AR217,AW217,BB217,BG217,BL217,BQ217,BV217),"n/m")</f>
        <v>0.0160036803956989</v>
      </c>
    </row>
    <row r="218" ht="15" customHeight="1" s="251">
      <c r="B218" s="22" t="inlineStr">
        <is>
          <t xml:space="preserve">  Non-GAAP operating income y/y %</t>
        </is>
      </c>
      <c r="C218" s="23" t="n"/>
      <c r="D218" s="255">
        <f>IF(AND(ISNUMBER(D167),ISNUMBER(C167)),IFERROR(D167/C167-1,""),"")</f>
        <v>-0.134382431109247</v>
      </c>
      <c r="E218" s="255">
        <f>IF(AND(ISNUMBER(E167),ISNUMBER(D167)),IFERROR(E167/D167-1,""),"")</f>
        <v>-0.137226702002165</v>
      </c>
      <c r="F218" s="255">
        <f>IF(AND(ISNUMBER(F167),ISNUMBER(E167)),IFERROR(F167/E167-1,""),"")</f>
        <v>-0.0735891816972893</v>
      </c>
      <c r="G218" s="255">
        <f>IF(AND(ISNUMBER(G167),ISNUMBER(F167)),IFERROR(G167/F167-1,""),"")</f>
        <v>-0.0351380858032434</v>
      </c>
      <c r="H218" s="255">
        <f>IF(AND(ISNUMBER(H167),ISNUMBER(G167)),IFERROR(H167/G167-1,""),"")</f>
        <v>0.138274243567178</v>
      </c>
      <c r="I218" s="255">
        <f>IF(AND(ISNUMBER(I167),ISNUMBER(H167)),IFERROR(I167/H167-1,""),"")</f>
        <v>0.237388705827489</v>
      </c>
      <c r="J218" s="23" t="n"/>
      <c r="K218" s="23" t="n"/>
      <c r="L218" s="23" t="n"/>
      <c r="M218" s="23" t="n"/>
      <c r="N218" s="255">
        <f>IF(AND(ISNUMBER(N167),ISNUMBER(I167)),IFERROR(N167/I167-1,""),"")</f>
        <v>0.0139247034553895</v>
      </c>
      <c r="O218" s="255">
        <f>IF(AND(ISNUMBER(O167),ISNUMBER(J167)),IFERROR(O167/J167-1,""),"")</f>
        <v>-0.113702308648873</v>
      </c>
      <c r="P218" s="255">
        <f>IF(AND(ISNUMBER(P167),ISNUMBER(K167)),IFERROR(P167/K167-1,""),"")</f>
        <v>0.172894061032321</v>
      </c>
      <c r="Q218" s="255">
        <f>IF(AND(ISNUMBER(Q167),ISNUMBER(L167)),IFERROR(Q167/L167-1,""),"")</f>
        <v>0.0850353581938774</v>
      </c>
      <c r="R218" s="255">
        <f>IF(AND(ISNUMBER(R167),ISNUMBER(M167)),IFERROR(R167/M167-1,""),"")</f>
        <v>0.0818332779807376</v>
      </c>
      <c r="S218" s="255">
        <f>IF(AND(ISNUMBER(S167),ISNUMBER(N167)),IFERROR(S167/N167-1,""),"")</f>
        <v>0.0487322951717657</v>
      </c>
      <c r="T218" s="255">
        <f>IF(AND(ISNUMBER(T167),ISNUMBER(O167)),IFERROR(T167/O167-1,""),"")</f>
        <v>-0.255642767090975</v>
      </c>
      <c r="U218" s="255">
        <f>IF(AND(ISNUMBER(U167),ISNUMBER(P167)),IFERROR(U167/P167-1,""),"")</f>
        <v>-0.019330913681553</v>
      </c>
      <c r="V218" s="255">
        <f>IF(AND(ISNUMBER(V167),ISNUMBER(Q167)),IFERROR(V167/Q167-1,""),"")</f>
        <v>0.114743148605433</v>
      </c>
      <c r="W218" s="255">
        <f>IF(AND(ISNUMBER(W167),ISNUMBER(R167)),IFERROR(W167/R167-1,""),"")</f>
        <v>0.125606311782403</v>
      </c>
      <c r="X218" s="255">
        <f>IF(AND(ISNUMBER(X167),ISNUMBER(S167)),IFERROR(X167/S167-1,""),"")</f>
        <v>0.00139907101684411</v>
      </c>
      <c r="Y218" s="255">
        <f>IF(AND(ISNUMBER(Y167),ISNUMBER(T167)),IFERROR(Y167/T167-1,""),"")</f>
        <v>0.341692618696388</v>
      </c>
      <c r="Z218" s="255">
        <f>IF(AND(ISNUMBER(Z167),ISNUMBER(U167)),IFERROR(Z167/U167-1,""),"")</f>
        <v>0.118975782444284</v>
      </c>
      <c r="AA218" s="255">
        <f>IF(AND(ISNUMBER(AA167),ISNUMBER(V167)),IFERROR(AA167/V167-1,""),"")</f>
        <v>0.311103041307308</v>
      </c>
      <c r="AB218" s="255">
        <f>IF(AND(ISNUMBER(AB167),ISNUMBER(W167)),IFERROR(AB167/W167-1,""),"")</f>
        <v>-0.152759405981099</v>
      </c>
      <c r="AC218" s="255">
        <f>IF(AND(ISNUMBER(AC167),ISNUMBER(X167)),IFERROR(AC167/X167-1,""),"")</f>
        <v>0.113422562497672</v>
      </c>
      <c r="AD218" s="255">
        <f>IF(AND(ISNUMBER(AD167),ISNUMBER(Y167)),IFERROR(AD167/Y167-1,""),"")</f>
        <v>0.0743576169727578</v>
      </c>
      <c r="AE218" s="255">
        <f>IF(AND(ISNUMBER(AE167),ISNUMBER(Z167)),IFERROR(AE167/Z167-1,""),"")</f>
        <v>0.0437525839909401</v>
      </c>
      <c r="AF218" s="255">
        <f>IF(AND(ISNUMBER(AF167),ISNUMBER(AA167)),IFERROR(AF167/AA167-1,""),"")</f>
        <v>-0.119500339292886</v>
      </c>
      <c r="AG218" s="255">
        <f>IF(AND(ISNUMBER(AG167),ISNUMBER(AB167)),IFERROR(AG167/AB167-1,""),"")</f>
        <v>0.306813243412899</v>
      </c>
      <c r="AH218" s="255">
        <f>IF(AND(ISNUMBER(AH167),ISNUMBER(AC167)),IFERROR(AH167/AC167-1,""),"")</f>
        <v>0.069093160115943</v>
      </c>
      <c r="AI218" s="255">
        <f>IF(AND(ISNUMBER(AI167),ISNUMBER(AD167)),IFERROR(AI167/AD167-1,""),"")</f>
        <v>0.103020884660577</v>
      </c>
      <c r="AJ218" s="255">
        <f>IF(AND(ISNUMBER(AJ167),ISNUMBER(AE167)),IFERROR(AJ167/AE167-1,""),"")</f>
        <v>0.188357874795488</v>
      </c>
      <c r="AK218" s="255">
        <f>IF(AND(ISNUMBER(AK167),ISNUMBER(AF167)),IFERROR(AK167/AF167-1,""),"")</f>
        <v>0.0825731362063547</v>
      </c>
      <c r="AL218" s="255">
        <f>IF(AND(ISNUMBER(AL167),ISNUMBER(AG167)),IFERROR(AL167/AG167-1,""),"")</f>
        <v>0.130814991809437</v>
      </c>
      <c r="AM218" s="255">
        <f>IF(AND(ISNUMBER(AM167),ISNUMBER(AH167)),IFERROR(AM167/AH167-1,""),"")</f>
        <v>0.126145335326014</v>
      </c>
      <c r="AN218" s="255">
        <f>IF(AND(ISNUMBER(AN167),ISNUMBER(AI167)),IFERROR(AN167/AI167-1,""),"")</f>
        <v>0.243256245489845</v>
      </c>
      <c r="AO218" s="255">
        <f>IF(AND(ISNUMBER(AO167),ISNUMBER(AJ167)),IFERROR(AO167/AJ167-1,""),"")</f>
        <v>0.0222022550071013</v>
      </c>
      <c r="AP218" s="255">
        <f>IF(AND(ISNUMBER(AP167),ISNUMBER(AK167)),IFERROR(AP167/AK167-1,""),"")</f>
        <v>0.55093709138457</v>
      </c>
      <c r="AQ218" s="255">
        <f>IF(AND(ISNUMBER(AQ167),ISNUMBER(AL167)),IFERROR(AQ167/AL167-1,""),"")</f>
        <v>0.0129612686794751</v>
      </c>
      <c r="AR218" s="255">
        <f>IF(AND(ISNUMBER(AR167),ISNUMBER(AM167)),IFERROR(AR167/AM167-1,""),"")</f>
        <v>0.190387187548855</v>
      </c>
      <c r="AS218" s="255">
        <f>IF(AND(ISNUMBER(AS167),ISNUMBER(AN167)),IFERROR(AS167/AN167-1,""),"")</f>
        <v>0.104574350469874</v>
      </c>
      <c r="AT218" s="255">
        <f>IF(AND(ISNUMBER(AT167),ISNUMBER(AO167)),IFERROR(AT167/AO167-1,""),"")</f>
        <v>0.413729548870049</v>
      </c>
      <c r="AU218" s="255">
        <f>IF(AND(ISNUMBER(AU167),ISNUMBER(AP167)),IFERROR(AU167/AP167-1,""),"")</f>
        <v>-0.00532079324783863</v>
      </c>
      <c r="AV218" s="255">
        <f>IF(AND(ISNUMBER(AV167),ISNUMBER(AQ167)),IFERROR(AV167/AQ167-1,""),"")</f>
        <v>0.654222489838928</v>
      </c>
      <c r="AW218" s="255">
        <f>IF(AND(ISNUMBER(AW167),ISNUMBER(AR167)),IFERROR(AW167/AR167-1,""),"")</f>
        <v>0.283163138740453</v>
      </c>
      <c r="AX218" s="255">
        <f>IF(AND(ISNUMBER(AX167),ISNUMBER(AS167)),IFERROR(AX167/AS167-1,""),"")</f>
        <v>0.419495289451623</v>
      </c>
      <c r="AY218" s="255">
        <f>IF(AND(ISNUMBER(AY167),ISNUMBER(AT167)),IFERROR(AY167/AT167-1,""),"")</f>
        <v>0.307212483453006</v>
      </c>
      <c r="AZ218" s="255">
        <f>IF(AND(ISNUMBER(AZ167),ISNUMBER(AU167)),IFERROR(AZ167/AU167-1,""),"")</f>
        <v>0.253967207556766</v>
      </c>
      <c r="BA218" s="255">
        <f>IF(AND(ISNUMBER(BA167),ISNUMBER(AV167)),IFERROR(BA167/AV167-1,""),"")</f>
        <v>-0.0115895115895115</v>
      </c>
      <c r="BB218" s="255">
        <f>IF(AND(ISNUMBER(BB167),ISNUMBER(AW167)),IFERROR(BB167/AW167-1,""),"")</f>
        <v>0.203212849578778</v>
      </c>
      <c r="BC218" s="255">
        <f>IF(AND(ISNUMBER(BC167),ISNUMBER(AX167)),IFERROR(BC167/AX167-1,""),"")</f>
        <v>0.286912988295022</v>
      </c>
      <c r="BD218" s="255">
        <f>IF(AND(ISNUMBER(BD167),ISNUMBER(AY167)),IFERROR(BD167/AY167-1,""),"")</f>
        <v>0.385009589566552</v>
      </c>
      <c r="BE218" s="255">
        <f>IF(AND(ISNUMBER(BE167),ISNUMBER(AZ167)),IFERROR(BE167/AZ167-1,""),"")</f>
        <v>0.27447239954938</v>
      </c>
      <c r="BF218" s="255">
        <f>IF(AND(ISNUMBER(BF167),ISNUMBER(BA167)),IFERROR(BF167/BA167-1,""),"")</f>
        <v>0.0758041075080722</v>
      </c>
      <c r="BG218" s="255">
        <f>IF(AND(ISNUMBER(BG167),ISNUMBER(BB167)),IFERROR(BG167/BB167-1,""),"")</f>
        <v>0.247270891971743</v>
      </c>
      <c r="BH218" s="255">
        <f>IF(AND(ISNUMBER(BH167),ISNUMBER(BC167)),IFERROR(BH167/BC167-1,""),"")</f>
        <v>0.153190236151443</v>
      </c>
      <c r="BI218" s="255">
        <f>IF(AND(ISNUMBER(BI167),ISNUMBER(BD167)),IFERROR(BI167/BD167-1,""),"")</f>
        <v>0.0362974697567244</v>
      </c>
      <c r="BJ218" s="255">
        <f>IF(AND(ISNUMBER(BJ167),ISNUMBER(BE167)),IFERROR(BJ167/BE167-1,""),"")</f>
        <v>0.239280831604752</v>
      </c>
      <c r="BK218" s="255">
        <f>IF(AND(ISNUMBER(BK167),ISNUMBER(BF167)),IFERROR(BK167/BF167-1,""),"")</f>
        <v>0.223002628522526</v>
      </c>
      <c r="BL218" s="255">
        <f>IF(AND(ISNUMBER(BL167),ISNUMBER(BG167)),IFERROR(BL167/BG167-1,""),"")</f>
        <v>0.160656532743282</v>
      </c>
      <c r="BM218" s="255">
        <f>IF(AND(ISNUMBER(BM167),ISNUMBER(BH167)),IFERROR(BM167/BH167-1,""),"")</f>
        <v>0.0880950259836675</v>
      </c>
      <c r="BN218" s="255">
        <f>IF(AND(ISNUMBER(BN167),ISNUMBER(BI167)),IFERROR(BN167/BI167-1,""),"")</f>
        <v>0.232376034935245</v>
      </c>
      <c r="BO218" s="255">
        <f>IF(AND(ISNUMBER(BO167),ISNUMBER(BJ167)),IFERROR(BO167/BJ167-1,""),"")</f>
        <v>0.107750319779744</v>
      </c>
      <c r="BP218" s="255">
        <f>IF(AND(ISNUMBER(BP167),ISNUMBER(BK167)),IFERROR(BP167/BK167-1,""),"")</f>
        <v>0.185839027145364</v>
      </c>
      <c r="BQ218" s="255">
        <f>IF(AND(ISNUMBER(BQ167),ISNUMBER(BL167)),IFERROR(BQ167/BL167-1,""),"")</f>
        <v>0.154274544419432</v>
      </c>
      <c r="BR218" s="255">
        <f>IF(AND(ISNUMBER(BR167),ISNUMBER(BM167)),IFERROR(BR167/BM167-1,""),"")</f>
        <v>0.201814331251911</v>
      </c>
      <c r="BS218" s="255">
        <f>IF(AND(ISNUMBER(BS167),ISNUMBER(BN167)),IFERROR(BS167/BN167-1,""),"")</f>
        <v>0.246300376468139</v>
      </c>
      <c r="BT218" s="255">
        <f>IF(AND(ISNUMBER(BT167),ISNUMBER(BO167)),IFERROR(BT167/BO167-1,""),"")</f>
        <v>0.306862522053047</v>
      </c>
      <c r="BU218" s="255">
        <f>IF(AND(ISNUMBER(BU167),ISNUMBER(BP167)),IFERROR(BU167/BP167-1,""),"")</f>
        <v>0.18210594641984</v>
      </c>
      <c r="BV218" s="255">
        <f>IF(AND(ISNUMBER(BV167),ISNUMBER(BQ167)),IFERROR(BV167/BQ167-1,""),"")</f>
        <v>0.235811693637335</v>
      </c>
      <c r="BW218" s="255">
        <f>IF(AND(ISNUMBER(BW167),ISNUMBER(BR167)),IFERROR(BW167/BR167-1,""),"")</f>
        <v>0.264036115577113</v>
      </c>
      <c r="BX218" s="255">
        <f>IF(AND(ISNUMBER(BX167),ISNUMBER(BS167)),IFERROR(BX167/BS167-1,""),"")</f>
        <v>0.558280436537766</v>
      </c>
      <c r="BY218" s="255">
        <f>IF(AND(ISNUMBER(BY167),ISNUMBER(BT167)),IFERROR(BY167/BT167-1,""),"")</f>
        <v>0.362988096489385</v>
      </c>
      <c r="BZ218" s="256">
        <f>IF(AND(ISNUMBER(BZ167),ISNUMBER(BU167)),IFERROR(BZ167/BU167-1,""),"")</f>
        <v>0.338727797801546</v>
      </c>
      <c r="CA218" s="256">
        <f>IF(AND(ISNUMBER(CA167),ISNUMBER(BV167)),IFERROR(CA167/BV167-1,""),"")</f>
        <v>0.388185136184289</v>
      </c>
      <c r="CB218" s="256">
        <f>IF(AND(ISNUMBER(CB167),ISNUMBER(CA167)),IFERROR(CB167/CA167-1,""),"")</f>
        <v>0.158260738625101</v>
      </c>
      <c r="CC218" s="256">
        <f>IF(AND(ISNUMBER(CC167),ISNUMBER(CB167)),IFERROR(CC167/CB167-1,""),"")</f>
        <v>0.119003973028199</v>
      </c>
      <c r="CD218" s="256">
        <f>IF(AND(ISNUMBER(CD167),ISNUMBER(CC167)),IFERROR(CD167/CC167-1,""),"")</f>
        <v>0.10431140741946</v>
      </c>
      <c r="CE218" s="256">
        <f>IF(AND(ISNUMBER(CE167),ISNUMBER(CD167)),IFERROR(CE167/CD167-1,""),"")</f>
        <v>0.0904131115724212</v>
      </c>
      <c r="CF218" s="256">
        <f>IF(AND(ISNUMBER(CF167),ISNUMBER(CE167)),IFERROR(CF167/CE167-1,""),"")</f>
        <v>0.0826632692108427</v>
      </c>
      <c r="CG218" s="153" t="n"/>
    </row>
    <row r="219" ht="15" customHeight="1" s="251">
      <c r="B219" s="22" t="inlineStr">
        <is>
          <t xml:space="preserve">  Adjusted EBITDA y/y %</t>
        </is>
      </c>
      <c r="C219" s="23" t="n"/>
      <c r="D219" s="255">
        <f>IF(AND(ISNUMBER(D183),ISNUMBER(C183)),IFERROR(D183/C183-1,""),"")</f>
        <v>-0.101742915249083</v>
      </c>
      <c r="E219" s="255">
        <f>IF(AND(ISNUMBER(E183),ISNUMBER(D183)),IFERROR(E183/D183-1,""),"")</f>
        <v>-0.145526872619551</v>
      </c>
      <c r="F219" s="255">
        <f>IF(AND(ISNUMBER(F183),ISNUMBER(E183)),IFERROR(F183/E183-1,""),"")</f>
        <v>-0.0669598637029991</v>
      </c>
      <c r="G219" s="255">
        <f>IF(AND(ISNUMBER(G183),ISNUMBER(F183)),IFERROR(G183/F183-1,""),"")</f>
        <v>-0.126396025308931</v>
      </c>
      <c r="H219" s="255">
        <f>IF(AND(ISNUMBER(H183),ISNUMBER(G183)),IFERROR(H183/G183-1,""),"")</f>
        <v>0.0919613561793653</v>
      </c>
      <c r="I219" s="255">
        <f>IF(AND(ISNUMBER(I183),ISNUMBER(H183)),IFERROR(I183/H183-1,""),"")</f>
        <v>0.199471385248867</v>
      </c>
      <c r="J219" s="23" t="n"/>
      <c r="K219" s="23" t="n"/>
      <c r="L219" s="23" t="n"/>
      <c r="M219" s="23" t="n"/>
      <c r="N219" s="255">
        <f>IF(AND(ISNUMBER(N183),ISNUMBER(I183)),IFERROR(N183/I183-1,""),"")</f>
        <v>0.0426696603777086</v>
      </c>
      <c r="O219" s="255">
        <f>IF(AND(ISNUMBER(O183),ISNUMBER(J183)),IFERROR(O183/J183-1,""),"")</f>
        <v>-0.110424028268552</v>
      </c>
      <c r="P219" s="255">
        <f>IF(AND(ISNUMBER(P183),ISNUMBER(K183)),IFERROR(P183/K183-1,""),"")</f>
        <v>0.149170581632229</v>
      </c>
      <c r="Q219" s="255">
        <f>IF(AND(ISNUMBER(Q183),ISNUMBER(L183)),IFERROR(Q183/L183-1,""),"")</f>
        <v>0.0753283992715159</v>
      </c>
      <c r="R219" s="255">
        <f>IF(AND(ISNUMBER(R183),ISNUMBER(M183)),IFERROR(R183/M183-1,""),"")</f>
        <v>0.0884925820585749</v>
      </c>
      <c r="S219" s="255">
        <f>IF(AND(ISNUMBER(S183),ISNUMBER(N183)),IFERROR(S183/N183-1,""),"")</f>
        <v>0.0453592927598645</v>
      </c>
      <c r="T219" s="255">
        <f>IF(AND(ISNUMBER(T183),ISNUMBER(O183)),IFERROR(T183/O183-1,""),"")</f>
        <v>-0.204998969477806</v>
      </c>
      <c r="U219" s="255">
        <f>IF(AND(ISNUMBER(U183),ISNUMBER(P183)),IFERROR(U183/P183-1,""),"")</f>
        <v>-0.0142722766904239</v>
      </c>
      <c r="V219" s="255">
        <f>IF(AND(ISNUMBER(V183),ISNUMBER(Q183)),IFERROR(V183/Q183-1,""),"")</f>
        <v>0.104320565024684</v>
      </c>
      <c r="W219" s="255">
        <f>IF(AND(ISNUMBER(W183),ISNUMBER(R183)),IFERROR(W183/R183-1,""),"")</f>
        <v>0.096199206225901</v>
      </c>
      <c r="X219" s="255">
        <f>IF(AND(ISNUMBER(X183),ISNUMBER(S183)),IFERROR(X183/S183-1,""),"")</f>
        <v>0.00370707706974871</v>
      </c>
      <c r="Y219" s="255">
        <f>IF(AND(ISNUMBER(Y183),ISNUMBER(T183)),IFERROR(Y183/T183-1,""),"")</f>
        <v>0.24065519679472</v>
      </c>
      <c r="Z219" s="255">
        <f>IF(AND(ISNUMBER(Z183),ISNUMBER(U183)),IFERROR(Z183/U183-1,""),"")</f>
        <v>0.106307232121557</v>
      </c>
      <c r="AA219" s="255">
        <f>IF(AND(ISNUMBER(AA183),ISNUMBER(V183)),IFERROR(AA183/V183-1,""),"")</f>
        <v>0.279677608823337</v>
      </c>
      <c r="AB219" s="255">
        <f>IF(AND(ISNUMBER(AB183),ISNUMBER(W183)),IFERROR(AB183/W183-1,""),"")</f>
        <v>-0.13695047157656</v>
      </c>
      <c r="AC219" s="255">
        <f>IF(AND(ISNUMBER(AC183),ISNUMBER(X183)),IFERROR(AC183/X183-1,""),"")</f>
        <v>0.0954810093839986</v>
      </c>
      <c r="AD219" s="255">
        <f>IF(AND(ISNUMBER(AD183),ISNUMBER(Y183)),IFERROR(AD183/Y183-1,""),"")</f>
        <v>0.109477403544766</v>
      </c>
      <c r="AE219" s="255">
        <f>IF(AND(ISNUMBER(AE183),ISNUMBER(Z183)),IFERROR(AE183/Z183-1,""),"")</f>
        <v>0.0550376538499817</v>
      </c>
      <c r="AF219" s="255">
        <f>IF(AND(ISNUMBER(AF183),ISNUMBER(AA183)),IFERROR(AF183/AA183-1,""),"")</f>
        <v>-0.108027131091109</v>
      </c>
      <c r="AG219" s="255">
        <f>IF(AND(ISNUMBER(AG183),ISNUMBER(AB183)),IFERROR(AG183/AB183-1,""),"")</f>
        <v>0.299613334726722</v>
      </c>
      <c r="AH219" s="255">
        <f>IF(AND(ISNUMBER(AH183),ISNUMBER(AC183)),IFERROR(AH183/AC183-1,""),"")</f>
        <v>0.0800366952590343</v>
      </c>
      <c r="AI219" s="255">
        <f>IF(AND(ISNUMBER(AI183),ISNUMBER(AD183)),IFERROR(AI183/AD183-1,""),"")</f>
        <v>0.107081706732415</v>
      </c>
      <c r="AJ219" s="255">
        <f>IF(AND(ISNUMBER(AJ183),ISNUMBER(AE183)),IFERROR(AJ183/AE183-1,""),"")</f>
        <v>0.171640148418339</v>
      </c>
      <c r="AK219" s="255">
        <f>IF(AND(ISNUMBER(AK183),ISNUMBER(AF183)),IFERROR(AK183/AF183-1,""),"")</f>
        <v>0.0874773087863241</v>
      </c>
      <c r="AL219" s="255">
        <f>IF(AND(ISNUMBER(AL183),ISNUMBER(AG183)),IFERROR(AL183/AG183-1,""),"")</f>
        <v>0.13791756651197</v>
      </c>
      <c r="AM219" s="255">
        <f>IF(AND(ISNUMBER(AM183),ISNUMBER(AH183)),IFERROR(AM183/AH183-1,""),"")</f>
        <v>0.126499439110317</v>
      </c>
      <c r="AN219" s="255">
        <f>IF(AND(ISNUMBER(AN183),ISNUMBER(AI183)),IFERROR(AN183/AI183-1,""),"")</f>
        <v>0.18551455349686</v>
      </c>
      <c r="AO219" s="255">
        <f>IF(AND(ISNUMBER(AO183),ISNUMBER(AJ183)),IFERROR(AO183/AJ183-1,""),"")</f>
        <v>0.0504824143530014</v>
      </c>
      <c r="AP219" s="255">
        <f>IF(AND(ISNUMBER(AP183),ISNUMBER(AK183)),IFERROR(AP183/AK183-1,""),"")</f>
        <v>0.520852775331554</v>
      </c>
      <c r="AQ219" s="255">
        <f>IF(AND(ISNUMBER(AQ183),ISNUMBER(AL183)),IFERROR(AQ183/AL183-1,""),"")</f>
        <v>0.00713723273233846</v>
      </c>
      <c r="AR219" s="255">
        <f>IF(AND(ISNUMBER(AR183),ISNUMBER(AM183)),IFERROR(AR183/AM183-1,""),"")</f>
        <v>0.178456780893176</v>
      </c>
      <c r="AS219" s="255">
        <f>IF(AND(ISNUMBER(AS183),ISNUMBER(AN183)),IFERROR(AS183/AN183-1,""),"")</f>
        <v>0.118912501793799</v>
      </c>
      <c r="AT219" s="255">
        <f>IF(AND(ISNUMBER(AT183),ISNUMBER(AO183)),IFERROR(AT183/AO183-1,""),"")</f>
        <v>0.330876435496851</v>
      </c>
      <c r="AU219" s="255">
        <f>IF(AND(ISNUMBER(AU183),ISNUMBER(AP183)),IFERROR(AU183/AP183-1,""),"")</f>
        <v>0.0172935319943304</v>
      </c>
      <c r="AV219" s="255">
        <f>IF(AND(ISNUMBER(AV183),ISNUMBER(AQ183)),IFERROR(AV183/AQ183-1,""),"")</f>
        <v>0.609702801583722</v>
      </c>
      <c r="AW219" s="255">
        <f>IF(AND(ISNUMBER(AW183),ISNUMBER(AR183)),IFERROR(AW183/AR183-1,""),"")</f>
        <v>0.264153948743146</v>
      </c>
      <c r="AX219" s="255">
        <f>IF(AND(ISNUMBER(AX183),ISNUMBER(AS183)),IFERROR(AX183/AS183-1,""),"")</f>
        <v>0.427397164443614</v>
      </c>
      <c r="AY219" s="255">
        <f>IF(AND(ISNUMBER(AY183),ISNUMBER(AT183)),IFERROR(AY183/AT183-1,""),"")</f>
        <v>0.31158996016701</v>
      </c>
      <c r="AZ219" s="255">
        <f>IF(AND(ISNUMBER(AZ183),ISNUMBER(AU183)),IFERROR(AZ183/AU183-1,""),"")</f>
        <v>0.208327315668301</v>
      </c>
      <c r="BA219" s="255">
        <f>IF(AND(ISNUMBER(BA183),ISNUMBER(AV183)),IFERROR(BA183/AV183-1,""),"")</f>
        <v>-0.0174043538906045</v>
      </c>
      <c r="BB219" s="255">
        <f>IF(AND(ISNUMBER(BB183),ISNUMBER(AW183)),IFERROR(BB183/AW183-1,""),"")</f>
        <v>0.194012224134765</v>
      </c>
      <c r="BC219" s="255">
        <f>IF(AND(ISNUMBER(BC183),ISNUMBER(AX183)),IFERROR(BC183/AX183-1,""),"")</f>
        <v>0.242556667347356</v>
      </c>
      <c r="BD219" s="255">
        <f>IF(AND(ISNUMBER(BD183),ISNUMBER(AY183)),IFERROR(BD183/AY183-1,""),"")</f>
        <v>0.339653708799251</v>
      </c>
      <c r="BE219" s="255">
        <f>IF(AND(ISNUMBER(BE183),ISNUMBER(AZ183)),IFERROR(BE183/AZ183-1,""),"")</f>
        <v>0.218630256413862</v>
      </c>
      <c r="BF219" s="255">
        <f>IF(AND(ISNUMBER(BF183),ISNUMBER(BA183)),IFERROR(BF183/BA183-1,""),"")</f>
        <v>0.0620480744247351</v>
      </c>
      <c r="BG219" s="255">
        <f>IF(AND(ISNUMBER(BG183),ISNUMBER(BB183)),IFERROR(BG183/BB183-1,""),"")</f>
        <v>0.209255572785597</v>
      </c>
      <c r="BH219" s="255">
        <f>IF(AND(ISNUMBER(BH183),ISNUMBER(BC183)),IFERROR(BH183/BC183-1,""),"")</f>
        <v>0.135577175913752</v>
      </c>
      <c r="BI219" s="255">
        <f>IF(AND(ISNUMBER(BI183),ISNUMBER(BD183)),IFERROR(BI183/BD183-1,""),"")</f>
        <v>0.0511960494042967</v>
      </c>
      <c r="BJ219" s="255">
        <f>IF(AND(ISNUMBER(BJ183),ISNUMBER(BE183)),IFERROR(BJ183/BE183-1,""),"")</f>
        <v>0.261632636577106</v>
      </c>
      <c r="BK219" s="255">
        <f>IF(AND(ISNUMBER(BK183),ISNUMBER(BF183)),IFERROR(BK183/BF183-1,""),"")</f>
        <v>0.204513449650333</v>
      </c>
      <c r="BL219" s="255">
        <f>IF(AND(ISNUMBER(BL183),ISNUMBER(BG183)),IFERROR(BL183/BG183-1,""),"")</f>
        <v>0.162133779818251</v>
      </c>
      <c r="BM219" s="255">
        <f>IF(AND(ISNUMBER(BM183),ISNUMBER(BH183)),IFERROR(BM183/BH183-1,""),"")</f>
        <v>0.0949729078868156</v>
      </c>
      <c r="BN219" s="255">
        <f>IF(AND(ISNUMBER(BN183),ISNUMBER(BI183)),IFERROR(BN183/BI183-1,""),"")</f>
        <v>0.234866161209356</v>
      </c>
      <c r="BO219" s="255">
        <f>IF(AND(ISNUMBER(BO183),ISNUMBER(BJ183)),IFERROR(BO183/BJ183-1,""),"")</f>
        <v>0.0995998628101065</v>
      </c>
      <c r="BP219" s="255">
        <f>IF(AND(ISNUMBER(BP183),ISNUMBER(BK183)),IFERROR(BP183/BK183-1,""),"")</f>
        <v>0.207235636226729</v>
      </c>
      <c r="BQ219" s="255">
        <f>IF(AND(ISNUMBER(BQ183),ISNUMBER(BL183)),IFERROR(BQ183/BL183-1,""),"")</f>
        <v>0.15936460340531</v>
      </c>
      <c r="BR219" s="255">
        <f>IF(AND(ISNUMBER(BR183),ISNUMBER(BM183)),IFERROR(BR183/BM183-1,""),"")</f>
        <v>0.183219666931007</v>
      </c>
      <c r="BS219" s="255">
        <f>IF(AND(ISNUMBER(BS183),ISNUMBER(BN183)),IFERROR(BS183/BN183-1,""),"")</f>
        <v>0.218340354081362</v>
      </c>
      <c r="BT219" s="255">
        <f>IF(AND(ISNUMBER(BT183),ISNUMBER(BO183)),IFERROR(BT183/BO183-1,""),"")</f>
        <v>0.313347611819259</v>
      </c>
      <c r="BU219" s="255">
        <f>IF(AND(ISNUMBER(BU183),ISNUMBER(BP183)),IFERROR(BU183/BP183-1,""),"")</f>
        <v>0.1886292291594</v>
      </c>
      <c r="BV219" s="255">
        <f>IF(AND(ISNUMBER(BV183),ISNUMBER(BQ183)),IFERROR(BV183/BQ183-1,""),"")</f>
        <v>0.228178046807161</v>
      </c>
      <c r="BW219" s="255">
        <f>IF(AND(ISNUMBER(BW183),ISNUMBER(BR183)),IFERROR(BW183/BR183-1,""),"")</f>
        <v>0.261016237276927</v>
      </c>
      <c r="BX219" s="255">
        <f>IF(AND(ISNUMBER(BX183),ISNUMBER(BS183)),IFERROR(BX183/BS183-1,""),"")</f>
        <v>0.553664256872749</v>
      </c>
      <c r="BY219" s="255">
        <f>IF(AND(ISNUMBER(BY183),ISNUMBER(BT183)),IFERROR(BY183/BT183-1,""),"")</f>
        <v>0.365052675577342</v>
      </c>
      <c r="BZ219" s="256">
        <f>IF(AND(ISNUMBER(BZ183),ISNUMBER(BU183)),IFERROR(BZ183/BU183-1,""),"")</f>
        <v>0.321382371887428</v>
      </c>
      <c r="CA219" s="256">
        <f>IF(AND(ISNUMBER(CA183),ISNUMBER(BV183)),IFERROR(CA183/BV183-1,""),"")</f>
        <v>0.381742109048876</v>
      </c>
      <c r="CB219" s="256">
        <f>IF(AND(ISNUMBER(CB183),ISNUMBER(CA183)),IFERROR(CB183/CA183-1,""),"")</f>
        <v>0.158507646059054</v>
      </c>
      <c r="CC219" s="256">
        <f>IF(AND(ISNUMBER(CC183),ISNUMBER(CB183)),IFERROR(CC183/CB183-1,""),"")</f>
        <v>0.118011474125429</v>
      </c>
      <c r="CD219" s="256">
        <f>IF(AND(ISNUMBER(CD183),ISNUMBER(CC183)),IFERROR(CD183/CC183-1,""),"")</f>
        <v>0.103564288479028</v>
      </c>
      <c r="CE219" s="256">
        <f>IF(AND(ISNUMBER(CE183),ISNUMBER(CD183)),IFERROR(CE183/CD183-1,""),"")</f>
        <v>0.0898923790148867</v>
      </c>
      <c r="CF219" s="256">
        <f>IF(AND(ISNUMBER(CF183),ISNUMBER(CE183)),IFERROR(CF183/CE183-1,""),"")</f>
        <v>0.0822357367074393</v>
      </c>
      <c r="CG219" s="153" t="n"/>
    </row>
    <row r="220" ht="15" customHeight="1" s="251">
      <c r="B220" s="22" t="inlineStr">
        <is>
          <t xml:space="preserve">  Operating income (GAAP) y/y %</t>
        </is>
      </c>
      <c r="C220" s="23" t="n"/>
      <c r="D220" s="255">
        <f>IF(AND(ISNUMBER(D135),ISNUMBER(C135)),IFERROR(D135/C135-1,""),"")</f>
        <v>-0.0278216116760417</v>
      </c>
      <c r="E220" s="255">
        <f>IF(AND(ISNUMBER(E135),ISNUMBER(D135)),IFERROR(E135/D135-1,""),"")</f>
        <v>-0.176401255438662</v>
      </c>
      <c r="F220" s="255">
        <f>IF(AND(ISNUMBER(F135),ISNUMBER(E135)),IFERROR(F135/E135-1,""),"")</f>
        <v>-0.0452720329072719</v>
      </c>
      <c r="G220" s="255">
        <f>IF(AND(ISNUMBER(G135),ISNUMBER(F135)),IFERROR(G135/F135-1,""),"")</f>
        <v>-0.0291056729509117</v>
      </c>
      <c r="H220" s="255">
        <f>IF(AND(ISNUMBER(H135),ISNUMBER(G135)),IFERROR(H135/G135-1,""),"")</f>
        <v>0.123406470282049</v>
      </c>
      <c r="I220" s="255">
        <f>IF(AND(ISNUMBER(I135),ISNUMBER(H135)),IFERROR(I135/H135-1,""),"")</f>
        <v>0.322145173830074</v>
      </c>
      <c r="J220" s="23" t="n"/>
      <c r="K220" s="23" t="n"/>
      <c r="L220" s="23" t="n"/>
      <c r="M220" s="23" t="n"/>
      <c r="N220" s="255">
        <f>IF(AND(ISNUMBER(N135),ISNUMBER(I135)),IFERROR(N135/I135-1,""),"")</f>
        <v>-0.0401822307226267</v>
      </c>
      <c r="O220" s="255">
        <f>IF(AND(ISNUMBER(O135),ISNUMBER(J135)),IFERROR(O135/J135-1,""),"")</f>
        <v>-0.179652974833698</v>
      </c>
      <c r="P220" s="255">
        <f>IF(AND(ISNUMBER(P135),ISNUMBER(K135)),IFERROR(P135/K135-1,""),"")</f>
        <v>0.166566283201831</v>
      </c>
      <c r="Q220" s="255">
        <f>IF(AND(ISNUMBER(Q135),ISNUMBER(L135)),IFERROR(Q135/L135-1,""),"")</f>
        <v>0.0344523971824591</v>
      </c>
      <c r="R220" s="255">
        <f>IF(AND(ISNUMBER(R135),ISNUMBER(M135)),IFERROR(R135/M135-1,""),"")</f>
        <v>0.0250074723522966</v>
      </c>
      <c r="S220" s="255">
        <f>IF(AND(ISNUMBER(S135),ISNUMBER(N135)),IFERROR(S135/N135-1,""),"")</f>
        <v>0.00170180639012774</v>
      </c>
      <c r="T220" s="255">
        <f>IF(AND(ISNUMBER(T135),ISNUMBER(O135)),IFERROR(T135/O135-1,""),"")</f>
        <v>-0.294584632832435</v>
      </c>
      <c r="U220" s="255">
        <f>IF(AND(ISNUMBER(U135),ISNUMBER(P135)),IFERROR(U135/P135-1,""),"")</f>
        <v>-0.111985956578982</v>
      </c>
      <c r="V220" s="255">
        <f>IF(AND(ISNUMBER(V135),ISNUMBER(Q135)),IFERROR(V135/Q135-1,""),"")</f>
        <v>0.0173800829191952</v>
      </c>
      <c r="W220" s="255">
        <f>IF(AND(ISNUMBER(W135),ISNUMBER(R135)),IFERROR(W135/R135-1,""),"")</f>
        <v>-0.199611197511664</v>
      </c>
      <c r="X220" s="255">
        <f>IF(AND(ISNUMBER(X135),ISNUMBER(S135)),IFERROR(X135/S135-1,""),"")</f>
        <v>-0.150511527911632</v>
      </c>
      <c r="Y220" s="255">
        <f>IF(AND(ISNUMBER(Y135),ISNUMBER(T135)),IFERROR(Y135/T135-1,""),"")</f>
        <v>0.239308681672025</v>
      </c>
      <c r="Z220" s="255">
        <f>IF(AND(ISNUMBER(Z135),ISNUMBER(U135)),IFERROR(Z135/U135-1,""),"")</f>
        <v>0.119916276635949</v>
      </c>
      <c r="AA220" s="255">
        <f>IF(AND(ISNUMBER(AA135),ISNUMBER(V135)),IFERROR(AA135/V135-1,""),"")</f>
        <v>0.492929238408808</v>
      </c>
      <c r="AB220" s="255">
        <f>IF(AND(ISNUMBER(AB135),ISNUMBER(W135)),IFERROR(AB135/W135-1,""),"")</f>
        <v>0.0909112989410279</v>
      </c>
      <c r="AC220" s="255">
        <f>IF(AND(ISNUMBER(AC135),ISNUMBER(X135)),IFERROR(AC135/X135-1,""),"")</f>
        <v>0.233351514490384</v>
      </c>
      <c r="AD220" s="255">
        <f>IF(AND(ISNUMBER(AD135),ISNUMBER(Y135)),IFERROR(AD135/Y135-1,""),"")</f>
        <v>0.132743075825388</v>
      </c>
      <c r="AE220" s="255">
        <f>IF(AND(ISNUMBER(AE135),ISNUMBER(Z135)),IFERROR(AE135/Z135-1,""),"")</f>
        <v>0.0393780500467238</v>
      </c>
      <c r="AF220" s="255">
        <f>IF(AND(ISNUMBER(AF135),ISNUMBER(AA135)),IFERROR(AF135/AA135-1,""),"")</f>
        <v>-0.251089137547678</v>
      </c>
      <c r="AG220" s="255">
        <f>IF(AND(ISNUMBER(AG135),ISNUMBER(AB135)),IFERROR(AG135/AB135-1,""),"")</f>
        <v>0.353734832461316</v>
      </c>
      <c r="AH220" s="255">
        <f>IF(AND(ISNUMBER(AH135),ISNUMBER(AC135)),IFERROR(AH135/AC135-1,""),"")</f>
        <v>0.0448606066323884</v>
      </c>
      <c r="AI220" s="255">
        <f>IF(AND(ISNUMBER(AI135),ISNUMBER(AD135)),IFERROR(AI135/AD135-1,""),"")</f>
        <v>0.142497208463366</v>
      </c>
      <c r="AJ220" s="255">
        <f>IF(AND(ISNUMBER(AJ135),ISNUMBER(AE135)),IFERROR(AJ135/AE135-1,""),"")</f>
        <v>0.200744237156915</v>
      </c>
      <c r="AK220" s="255">
        <f>IF(AND(ISNUMBER(AK135),ISNUMBER(AF135)),IFERROR(AK135/AF135-1,""),"")</f>
        <v>0.167684472229598</v>
      </c>
      <c r="AL220" s="255">
        <f>IF(AND(ISNUMBER(AL135),ISNUMBER(AG135)),IFERROR(AL135/AG135-1,""),"")</f>
        <v>0.152541815370952</v>
      </c>
      <c r="AM220" s="255">
        <f>IF(AND(ISNUMBER(AM135),ISNUMBER(AH135)),IFERROR(AM135/AH135-1,""),"")</f>
        <v>0.164994356659141</v>
      </c>
      <c r="AN220" s="255">
        <f>IF(AND(ISNUMBER(AN135),ISNUMBER(AI135)),IFERROR(AN135/AI135-1,""),"")</f>
        <v>0.228047313552525</v>
      </c>
      <c r="AO220" s="255">
        <f>IF(AND(ISNUMBER(AO135),ISNUMBER(AJ135)),IFERROR(AO135/AJ135-1,""),"")</f>
        <v>0.00977557769504345</v>
      </c>
      <c r="AP220" s="255">
        <f>IF(AND(ISNUMBER(AP135),ISNUMBER(AK135)),IFERROR(AP135/AK135-1,""),"")</f>
        <v>0.77170497767488</v>
      </c>
      <c r="AQ220" s="255">
        <f>IF(AND(ISNUMBER(AQ135),ISNUMBER(AL135)),IFERROR(AQ135/AL135-1,""),"")</f>
        <v>0.00298239104997222</v>
      </c>
      <c r="AR220" s="255">
        <f>IF(AND(ISNUMBER(AR135),ISNUMBER(AM135)),IFERROR(AR135/AM135-1,""),"")</f>
        <v>0.228210059243257</v>
      </c>
      <c r="AS220" s="255">
        <f>IF(AND(ISNUMBER(AS135),ISNUMBER(AN135)),IFERROR(AS135/AN135-1,""),"")</f>
        <v>0.0587298996000347</v>
      </c>
      <c r="AT220" s="255">
        <f>IF(AND(ISNUMBER(AT135),ISNUMBER(AO135)),IFERROR(AT135/AO135-1,""),"")</f>
        <v>0.559784959525428</v>
      </c>
      <c r="AU220" s="255">
        <f>IF(AND(ISNUMBER(AU135),ISNUMBER(AP135)),IFERROR(AU135/AP135-1,""),"")</f>
        <v>-0.0331007607224534</v>
      </c>
      <c r="AV220" s="255">
        <f>IF(AND(ISNUMBER(AV135),ISNUMBER(AQ135)),IFERROR(AV135/AQ135-1,""),"")</f>
        <v>0.216298888841464</v>
      </c>
      <c r="AW220" s="255">
        <f>IF(AND(ISNUMBER(AW135),ISNUMBER(AR135)),IFERROR(AW135/AR135-1,""),"")</f>
        <v>0.167309542966223</v>
      </c>
      <c r="AX220" s="255">
        <f>IF(AND(ISNUMBER(AX135),ISNUMBER(AS135)),IFERROR(AX135/AS135-1,""),"")</f>
        <v>0.825700628348943</v>
      </c>
      <c r="AY220" s="255">
        <f>IF(AND(ISNUMBER(AY135),ISNUMBER(AT135)),IFERROR(AY135/AT135-1,""),"")</f>
        <v>0.336383804769828</v>
      </c>
      <c r="AZ220" s="255">
        <f>IF(AND(ISNUMBER(AZ135),ISNUMBER(AU135)),IFERROR(AZ135/AU135-1,""),"")</f>
        <v>1.34562150812709</v>
      </c>
      <c r="BA220" s="255">
        <f>IF(AND(ISNUMBER(BA135),ISNUMBER(AV135)),IFERROR(BA135/AV135-1,""),"")</f>
        <v>0.347350567317815</v>
      </c>
      <c r="BB220" s="255">
        <f>IF(AND(ISNUMBER(BB135),ISNUMBER(AW135)),IFERROR(BB135/AW135-1,""),"")</f>
        <v>0.707911977267891</v>
      </c>
      <c r="BC220" s="255">
        <f>IF(AND(ISNUMBER(BC135),ISNUMBER(AX135)),IFERROR(BC135/AX135-1,""),"")</f>
        <v>0.220278502127301</v>
      </c>
      <c r="BD220" s="255">
        <f>IF(AND(ISNUMBER(BD135),ISNUMBER(AY135)),IFERROR(BD135/AY135-1,""),"")</f>
        <v>0.502554373066928</v>
      </c>
      <c r="BE220" s="255">
        <f>IF(AND(ISNUMBER(BE135),ISNUMBER(AZ135)),IFERROR(BE135/AZ135-1,""),"")</f>
        <v>-0.27661227261503</v>
      </c>
      <c r="BF220" s="255">
        <f>IF(AND(ISNUMBER(BF135),ISNUMBER(BA135)),IFERROR(BF135/BA135-1,""),"")</f>
        <v>0.164700264791422</v>
      </c>
      <c r="BG220" s="255">
        <f>IF(AND(ISNUMBER(BG135),ISNUMBER(BB135)),IFERROR(BG135/BB135-1,""),"")</f>
        <v>0.0730480781975469</v>
      </c>
      <c r="BH220" s="255">
        <f>IF(AND(ISNUMBER(BH135),ISNUMBER(BC135)),IFERROR(BH135/BC135-1,""),"")</f>
        <v>0.214152232969391</v>
      </c>
      <c r="BI220" s="255">
        <f>IF(AND(ISNUMBER(BI135),ISNUMBER(BD135)),IFERROR(BI135/BD135-1,""),"")</f>
        <v>0.0506652110721635</v>
      </c>
      <c r="BJ220" s="255">
        <f>IF(AND(ISNUMBER(BJ135),ISNUMBER(BE135)),IFERROR(BJ135/BE135-1,""),"")</f>
        <v>0.258976638338726</v>
      </c>
      <c r="BK220" s="255">
        <f>IF(AND(ISNUMBER(BK135),ISNUMBER(BF135)),IFERROR(BK135/BF135-1,""),"")</f>
        <v>0.235121798503235</v>
      </c>
      <c r="BL220" s="255">
        <f>IF(AND(ISNUMBER(BL135),ISNUMBER(BG135)),IFERROR(BL135/BG135-1,""),"")</f>
        <v>0.185127964986154</v>
      </c>
      <c r="BM220" s="255">
        <f>IF(AND(ISNUMBER(BM135),ISNUMBER(BH135)),IFERROR(BM135/BH135-1,""),"")</f>
        <v>0.0785241451057799</v>
      </c>
      <c r="BN220" s="255">
        <f>IF(AND(ISNUMBER(BN135),ISNUMBER(BI135)),IFERROR(BN135/BI135-1,""),"")</f>
        <v>0.219577994629478</v>
      </c>
      <c r="BO220" s="255">
        <f>IF(AND(ISNUMBER(BO135),ISNUMBER(BJ135)),IFERROR(BO135/BJ135-1,""),"")</f>
        <v>0.0746761866565746</v>
      </c>
      <c r="BP220" s="255">
        <f>IF(AND(ISNUMBER(BP135),ISNUMBER(BK135)),IFERROR(BP135/BK135-1,""),"")</f>
        <v>0.189977006499738</v>
      </c>
      <c r="BQ220" s="255">
        <f>IF(AND(ISNUMBER(BQ135),ISNUMBER(BL135)),IFERROR(BQ135/BL135-1,""),"")</f>
        <v>0.141248852729338</v>
      </c>
      <c r="BR220" s="255">
        <f>IF(AND(ISNUMBER(BR135),ISNUMBER(BM135)),IFERROR(BR135/BM135-1,""),"")</f>
        <v>0.186107202082467</v>
      </c>
      <c r="BS220" s="255">
        <f>IF(AND(ISNUMBER(BS135),ISNUMBER(BN135)),IFERROR(BS135/BN135-1,""),"")</f>
        <v>0.260761338732608</v>
      </c>
      <c r="BT220" s="255">
        <f>IF(AND(ISNUMBER(BT135),ISNUMBER(BO135)),IFERROR(BT135/BO135-1,""),"")</f>
        <v>0.379850828642162</v>
      </c>
      <c r="BU220" s="255">
        <f>IF(AND(ISNUMBER(BU135),ISNUMBER(BP135)),IFERROR(BU135/BP135-1,""),"")</f>
        <v>0.202750813985333</v>
      </c>
      <c r="BV220" s="255">
        <f>IF(AND(ISNUMBER(BV135),ISNUMBER(BQ135)),IFERROR(BV135/BQ135-1,""),"")</f>
        <v>0.260650819419625</v>
      </c>
      <c r="BW220" s="255">
        <f>IF(AND(ISNUMBER(BW135),ISNUMBER(BR135)),IFERROR(BW135/BR135-1,""),"")</f>
        <v>0.303690789180517</v>
      </c>
      <c r="BX220" s="255">
        <f>IF(AND(ISNUMBER(BX135),ISNUMBER(BS135)),IFERROR(BX135/BS135-1,""),"")</f>
        <v>0.638380935322087</v>
      </c>
      <c r="BY220" s="255">
        <f>IF(AND(ISNUMBER(BY135),ISNUMBER(BT135)),IFERROR(BY135/BT135-1,""),"")</f>
        <v>0.381345279180857</v>
      </c>
      <c r="BZ220" s="256">
        <f>IF(AND(ISNUMBER(BZ135),ISNUMBER(BU135)),IFERROR(BZ135/BU135-1,""),"")</f>
        <v>0.274922759651993</v>
      </c>
      <c r="CA220" s="256">
        <f>IF(AND(ISNUMBER(CA135),ISNUMBER(BV135)),IFERROR(CA135/BV135-1,""),"")</f>
        <v>0.407252616086964</v>
      </c>
      <c r="CB220" s="256">
        <f>IF(AND(ISNUMBER(CB135),ISNUMBER(CA135)),IFERROR(CB135/CA135-1,""),"")</f>
        <v>0.19093294294362</v>
      </c>
      <c r="CC220" s="256">
        <f>IF(AND(ISNUMBER(CC135),ISNUMBER(CB135)),IFERROR(CC135/CB135-1,""),"")</f>
        <v>0.124642568774554</v>
      </c>
      <c r="CD220" s="256">
        <f>IF(AND(ISNUMBER(CD135),ISNUMBER(CC135)),IFERROR(CD135/CC135-1,""),"")</f>
        <v>0.105572100100731</v>
      </c>
      <c r="CE220" s="256">
        <f>IF(AND(ISNUMBER(CE135),ISNUMBER(CD135)),IFERROR(CE135/CD135-1,""),"")</f>
        <v>0.0907197325630109</v>
      </c>
      <c r="CF220" s="256">
        <f>IF(AND(ISNUMBER(CF135),ISNUMBER(CE135)),IFERROR(CF135/CE135-1,""),"")</f>
        <v>0.0828244273128902</v>
      </c>
      <c r="CG220" s="153" t="n"/>
    </row>
    <row r="221" ht="15" customHeight="1" s="251">
      <c r="B221" s="22" t="inlineStr">
        <is>
          <t xml:space="preserve">  Net income y/y %</t>
        </is>
      </c>
      <c r="C221" s="23" t="n"/>
      <c r="D221" s="255">
        <f>IF(AND(ISNUMBER(D146),ISNUMBER(C146)),IFERROR(D146/C146-1,""),"")</f>
        <v>0.011247898266431</v>
      </c>
      <c r="E221" s="255">
        <f>IF(AND(ISNUMBER(E146),ISNUMBER(D146)),IFERROR(E146/D146-1,""),"")</f>
        <v>-0.197783086478738</v>
      </c>
      <c r="F221" s="255">
        <f>IF(AND(ISNUMBER(F146),ISNUMBER(E146)),IFERROR(F146/E146-1,""),"")</f>
        <v>-0.224533066514198</v>
      </c>
      <c r="G221" s="255">
        <f>IF(AND(ISNUMBER(G146),ISNUMBER(F146)),IFERROR(G146/F146-1,""),"")</f>
        <v>-0.00990752972259057</v>
      </c>
      <c r="H221" s="255">
        <f>IF(AND(ISNUMBER(H146),ISNUMBER(G146)),IFERROR(H146/G146-1,""),"")</f>
        <v>0.110228524442651</v>
      </c>
      <c r="I221" s="255">
        <f>IF(AND(ISNUMBER(I146),ISNUMBER(H146)),IFERROR(I146/H146-1,""),"")</f>
        <v>0.285654397585312</v>
      </c>
      <c r="J221" s="23" t="n"/>
      <c r="K221" s="23" t="n"/>
      <c r="L221" s="23" t="n"/>
      <c r="M221" s="23" t="n"/>
      <c r="N221" s="255">
        <f>IF(AND(ISNUMBER(N146),ISNUMBER(I146)),IFERROR(N146/I146-1,""),"")</f>
        <v>-0.0207490978653101</v>
      </c>
      <c r="O221" s="255">
        <f>IF(AND(ISNUMBER(O146),ISNUMBER(J146)),IFERROR(O146/J146-1,""),"")</f>
        <v>-0.275137696938646</v>
      </c>
      <c r="P221" s="255">
        <f>IF(AND(ISNUMBER(P146),ISNUMBER(K146)),IFERROR(P146/K146-1,""),"")</f>
        <v>0.121978913219789</v>
      </c>
      <c r="Q221" s="255">
        <f>IF(AND(ISNUMBER(Q146),ISNUMBER(L146)),IFERROR(Q146/L146-1,""),"")</f>
        <v>0.0471919274283978</v>
      </c>
      <c r="R221" s="255">
        <f>IF(AND(ISNUMBER(R146),ISNUMBER(M146)),IFERROR(R146/M146-1,""),"")</f>
        <v>0.281752284903877</v>
      </c>
      <c r="S221" s="255">
        <f>IF(AND(ISNUMBER(S146),ISNUMBER(N146)),IFERROR(S146/N146-1,""),"")</f>
        <v>0.0530995060769177</v>
      </c>
      <c r="T221" s="255">
        <f>IF(AND(ISNUMBER(T146),ISNUMBER(O146)),IFERROR(T146/O146-1,""),"")</f>
        <v>-0.151381280556045</v>
      </c>
      <c r="U221" s="255">
        <f>IF(AND(ISNUMBER(U146),ISNUMBER(P146)),IFERROR(U146/P146-1,""),"")</f>
        <v>-0.0906462339164383</v>
      </c>
      <c r="V221" s="255">
        <f>IF(AND(ISNUMBER(V146),ISNUMBER(Q146)),IFERROR(V146/Q146-1,""),"")</f>
        <v>-0.0312439166828883</v>
      </c>
      <c r="W221" s="255">
        <f>IF(AND(ISNUMBER(W146),ISNUMBER(R146)),IFERROR(W146/R146-1,""),"")</f>
        <v>-0.089719421905308</v>
      </c>
      <c r="X221" s="255">
        <f>IF(AND(ISNUMBER(X146),ISNUMBER(S146)),IFERROR(X146/S146-1,""),"")</f>
        <v>-0.0882914027340096</v>
      </c>
      <c r="Y221" s="255">
        <f>IF(AND(ISNUMBER(Y146),ISNUMBER(T146)),IFERROR(Y146/T146-1,""),"")</f>
        <v>0.335531338932461</v>
      </c>
      <c r="Z221" s="255">
        <f>IF(AND(ISNUMBER(Z146),ISNUMBER(U146)),IFERROR(Z146/U146-1,""),"")</f>
        <v>0.225013248542661</v>
      </c>
      <c r="AA221" s="255">
        <f>IF(AND(ISNUMBER(AA146),ISNUMBER(V146)),IFERROR(AA146/V146-1,""),"")</f>
        <v>0.757610770621922</v>
      </c>
      <c r="AB221" s="255">
        <f>IF(AND(ISNUMBER(AB146),ISNUMBER(W146)),IFERROR(AB146/W146-1,""),"")</f>
        <v>-0.0364656802425046</v>
      </c>
      <c r="AC221" s="255">
        <f>IF(AND(ISNUMBER(AC146),ISNUMBER(X146)),IFERROR(AC146/X146-1,""),"")</f>
        <v>0.265265542993228</v>
      </c>
      <c r="AD221" s="255">
        <f>IF(AND(ISNUMBER(AD146),ISNUMBER(Y146)),IFERROR(AD146/Y146-1,""),"")</f>
        <v>0.969804064237827</v>
      </c>
      <c r="AE221" s="255">
        <f>IF(AND(ISNUMBER(AE146),ISNUMBER(Z146)),IFERROR(AE146/Z146-1,""),"")</f>
        <v>0.0851358366499391</v>
      </c>
      <c r="AF221" s="255">
        <f>IF(AND(ISNUMBER(AF146),ISNUMBER(AA146)),IFERROR(AF146/AA146-1,""),"")</f>
        <v>-0.278960756852546</v>
      </c>
      <c r="AG221" s="255">
        <f>IF(AND(ISNUMBER(AG146),ISNUMBER(AB146)),IFERROR(AG146/AB146-1,""),"")</f>
        <v>0.247321206080239</v>
      </c>
      <c r="AH221" s="255">
        <f>IF(AND(ISNUMBER(AH146),ISNUMBER(AC146)),IFERROR(AH146/AC146-1,""),"")</f>
        <v>0.171844163438345</v>
      </c>
      <c r="AI221" s="255">
        <f>IF(AND(ISNUMBER(AI146),ISNUMBER(AD146)),IFERROR(AI146/AD146-1,""),"")</f>
        <v>-0.279728767051002</v>
      </c>
      <c r="AJ221" s="255">
        <f>IF(AND(ISNUMBER(AJ146),ISNUMBER(AE146)),IFERROR(AJ146/AE146-1,""),"")</f>
        <v>0.286676766066019</v>
      </c>
      <c r="AK221" s="255">
        <f>IF(AND(ISNUMBER(AK146),ISNUMBER(AF146)),IFERROR(AK146/AF146-1,""),"")</f>
        <v>0.282792246402664</v>
      </c>
      <c r="AL221" s="255">
        <f>IF(AND(ISNUMBER(AL146),ISNUMBER(AG146)),IFERROR(AL146/AG146-1,""),"")</f>
        <v>0.260613325342124</v>
      </c>
      <c r="AM221" s="255">
        <f>IF(AND(ISNUMBER(AM146),ISNUMBER(AH146)),IFERROR(AM146/AH146-1,""),"")</f>
        <v>0.110396394710577</v>
      </c>
      <c r="AN221" s="255">
        <f>IF(AND(ISNUMBER(AN146),ISNUMBER(AI146)),IFERROR(AN146/AI146-1,""),"")</f>
        <v>0.465511557199896</v>
      </c>
      <c r="AO221" s="255">
        <f>IF(AND(ISNUMBER(AO146),ISNUMBER(AJ146)),IFERROR(AO146/AJ146-1,""),"")</f>
        <v>0.0342680092951204</v>
      </c>
      <c r="AP221" s="255">
        <f>IF(AND(ISNUMBER(AP146),ISNUMBER(AK146)),IFERROR(AP146/AK146-1,""),"")</f>
        <v>0.982386205617873</v>
      </c>
      <c r="AQ221" s="255">
        <f>IF(AND(ISNUMBER(AQ146),ISNUMBER(AL146)),IFERROR(AQ146/AL146-1,""),"")</f>
        <v>0.081299524564183</v>
      </c>
      <c r="AR221" s="255">
        <f>IF(AND(ISNUMBER(AR146),ISNUMBER(AM146)),IFERROR(AR146/AM146-1,""),"")</f>
        <v>0.349043288979393</v>
      </c>
      <c r="AS221" s="255">
        <f>IF(AND(ISNUMBER(AS146),ISNUMBER(AN146)),IFERROR(AS146/AN146-1,""),"")</f>
        <v>0.372784762666536</v>
      </c>
      <c r="AT221" s="255">
        <f>IF(AND(ISNUMBER(AT146),ISNUMBER(AO146)),IFERROR(AT146/AO146-1,""),"")</f>
        <v>0.746143015487852</v>
      </c>
      <c r="AU221" s="255">
        <f>IF(AND(ISNUMBER(AU146),ISNUMBER(AP146)),IFERROR(AU146/AP146-1,""),"")</f>
        <v>-0.0011846863698719</v>
      </c>
      <c r="AV221" s="255">
        <f>IF(AND(ISNUMBER(AV146),ISNUMBER(AQ146)),IFERROR(AV146/AQ146-1,""),"")</f>
        <v>0.0832111974204897</v>
      </c>
      <c r="AW221" s="255">
        <f>IF(AND(ISNUMBER(AW146),ISNUMBER(AR146)),IFERROR(AW146/AR146-1,""),"")</f>
        <v>0.230512585621785</v>
      </c>
      <c r="AX221" s="255">
        <f>IF(AND(ISNUMBER(AX146),ISNUMBER(AS146)),IFERROR(AX146/AS146-1,""),"")</f>
        <v>0.574843866644815</v>
      </c>
      <c r="AY221" s="255">
        <f>IF(AND(ISNUMBER(AY146),ISNUMBER(AT146)),IFERROR(AY146/AT146-1,""),"")</f>
        <v>0.178184188855339</v>
      </c>
      <c r="AZ221" s="255">
        <f>IF(AND(ISNUMBER(AZ146),ISNUMBER(AU146)),IFERROR(AZ146/AU146-1,""),"")</f>
        <v>1.35966664585805</v>
      </c>
      <c r="BA221" s="255">
        <f>IF(AND(ISNUMBER(BA146),ISNUMBER(AV146)),IFERROR(BA146/AV146-1,""),"")</f>
        <v>0.449785204478572</v>
      </c>
      <c r="BB221" s="255">
        <f>IF(AND(ISNUMBER(BB146),ISNUMBER(AW146)),IFERROR(BB146/AW146-1,""),"")</f>
        <v>0.658484588280581</v>
      </c>
      <c r="BC221" s="255">
        <f>IF(AND(ISNUMBER(BC146),ISNUMBER(AX146)),IFERROR(BC146/AX146-1,""),"")</f>
        <v>-0.0177241825833598</v>
      </c>
      <c r="BD221" s="255">
        <f>IF(AND(ISNUMBER(BD146),ISNUMBER(AY146)),IFERROR(BD146/AY146-1,""),"")</f>
        <v>0.519978448903515</v>
      </c>
      <c r="BE221" s="255">
        <f>IF(AND(ISNUMBER(BE146),ISNUMBER(AZ146)),IFERROR(BE146/AZ146-1,""),"")</f>
        <v>-0.381605576793344</v>
      </c>
      <c r="BF221" s="255">
        <f>IF(AND(ISNUMBER(BF146),ISNUMBER(BA146)),IFERROR(BF146/BA146-1,""),"")</f>
        <v>0.0580844610359306</v>
      </c>
      <c r="BG221" s="255">
        <f>IF(AND(ISNUMBER(BG146),ISNUMBER(BB146)),IFERROR(BG146/BB146-1,""),"")</f>
        <v>-0.0472934371206174</v>
      </c>
      <c r="BH221" s="255">
        <f>IF(AND(ISNUMBER(BH146),ISNUMBER(BC146)),IFERROR(BH146/BC146-1,""),"")</f>
        <v>0.149295542555821</v>
      </c>
      <c r="BI221" s="255">
        <f>IF(AND(ISNUMBER(BI146),ISNUMBER(BD146)),IFERROR(BI146/BD146-1,""),"")</f>
        <v>-0.0271404347451214</v>
      </c>
      <c r="BJ221" s="255">
        <f>IF(AND(ISNUMBER(BJ146),ISNUMBER(BE146)),IFERROR(BJ146/BE146-1,""),"")</f>
        <v>0.377090909090909</v>
      </c>
      <c r="BK221" s="255">
        <f>IF(AND(ISNUMBER(BK146),ISNUMBER(BF146)),IFERROR(BK146/BF146-1,""),"")</f>
        <v>0.118248271756028</v>
      </c>
      <c r="BL221" s="255">
        <f>IF(AND(ISNUMBER(BL146),ISNUMBER(BG146)),IFERROR(BL146/BG146-1,""),"")</f>
        <v>0.149472213224251</v>
      </c>
      <c r="BM221" s="255">
        <f>IF(AND(ISNUMBER(BM146),ISNUMBER(BH146)),IFERROR(BM146/BH146-1,""),"")</f>
        <v>0.239873826080723</v>
      </c>
      <c r="BN221" s="255">
        <f>IF(AND(ISNUMBER(BN146),ISNUMBER(BI146)),IFERROR(BN146/BI146-1,""),"")</f>
        <v>0.278178237321517</v>
      </c>
      <c r="BO221" s="255">
        <f>IF(AND(ISNUMBER(BO146),ISNUMBER(BJ146)),IFERROR(BO146/BJ146-1,""),"")</f>
        <v>-0.0194318022957792</v>
      </c>
      <c r="BP221" s="255">
        <f>IF(AND(ISNUMBER(BP146),ISNUMBER(BK146)),IFERROR(BP146/BK146-1,""),"")</f>
        <v>0.337858889414735</v>
      </c>
      <c r="BQ221" s="255">
        <f>IF(AND(ISNUMBER(BQ146),ISNUMBER(BL146)),IFERROR(BQ146/BL146-1,""),"")</f>
        <v>0.194319650655022</v>
      </c>
      <c r="BR221" s="255">
        <f>IF(AND(ISNUMBER(BR146),ISNUMBER(BM146)),IFERROR(BR146/BM146-1,""),"")</f>
        <v>0.259885185644076</v>
      </c>
      <c r="BS221" s="255">
        <f>IF(AND(ISNUMBER(BS146),ISNUMBER(BN146)),IFERROR(BS146/BN146-1,""),"")</f>
        <v>0.252821670428894</v>
      </c>
      <c r="BT221" s="255">
        <f>IF(AND(ISNUMBER(BT146),ISNUMBER(BO146)),IFERROR(BT146/BO146-1,""),"")</f>
        <v>0.43984444303637</v>
      </c>
      <c r="BU221" s="255">
        <f>IF(AND(ISNUMBER(BU146),ISNUMBER(BP146)),IFERROR(BU146/BP146-1,""),"")</f>
        <v>0.142404433602818</v>
      </c>
      <c r="BV221" s="255">
        <f>IF(AND(ISNUMBER(BV146),ISNUMBER(BQ146)),IFERROR(BV146/BQ146-1,""),"")</f>
        <v>0.271318282954149</v>
      </c>
      <c r="BW221" s="255">
        <f>IF(AND(ISNUMBER(BW146),ISNUMBER(BR146)),IFERROR(BW146/BR146-1,""),"")</f>
        <v>0.0383208328962548</v>
      </c>
      <c r="BX221" s="255">
        <f>IF(AND(ISNUMBER(BX146),ISNUMBER(BS146)),IFERROR(BX146/BS146-1,""),"")</f>
        <v>0.626282938228331</v>
      </c>
      <c r="BY221" s="255">
        <f>IF(AND(ISNUMBER(BY146),ISNUMBER(BT146)),IFERROR(BY146/BT146-1,""),"")</f>
        <v>0.30465539719125</v>
      </c>
      <c r="BZ221" s="256">
        <f>IF(AND(ISNUMBER(BZ146),ISNUMBER(BU146)),IFERROR(BZ146/BU146-1,""),"")</f>
        <v>0.0662192355598914</v>
      </c>
      <c r="CA221" s="256">
        <f>IF(AND(ISNUMBER(CA146),ISNUMBER(BV146)),IFERROR(CA146/BV146-1,""),"")</f>
        <v>0.265874640815468</v>
      </c>
      <c r="CB221" s="256">
        <f>IF(AND(ISNUMBER(CB146),ISNUMBER(CA146)),IFERROR(CB146/CA146-1,""),"")</f>
        <v>0.149317068587782</v>
      </c>
      <c r="CC221" s="256">
        <f>IF(AND(ISNUMBER(CC146),ISNUMBER(CB146)),IFERROR(CC146/CB146-1,""),"")</f>
        <v>0.153370100352952</v>
      </c>
      <c r="CD221" s="256">
        <f>IF(AND(ISNUMBER(CD146),ISNUMBER(CC146)),IFERROR(CD146/CC146-1,""),"")</f>
        <v>0.0805716526702072</v>
      </c>
      <c r="CE221" s="256">
        <f>IF(AND(ISNUMBER(CE146),ISNUMBER(CD146)),IFERROR(CE146/CD146-1,""),"")</f>
        <v>0.0865619234389194</v>
      </c>
      <c r="CF221" s="256">
        <f>IF(AND(ISNUMBER(CF146),ISNUMBER(CE146)),IFERROR(CF146/CE146-1,""),"")</f>
        <v>0.0801770135027031</v>
      </c>
      <c r="CG221" s="153" t="n"/>
    </row>
    <row r="222" collapsed="1" ht="15" customHeight="1" s="251">
      <c r="B222" s="22" t="inlineStr">
        <is>
          <t xml:space="preserve">  Non-GAAP EPS y/y %</t>
        </is>
      </c>
      <c r="C222" s="23" t="n"/>
      <c r="D222" s="255">
        <f>IF(AND(ISNUMBER(D205),ISNUMBER(C205)),IFERROR(D205/C205-1,""),"")</f>
        <v>-0.0286550076833845</v>
      </c>
      <c r="E222" s="255">
        <f>IF(AND(ISNUMBER(E205),ISNUMBER(D205)),IFERROR(E205/D205-1,""),"")</f>
        <v>0.00134779377176231</v>
      </c>
      <c r="F222" s="255">
        <f>IF(AND(ISNUMBER(F205),ISNUMBER(E205)),IFERROR(F205/E205-1,""),"")</f>
        <v>-0.196294597402562</v>
      </c>
      <c r="G222" s="255">
        <f>IF(AND(ISNUMBER(G205),ISNUMBER(F205)),IFERROR(G205/F205-1,""),"")</f>
        <v>0.0491565388364885</v>
      </c>
      <c r="H222" s="255">
        <f>IF(AND(ISNUMBER(H205),ISNUMBER(G205)),IFERROR(H205/G205-1,""),"")</f>
        <v>0.288238017862719</v>
      </c>
      <c r="I222" s="255">
        <f>IF(AND(ISNUMBER(I205),ISNUMBER(H205)),IFERROR(I205/H205-1,""),"")</f>
        <v>0.29615027826638</v>
      </c>
      <c r="J222" s="23" t="n"/>
      <c r="K222" s="23" t="n"/>
      <c r="L222" s="23" t="n"/>
      <c r="M222" s="23" t="n"/>
      <c r="N222" s="255">
        <f>IF(AND(ISNUMBER(N205),ISNUMBER(I205)),IFERROR(N205/I205-1,""),"")</f>
        <v>-0.034549945385514</v>
      </c>
      <c r="O222" s="255">
        <f>IF(AND(ISNUMBER(O205),ISNUMBER(J205)),IFERROR(O205/J205-1,""),"")</f>
        <v>-0.169149901855703</v>
      </c>
      <c r="P222" s="255">
        <f>IF(AND(ISNUMBER(P205),ISNUMBER(K205)),IFERROR(P205/K205-1,""),"")</f>
        <v>0.169520838754632</v>
      </c>
      <c r="Q222" s="255">
        <f>IF(AND(ISNUMBER(Q205),ISNUMBER(L205)),IFERROR(Q205/L205-1,""),"")</f>
        <v>0.0342514089088593</v>
      </c>
      <c r="R222" s="255">
        <f>IF(AND(ISNUMBER(R205),ISNUMBER(M205)),IFERROR(R205/M205-1,""),"")</f>
        <v>0.361450371670563</v>
      </c>
      <c r="S222" s="255">
        <f>IF(AND(ISNUMBER(S205),ISNUMBER(N205)),IFERROR(S205/N205-1,""),"")</f>
        <v>0.0970767736179017</v>
      </c>
      <c r="T222" s="255">
        <f>IF(AND(ISNUMBER(T205),ISNUMBER(O205)),IFERROR(T205/O205-1,""),"")</f>
        <v>-0.0666701159181797</v>
      </c>
      <c r="U222" s="255">
        <f>IF(AND(ISNUMBER(U205),ISNUMBER(P205)),IFERROR(U205/P205-1,""),"")</f>
        <v>0.125368988883918</v>
      </c>
      <c r="V222" s="255">
        <f>IF(AND(ISNUMBER(V205),ISNUMBER(Q205)),IFERROR(V205/Q205-1,""),"")</f>
        <v>0.198717677120188</v>
      </c>
      <c r="W222" s="255">
        <f>IF(AND(ISNUMBER(W205),ISNUMBER(R205)),IFERROR(W205/R205-1,""),"")</f>
        <v>0.178109875938234</v>
      </c>
      <c r="X222" s="255">
        <f>IF(AND(ISNUMBER(X205),ISNUMBER(S205)),IFERROR(X205/S205-1,""),"")</f>
        <v>0.128758383573289</v>
      </c>
      <c r="Y222" s="255">
        <f>IF(AND(ISNUMBER(Y205),ISNUMBER(T205)),IFERROR(Y205/T205-1,""),"")</f>
        <v>0.450587499281417</v>
      </c>
      <c r="Z222" s="255">
        <f>IF(AND(ISNUMBER(Z205),ISNUMBER(U205)),IFERROR(Z205/U205-1,""),"")</f>
        <v>0.19089689582881</v>
      </c>
      <c r="AA222" s="255">
        <f>IF(AND(ISNUMBER(AA205),ISNUMBER(V205)),IFERROR(AA205/V205-1,""),"")</f>
        <v>0.453449558554847</v>
      </c>
      <c r="AB222" s="255">
        <f>IF(AND(ISNUMBER(AB205),ISNUMBER(W205)),IFERROR(AB205/W205-1,""),"")</f>
        <v>-0.180898146691265</v>
      </c>
      <c r="AC222" s="255">
        <f>IF(AND(ISNUMBER(AC205),ISNUMBER(X205)),IFERROR(AC205/X205-1,""),"")</f>
        <v>0.158042438510299</v>
      </c>
      <c r="AD222" s="255">
        <f>IF(AND(ISNUMBER(AD205),ISNUMBER(Y205)),IFERROR(AD205/Y205-1,""),"")</f>
        <v>0.0399309096537444</v>
      </c>
      <c r="AE222" s="255">
        <f>IF(AND(ISNUMBER(AE205),ISNUMBER(Z205)),IFERROR(AE205/Z205-1,""),"")</f>
        <v>-0.0331035428944317</v>
      </c>
      <c r="AF222" s="255">
        <f>IF(AND(ISNUMBER(AF205),ISNUMBER(AA205)),IFERROR(AF205/AA205-1,""),"")</f>
        <v>-0.198642769391223</v>
      </c>
      <c r="AG222" s="255">
        <f>IF(AND(ISNUMBER(AG205),ISNUMBER(AB205)),IFERROR(AG205/AB205-1,""),"")</f>
        <v>0.285081343656886</v>
      </c>
      <c r="AH222" s="255">
        <f>IF(AND(ISNUMBER(AH205),ISNUMBER(AC205)),IFERROR(AH205/AC205-1,""),"")</f>
        <v>0.0160015293785429</v>
      </c>
      <c r="AI222" s="255">
        <f>IF(AND(ISNUMBER(AI205),ISNUMBER(AD205)),IFERROR(AI205/AD205-1,""),"")</f>
        <v>0.266453907466743</v>
      </c>
      <c r="AJ222" s="255">
        <f>IF(AND(ISNUMBER(AJ205),ISNUMBER(AE205)),IFERROR(AJ205/AE205-1,""),"")</f>
        <v>0.460673488899917</v>
      </c>
      <c r="AK222" s="255">
        <f>IF(AND(ISNUMBER(AK205),ISNUMBER(AF205)),IFERROR(AK205/AF205-1,""),"")</f>
        <v>0.302002652604617</v>
      </c>
      <c r="AL222" s="255">
        <f>IF(AND(ISNUMBER(AL205),ISNUMBER(AG205)),IFERROR(AL205/AG205-1,""),"")</f>
        <v>0.143957092435252</v>
      </c>
      <c r="AM222" s="255">
        <f>IF(AND(ISNUMBER(AM205),ISNUMBER(AH205)),IFERROR(AM205/AH205-1,""),"")</f>
        <v>0.275161778256795</v>
      </c>
      <c r="AN222" s="255">
        <f>IF(AND(ISNUMBER(AN205),ISNUMBER(AI205)),IFERROR(AN205/AI205-1,""),"")</f>
        <v>0.110321374719078</v>
      </c>
      <c r="AO222" s="255">
        <f>IF(AND(ISNUMBER(AO205),ISNUMBER(AJ205)),IFERROR(AO205/AJ205-1,""),"")</f>
        <v>0.0158570578810351</v>
      </c>
      <c r="AP222" s="255">
        <f>IF(AND(ISNUMBER(AP205),ISNUMBER(AK205)),IFERROR(AP205/AK205-1,""),"")</f>
        <v>0.650965289856434</v>
      </c>
      <c r="AQ222" s="255">
        <f>IF(AND(ISNUMBER(AQ205),ISNUMBER(AL205)),IFERROR(AQ205/AL205-1,""),"")</f>
        <v>0.0641865808785027</v>
      </c>
      <c r="AR222" s="255">
        <f>IF(AND(ISNUMBER(AR205),ISNUMBER(AM205)),IFERROR(AR205/AM205-1,""),"")</f>
        <v>0.205596243849211</v>
      </c>
      <c r="AS222" s="255">
        <f>IF(AND(ISNUMBER(AS205),ISNUMBER(AN205)),IFERROR(AS205/AN205-1,""),"")</f>
        <v>0.240826802073672</v>
      </c>
      <c r="AT222" s="255">
        <f>IF(AND(ISNUMBER(AT205),ISNUMBER(AO205)),IFERROR(AT205/AO205-1,""),"")</f>
        <v>0.372842550826301</v>
      </c>
      <c r="AU222" s="255">
        <f>IF(AND(ISNUMBER(AU205),ISNUMBER(AP205)),IFERROR(AU205/AP205-1,""),"")</f>
        <v>0.0336700729281465</v>
      </c>
      <c r="AV222" s="255">
        <f>IF(AND(ISNUMBER(AV205),ISNUMBER(AQ205)),IFERROR(AV205/AQ205-1,""),"")</f>
        <v>0.618700318983832</v>
      </c>
      <c r="AW222" s="255">
        <f>IF(AND(ISNUMBER(AW205),ISNUMBER(AR205)),IFERROR(AW205/AR205-1,""),"")</f>
        <v>0.299281966784211</v>
      </c>
      <c r="AX222" s="255">
        <f>IF(AND(ISNUMBER(AX205),ISNUMBER(AS205)),IFERROR(AX205/AS205-1,""),"")</f>
        <v>0.524349193096974</v>
      </c>
      <c r="AY222" s="255">
        <f>IF(AND(ISNUMBER(AY205),ISNUMBER(AT205)),IFERROR(AY205/AT205-1,""),"")</f>
        <v>0.424583097558586</v>
      </c>
      <c r="AZ222" s="255">
        <f>IF(AND(ISNUMBER(AZ205),ISNUMBER(AU205)),IFERROR(AZ205/AU205-1,""),"")</f>
        <v>0.311458026885015</v>
      </c>
      <c r="BA222" s="255">
        <f>IF(AND(ISNUMBER(BA205),ISNUMBER(AV205)),IFERROR(BA205/AV205-1,""),"")</f>
        <v>0.207228917989125</v>
      </c>
      <c r="BB222" s="255">
        <f>IF(AND(ISNUMBER(BB205),ISNUMBER(AW205)),IFERROR(BB205/AW205-1,""),"")</f>
        <v>0.339162392710628</v>
      </c>
      <c r="BC222" s="255">
        <f>IF(AND(ISNUMBER(BC205),ISNUMBER(AX205)),IFERROR(BC205/AX205-1,""),"")</f>
        <v>0.352645814090882</v>
      </c>
      <c r="BD222" s="255">
        <f>IF(AND(ISNUMBER(BD205),ISNUMBER(AY205)),IFERROR(BD205/AY205-1,""),"")</f>
        <v>0.53227459592443</v>
      </c>
      <c r="BE222" s="255">
        <f>IF(AND(ISNUMBER(BE205),ISNUMBER(AZ205)),IFERROR(BE205/AZ205-1,""),"")</f>
        <v>0.321352801287568</v>
      </c>
      <c r="BF222" s="255">
        <f>IF(AND(ISNUMBER(BF205),ISNUMBER(BA205)),IFERROR(BF205/BA205-1,""),"")</f>
        <v>0.121100267146194</v>
      </c>
      <c r="BG222" s="255">
        <f>IF(AND(ISNUMBER(BG205),ISNUMBER(BB205)),IFERROR(BG205/BB205-1,""),"")</f>
        <v>0.317418366336642</v>
      </c>
      <c r="BH222" s="255">
        <f>IF(AND(ISNUMBER(BH205),ISNUMBER(BC205)),IFERROR(BH205/BC205-1,""),"")</f>
        <v>0.151093364994071</v>
      </c>
      <c r="BI222" s="255">
        <f>IF(AND(ISNUMBER(BI205),ISNUMBER(BD205)),IFERROR(BI205/BD205-1,""),"")</f>
        <v>0.0205788586969033</v>
      </c>
      <c r="BJ222" s="255">
        <f>IF(AND(ISNUMBER(BJ205),ISNUMBER(BE205)),IFERROR(BJ205/BE205-1,""),"")</f>
        <v>0.265729685167465</v>
      </c>
      <c r="BK222" s="255">
        <f>IF(AND(ISNUMBER(BK205),ISNUMBER(BF205)),IFERROR(BK205/BF205-1,""),"")</f>
        <v>0.14004745917395</v>
      </c>
      <c r="BL222" s="255">
        <f>IF(AND(ISNUMBER(BL205),ISNUMBER(BG205)),IFERROR(BL205/BG205-1,""),"")</f>
        <v>0.144545607852001</v>
      </c>
      <c r="BM222" s="255">
        <f>IF(AND(ISNUMBER(BM205),ISNUMBER(BH205)),IFERROR(BM205/BH205-1,""),"")</f>
        <v>0.127601025647719</v>
      </c>
      <c r="BN222" s="255">
        <f>IF(AND(ISNUMBER(BN205),ISNUMBER(BI205)),IFERROR(BN205/BI205-1,""),"")</f>
        <v>0.285485057392618</v>
      </c>
      <c r="BO222" s="255">
        <f>IF(AND(ISNUMBER(BO205),ISNUMBER(BJ205)),IFERROR(BO205/BJ205-1,""),"")</f>
        <v>0.104661972545057</v>
      </c>
      <c r="BP222" s="255">
        <f>IF(AND(ISNUMBER(BP205),ISNUMBER(BK205)),IFERROR(BP205/BK205-1,""),"")</f>
        <v>0.304320484053381</v>
      </c>
      <c r="BQ222" s="255">
        <f>IF(AND(ISNUMBER(BQ205),ISNUMBER(BL205)),IFERROR(BQ205/BL205-1,""),"")</f>
        <v>0.204174727429206</v>
      </c>
      <c r="BR222" s="255">
        <f>IF(AND(ISNUMBER(BR205),ISNUMBER(BM205)),IFERROR(BR205/BM205-1,""),"")</f>
        <v>0.204871330341128</v>
      </c>
      <c r="BS222" s="255">
        <f>IF(AND(ISNUMBER(BS205),ISNUMBER(BN205)),IFERROR(BS205/BN205-1,""),"")</f>
        <v>0.270939426710005</v>
      </c>
      <c r="BT222" s="255">
        <f>IF(AND(ISNUMBER(BT205),ISNUMBER(BO205)),IFERROR(BT205/BO205-1,""),"")</f>
        <v>0.37041635341391</v>
      </c>
      <c r="BU222" s="255">
        <f>IF(AND(ISNUMBER(BU205),ISNUMBER(BP205)),IFERROR(BU205/BP205-1,""),"")</f>
        <v>0.18298866116918</v>
      </c>
      <c r="BV222" s="255">
        <f>IF(AND(ISNUMBER(BV205),ISNUMBER(BQ205)),IFERROR(BV205/BQ205-1,""),"")</f>
        <v>0.258945685077623</v>
      </c>
      <c r="BW222" s="255">
        <f>IF(AND(ISNUMBER(BW205),ISNUMBER(BR205)),IFERROR(BW205/BR205-1,""),"")</f>
        <v>0.265602322697347</v>
      </c>
      <c r="BX222" s="255">
        <f>IF(AND(ISNUMBER(BX205),ISNUMBER(BS205)),IFERROR(BX205/BS205-1,""),"")</f>
        <v>0.60110169768958</v>
      </c>
      <c r="BY222" s="255">
        <f>IF(AND(ISNUMBER(BY205),ISNUMBER(BT205)),IFERROR(BY205/BT205-1,""),"")</f>
        <v>0.422049013222565</v>
      </c>
      <c r="BZ222" s="256">
        <f>IF(AND(ISNUMBER(BZ205),ISNUMBER(BU205)),IFERROR(BZ205/BU205-1,""),"")</f>
        <v>0.357730087836614</v>
      </c>
      <c r="CA222" s="256">
        <f>IF(AND(ISNUMBER(CA205),ISNUMBER(BV205)),IFERROR(CA205/BV205-1,""),"")</f>
        <v>0.419819300991985</v>
      </c>
      <c r="CB222" s="256">
        <f>IF(AND(ISNUMBER(CB205),ISNUMBER(CA205)),IFERROR(CB205/CA205-1,""),"")</f>
        <v>0.259775406816945</v>
      </c>
      <c r="CC222" s="256">
        <f>IF(AND(ISNUMBER(CC205),ISNUMBER(CB205)),IFERROR(CC205/CB205-1,""),"")</f>
        <v>0.237964046061928</v>
      </c>
      <c r="CD222" s="256">
        <f>IF(AND(ISNUMBER(CD205),ISNUMBER(CC205)),IFERROR(CD205/CC205-1,""),"")</f>
        <v>0.206446125503188</v>
      </c>
      <c r="CE222" s="256">
        <f>IF(AND(ISNUMBER(CE205),ISNUMBER(CD205)),IFERROR(CE205/CD205-1,""),"")</f>
        <v>0.221710348602973</v>
      </c>
      <c r="CF222" s="256">
        <f>IF(AND(ISNUMBER(CF205),ISNUMBER(CE205)),IFERROR(CF205/CE205-1,""),"")</f>
        <v>0.227910222720806</v>
      </c>
      <c r="CG222" s="153" t="n"/>
    </row>
    <row r="223" ht="15" customHeight="1" s="251">
      <c r="B223" s="25" t="inlineStr">
        <is>
          <t xml:space="preserve">  Non-GAAP operating margin %</t>
        </is>
      </c>
      <c r="C223" s="215">
        <f>IF(AND(ISNUMBER(C167),ISNUMBER(C127)),IFERROR(C167/C127,""),"")</f>
        <v>0.259848673011334</v>
      </c>
      <c r="D223" s="215">
        <f>IF(AND(ISNUMBER(D167),ISNUMBER(D127)),IFERROR(D167/D127,""),"")</f>
        <v>0.225785540890936</v>
      </c>
      <c r="E223" s="215">
        <f>IF(AND(ISNUMBER(E167),ISNUMBER(E127)),IFERROR(E167/E127,""),"")</f>
        <v>0.215042921854568</v>
      </c>
      <c r="F223" s="215">
        <f>IF(AND(ISNUMBER(F167),ISNUMBER(F127)),IFERROR(F167/F127,""),"")</f>
        <v>0.235258864657899</v>
      </c>
      <c r="G223" s="215">
        <f>IF(AND(ISNUMBER(G167),ISNUMBER(G127)),IFERROR(G167/G127,""),"")</f>
        <v>0.236396689138651</v>
      </c>
      <c r="H223" s="215">
        <f>IF(AND(ISNUMBER(H167),ISNUMBER(H127)),IFERROR(H167/H127,""),"")</f>
        <v>0.262987688866727</v>
      </c>
      <c r="I223" s="215">
        <f>IF(AND(ISNUMBER(I167),ISNUMBER(I127)),IFERROR(I167/I127,""),"")</f>
        <v>0.298121146087581</v>
      </c>
      <c r="J223" s="215">
        <f>IF(AND(ISNUMBER(J167),ISNUMBER(J127)),IFERROR(J167/J127,""),"")</f>
        <v>0.292006104620566</v>
      </c>
      <c r="K223" s="215">
        <f>IF(AND(ISNUMBER(K167),ISNUMBER(K127)),IFERROR(K167/K127,""),"")</f>
        <v>0.241031646451973</v>
      </c>
      <c r="L223" s="215">
        <f>IF(AND(ISNUMBER(L167),ISNUMBER(L127)),IFERROR(L167/L127,""),"")</f>
        <v>0.247774416124328</v>
      </c>
      <c r="M223" s="215">
        <f>IF(AND(ISNUMBER(M167),ISNUMBER(M127)),IFERROR(M167/M127,""),"")</f>
        <v>0.316402822510732</v>
      </c>
      <c r="N223" s="215">
        <f>IF(AND(ISNUMBER(N167),ISNUMBER(N127)),IFERROR(N167/N127,""),"")</f>
        <v>0.275022732041687</v>
      </c>
      <c r="O223" s="215">
        <f>IF(AND(ISNUMBER(O167),ISNUMBER(O127)),IFERROR(O167/O127,""),"")</f>
        <v>0.266774436783604</v>
      </c>
      <c r="P223" s="215">
        <f>IF(AND(ISNUMBER(P167),ISNUMBER(P127)),IFERROR(P167/P127,""),"")</f>
        <v>0.273349796723857</v>
      </c>
      <c r="Q223" s="215">
        <f>IF(AND(ISNUMBER(Q167),ISNUMBER(Q127)),IFERROR(Q167/Q127,""),"")</f>
        <v>0.250017711654269</v>
      </c>
      <c r="R223" s="215">
        <f>IF(AND(ISNUMBER(R167),ISNUMBER(R127)),IFERROR(R167/R127,""),"")</f>
        <v>0.294028975041748</v>
      </c>
      <c r="S223" s="215">
        <f>IF(AND(ISNUMBER(S167),ISNUMBER(S127)),IFERROR(S167/S127,""),"")</f>
        <v>0.271777029981559</v>
      </c>
      <c r="T223" s="215">
        <f>IF(AND(ISNUMBER(T167),ISNUMBER(T127)),IFERROR(T167/T127,""),"")</f>
        <v>0.193120548667898</v>
      </c>
      <c r="U223" s="215">
        <f>IF(AND(ISNUMBER(U167),ISNUMBER(U127)),IFERROR(U167/U127,""),"")</f>
        <v>0.240047511213902</v>
      </c>
      <c r="V223" s="215">
        <f>IF(AND(ISNUMBER(V167),ISNUMBER(V127)),IFERROR(V167/V127,""),"")</f>
        <v>0.263056083604788</v>
      </c>
      <c r="W223" s="215">
        <f>IF(AND(ISNUMBER(W167),ISNUMBER(W127)),IFERROR(W167/W127,""),"")</f>
        <v>0.315055250992456</v>
      </c>
      <c r="X223" s="215">
        <f>IF(AND(ISNUMBER(X167),ISNUMBER(X127)),IFERROR(X167/X127,""),"")</f>
        <v>0.256000076301204</v>
      </c>
      <c r="Y223" s="215">
        <f>IF(AND(ISNUMBER(Y167),ISNUMBER(Y127)),IFERROR(Y167/Y127,""),"")</f>
        <v>0.245476718846838</v>
      </c>
      <c r="Z223" s="215">
        <f>IF(AND(ISNUMBER(Z167),ISNUMBER(Z127)),IFERROR(Z167/Z127,""),"")</f>
        <v>0.269167497266279</v>
      </c>
      <c r="AA223" s="215">
        <f>IF(AND(ISNUMBER(AA167),ISNUMBER(AA127)),IFERROR(AA167/AA127,""),"")</f>
        <v>0.302410607342385</v>
      </c>
      <c r="AB223" s="215">
        <f>IF(AND(ISNUMBER(AB167),ISNUMBER(AB127)),IFERROR(AB167/AB127,""),"")</f>
        <v>0.26345494945383</v>
      </c>
      <c r="AC223" s="215">
        <f>IF(AND(ISNUMBER(AC167),ISNUMBER(AC127)),IFERROR(AC167/AC127,""),"")</f>
        <v>0.27126722913329</v>
      </c>
      <c r="AD223" s="215">
        <f>IF(AND(ISNUMBER(AD167),ISNUMBER(AD127)),IFERROR(AD167/AD127,""),"")</f>
        <v>0.24028233151184</v>
      </c>
      <c r="AE223" s="215">
        <f>IF(AND(ISNUMBER(AE167),ISNUMBER(AE127)),IFERROR(AE167/AE127,""),"")</f>
        <v>0.254249533667866</v>
      </c>
      <c r="AF223" s="215">
        <f>IF(AND(ISNUMBER(AF167),ISNUMBER(AF127)),IFERROR(AF167/AF127,""),"")</f>
        <v>0.275254777345813</v>
      </c>
      <c r="AG223" s="215">
        <f>IF(AND(ISNUMBER(AG167),ISNUMBER(AG127)),IFERROR(AG167/AG127,""),"")</f>
        <v>0.320653225647203</v>
      </c>
      <c r="AH223" s="215">
        <f>IF(AND(ISNUMBER(AH167),ISNUMBER(AH127)),IFERROR(AH167/AH127,""),"")</f>
        <v>0.274201351900782</v>
      </c>
      <c r="AI223" s="215">
        <f>IF(AND(ISNUMBER(AI167),ISNUMBER(AI127)),IFERROR(AI167/AI127,""),"")</f>
        <v>0.247330242519792</v>
      </c>
      <c r="AJ223" s="215">
        <f>IF(AND(ISNUMBER(AJ167),ISNUMBER(AJ127)),IFERROR(AJ167/AJ127,""),"")</f>
        <v>0.267596894414755</v>
      </c>
      <c r="AK223" s="215">
        <f>IF(AND(ISNUMBER(AK167),ISNUMBER(AK127)),IFERROR(AK167/AK127,""),"")</f>
        <v>0.265235737269032</v>
      </c>
      <c r="AL223" s="215">
        <f>IF(AND(ISNUMBER(AL167),ISNUMBER(AL127)),IFERROR(AL167/AL127,""),"")</f>
        <v>0.328144936756365</v>
      </c>
      <c r="AM223" s="215">
        <f>IF(AND(ISNUMBER(AM167),ISNUMBER(AM127)),IFERROR(AM167/AM127,""),"")</f>
        <v>0.278791254025521</v>
      </c>
      <c r="AN223" s="215">
        <f>IF(AND(ISNUMBER(AN167),ISNUMBER(AN127)),IFERROR(AN167/AN127,""),"")</f>
        <v>0.275913611128058</v>
      </c>
      <c r="AO223" s="215">
        <f>IF(AND(ISNUMBER(AO167),ISNUMBER(AO127)),IFERROR(AO167/AO127,""),"")</f>
        <v>0.253506041677149</v>
      </c>
      <c r="AP223" s="215">
        <f>IF(AND(ISNUMBER(AP167),ISNUMBER(AP127)),IFERROR(AP167/AP127,""),"")</f>
        <v>0.339701956092144</v>
      </c>
      <c r="AQ223" s="215">
        <f>IF(AND(ISNUMBER(AQ167),ISNUMBER(AQ127)),IFERROR(AQ167/AQ127,""),"")</f>
        <v>0.3045810626703</v>
      </c>
      <c r="AR223" s="215">
        <f>IF(AND(ISNUMBER(AR167),ISNUMBER(AR127)),IFERROR(AR167/AR127,""),"")</f>
        <v>0.29536421100904</v>
      </c>
      <c r="AS223" s="215">
        <f>IF(AND(ISNUMBER(AS167),ISNUMBER(AS127)),IFERROR(AS167/AS127,""),"")</f>
        <v>0.26775855599925</v>
      </c>
      <c r="AT223" s="215">
        <f>IF(AND(ISNUMBER(AT167),ISNUMBER(AT127)),IFERROR(AT167/AT127,""),"")</f>
        <v>0.32378373288394</v>
      </c>
      <c r="AU223" s="215">
        <f>IF(AND(ISNUMBER(AU167),ISNUMBER(AU127)),IFERROR(AU167/AU127,""),"")</f>
        <v>0.338452368430279</v>
      </c>
      <c r="AV223" s="215">
        <f>IF(AND(ISNUMBER(AV167),ISNUMBER(AV127)),IFERROR(AV167/AV127,""),"")</f>
        <v>0.410961758326299</v>
      </c>
      <c r="AW223" s="215">
        <f>IF(AND(ISNUMBER(AW167),ISNUMBER(AW127)),IFERROR(AW167/AW127,""),"")</f>
        <v>0.339629928887145</v>
      </c>
      <c r="AX223" s="215">
        <f>IF(AND(ISNUMBER(AX167),ISNUMBER(AX127)),IFERROR(AX167/AX127,""),"")</f>
        <v>0.363159141395712</v>
      </c>
      <c r="AY223" s="215">
        <f>IF(AND(ISNUMBER(AY167),ISNUMBER(AY127)),IFERROR(AY167/AY127,""),"")</f>
        <v>0.393377615350026</v>
      </c>
      <c r="AZ223" s="215">
        <f>IF(AND(ISNUMBER(AZ167),ISNUMBER(AZ127)),IFERROR(AZ167/AZ127,""),"")</f>
        <v>0.393720578146808</v>
      </c>
      <c r="BA223" s="215">
        <f>IF(AND(ISNUMBER(BA167),ISNUMBER(BA127)),IFERROR(BA167/BA127,""),"")</f>
        <v>0.454493285551607</v>
      </c>
      <c r="BB223" s="215">
        <f>IF(AND(ISNUMBER(BB167),ISNUMBER(BB127)),IFERROR(BB167/BB127,""),"")</f>
        <v>0.401826459739802</v>
      </c>
      <c r="BC223" s="215">
        <f>IF(AND(ISNUMBER(BC167),ISNUMBER(BC127)),IFERROR(BC167/BC127,""),"")</f>
        <v>0.45293320221739</v>
      </c>
      <c r="BD223" s="215">
        <f>IF(AND(ISNUMBER(BD167),ISNUMBER(BD127)),IFERROR(BD167/BD127,""),"")</f>
        <v>0.505427007656882</v>
      </c>
      <c r="BE223" s="215">
        <f>IF(AND(ISNUMBER(BE167),ISNUMBER(BE127)),IFERROR(BE167/BE127,""),"")</f>
        <v>0.486282331229976</v>
      </c>
      <c r="BF223" s="215">
        <f>IF(AND(ISNUMBER(BF167),ISNUMBER(BF127)),IFERROR(BF167/BF127,""),"")</f>
        <v>0.469077958870015</v>
      </c>
      <c r="BG223" s="215">
        <f>IF(AND(ISNUMBER(BG167),ISNUMBER(BG127)),IFERROR(BG167/BG127,""),"")</f>
        <v>0.479085437132879</v>
      </c>
      <c r="BH223" s="215">
        <f>IF(AND(ISNUMBER(BH167),ISNUMBER(BH127)),IFERROR(BH167/BH127,""),"")</f>
        <v>0.488227448023893</v>
      </c>
      <c r="BI223" s="215">
        <f>IF(AND(ISNUMBER(BI167),ISNUMBER(BI127)),IFERROR(BI167/BI127,""),"")</f>
        <v>0.491995077130219</v>
      </c>
      <c r="BJ223" s="215">
        <f>IF(AND(ISNUMBER(BJ167),ISNUMBER(BJ127)),IFERROR(BJ167/BJ127,""),"")</f>
        <v>0.527482643069267</v>
      </c>
      <c r="BK223" s="215">
        <f>IF(AND(ISNUMBER(BK167),ISNUMBER(BK127)),IFERROR(BK167/BK127,""),"")</f>
        <v>0.513354014158411</v>
      </c>
      <c r="BL223" s="215">
        <f>IF(AND(ISNUMBER(BL167),ISNUMBER(BL127)),IFERROR(BL167/BL127,""),"")</f>
        <v>0.505984247702597</v>
      </c>
      <c r="BM223" s="215">
        <f>IF(AND(ISNUMBER(BM167),ISNUMBER(BM127)),IFERROR(BM167/BM127,""),"")</f>
        <v>0.479528031010917</v>
      </c>
      <c r="BN223" s="215">
        <f>IF(AND(ISNUMBER(BN167),ISNUMBER(BN127)),IFERROR(BN167/BN127,""),"")</f>
        <v>0.531487359644452</v>
      </c>
      <c r="BO223" s="215">
        <f>IF(AND(ISNUMBER(BO167),ISNUMBER(BO127)),IFERROR(BO167/BO127,""),"")</f>
        <v>0.520177559847181</v>
      </c>
      <c r="BP223" s="215">
        <f>IF(AND(ISNUMBER(BP167),ISNUMBER(BP127)),IFERROR(BP167/BP127,""),"")</f>
        <v>0.522801442897783</v>
      </c>
      <c r="BQ223" s="215">
        <f>IF(AND(ISNUMBER(BQ167),ISNUMBER(BQ127)),IFERROR(BQ167/BQ127,""),"")</f>
        <v>0.514685076092007</v>
      </c>
      <c r="BR223" s="215">
        <f>IF(AND(ISNUMBER(BR167),ISNUMBER(BR127)),IFERROR(BR167/BR127,""),"")</f>
        <v>0.500450032729653</v>
      </c>
      <c r="BS223" s="215">
        <f>IF(AND(ISNUMBER(BS167),ISNUMBER(BS127)),IFERROR(BS167/BS127,""),"")</f>
        <v>0.576161689073356</v>
      </c>
      <c r="BT223" s="215">
        <f>IF(AND(ISNUMBER(BT167),ISNUMBER(BT127)),IFERROR(BT167/BT127,""),"")</f>
        <v>0.56756056411547</v>
      </c>
      <c r="BU223" s="215">
        <f>IF(AND(ISNUMBER(BU167),ISNUMBER(BU127)),IFERROR(BU167/BU127,""),"")</f>
        <v>0.543783725092147</v>
      </c>
      <c r="BV223" s="215">
        <f>IF(AND(ISNUMBER(BV167),ISNUMBER(BV127)),IFERROR(BV167/BV127,""),"")</f>
        <v>0.548724702629857</v>
      </c>
      <c r="BW223" s="215">
        <f>IF(AND(ISNUMBER(BW167),ISNUMBER(BW127)),IFERROR(BW167/BW127,""),"")</f>
        <v>0.543633376891509</v>
      </c>
      <c r="BX223" s="215">
        <f>IF(AND(ISNUMBER(BX167),ISNUMBER(BX127)),IFERROR(BX167/BX127,""),"")</f>
        <v>0.647375870529163</v>
      </c>
      <c r="BY223" s="215">
        <f>IF(AND(ISNUMBER(BY167),ISNUMBER(BY127)),IFERROR(BY167/BY127,""),"")</f>
        <v>0.615494491150836</v>
      </c>
      <c r="BZ223" s="256">
        <f>IF(AND(ISNUMBER(BZ167),ISNUMBER(BZ127)),IFERROR(BZ167/BZ127,""),"")</f>
        <v>0.575696716818816</v>
      </c>
      <c r="CA223" s="256">
        <f>IF(AND(ISNUMBER(CA167),ISNUMBER(CA127)),IFERROR(CA167/CA127,""),"")</f>
        <v>0.599410111457719</v>
      </c>
      <c r="CB223" s="256">
        <f>IF(AND(ISNUMBER(CB167),ISNUMBER(CB127)),IFERROR(CB167/CB127,""),"")</f>
        <v>0.627590512699791</v>
      </c>
      <c r="CC223" s="256">
        <f>IF(AND(ISNUMBER(CC167),ISNUMBER(CC127)),IFERROR(CC167/CC127,""),"")</f>
        <v>0.636466725412819</v>
      </c>
      <c r="CD223" s="256">
        <f>IF(AND(ISNUMBER(CD167),ISNUMBER(CD127)),IFERROR(CD167/CD127,""),"")</f>
        <v>0.642214552104601</v>
      </c>
      <c r="CE223" s="256">
        <f>IF(AND(ISNUMBER(CE167),ISNUMBER(CE127)),IFERROR(CE167/CE127,""),"")</f>
        <v>0.643647944195756</v>
      </c>
      <c r="CF223" s="256">
        <f>IF(AND(ISNUMBER(CF167),ISNUMBER(CF127)),IFERROR(CF167/CF127,""),"")</f>
        <v>0.644409526496989</v>
      </c>
      <c r="CG223" s="153" t="n"/>
      <c r="CI223" s="37">
        <f>IFERROR(AVERAGE(CB223,CC223,CD223,CE223,CF223),"n/m")</f>
        <v>0.638865852181991</v>
      </c>
      <c r="CJ223" s="37">
        <f>IFERROR(AVERAGE(BB223,BG223,BL223,BQ223,BV223),"n/m")</f>
        <v>0.490061184659428</v>
      </c>
      <c r="CK223" s="37">
        <f>IFERROR(AVERAGE(AC223,AH223,AM223,AR223,AW223,BB223,BG223,BL223,BQ223,BV223),"n/m")</f>
        <v>0.390955989825292</v>
      </c>
      <c r="CL223" s="37">
        <f>IFERROR(AVERAGE(C223,D223,E223,F223,G223,H223,I223,N223,S223,X223,AC223,AH223,AM223,AR223,AW223,BB223,BG223,BL223,BQ223,BV223),"n/m")</f>
        <v>0.322290063054253</v>
      </c>
    </row>
    <row r="224" ht="15" customHeight="1" s="251">
      <c r="B224" s="25" t="inlineStr">
        <is>
          <t xml:space="preserve">  Incremental non-GAAP operating margin (Δ income / Δ revenue)</t>
        </is>
      </c>
      <c r="C224" s="36" t="n"/>
      <c r="D224" s="215">
        <f>IFERROR((D167-C167)/(D127-C127),"")</f>
        <v>9.21093000958771</v>
      </c>
      <c r="E224" s="215">
        <f>IFERROR((E167-D167)/(E127-D127),"")</f>
        <v>0.329172804093339</v>
      </c>
      <c r="F224" s="215">
        <f>IFERROR((F167-E167)/(F127-E127),"")</f>
        <v>0.103297781906456</v>
      </c>
      <c r="G224" s="215">
        <f>IFERROR((G167-F167)/(G127-F127),"")</f>
        <v>0.207795313247254</v>
      </c>
      <c r="H224" s="215">
        <f>IFERROR((H167-G167)/(H127-G127),"")</f>
        <v>1.41004273504273</v>
      </c>
      <c r="I224" s="215">
        <f>IFERROR((I167-H167)/(I127-H127),"")</f>
        <v>0.681829397250618</v>
      </c>
      <c r="J224" s="36" t="n"/>
      <c r="K224" s="36" t="n"/>
      <c r="L224" s="36" t="n"/>
      <c r="M224" s="36" t="n"/>
      <c r="N224" s="215">
        <f>IFERROR((N167-I167)/(N127-I127),"")</f>
        <v>0.0418973157667003</v>
      </c>
      <c r="O224" s="215">
        <f>IFERROR((O167-J167)/(O127-J127),"")</f>
        <v>1.11132640479126</v>
      </c>
      <c r="P224" s="215">
        <f>IFERROR((P167-K167)/(P127-K127),"")</f>
        <v>1.21769594264299</v>
      </c>
      <c r="Q224" s="215">
        <f>IFERROR((Q167-L167)/(Q127-L127),"")</f>
        <v>0.279809220985692</v>
      </c>
      <c r="R224" s="215">
        <f>IFERROR((R167-M167)/(R127-M127),"")</f>
        <v>0.157731331818328</v>
      </c>
      <c r="S224" s="215">
        <f>IFERROR((S167-N167)/(S127-N127),"")</f>
        <v>0.218791857886298</v>
      </c>
      <c r="T224" s="215">
        <f>IFERROR((T167-O167)/(T127-O127),"")</f>
        <v>-2.41444209717686</v>
      </c>
      <c r="U224" s="215">
        <f>IFERROR((U167-P167)/(U127-P127),"")</f>
        <v>-0.0452718621517998</v>
      </c>
      <c r="V224" s="215">
        <f>IFERROR((V167-Q167)/(V127-Q127),"")</f>
        <v>0.482221844164683</v>
      </c>
      <c r="W224" s="215">
        <f>IFERROR((W167-R167)/(W127-R127),"")</f>
        <v>0.731539424280351</v>
      </c>
      <c r="X224" s="215">
        <f>IFERROR((X167-S167)/(X127-S127),"")</f>
        <v>0.00602458028757068</v>
      </c>
      <c r="Y224" s="215">
        <f>IFERROR((Y167-T167)/(Y127-T127),"")</f>
        <v>1.18829564886947</v>
      </c>
      <c r="Z224" s="215">
        <f>IFERROR((Z167-U167)/(Z127-U127),"")</f>
        <v>-13.7238979118326</v>
      </c>
      <c r="AA224" s="215">
        <f>IFERROR((AA167-V167)/(AA127-V127),"")</f>
        <v>0.582551339589283</v>
      </c>
      <c r="AB224" s="215">
        <f>IFERROR((AB167-W167)/(AB127-W127),"")</f>
        <v>-3.65123859191655</v>
      </c>
      <c r="AC224" s="215">
        <f>IFERROR((AC167-X167)/(AC127-X127),"")</f>
        <v>0.572049324721084</v>
      </c>
      <c r="AD224" s="215">
        <f>IFERROR((AD167-Y167)/(AD127-Y127),"")</f>
        <v>0.187051833640649</v>
      </c>
      <c r="AE224" s="215">
        <f>IFERROR((AE167-Z167)/(AE127-Z127),"")</f>
        <v>0.112165898617511</v>
      </c>
      <c r="AF224" s="215">
        <f>IFERROR((AF167-AA167)/(AF127-AA127),"")</f>
        <v>1.10741786447639</v>
      </c>
      <c r="AG224" s="215">
        <f>IFERROR((AG167-AB167)/(AG127-AB127),"")</f>
        <v>1.09671480352109</v>
      </c>
      <c r="AH224" s="215">
        <f>IFERROR((AH167-AC167)/(AH127-AC127),"")</f>
        <v>0.325093972015036</v>
      </c>
      <c r="AI224" s="215">
        <f>IFERROR((AI167-AD167)/(AI127-AD127),"")</f>
        <v>0.345779530564213</v>
      </c>
      <c r="AJ224" s="215">
        <f>IFERROR((AJ167-AE167)/(AJ127-AE127),"")</f>
        <v>0.370997286295794</v>
      </c>
      <c r="AK224" s="215">
        <f>IFERROR((AK167-AF167)/(AK127-AF127),"")</f>
        <v>0.184087801115047</v>
      </c>
      <c r="AL224" s="215">
        <f>IFERROR((AL167-AG167)/(AL127-AG127),"")</f>
        <v>0.39949597532536</v>
      </c>
      <c r="AM224" s="215">
        <f>IFERROR((AM167-AH167)/(AM127-AH127),"")</f>
        <v>0.321446374095266</v>
      </c>
      <c r="AN224" s="215">
        <f>IFERROR((AN167-AI167)/(AN127-AI127),"")</f>
        <v>0.525635789864488</v>
      </c>
      <c r="AO224" s="215">
        <f>IFERROR((AO167-AJ167)/(AO127-AJ127),"")</f>
        <v>0.075186493914409</v>
      </c>
      <c r="AP224" s="215">
        <f>IFERROR((AP167-AK167)/(AP127-AK127),"")</f>
        <v>0.692696916557065</v>
      </c>
      <c r="AQ224" s="215">
        <f>IFERROR((AQ167-AL167)/(AQ127-AL127),"")</f>
        <v>0.046569874378741</v>
      </c>
      <c r="AR224" s="215">
        <f>IFERROR((AR167-AM167)/(AR127-AM127),"")</f>
        <v>0.429455833490064</v>
      </c>
      <c r="AS224" s="215">
        <f>IFERROR((AS167-AN167)/(AS127-AN127),"")</f>
        <v>0.208756345177667</v>
      </c>
      <c r="AT224" s="215">
        <f>IFERROR((AT167-AO167)/(AT127-AO127),"")</f>
        <v>0.981336382284696</v>
      </c>
      <c r="AU224" s="215">
        <f>IFERROR((AU167-AP167)/(AU127-AP127),"")</f>
        <v>1.09652509652509</v>
      </c>
      <c r="AV224" s="215">
        <f>IFERROR((AV167-AQ167)/(AV127-AQ127),"")</f>
        <v>0.881643772097606</v>
      </c>
      <c r="AW224" s="215">
        <f>IFERROR((AW167-AR167)/(AW127-AR127),"")</f>
        <v>0.721488113385733</v>
      </c>
      <c r="AX224" s="215">
        <f>IFERROR((AX167-AS167)/(AX127-AS127),"")</f>
        <v>2.41042415528397</v>
      </c>
      <c r="AY224" s="215">
        <f>IFERROR((AY167-AT167)/(AY127-AT127),"")</f>
        <v>1.30970500213767</v>
      </c>
      <c r="AZ224" s="215">
        <f>IFERROR((AZ167-AU167)/(AZ127-AU127),"")</f>
        <v>1.10280947123052</v>
      </c>
      <c r="BA224" s="215">
        <f>IFERROR((BA167-AV167)/(BA127-AV127),"")</f>
        <v>0.0448226451142559</v>
      </c>
      <c r="BB224" s="215">
        <f>IFERROR((BB167-AW167)/(BB127-AW127),"")</f>
        <v>4.06603258396285</v>
      </c>
      <c r="BC224" s="215">
        <f>IFERROR((BC167-AX167)/(BC127-AX127),"")</f>
        <v>3.27254448577461</v>
      </c>
      <c r="BD224" s="215">
        <f>IFERROR((BD167-AY167)/(BD127-AY127),"")</f>
        <v>1.94263373848417</v>
      </c>
      <c r="BE224" s="215">
        <f>IFERROR((BE167-AZ167)/(BE127-AZ127),"")</f>
        <v>3.38953811908737</v>
      </c>
      <c r="BF224" s="215">
        <f>IFERROR((BF167-BA167)/(BF127-BA127),"")</f>
        <v>0.813421776868252</v>
      </c>
      <c r="BG224" s="215">
        <f>IFERROR((BG167-BB167)/(BG127-BB127),"")</f>
        <v>2.15383475483255</v>
      </c>
      <c r="BH224" s="215">
        <f>IFERROR((BH167-BC167)/(BH127-BC127),"")</f>
        <v>0.993691412323957</v>
      </c>
      <c r="BI224" s="215">
        <f>IFERROR((BI167-BD167)/(BI127-BD127),"")</f>
        <v>0.284036235967231</v>
      </c>
      <c r="BJ224" s="215">
        <f>IFERROR((BJ167-BE167)/(BJ127-BE127),"")</f>
        <v>0.81664052129842</v>
      </c>
      <c r="BK224" s="215">
        <f>IFERROR((BK167-BF167)/(BK127-BF127),"")</f>
        <v>0.890106136391362</v>
      </c>
      <c r="BL224" s="215">
        <f>IFERROR((BL167-BG167)/(BL127-BG127),"")</f>
        <v>0.777814465062697</v>
      </c>
      <c r="BM224" s="215">
        <f>IFERROR((BM167-BH167)/(BM127-BH127),"")</f>
        <v>0.398854499986556</v>
      </c>
      <c r="BN224" s="215">
        <f>IFERROR((BN167-BI167)/(BN127-BI127),"")</f>
        <v>0.81196421567712</v>
      </c>
      <c r="BO224" s="215">
        <f>IFERROR((BO167-BJ167)/(BO127-BJ127),"")</f>
        <v>0.460934480584204</v>
      </c>
      <c r="BP224" s="215">
        <f>IFERROR((BP167-BK167)/(BP127-BK127),"")</f>
        <v>0.580264061427056</v>
      </c>
      <c r="BQ224" s="215">
        <f>IFERROR((BQ167-BL167)/(BQ127-BL127),"")</f>
        <v>0.579249787957975</v>
      </c>
      <c r="BR224" s="215">
        <f>IFERROR((BR167-BM167)/(BR127-BM127),"")</f>
        <v>0.638484518814003</v>
      </c>
      <c r="BS224" s="215">
        <f>IFERROR((BS167-BN167)/(BS127-BN127),"")</f>
        <v>0.874657302159382</v>
      </c>
      <c r="BT224" s="215">
        <f>IFERROR((BT167-BO167)/(BT127-BO127),"")</f>
        <v>0.807160761466024</v>
      </c>
      <c r="BU224" s="215">
        <f>IFERROR((BU167-BP167)/(BU127-BP127),"")</f>
        <v>0.697507345581351</v>
      </c>
      <c r="BV224" s="215">
        <f>IFERROR((BV167-BQ167)/(BV127-BQ127),"")</f>
        <v>0.76260961502581</v>
      </c>
      <c r="BW224" s="215">
        <f>IFERROR((BW167-BR167)/(BW127-BR127),"")</f>
        <v>0.807545387617896</v>
      </c>
      <c r="BX224" s="215">
        <f>IFERROR((BX167-BS167)/(BX127-BS127),"")</f>
        <v>0.831457121829359</v>
      </c>
      <c r="BY224" s="215">
        <f>IFERROR((BY167-BT167)/(BY127-BT127),"")</f>
        <v>0.802123783324745</v>
      </c>
      <c r="BZ224" s="256">
        <f>IFERROR((BZ167-BU167)/(BZ127-BU127),"")</f>
        <v>0.696342913601086</v>
      </c>
      <c r="CA224" s="256">
        <f>IFERROR((CA167-BV167)/(CA127-BV127),"")</f>
        <v>0.786577996791185</v>
      </c>
      <c r="CB224" s="256">
        <f>IFERROR((CB167-CA167)/(CB127-CA127),"")</f>
        <v>0.892813070373343</v>
      </c>
      <c r="CC224" s="256">
        <f>IFERROR((CC167-CB167)/(CC127-CB127),"")</f>
        <v>0.722311620124231</v>
      </c>
      <c r="CD224" s="256">
        <f>IFERROR((CD167-CC167)/(CD127-CC127),"")</f>
        <v>0.703084615050824</v>
      </c>
      <c r="CE224" s="256">
        <f>IFERROR((CE167-CD167)/(CE127-CD127),"")</f>
        <v>0.659939308036866</v>
      </c>
      <c r="CF224" s="256">
        <f>IFERROR((CF167-CE167)/(CF127-CE127),"")</f>
        <v>0.653767443060361</v>
      </c>
      <c r="CG224" s="153" t="n"/>
    </row>
    <row r="225" ht="15" customHeight="1" s="251">
      <c r="B225" s="25" t="inlineStr">
        <is>
          <t xml:space="preserve">  Adjusted EBITDA margin %</t>
        </is>
      </c>
      <c r="C225" s="215">
        <f>IF(AND(ISNUMBER(C183),ISNUMBER(C127)),IFERROR(C183/C127,""),"")</f>
        <v>0.31872565471034</v>
      </c>
      <c r="D225" s="215">
        <f>IF(AND(ISNUMBER(D183),ISNUMBER(D127)),IFERROR(D183/D127,""),"")</f>
        <v>0.287387076216561</v>
      </c>
      <c r="E225" s="215">
        <f>IF(AND(ISNUMBER(E183),ISNUMBER(E127)),IFERROR(E183/E127,""),"")</f>
        <v>0.271080309649563</v>
      </c>
      <c r="F225" s="215">
        <f>IF(AND(ISNUMBER(F183),ISNUMBER(F127)),IFERROR(F183/F127,""),"")</f>
        <v>0.298686453106297</v>
      </c>
      <c r="G225" s="215">
        <f>IF(AND(ISNUMBER(G183),ISNUMBER(G127)),IFERROR(G183/G127,""),"")</f>
        <v>0.271744245372274</v>
      </c>
      <c r="H225" s="215">
        <f>IF(AND(ISNUMBER(H183),ISNUMBER(H127)),IFERROR(H183/H127,""),"")</f>
        <v>0.290011183137185</v>
      </c>
      <c r="I225" s="215">
        <f>IF(AND(ISNUMBER(I183),ISNUMBER(I127)),IFERROR(I183/I127,""),"")</f>
        <v>0.318680766325214</v>
      </c>
      <c r="J225" s="215">
        <f>IF(AND(ISNUMBER(J183),ISNUMBER(J127)),IFERROR(J183/J127,""),"")</f>
        <v>0.315735185769919</v>
      </c>
      <c r="K225" s="215">
        <f>IF(AND(ISNUMBER(K183),ISNUMBER(K127)),IFERROR(K183/K127,""),"")</f>
        <v>0.268261536316743</v>
      </c>
      <c r="L225" s="215">
        <f>IF(AND(ISNUMBER(L183),ISNUMBER(L127)),IFERROR(L183/L127,""),"")</f>
        <v>0.280858890364147</v>
      </c>
      <c r="M225" s="215">
        <f>IF(AND(ISNUMBER(M183),ISNUMBER(M127)),IFERROR(M183/M127,""),"")</f>
        <v>0.341753928764705</v>
      </c>
      <c r="N225" s="215">
        <f>IF(AND(ISNUMBER(N183),ISNUMBER(N127)),IFERROR(N183/N127,""),"")</f>
        <v>0.302324048616977</v>
      </c>
      <c r="O225" s="215">
        <f>IF(AND(ISNUMBER(O183),ISNUMBER(O127)),IFERROR(O183/O127,""),"")</f>
        <v>0.289520079417173</v>
      </c>
      <c r="P225" s="215">
        <f>IF(AND(ISNUMBER(P183),ISNUMBER(P127)),IFERROR(P183/P127,""),"")</f>
        <v>0.298077234150392</v>
      </c>
      <c r="Q225" s="215">
        <f>IF(AND(ISNUMBER(Q183),ISNUMBER(Q127)),IFERROR(Q183/Q127,""),"")</f>
        <v>0.280866352917362</v>
      </c>
      <c r="R225" s="215">
        <f>IF(AND(ISNUMBER(R183),ISNUMBER(R127)),IFERROR(R183/R127,""),"")</f>
        <v>0.319542356817259</v>
      </c>
      <c r="S225" s="215">
        <f>IF(AND(ISNUMBER(S183),ISNUMBER(S127)),IFERROR(S183/S127,""),"")</f>
        <v>0.2977952686046</v>
      </c>
      <c r="T225" s="215">
        <f>IF(AND(ISNUMBER(T183),ISNUMBER(T127)),IFERROR(T183/T127,""),"")</f>
        <v>0.223845950936428</v>
      </c>
      <c r="U225" s="215">
        <f>IF(AND(ISNUMBER(U183),ISNUMBER(U127)),IFERROR(U183/U127,""),"")</f>
        <v>0.263112660483127</v>
      </c>
      <c r="V225" s="215">
        <f>IF(AND(ISNUMBER(V183),ISNUMBER(V127)),IFERROR(V183/V127,""),"")</f>
        <v>0.292750494349608</v>
      </c>
      <c r="W225" s="215">
        <f>IF(AND(ISNUMBER(W183),ISNUMBER(W127)),IFERROR(W183/W127,""),"")</f>
        <v>0.333447902524532</v>
      </c>
      <c r="X225" s="215">
        <f>IF(AND(ISNUMBER(X183),ISNUMBER(X127)),IFERROR(X183/X127,""),"")</f>
        <v>0.281154437213051</v>
      </c>
      <c r="Y225" s="215">
        <f>IF(AND(ISNUMBER(Y183),ISNUMBER(Y127)),IFERROR(Y183/Y127,""),"")</f>
        <v>0.263105020092365</v>
      </c>
      <c r="Z225" s="215">
        <f>IF(AND(ISNUMBER(Z183),ISNUMBER(Z127)),IFERROR(Z183/Z127,""),"")</f>
        <v>0.291690455684688</v>
      </c>
      <c r="AA225" s="215">
        <f>IF(AND(ISNUMBER(AA183),ISNUMBER(AA127)),IFERROR(AA183/AA127,""),"")</f>
        <v>0.328480848319359</v>
      </c>
      <c r="AB225" s="215">
        <f>IF(AND(ISNUMBER(AB183),ISNUMBER(AB127)),IFERROR(AB183/AB127,""),"")</f>
        <v>0.284038096207341</v>
      </c>
      <c r="AC225" s="215">
        <f>IF(AND(ISNUMBER(AC183),ISNUMBER(AC127)),IFERROR(AC183/AC127,""),"")</f>
        <v>0.293121054375304</v>
      </c>
      <c r="AD225" s="215">
        <f>IF(AND(ISNUMBER(AD183),ISNUMBER(AD127)),IFERROR(AD183/AD127,""),"")</f>
        <v>0.265956284153006</v>
      </c>
      <c r="AE225" s="215">
        <f>IF(AND(ISNUMBER(AE183),ISNUMBER(AE127)),IFERROR(AE183/AE127,""),"")</f>
        <v>0.278503183318884</v>
      </c>
      <c r="AF225" s="215">
        <f>IF(AND(ISNUMBER(AF183),ISNUMBER(AF127)),IFERROR(AF183/AF127,""),"")</f>
        <v>0.302879828214697</v>
      </c>
      <c r="AG225" s="215">
        <f>IF(AND(ISNUMBER(AG183),ISNUMBER(AG127)),IFERROR(AG183/AG127,""),"")</f>
        <v>0.34380047787366</v>
      </c>
      <c r="AH225" s="215">
        <f>IF(AND(ISNUMBER(AH183),ISNUMBER(AH127)),IFERROR(AH183/AH127,""),"")</f>
        <v>0.299324478715769</v>
      </c>
      <c r="AI225" s="215">
        <f>IF(AND(ISNUMBER(AI183),ISNUMBER(AI127)),IFERROR(AI183/AI127,""),"")</f>
        <v>0.274765108086401</v>
      </c>
      <c r="AJ225" s="215">
        <f>IF(AND(ISNUMBER(AJ183),ISNUMBER(AJ127)),IFERROR(AJ183/AJ127,""),"")</f>
        <v>0.289000147367931</v>
      </c>
      <c r="AK225" s="215">
        <f>IF(AND(ISNUMBER(AK183),ISNUMBER(AK127)),IFERROR(AK183/AK127,""),"")</f>
        <v>0.293177395425907</v>
      </c>
      <c r="AL225" s="215">
        <f>IF(AND(ISNUMBER(AL183),ISNUMBER(AL127)),IFERROR(AL183/AL127,""),"")</f>
        <v>0.3540428391192</v>
      </c>
      <c r="AM225" s="215">
        <f>IF(AND(ISNUMBER(AM183),ISNUMBER(AM127)),IFERROR(AM183/AM127,""),"")</f>
        <v>0.304430615753408</v>
      </c>
      <c r="AN225" s="215">
        <f>IF(AND(ISNUMBER(AN183),ISNUMBER(AN127)),IFERROR(AN183/AN127,""),"")</f>
        <v>0.29228311268379</v>
      </c>
      <c r="AO225" s="215">
        <f>IF(AND(ISNUMBER(AO183),ISNUMBER(AO127)),IFERROR(AO183/AO127,""),"")</f>
        <v>0.28135669975632</v>
      </c>
      <c r="AP225" s="215">
        <f>IF(AND(ISNUMBER(AP183),ISNUMBER(AP127)),IFERROR(AP183/AP127,""),"")</f>
        <v>0.368204831200736</v>
      </c>
      <c r="AQ225" s="215">
        <f>IF(AND(ISNUMBER(AQ183),ISNUMBER(AQ127)),IFERROR(AQ183/AQ127,""),"")</f>
        <v>0.326729852232236</v>
      </c>
      <c r="AR225" s="215">
        <f>IF(AND(ISNUMBER(AR183),ISNUMBER(AR127)),IFERROR(AR183/AR127,""),"")</f>
        <v>0.319295257322105</v>
      </c>
      <c r="AS225" s="215">
        <f>IF(AND(ISNUMBER(AS183),ISNUMBER(AS127)),IFERROR(AS183/AS127,""),"")</f>
        <v>0.287326132983143</v>
      </c>
      <c r="AT225" s="215">
        <f>IF(AND(ISNUMBER(AT183),ISNUMBER(AT127)),IFERROR(AT183/AT127,""),"")</f>
        <v>0.338294839449169</v>
      </c>
      <c r="AU225" s="215">
        <f>IF(AND(ISNUMBER(AU183),ISNUMBER(AU127)),IFERROR(AU183/AU127,""),"")</f>
        <v>0.375190848210728</v>
      </c>
      <c r="AV225" s="215">
        <f>IF(AND(ISNUMBER(AV183),ISNUMBER(AV127)),IFERROR(AV183/AV127,""),"")</f>
        <v>0.428982038487429</v>
      </c>
      <c r="AW225" s="215">
        <f>IF(AND(ISNUMBER(AW183),ISNUMBER(AW127)),IFERROR(AW183/AW127,""),"")</f>
        <v>0.361708438838773</v>
      </c>
      <c r="AX225" s="215">
        <f>IF(AND(ISNUMBER(AX183),ISNUMBER(AX127)),IFERROR(AX183/AX127,""),"")</f>
        <v>0.391867842030127</v>
      </c>
      <c r="AY225" s="215">
        <f>IF(AND(ISNUMBER(AY183),ISNUMBER(AY127)),IFERROR(AY183/AY127,""),"")</f>
        <v>0.412384076581131</v>
      </c>
      <c r="AZ225" s="215">
        <f>IF(AND(ISNUMBER(AZ183),ISNUMBER(AZ127)),IFERROR(AZ183/AZ127,""),"")</f>
        <v>0.420572824261349</v>
      </c>
      <c r="BA225" s="215">
        <f>IF(AND(ISNUMBER(BA183),ISNUMBER(BA127)),IFERROR(BA183/BA127,""),"")</f>
        <v>0.47163134345756</v>
      </c>
      <c r="BB225" s="215">
        <f>IF(AND(ISNUMBER(BB183),ISNUMBER(BB127)),IFERROR(BB183/BB127,""),"")</f>
        <v>0.424675815929075</v>
      </c>
      <c r="BC225" s="215">
        <f>IF(AND(ISNUMBER(BC183),ISNUMBER(BC127)),IFERROR(BC183/BC127,""),"")</f>
        <v>0.471893312156247</v>
      </c>
      <c r="BD225" s="215">
        <f>IF(AND(ISNUMBER(BD183),ISNUMBER(BD127)),IFERROR(BD183/BD127,""),"")</f>
        <v>0.512495975587564</v>
      </c>
      <c r="BE225" s="215">
        <f>IF(AND(ISNUMBER(BE183),ISNUMBER(BE127)),IFERROR(BE183/BE127,""),"")</f>
        <v>0.496687356361365</v>
      </c>
      <c r="BF225" s="215">
        <f>IF(AND(ISNUMBER(BF183),ISNUMBER(BF127)),IFERROR(BF183/BF127,""),"")</f>
        <v>0.480541823895764</v>
      </c>
      <c r="BG225" s="215">
        <f>IF(AND(ISNUMBER(BG183),ISNUMBER(BG127)),IFERROR(BG183/BG127,""),"")</f>
        <v>0.490895757549355</v>
      </c>
      <c r="BH225" s="215">
        <f>IF(AND(ISNUMBER(BH183),ISNUMBER(BH127)),IFERROR(BH183/BH127,""),"")</f>
        <v>0.500895989793255</v>
      </c>
      <c r="BI225" s="215">
        <f>IF(AND(ISNUMBER(BI183),ISNUMBER(BI127)),IFERROR(BI183/BI127,""),"")</f>
        <v>0.506048397700557</v>
      </c>
      <c r="BJ225" s="215">
        <f>IF(AND(ISNUMBER(BJ183),ISNUMBER(BJ127)),IFERROR(BJ183/BJ127,""),"")</f>
        <v>0.548486535837547</v>
      </c>
      <c r="BK225" s="215">
        <f>IF(AND(ISNUMBER(BK183),ISNUMBER(BK127)),IFERROR(BK183/BK127,""),"")</f>
        <v>0.517949467969097</v>
      </c>
      <c r="BL225" s="215">
        <f>IF(AND(ISNUMBER(BL183),ISNUMBER(BL127)),IFERROR(BL183/BL127,""),"")</f>
        <v>0.519117548926139</v>
      </c>
      <c r="BM225" s="215">
        <f>IF(AND(ISNUMBER(BM183),ISNUMBER(BM127)),IFERROR(BM183/BM127,""),"")</f>
        <v>0.495080602734133</v>
      </c>
      <c r="BN225" s="215">
        <f>IF(AND(ISNUMBER(BN183),ISNUMBER(BN127)),IFERROR(BN183/BN127,""),"")</f>
        <v>0.547773328815216</v>
      </c>
      <c r="BO225" s="215">
        <f>IF(AND(ISNUMBER(BO183),ISNUMBER(BO127)),IFERROR(BO183/BO127,""),"")</f>
        <v>0.536910878443404</v>
      </c>
      <c r="BP225" s="215">
        <f>IF(AND(ISNUMBER(BP183),ISNUMBER(BP127)),IFERROR(BP183/BP127,""),"")</f>
        <v>0.536999045854093</v>
      </c>
      <c r="BQ225" s="215">
        <f>IF(AND(ISNUMBER(BQ183),ISNUMBER(BQ127)),IFERROR(BQ183/BQ127,""),"")</f>
        <v>0.530372757093633</v>
      </c>
      <c r="BR225" s="215">
        <f>IF(AND(ISNUMBER(BR183),ISNUMBER(BR127)),IFERROR(BR183/BR127,""),"")</f>
        <v>0.508686995417849</v>
      </c>
      <c r="BS225" s="215">
        <f>IF(AND(ISNUMBER(BS183),ISNUMBER(BS127)),IFERROR(BS183/BS127,""),"")</f>
        <v>0.580494651468215</v>
      </c>
      <c r="BT225" s="215">
        <f>IF(AND(ISNUMBER(BT183),ISNUMBER(BT127)),IFERROR(BT183/BT127,""),"")</f>
        <v>0.588725147507061</v>
      </c>
      <c r="BU225" s="215">
        <f>IF(AND(ISNUMBER(BU183),ISNUMBER(BU127)),IFERROR(BU183/BU127,""),"")</f>
        <v>0.561633423880904</v>
      </c>
      <c r="BV225" s="215">
        <f>IF(AND(ISNUMBER(BV183),ISNUMBER(BV127)),IFERROR(BV183/BV127,""),"")</f>
        <v>0.561957115209489</v>
      </c>
      <c r="BW225" s="215">
        <f>IF(AND(ISNUMBER(BW183),ISNUMBER(BW127)),IFERROR(BW183/BW127,""),"")</f>
        <v>0.551260940817526</v>
      </c>
      <c r="BX225" s="215">
        <f>IF(AND(ISNUMBER(BX183),ISNUMBER(BX127)),IFERROR(BX183/BX127,""),"")</f>
        <v>0.650312212203095</v>
      </c>
      <c r="BY225" s="215">
        <f>IF(AND(ISNUMBER(BY183),ISNUMBER(BY127)),IFERROR(BY183/BY127,""),"")</f>
        <v>0.639413635365803</v>
      </c>
      <c r="BZ225" s="256">
        <f>IF(AND(ISNUMBER(BZ183),ISNUMBER(BZ127)),IFERROR(BZ183/BZ127,""),"")</f>
        <v>0.586890014333597</v>
      </c>
      <c r="CA225" s="256">
        <f>IF(AND(ISNUMBER(CA183),ISNUMBER(CA127)),IFERROR(CA183/CA127,""),"")</f>
        <v>0.611015645054557</v>
      </c>
      <c r="CB225" s="256">
        <f>IF(AND(ISNUMBER(CB183),ISNUMBER(CB127)),IFERROR(CB183/CB127,""),"")</f>
        <v>0.639878037986569</v>
      </c>
      <c r="CC225" s="256">
        <f>IF(AND(ISNUMBER(CC183),ISNUMBER(CC127)),IFERROR(CC183/CC127,""),"")</f>
        <v>0.648352471333913</v>
      </c>
      <c r="CD225" s="256">
        <f>IF(AND(ISNUMBER(CD183),ISNUMBER(CD127)),IFERROR(CD183/CD127,""),"")</f>
        <v>0.653765033815974</v>
      </c>
      <c r="CE225" s="256">
        <f>IF(AND(ISNUMBER(CE183),ISNUMBER(CE127)),IFERROR(CE183/CE127,""),"")</f>
        <v>0.654911300238131</v>
      </c>
      <c r="CF225" s="256">
        <f>IF(AND(ISNUMBER(CF183),ISNUMBER(CF127)),IFERROR(CF183/CF127,""),"")</f>
        <v>0.655427285970033</v>
      </c>
      <c r="CG225" s="153" t="n"/>
      <c r="CI225" s="37">
        <f>IFERROR(AVERAGE(CB225,CC225,CD225,CE225,CF225),"n/m")</f>
        <v>0.650466825868924</v>
      </c>
      <c r="CJ225" s="37">
        <f>IFERROR(AVERAGE(BB225,BG225,BL225,BQ225,BV225),"n/m")</f>
        <v>0.505403798941538</v>
      </c>
      <c r="CK225" s="37">
        <f>IFERROR(AVERAGE(AC225,AH225,AM225,AR225,AW225,BB225,BG225,BL225,BQ225,BV225),"n/m")</f>
        <v>0.410489883971305</v>
      </c>
      <c r="CL225" s="37">
        <f>IFERROR(AVERAGE(C225,D225,E225,F225,G225,H225,I225,N225,S225,X225,AC225,AH225,AM225,AR225,AW225,BB225,BG225,BL225,BQ225,BV225),"n/m")</f>
        <v>0.352124414133256</v>
      </c>
    </row>
    <row r="226" ht="15" customHeight="1" s="251">
      <c r="B226" s="25" t="inlineStr">
        <is>
          <t xml:space="preserve">  Operating margin (GAAP) %</t>
        </is>
      </c>
      <c r="C226" s="215">
        <f>IF(AND(ISNUMBER(C135),ISNUMBER(C127)),IFERROR(C135/C127,""),"")</f>
        <v>0.185036923058283</v>
      </c>
      <c r="D226" s="215">
        <f>IF(AND(ISNUMBER(D135),ISNUMBER(D127)),IFERROR(D135/D127,""),"")</f>
        <v>0.180573460660929</v>
      </c>
      <c r="E226" s="215">
        <f>IF(AND(ISNUMBER(E135),ISNUMBER(E127)),IFERROR(E135/E127,""),"")</f>
        <v>0.164173072947014</v>
      </c>
      <c r="F226" s="215">
        <f>IF(AND(ISNUMBER(F135),ISNUMBER(F127)),IFERROR(F135/F127,""),"")</f>
        <v>0.185096752201796</v>
      </c>
      <c r="G226" s="215">
        <f>IF(AND(ISNUMBER(G135),ISNUMBER(G127)),IFERROR(G135/G127,""),"")</f>
        <v>0.187154809021156</v>
      </c>
      <c r="H226" s="215">
        <f>IF(AND(ISNUMBER(H135),ISNUMBER(H127)),IFERROR(H135/H127,""),"")</f>
        <v>0.205487321743537</v>
      </c>
      <c r="I226" s="215">
        <f>IF(AND(ISNUMBER(I135),ISNUMBER(I127)),IFERROR(I135/I127,""),"")</f>
        <v>0.248894552668966</v>
      </c>
      <c r="J226" s="215">
        <f>IF(AND(ISNUMBER(J135),ISNUMBER(J127)),IFERROR(J135/J127,""),"")</f>
        <v>0.226260393642775</v>
      </c>
      <c r="K226" s="215">
        <f>IF(AND(ISNUMBER(K135),ISNUMBER(K127)),IFERROR(K135/K127,""),"")</f>
        <v>0.185172173428133</v>
      </c>
      <c r="L226" s="215">
        <f>IF(AND(ISNUMBER(L135),ISNUMBER(L127)),IFERROR(L135/L127,""),"")</f>
        <v>0.19158522517032</v>
      </c>
      <c r="M226" s="215">
        <f>IF(AND(ISNUMBER(M135),ISNUMBER(M127)),IFERROR(M135/M127,""),"")</f>
        <v>0.263677775617753</v>
      </c>
      <c r="N226" s="215">
        <f>IF(AND(ISNUMBER(N135),ISNUMBER(N127)),IFERROR(N135/N127,""),"")</f>
        <v>0.217357326173861</v>
      </c>
      <c r="O226" s="215">
        <f>IF(AND(ISNUMBER(O135),ISNUMBER(O127)),IFERROR(O135/O127,""),"")</f>
        <v>0.191328122033383</v>
      </c>
      <c r="P226" s="215">
        <f>IF(AND(ISNUMBER(P135),ISNUMBER(P127)),IFERROR(P135/P127,""),"")</f>
        <v>0.208867584734339</v>
      </c>
      <c r="Q226" s="215">
        <f>IF(AND(ISNUMBER(Q135),ISNUMBER(Q127)),IFERROR(Q135/Q127,""),"")</f>
        <v>0.184307474318101</v>
      </c>
      <c r="R226" s="215">
        <f>IF(AND(ISNUMBER(R135),ISNUMBER(R127)),IFERROR(R135/R127,""),"")</f>
        <v>0.232161393690482</v>
      </c>
      <c r="S226" s="215">
        <f>IF(AND(ISNUMBER(S135),ISNUMBER(S127)),IFERROR(S135/S127,""),"")</f>
        <v>0.205159793912432</v>
      </c>
      <c r="T226" s="215">
        <f>IF(AND(ISNUMBER(T135),ISNUMBER(T127)),IFERROR(T135/T127,""),"")</f>
        <v>0.131258243207597</v>
      </c>
      <c r="U226" s="215">
        <f>IF(AND(ISNUMBER(U135),ISNUMBER(U127)),IFERROR(U135/U127,""),"")</f>
        <v>0.166091285265247</v>
      </c>
      <c r="V226" s="215">
        <f>IF(AND(ISNUMBER(V135),ISNUMBER(V127)),IFERROR(V135/V127,""),"")</f>
        <v>0.176981935939933</v>
      </c>
      <c r="W226" s="215">
        <f>IF(AND(ISNUMBER(W135),ISNUMBER(W127)),IFERROR(W135/W127,""),"")</f>
        <v>0.176889102751379</v>
      </c>
      <c r="X226" s="215">
        <f>IF(AND(ISNUMBER(X135),ISNUMBER(X127)),IFERROR(X135/X127,""),"")</f>
        <v>0.163934328507679</v>
      </c>
      <c r="Y226" s="215">
        <f>IF(AND(ISNUMBER(Y135),ISNUMBER(Y127)),IFERROR(Y135/Y127,""),"")</f>
        <v>0.154111437653692</v>
      </c>
      <c r="Z226" s="215">
        <f>IF(AND(ISNUMBER(Z135),ISNUMBER(Z127)),IFERROR(Z135/Z127,""),"")</f>
        <v>0.186396229884168</v>
      </c>
      <c r="AA226" s="215">
        <f>IF(AND(ISNUMBER(AA135),ISNUMBER(AA127)),IFERROR(AA135/AA127,""),"")</f>
        <v>0.231675447486787</v>
      </c>
      <c r="AB226" s="215">
        <f>IF(AND(ISNUMBER(AB135),ISNUMBER(AB127)),IFERROR(AB135/AB127,""),"")</f>
        <v>0.190459834452812</v>
      </c>
      <c r="AC226" s="215">
        <f>IF(AND(ISNUMBER(AC135),ISNUMBER(AC127)),IFERROR(AC135/AC127,""),"")</f>
        <v>0.192421677506025</v>
      </c>
      <c r="AD226" s="215">
        <f>IF(AND(ISNUMBER(AD135),ISNUMBER(AD127)),IFERROR(AD135/AD127,""),"")</f>
        <v>0.159048269581057</v>
      </c>
      <c r="AE226" s="215">
        <f>IF(AND(ISNUMBER(AE135),ISNUMBER(AE127)),IFERROR(AE135/AE127,""),"")</f>
        <v>0.175327746105141</v>
      </c>
      <c r="AF226" s="215">
        <f>IF(AND(ISNUMBER(AF135),ISNUMBER(AF127)),IFERROR(AF135/AF127,""),"")</f>
        <v>0.179357190479077</v>
      </c>
      <c r="AG226" s="215">
        <f>IF(AND(ISNUMBER(AG135),ISNUMBER(AG127)),IFERROR(AG135/AG127,""),"")</f>
        <v>0.240133488675184</v>
      </c>
      <c r="AH226" s="215">
        <f>IF(AND(ISNUMBER(AH135),ISNUMBER(AH127)),IFERROR(AH135/AH127,""),"")</f>
        <v>0.190094285478277</v>
      </c>
      <c r="AI226" s="215">
        <f>IF(AND(ISNUMBER(AI135),ISNUMBER(AI127)),IFERROR(AI135/AI127,""),"")</f>
        <v>0.169572626327442</v>
      </c>
      <c r="AJ226" s="215">
        <f>IF(AND(ISNUMBER(AJ135),ISNUMBER(AJ127)),IFERROR(AJ135/AJ127,""),"")</f>
        <v>0.18645533588254</v>
      </c>
      <c r="AK226" s="215">
        <f>IF(AND(ISNUMBER(AK135),ISNUMBER(AK127)),IFERROR(AK135/AK127,""),"")</f>
        <v>0.186416446696595</v>
      </c>
      <c r="AL226" s="215">
        <f>IF(AND(ISNUMBER(AL135),ISNUMBER(AL127)),IFERROR(AL135/AL127,""),"")</f>
        <v>0.250465526053376</v>
      </c>
      <c r="AM226" s="215">
        <f>IF(AND(ISNUMBER(AM135),ISNUMBER(AM127)),IFERROR(AM135/AM127,""),"")</f>
        <v>0.199943824305673</v>
      </c>
      <c r="AN226" s="215">
        <f>IF(AND(ISNUMBER(AN135),ISNUMBER(AN127)),IFERROR(AN135/AN127,""),"")</f>
        <v>0.186855591483131</v>
      </c>
      <c r="AO226" s="215">
        <f>IF(AND(ISNUMBER(AO135),ISNUMBER(AO127)),IFERROR(AO135/AO127,""),"")</f>
        <v>0.174489817923043</v>
      </c>
      <c r="AP226" s="215">
        <f>IF(AND(ISNUMBER(AP135),ISNUMBER(AP127)),IFERROR(AP135/AP127,""),"")</f>
        <v>0.272739133616973</v>
      </c>
      <c r="AQ226" s="215">
        <f>IF(AND(ISNUMBER(AQ135),ISNUMBER(AQ127)),IFERROR(AQ135/AQ127,""),"")</f>
        <v>0.230189556696709</v>
      </c>
      <c r="AR226" s="215">
        <f>IF(AND(ISNUMBER(AR135),ISNUMBER(AR127)),IFERROR(AR135/AR127,""),"")</f>
        <v>0.218560223708131</v>
      </c>
      <c r="AS226" s="215">
        <f>IF(AND(ISNUMBER(AS135),ISNUMBER(AS127)),IFERROR(AS135/AS127,""),"")</f>
        <v>0.173806716157908</v>
      </c>
      <c r="AT226" s="215">
        <f>IF(AND(ISNUMBER(AT135),ISNUMBER(AT127)),IFERROR(AT135/AT127,""),"")</f>
        <v>0.245886788041731</v>
      </c>
      <c r="AU226" s="215">
        <f>IF(AND(ISNUMBER(AU135),ISNUMBER(AU127)),IFERROR(AU135/AU127,""),"")</f>
        <v>0.264146673424048</v>
      </c>
      <c r="AV226" s="215">
        <f>IF(AND(ISNUMBER(AV135),ISNUMBER(AV127)),IFERROR(AV135/AV127,""),"")</f>
        <v>0.228365513041063</v>
      </c>
      <c r="AW226" s="215">
        <f>IF(AND(ISNUMBER(AW135),ISNUMBER(AW127)),IFERROR(AW135/AW127,""),"")</f>
        <v>0.228624816733382</v>
      </c>
      <c r="AX226" s="215">
        <f>IF(AND(ISNUMBER(AX135),ISNUMBER(AX127)),IFERROR(AX135/AX127,""),"")</f>
        <v>0.303190638063595</v>
      </c>
      <c r="AY226" s="215">
        <f>IF(AND(ISNUMBER(AY135),ISNUMBER(AY127)),IFERROR(AY135/AY127,""),"")</f>
        <v>0.305404075917202</v>
      </c>
      <c r="AZ226" s="215">
        <f>IF(AND(ISNUMBER(AZ135),ISNUMBER(AZ127)),IFERROR(AZ135/AZ127,""),"")</f>
        <v>0.574787689541788</v>
      </c>
      <c r="BA226" s="215">
        <f>IF(AND(ISNUMBER(BA135),ISNUMBER(BA127)),IFERROR(BA135/BA127,""),"")</f>
        <v>0.344270526665013</v>
      </c>
      <c r="BB226" s="215">
        <f>IF(AND(ISNUMBER(BB135),ISNUMBER(BB127)),IFERROR(BB135/BB127,""),"")</f>
        <v>0.383953799972048</v>
      </c>
      <c r="BC226" s="215">
        <f>IF(AND(ISNUMBER(BC135),ISNUMBER(BC127)),IFERROR(BC135/BC127,""),"")</f>
        <v>0.358560744010597</v>
      </c>
      <c r="BD226" s="215">
        <f>IF(AND(ISNUMBER(BD135),ISNUMBER(BD127)),IFERROR(BD135/BD127,""),"")</f>
        <v>0.425697448172567</v>
      </c>
      <c r="BE226" s="215">
        <f>IF(AND(ISNUMBER(BE135),ISNUMBER(BE127)),IFERROR(BE135/BE127,""),"")</f>
        <v>0.402947565092301</v>
      </c>
      <c r="BF226" s="215">
        <f>IF(AND(ISNUMBER(BF135),ISNUMBER(BF127)),IFERROR(BF135/BF127,""),"")</f>
        <v>0.384678908552881</v>
      </c>
      <c r="BG226" s="215">
        <f>IF(AND(ISNUMBER(BG135),ISNUMBER(BG127)),IFERROR(BG135/BG127,""),"")</f>
        <v>0.393832727061506</v>
      </c>
      <c r="BH226" s="215">
        <f>IF(AND(ISNUMBER(BH135),ISNUMBER(BH127)),IFERROR(BH135/BH127,""),"")</f>
        <v>0.40693304723519</v>
      </c>
      <c r="BI226" s="215">
        <f>IF(AND(ISNUMBER(BI135),ISNUMBER(BI127)),IFERROR(BI135/BI127,""),"")</f>
        <v>0.42012959349508</v>
      </c>
      <c r="BJ226" s="215">
        <f>IF(AND(ISNUMBER(BJ135),ISNUMBER(BJ127)),IFERROR(BJ135/BJ127,""),"")</f>
        <v>0.444033931294646</v>
      </c>
      <c r="BK226" s="215">
        <f>IF(AND(ISNUMBER(BK135),ISNUMBER(BK127)),IFERROR(BK135/BK127,""),"")</f>
        <v>0.425160302052944</v>
      </c>
      <c r="BL226" s="215">
        <f>IF(AND(ISNUMBER(BL135),ISNUMBER(BL127)),IFERROR(BL135/BL127,""),"")</f>
        <v>0.424714761320518</v>
      </c>
      <c r="BM226" s="215">
        <f>IF(AND(ISNUMBER(BM135),ISNUMBER(BM127)),IFERROR(BM135/BM127,""),"")</f>
        <v>0.396166560662097</v>
      </c>
      <c r="BN226" s="215">
        <f>IF(AND(ISNUMBER(BN135),ISNUMBER(BN127)),IFERROR(BN135/BN127,""),"")</f>
        <v>0.449140059334869</v>
      </c>
      <c r="BO226" s="215">
        <f>IF(AND(ISNUMBER(BO135),ISNUMBER(BO127)),IFERROR(BO135/BO127,""),"")</f>
        <v>0.424810594642391</v>
      </c>
      <c r="BP226" s="215">
        <f>IF(AND(ISNUMBER(BP135),ISNUMBER(BP127)),IFERROR(BP135/BP127,""),"")</f>
        <v>0.434495569722064</v>
      </c>
      <c r="BQ226" s="215">
        <f>IF(AND(ISNUMBER(BQ135),ISNUMBER(BQ127)),IFERROR(BQ135/BQ127,""),"")</f>
        <v>0.427142878768648</v>
      </c>
      <c r="BR226" s="215">
        <f>IF(AND(ISNUMBER(BR135),ISNUMBER(BR127)),IFERROR(BR135/BR127,""),"")</f>
        <v>0.408047858026038</v>
      </c>
      <c r="BS226" s="215">
        <f>IF(AND(ISNUMBER(BS135),ISNUMBER(BS127)),IFERROR(BS135/BS127,""),"")</f>
        <v>0.49254213159293</v>
      </c>
      <c r="BT226" s="215">
        <f>IF(AND(ISNUMBER(BT135),ISNUMBER(BT127)),IFERROR(BT135/BT127,""),"")</f>
        <v>0.489393473336875</v>
      </c>
      <c r="BU226" s="215">
        <f>IF(AND(ISNUMBER(BU135),ISNUMBER(BU127)),IFERROR(BU135/BU127,""),"")</f>
        <v>0.459826544204471</v>
      </c>
      <c r="BV226" s="215">
        <f>IF(AND(ISNUMBER(BV135),ISNUMBER(BV127)),IFERROR(BV135/BV127,""),"")</f>
        <v>0.464545884234472</v>
      </c>
      <c r="BW226" s="215">
        <f>IF(AND(ISNUMBER(BW135),ISNUMBER(BW127)),IFERROR(BW135/BW127,""),"")</f>
        <v>0.457163561925857</v>
      </c>
      <c r="BX226" s="215">
        <f>IF(AND(ISNUMBER(BX135),ISNUMBER(BX127)),IFERROR(BX135/BX127,""),"")</f>
        <v>0.581868415459817</v>
      </c>
      <c r="BY226" s="215">
        <f>IF(AND(ISNUMBER(BY135),ISNUMBER(BY127)),IFERROR(BY135/BY127,""),"")</f>
        <v>0.537873708817125</v>
      </c>
      <c r="BZ226" s="256">
        <f>IF(AND(ISNUMBER(BZ135),ISNUMBER(BZ127)),IFERROR(BZ135/BZ127,""),"")</f>
        <v>0.463610408828335</v>
      </c>
      <c r="CA226" s="256">
        <f>IF(AND(ISNUMBER(CA135),ISNUMBER(CA127)),IFERROR(CA135/CA127,""),"")</f>
        <v>0.514425921734399</v>
      </c>
      <c r="CB226" s="256">
        <f>IF(AND(ISNUMBER(CB135),ISNUMBER(CB127)),IFERROR(CB135/CB127,""),"")</f>
        <v>0.5538040438303</v>
      </c>
      <c r="CC226" s="256">
        <f>IF(AND(ISNUMBER(CC135),ISNUMBER(CC127)),IFERROR(CC135/CC127,""),"")</f>
        <v>0.564466725412819</v>
      </c>
      <c r="CD226" s="256">
        <f>IF(AND(ISNUMBER(CD135),ISNUMBER(CD127)),IFERROR(CD135/CD127,""),"")</f>
        <v>0.570214552104601</v>
      </c>
      <c r="CE226" s="256">
        <f>IF(AND(ISNUMBER(CE135),ISNUMBER(CE127)),IFERROR(CE135/CE127,""),"")</f>
        <v>0.571647944195756</v>
      </c>
      <c r="CF226" s="256">
        <f>IF(AND(ISNUMBER(CF135),ISNUMBER(CF127)),IFERROR(CF135/CF127,""),"")</f>
        <v>0.572409526496989</v>
      </c>
      <c r="CG226" s="153" t="n"/>
      <c r="CI226" s="37">
        <f>IFERROR(AVERAGE(CB226,CC226,CD226,CE226,CF226),"n/m")</f>
        <v>0.566508558408093</v>
      </c>
      <c r="CJ226" s="37">
        <f>IFERROR(AVERAGE(BB226,BG226,BL226,BQ226,BV226),"n/m")</f>
        <v>0.418838010271438</v>
      </c>
      <c r="CK226" s="37">
        <f>IFERROR(AVERAGE(AC226,AH226,AM226,AR226,AW226,BB226,BG226,BL226,BQ226,BV226),"n/m")</f>
        <v>0.312383487908868</v>
      </c>
      <c r="CL226" s="37">
        <f>IFERROR(AVERAGE(C226,D226,E226,F226,G226,H226,I226,N226,S226,X226,AC226,AH226,AM226,AR226,AW226,BB226,BG226,BL226,BQ226,BV226),"n/m")</f>
        <v>0.253335160999217</v>
      </c>
    </row>
    <row r="227" ht="15" customHeight="1" s="251">
      <c r="B227" s="25" t="inlineStr">
        <is>
          <t xml:space="preserve">  Net margin %</t>
        </is>
      </c>
      <c r="C227" s="215">
        <f>IF(AND(ISNUMBER(C146),ISNUMBER(C127)),IFERROR(C146/C127,""),"")</f>
        <v>0.125382103675344</v>
      </c>
      <c r="D227" s="215">
        <f>IF(AND(ISNUMBER(D146),ISNUMBER(D127)),IFERROR(D146/D127,""),"")</f>
        <v>0.127274894312582</v>
      </c>
      <c r="E227" s="215">
        <f>IF(AND(ISNUMBER(E146),ISNUMBER(E127)),IFERROR(E146/E127,""),"")</f>
        <v>0.112711152163815</v>
      </c>
      <c r="F227" s="215">
        <f>IF(AND(ISNUMBER(F146),ISNUMBER(F127)),IFERROR(F146/F127,""),"")</f>
        <v>0.103216089165815</v>
      </c>
      <c r="G227" s="215">
        <f>IF(AND(ISNUMBER(G146),ISNUMBER(G127)),IFERROR(G146/G127,""),"")</f>
        <v>0.1064273837888</v>
      </c>
      <c r="H227" s="215">
        <f>IF(AND(ISNUMBER(H146),ISNUMBER(H127)),IFERROR(H146/H127,""),"")</f>
        <v>0.115481625282604</v>
      </c>
      <c r="I227" s="215">
        <f>IF(AND(ISNUMBER(I146),ISNUMBER(I127)),IFERROR(I146/I127,""),"")</f>
        <v>0.136015481436912</v>
      </c>
      <c r="J227" s="215">
        <f>IF(AND(ISNUMBER(J146),ISNUMBER(J127)),IFERROR(J146/J127,""),"")</f>
        <v>0.123255446795074</v>
      </c>
      <c r="K227" s="215">
        <f>IF(AND(ISNUMBER(K146),ISNUMBER(K127)),IFERROR(K146/K127,""),"")</f>
        <v>0.103136762860728</v>
      </c>
      <c r="L227" s="215">
        <f>IF(AND(ISNUMBER(L146),ISNUMBER(L127)),IFERROR(L146/L127,""),"")</f>
        <v>0.106773610778573</v>
      </c>
      <c r="M227" s="215">
        <f>IF(AND(ISNUMBER(M146),ISNUMBER(M127)),IFERROR(M146/M127,""),"")</f>
        <v>0.150041770216522</v>
      </c>
      <c r="N227" s="215">
        <f>IF(AND(ISNUMBER(N146),ISNUMBER(N127)),IFERROR(N146/N127,""),"")</f>
        <v>0.121185993834102</v>
      </c>
      <c r="O227" s="215">
        <f>IF(AND(ISNUMBER(O146),ISNUMBER(O127)),IFERROR(O146/O127,""),"")</f>
        <v>0.0920946279489863</v>
      </c>
      <c r="P227" s="215">
        <f>IF(AND(ISNUMBER(P146),ISNUMBER(P127)),IFERROR(P146/P127,""),"")</f>
        <v>0.111888149593987</v>
      </c>
      <c r="Q227" s="215">
        <f>IF(AND(ISNUMBER(Q146),ISNUMBER(Q127)),IFERROR(Q146/Q127,""),"")</f>
        <v>0.10398259197409</v>
      </c>
      <c r="R227" s="215">
        <f>IF(AND(ISNUMBER(R146),ISNUMBER(R127)),IFERROR(R146/R127,""),"")</f>
        <v>0.165198357178318</v>
      </c>
      <c r="S227" s="215">
        <f>IF(AND(ISNUMBER(S146),ISNUMBER(S127)),IFERROR(S146/S127,""),"")</f>
        <v>0.120254504204769</v>
      </c>
      <c r="T227" s="215">
        <f>IF(AND(ISNUMBER(T146),ISNUMBER(T127)),IFERROR(T146/T127,""),"")</f>
        <v>0.0760063307834345</v>
      </c>
      <c r="U227" s="215">
        <f>IF(AND(ISNUMBER(U146),ISNUMBER(U127)),IFERROR(U146/U127,""),"")</f>
        <v>0.0911114437325273</v>
      </c>
      <c r="V227" s="215">
        <f>IF(AND(ISNUMBER(V146),ISNUMBER(V127)),IFERROR(V146/V127,""),"")</f>
        <v>0.0950775197501028</v>
      </c>
      <c r="W227" s="215">
        <f>IF(AND(ISNUMBER(W146),ISNUMBER(W127)),IFERROR(W146/W127,""),"")</f>
        <v>0.143149908058224</v>
      </c>
      <c r="X227" s="215">
        <f>IF(AND(ISNUMBER(X146),ISNUMBER(X127)),IFERROR(X146/X127,""),"")</f>
        <v>0.103128230133968</v>
      </c>
      <c r="Y227" s="215">
        <f>IF(AND(ISNUMBER(Y146),ISNUMBER(Y127)),IFERROR(Y146/Y127,""),"")</f>
        <v>0.096168455986725</v>
      </c>
      <c r="Z227" s="215">
        <f>IF(AND(ISNUMBER(Z146),ISNUMBER(Z127)),IFERROR(Z146/Z127,""),"")</f>
        <v>0.11184547944145</v>
      </c>
      <c r="AA227" s="215">
        <f>IF(AND(ISNUMBER(AA146),ISNUMBER(AA127)),IFERROR(AA146/AA127,""),"")</f>
        <v>0.146525224266892</v>
      </c>
      <c r="AB227" s="215">
        <f>IF(AND(ISNUMBER(AB146),ISNUMBER(AB127)),IFERROR(AB146/AB127,""),"")</f>
        <v>0.136135423027342</v>
      </c>
      <c r="AC227" s="215">
        <f>IF(AND(ISNUMBER(AC146),ISNUMBER(AC127)),IFERROR(AC146/AC127,""),"")</f>
        <v>0.124181375062971</v>
      </c>
      <c r="AD227" s="215">
        <f>IF(AND(ISNUMBER(AD146),ISNUMBER(AD127)),IFERROR(AD146/AD127,""),"")</f>
        <v>0.172591074681239</v>
      </c>
      <c r="AE227" s="215">
        <f>IF(AND(ISNUMBER(AE146),ISNUMBER(AE127)),IFERROR(AE146/AE127,""),"")</f>
        <v>0.10983544824808</v>
      </c>
      <c r="AF227" s="215">
        <f>IF(AND(ISNUMBER(AF146),ISNUMBER(AF127)),IFERROR(AF146/AF127,""),"")</f>
        <v>0.10921441126302</v>
      </c>
      <c r="AG227" s="215">
        <f>IF(AND(ISNUMBER(AG146),ISNUMBER(AG127)),IFERROR(AG146/AG127,""),"")</f>
        <v>0.158148535771411</v>
      </c>
      <c r="AH227" s="215">
        <f>IF(AND(ISNUMBER(AH146),ISNUMBER(AH127)),IFERROR(AH146/AH127,""),"")</f>
        <v>0.137588784866264</v>
      </c>
      <c r="AI227" s="215">
        <f>IF(AND(ISNUMBER(AI146),ISNUMBER(AI127)),IFERROR(AI146/AI127,""),"")</f>
        <v>0.116007496143566</v>
      </c>
      <c r="AJ227" s="215">
        <f>IF(AND(ISNUMBER(AJ146),ISNUMBER(AJ127)),IFERROR(AJ146/AJ127,""),"")</f>
        <v>0.125165788922585</v>
      </c>
      <c r="AK227" s="215">
        <f>IF(AND(ISNUMBER(AK146),ISNUMBER(AK127)),IFERROR(AK146/AK127,""),"")</f>
        <v>0.124702799560702</v>
      </c>
      <c r="AL227" s="215">
        <f>IF(AND(ISNUMBER(AL146),ISNUMBER(AL127)),IFERROR(AL146/AL127,""),"")</f>
        <v>0.180420385216108</v>
      </c>
      <c r="AM227" s="215">
        <f>IF(AND(ISNUMBER(AM146),ISNUMBER(AM127)),IFERROR(AM146/AM127,""),"")</f>
        <v>0.137935543233492</v>
      </c>
      <c r="AN227" s="215">
        <f>IF(AND(ISNUMBER(AN146),ISNUMBER(AN127)),IFERROR(AN146/AN127,""),"")</f>
        <v>0.152549417363187</v>
      </c>
      <c r="AO227" s="215">
        <f>IF(AND(ISNUMBER(AO146),ISNUMBER(AO127)),IFERROR(AO146/AO127,""),"")</f>
        <v>0.119974553792851</v>
      </c>
      <c r="AP227" s="215">
        <f>IF(AND(ISNUMBER(AP146),ISNUMBER(AP127)),IFERROR(AP146/AP127,""),"")</f>
        <v>0.204143847713119</v>
      </c>
      <c r="AQ227" s="215">
        <f>IF(AND(ISNUMBER(AQ146),ISNUMBER(AQ127)),IFERROR(AQ146/AQ127,""),"")</f>
        <v>0.178762313980298</v>
      </c>
      <c r="AR227" s="215">
        <f>IF(AND(ISNUMBER(AR146),ISNUMBER(AR127)),IFERROR(AR146/AR127,""),"")</f>
        <v>0.165612288086283</v>
      </c>
      <c r="AS227" s="215">
        <f>IF(AND(ISNUMBER(AS146),ISNUMBER(AS127)),IFERROR(AS146/AS127,""),"")</f>
        <v>0.183987484254818</v>
      </c>
      <c r="AT227" s="215">
        <f>IF(AND(ISNUMBER(AT146),ISNUMBER(AT127)),IFERROR(AT146/AT127,""),"")</f>
        <v>0.189264573612451</v>
      </c>
      <c r="AU227" s="215">
        <f>IF(AND(ISNUMBER(AU146),ISNUMBER(AU127)),IFERROR(AU146/AU127,""),"")</f>
        <v>0.20423866305848</v>
      </c>
      <c r="AV227" s="215">
        <f>IF(AND(ISNUMBER(AV146),ISNUMBER(AV127)),IFERROR(AV146/AV127,""),"")</f>
        <v>0.157940569938775</v>
      </c>
      <c r="AW227" s="215">
        <f>IF(AND(ISNUMBER(AW146),ISNUMBER(AW127)),IFERROR(AW146/AW127,""),"")</f>
        <v>0.182618522712701</v>
      </c>
      <c r="AX227" s="215">
        <f>IF(AND(ISNUMBER(AX146),ISNUMBER(AX127)),IFERROR(AX146/AX127,""),"")</f>
        <v>0.27685058928217</v>
      </c>
      <c r="AY227" s="215">
        <f>IF(AND(ISNUMBER(AY146),ISNUMBER(AY127)),IFERROR(AY146/AY127,""),"")</f>
        <v>0.207248288120811</v>
      </c>
      <c r="AZ227" s="215">
        <f>IF(AND(ISNUMBER(AZ146),ISNUMBER(AZ127)),IFERROR(AZ146/AZ127,""),"")</f>
        <v>0.4470879757765</v>
      </c>
      <c r="BA227" s="215">
        <f>IF(AND(ISNUMBER(BA146),ISNUMBER(BA127)),IFERROR(BA146/BA127,""),"")</f>
        <v>0.256204102493597</v>
      </c>
      <c r="BB227" s="215">
        <f>IF(AND(ISNUMBER(BB146),ISNUMBER(BB127)),IFERROR(BB146/BB127,""),"")</f>
        <v>0.297814871754362</v>
      </c>
      <c r="BC227" s="215">
        <f>IF(AND(ISNUMBER(BC146),ISNUMBER(BC127)),IFERROR(BC146/BC127,""),"")</f>
        <v>0.263552352797019</v>
      </c>
      <c r="BD227" s="215">
        <f>IF(AND(ISNUMBER(BD146),ISNUMBER(BD127)),IFERROR(BD146/BD127,""),"")</f>
        <v>0.292229734458769</v>
      </c>
      <c r="BE227" s="215">
        <f>IF(AND(ISNUMBER(BE146),ISNUMBER(BE127)),IFERROR(BE146/BE127,""),"")</f>
        <v>0.267934411948442</v>
      </c>
      <c r="BF227" s="215">
        <f>IF(AND(ISNUMBER(BF146),ISNUMBER(BF127)),IFERROR(BF146/BF127,""),"")</f>
        <v>0.260070308646931</v>
      </c>
      <c r="BG227" s="215">
        <f>IF(AND(ISNUMBER(BG146),ISNUMBER(BG127)),IFERROR(BG146/BG127,""),"")</f>
        <v>0.271218424854967</v>
      </c>
      <c r="BH227" s="215">
        <f>IF(AND(ISNUMBER(BH146),ISNUMBER(BH127)),IFERROR(BH146/BH127,""),"")</f>
        <v>0.283129875025372</v>
      </c>
      <c r="BI227" s="215">
        <f>IF(AND(ISNUMBER(BI146),ISNUMBER(BI127)),IFERROR(BI146/BI127,""),"")</f>
        <v>0.267049907170244</v>
      </c>
      <c r="BJ227" s="215">
        <f>IF(AND(ISNUMBER(BJ146),ISNUMBER(BJ127)),IFERROR(BJ146/BJ127,""),"")</f>
        <v>0.322954290071434</v>
      </c>
      <c r="BK227" s="215">
        <f>IF(AND(ISNUMBER(BK146),ISNUMBER(BK127)),IFERROR(BK146/BK127,""),"")</f>
        <v>0.260239702565603</v>
      </c>
      <c r="BL227" s="215">
        <f>IF(AND(ISNUMBER(BL146),ISNUMBER(BL127)),IFERROR(BL146/BL127,""),"")</f>
        <v>0.283686045520585</v>
      </c>
      <c r="BM227" s="215">
        <f>IF(AND(ISNUMBER(BM146),ISNUMBER(BM127)),IFERROR(BM146/BM127,""),"")</f>
        <v>0.31687514232095</v>
      </c>
      <c r="BN227" s="215">
        <f>IF(AND(ISNUMBER(BN146),ISNUMBER(BN127)),IFERROR(BN146/BN127,""),"")</f>
        <v>0.299207715838076</v>
      </c>
      <c r="BO227" s="215">
        <f>IF(AND(ISNUMBER(BO146),ISNUMBER(BO127)),IFERROR(BO146/BO127,""),"")</f>
        <v>0.281916449517583</v>
      </c>
      <c r="BP227" s="215">
        <f>IF(AND(ISNUMBER(BP146),ISNUMBER(BP127)),IFERROR(BP146/BP127,""),"")</f>
        <v>0.299004647329603</v>
      </c>
      <c r="BQ227" s="215">
        <f>IF(AND(ISNUMBER(BQ146),ISNUMBER(BQ127)),IFERROR(BQ146/BQ127,""),"")</f>
        <v>0.298575392745146</v>
      </c>
      <c r="BR227" s="215">
        <f>IF(AND(ISNUMBER(BR146),ISNUMBER(BR127)),IFERROR(BR146/BR127,""),"")</f>
        <v>0.346679758527893</v>
      </c>
      <c r="BS227" s="215">
        <f>IF(AND(ISNUMBER(BS146),ISNUMBER(BS127)),IFERROR(BS146/BS127,""),"")</f>
        <v>0.326054918944931</v>
      </c>
      <c r="BT227" s="215">
        <f>IF(AND(ISNUMBER(BT146),ISNUMBER(BT127)),IFERROR(BT146/BT127,""),"")</f>
        <v>0.338896190449559</v>
      </c>
      <c r="BU227" s="215">
        <f>IF(AND(ISNUMBER(BU146),ISNUMBER(BU127)),IFERROR(BU146/BU127,""),"")</f>
        <v>0.300559766243788</v>
      </c>
      <c r="BV227" s="215">
        <f>IF(AND(ISNUMBER(BV146),ISNUMBER(BV127)),IFERROR(BV146/BV127,""),"")</f>
        <v>0.327468055406961</v>
      </c>
      <c r="BW227" s="215">
        <f>IF(AND(ISNUMBER(BW146),ISNUMBER(BW127)),IFERROR(BW146/BW127,""),"")</f>
        <v>0.309347037555742</v>
      </c>
      <c r="BX227" s="215">
        <f>IF(AND(ISNUMBER(BX146),ISNUMBER(BX127)),IFERROR(BX146/BX127,""),"")</f>
        <v>0.382343203547321</v>
      </c>
      <c r="BY227" s="215">
        <f>IF(AND(ISNUMBER(BY146),ISNUMBER(BY127)),IFERROR(BY146/BY127,""),"")</f>
        <v>0.351789115202288</v>
      </c>
      <c r="BZ227" s="256">
        <f>IF(AND(ISNUMBER(BZ146),ISNUMBER(BZ127)),IFERROR(BZ146/BZ127,""),"")</f>
        <v>0.253426848858408</v>
      </c>
      <c r="CA227" s="256">
        <f>IF(AND(ISNUMBER(CA146),ISNUMBER(CA127)),IFERROR(CA146/CA127,""),"")</f>
        <v>0.326198382838372</v>
      </c>
      <c r="CB227" s="256">
        <f>IF(AND(ISNUMBER(CB146),ISNUMBER(CB127)),IFERROR(CB146/CB127,""),"")</f>
        <v>0.338896926114332</v>
      </c>
      <c r="CC227" s="256">
        <f>IF(AND(ISNUMBER(CC146),ISNUMBER(CC127)),IFERROR(CC146/CC127,""),"")</f>
        <v>0.3542452403411</v>
      </c>
      <c r="CD227" s="256">
        <f>IF(AND(ISNUMBER(CD146),ISNUMBER(CD127)),IFERROR(CD146/CD127,""),"")</f>
        <v>0.349760268861228</v>
      </c>
      <c r="CE227" s="256">
        <f>IF(AND(ISNUMBER(CE146),ISNUMBER(CE127)),IFERROR(CE146/CE127,""),"")</f>
        <v>0.349302855029423</v>
      </c>
      <c r="CF227" s="256">
        <f>IF(AND(ISNUMBER(CF146),ISNUMBER(CF127)),IFERROR(CF146/CF127,""),"")</f>
        <v>0.348913062803044</v>
      </c>
      <c r="CG227" s="153" t="n"/>
      <c r="CI227" s="37">
        <f>IFERROR(AVERAGE(CB227,CC227,CD227,CE227,CF227),"n/m")</f>
        <v>0.348223670629826</v>
      </c>
      <c r="CJ227" s="37">
        <f>IFERROR(AVERAGE(BB227,BG227,BL227,BQ227,BV227),"n/m")</f>
        <v>0.295752558056404</v>
      </c>
      <c r="CK227" s="37">
        <f>IFERROR(AVERAGE(AC227,AH227,AM227,AR227,AW227,BB227,BG227,BL227,BQ227,BV227),"n/m")</f>
        <v>0.222669930424373</v>
      </c>
      <c r="CL227" s="37">
        <f>IFERROR(AVERAGE(C227,D227,E227,F227,G227,H227,I227,N227,S227,X227,AC227,AH227,AM227,AR227,AW227,BB227,BG227,BL227,BQ227,BV227),"n/m")</f>
        <v>0.169888838112122</v>
      </c>
    </row>
    <row r="228" ht="15" customHeight="1" s="251">
      <c r="B228" s="25" t="inlineStr">
        <is>
          <t xml:space="preserve">  SG&amp;A % of revenue</t>
        </is>
      </c>
      <c r="C228" s="215">
        <f>IF(AND(ISNUMBER(C131),ISNUMBER(C127)),IFERROR(C131/C127,""),"")</f>
        <v>0.316035935616364</v>
      </c>
      <c r="D228" s="215">
        <f>IF(AND(ISNUMBER(D131),ISNUMBER(D127)),IFERROR(D131/D127,""),"")</f>
        <v>0.347273775412412</v>
      </c>
      <c r="E228" s="215">
        <f>IF(AND(ISNUMBER(E131),ISNUMBER(E127)),IFERROR(E131/E127,""),"")</f>
        <v>0.329786719868106</v>
      </c>
      <c r="F228" s="215">
        <f>IF(AND(ISNUMBER(F131),ISNUMBER(F127)),IFERROR(F131/F127,""),"")</f>
        <v>0.331865204880021</v>
      </c>
      <c r="G228" s="215">
        <f>IF(AND(ISNUMBER(G131),ISNUMBER(G127)),IFERROR(G131/G127,""),"")</f>
        <v>0.371940235419216</v>
      </c>
      <c r="H228" s="215">
        <f>IF(AND(ISNUMBER(H131),ISNUMBER(H127)),IFERROR(H131/H127,""),"")</f>
        <v>0.360853855923109</v>
      </c>
      <c r="I228" s="215">
        <f>IF(AND(ISNUMBER(I131),ISNUMBER(I127)),IFERROR(I131/I127,""),"")</f>
        <v>0.35262254535993</v>
      </c>
      <c r="J228" s="215">
        <f>IF(AND(ISNUMBER(J131),ISNUMBER(J127)),IFERROR(J131/J127,""),"")</f>
        <v>0.366619303231239</v>
      </c>
      <c r="K228" s="215">
        <f>IF(AND(ISNUMBER(K131),ISNUMBER(K127)),IFERROR(K131/K127,""),"")</f>
        <v>0.377181095775826</v>
      </c>
      <c r="L228" s="215">
        <f>IF(AND(ISNUMBER(L131),ISNUMBER(L127)),IFERROR(L131/L127,""),"")</f>
        <v>0.373642339420586</v>
      </c>
      <c r="M228" s="215">
        <f>IF(AND(ISNUMBER(M131),ISNUMBER(M127)),IFERROR(M131/M127,""),"")</f>
        <v>0.327998654946487</v>
      </c>
      <c r="N228" s="215">
        <f>IF(AND(ISNUMBER(N131),ISNUMBER(N127)),IFERROR(N131/N127,""),"")</f>
        <v>0.361015759088781</v>
      </c>
      <c r="O228" s="215">
        <f>IF(AND(ISNUMBER(O131),ISNUMBER(O127)),IFERROR(O131/O127,""),"")</f>
        <v>0.363393239775853</v>
      </c>
      <c r="P228" s="215">
        <f>IF(AND(ISNUMBER(P131),ISNUMBER(P127)),IFERROR(P131/P127,""),"")</f>
        <v>0.355566099794028</v>
      </c>
      <c r="Q228" s="215">
        <f>IF(AND(ISNUMBER(Q131),ISNUMBER(Q127)),IFERROR(Q131/Q127,""),"")</f>
        <v>0.362112241283336</v>
      </c>
      <c r="R228" s="215">
        <f>IF(AND(ISNUMBER(R131),ISNUMBER(R127)),IFERROR(R131/R127,""),"")</f>
        <v>0.332684930270343</v>
      </c>
      <c r="S228" s="215">
        <f>IF(AND(ISNUMBER(S131),ISNUMBER(S127)),IFERROR(S131/S127,""),"")</f>
        <v>0.352608731471447</v>
      </c>
      <c r="T228" s="215">
        <f>IF(AND(ISNUMBER(T131),ISNUMBER(T127)),IFERROR(T131/T127,""),"")</f>
        <v>0.384072804009496</v>
      </c>
      <c r="U228" s="215">
        <f>IF(AND(ISNUMBER(U131),ISNUMBER(U127)),IFERROR(U131/U127,""),"")</f>
        <v>0.35663829191392</v>
      </c>
      <c r="V228" s="215">
        <f>IF(AND(ISNUMBER(V131),ISNUMBER(V127)),IFERROR(V131/V127,""),"")</f>
        <v>0.356528758251101</v>
      </c>
      <c r="W228" s="215">
        <f>IF(AND(ISNUMBER(W131),ISNUMBER(W127)),IFERROR(W131/W127,""),"")</f>
        <v>0.338092251112753</v>
      </c>
      <c r="X228" s="215">
        <f>IF(AND(ISNUMBER(X131),ISNUMBER(X127)),IFERROR(X131/X127,""),"")</f>
        <v>0.357664277087822</v>
      </c>
      <c r="Y228" s="215">
        <f>IF(AND(ISNUMBER(Y131),ISNUMBER(Y127)),IFERROR(Y131/Y127,""),"")</f>
        <v>0.394040264699414</v>
      </c>
      <c r="Z228" s="215">
        <f>IF(AND(ISNUMBER(Z131),ISNUMBER(Z127)),IFERROR(Z131/Z127,""),"")</f>
        <v>0.374984275055884</v>
      </c>
      <c r="AA228" s="215">
        <f>IF(AND(ISNUMBER(AA131),ISNUMBER(AA127)),IFERROR(AA131/AA127,""),"")</f>
        <v>0.365075509469047</v>
      </c>
      <c r="AB228" s="215">
        <f>IF(AND(ISNUMBER(AB131),ISNUMBER(AB127)),IFERROR(AB131/AB127,""),"")</f>
        <v>0.362257446231088</v>
      </c>
      <c r="AC228" s="215">
        <f>IF(AND(ISNUMBER(AC131),ISNUMBER(AC127)),IFERROR(AC131/AC127,""),"")</f>
        <v>0.373220355906126</v>
      </c>
      <c r="AD228" s="215">
        <f>IF(AND(ISNUMBER(AD131),ISNUMBER(AD127)),IFERROR(AD131/AD127,""),"")</f>
        <v>0.38804189435337</v>
      </c>
      <c r="AE228" s="215">
        <f>IF(AND(ISNUMBER(AE131),ISNUMBER(AE127)),IFERROR(AE131/AE127,""),"")</f>
        <v>0.377580152203803</v>
      </c>
      <c r="AF228" s="215">
        <f>IF(AND(ISNUMBER(AF131),ISNUMBER(AF127)),IFERROR(AF131/AF127,""),"")</f>
        <v>0.364043708276692</v>
      </c>
      <c r="AG228" s="215">
        <f>IF(AND(ISNUMBER(AG131),ISNUMBER(AG127)),IFERROR(AG131/AG127,""),"")</f>
        <v>0.332781738117336</v>
      </c>
      <c r="AH228" s="215">
        <f>IF(AND(ISNUMBER(AH131),ISNUMBER(AH127)),IFERROR(AH131/AH127,""),"")</f>
        <v>0.364521883907317</v>
      </c>
      <c r="AI228" s="215">
        <f>IF(AND(ISNUMBER(AI131),ISNUMBER(AI127)),IFERROR(AI131/AI127,""),"")</f>
        <v>0.383714160657145</v>
      </c>
      <c r="AJ228" s="215">
        <f>IF(AND(ISNUMBER(AJ131),ISNUMBER(AJ127)),IFERROR(AJ131/AJ127,""),"")</f>
        <v>0.376397086768687</v>
      </c>
      <c r="AK228" s="215">
        <f>IF(AND(ISNUMBER(AK131),ISNUMBER(AK127)),IFERROR(AK131/AK127,""),"")</f>
        <v>0.380281690140845</v>
      </c>
      <c r="AL228" s="215">
        <f>IF(AND(ISNUMBER(AL131),ISNUMBER(AL127)),IFERROR(AL131/AL127,""),"")</f>
        <v>0.337123066860621</v>
      </c>
      <c r="AM228" s="215">
        <f>IF(AND(ISNUMBER(AM131),ISNUMBER(AM127)),IFERROR(AM131/AM127,""),"")</f>
        <v>0.368398266301848</v>
      </c>
      <c r="AN228" s="215">
        <f>IF(AND(ISNUMBER(AN131),ISNUMBER(AN127)),IFERROR(AN131/AN127,""),"")</f>
        <v>0.382290586297358</v>
      </c>
      <c r="AO228" s="215">
        <f>IF(AND(ISNUMBER(AO131),ISNUMBER(AO127)),IFERROR(AO131/AO127,""),"")</f>
        <v>0.377128603980822</v>
      </c>
      <c r="AP228" s="215">
        <f>IF(AND(ISNUMBER(AP131),ISNUMBER(AP127)),IFERROR(AP131/AP127,""),"")</f>
        <v>0.327466435851825</v>
      </c>
      <c r="AQ228" s="215">
        <f>IF(AND(ISNUMBER(AQ131),ISNUMBER(AQ127)),IFERROR(AQ131/AQ127,""),"")</f>
        <v>0.347123244602809</v>
      </c>
      <c r="AR228" s="215">
        <f>IF(AND(ISNUMBER(AR131),ISNUMBER(AR127)),IFERROR(AR131/AR127,""),"")</f>
        <v>0.356945149614295</v>
      </c>
      <c r="AS228" s="215">
        <f>IF(AND(ISNUMBER(AS131),ISNUMBER(AS127)),IFERROR(AS131/AS127,""),"")</f>
        <v>0.375274703186557</v>
      </c>
      <c r="AT228" s="215">
        <f>IF(AND(ISNUMBER(AT131),ISNUMBER(AT127)),IFERROR(AT131/AT127,""),"")</f>
        <v>0.33595695698621</v>
      </c>
      <c r="AU228" s="215">
        <f>IF(AND(ISNUMBER(AU131),ISNUMBER(AU127)),IFERROR(AU131/AU127,""),"")</f>
        <v>0.318208911455993</v>
      </c>
      <c r="AV228" s="215">
        <f>IF(AND(ISNUMBER(AV131),ISNUMBER(AV127)),IFERROR(AV131/AV127,""),"")</f>
        <v>0.282116488048809</v>
      </c>
      <c r="AW228" s="215">
        <f>IF(AND(ISNUMBER(AW131),ISNUMBER(AW127)),IFERROR(AW131/AW127,""),"")</f>
        <v>0.325152445383072</v>
      </c>
      <c r="AX228" s="215">
        <f>IF(AND(ISNUMBER(AX131),ISNUMBER(AX127)),IFERROR(AX131/AX127,""),"")</f>
        <v>0.300597924548836</v>
      </c>
      <c r="AY228" s="215">
        <f>IF(AND(ISNUMBER(AY131),ISNUMBER(AY127)),IFERROR(AY131/AY127,""),"")</f>
        <v>0.293552952821847</v>
      </c>
      <c r="AZ228" s="215">
        <f>IF(AND(ISNUMBER(AZ131),ISNUMBER(AZ127)),IFERROR(AZ131/AZ127,""),"")</f>
        <v>0.318551439453079</v>
      </c>
      <c r="BA228" s="215">
        <f>IF(AND(ISNUMBER(BA131),ISNUMBER(BA127)),IFERROR(BA131/BA127,""),"")</f>
        <v>0.291021199903161</v>
      </c>
      <c r="BB228" s="215">
        <f>IF(AND(ISNUMBER(BB131),ISNUMBER(BB127)),IFERROR(BB131/BB127,""),"")</f>
        <v>0.301002783061003</v>
      </c>
      <c r="BC228" s="215">
        <f>IF(AND(ISNUMBER(BC131),ISNUMBER(BC127)),IFERROR(BC131/BC127,""),"")</f>
        <v>0.304155899752141</v>
      </c>
      <c r="BD228" s="215">
        <f>IF(AND(ISNUMBER(BD131),ISNUMBER(BD127)),IFERROR(BD131/BD127,""),"")</f>
        <v>0.26991979171041</v>
      </c>
      <c r="BE228" s="215">
        <f>IF(AND(ISNUMBER(BE131),ISNUMBER(BE127)),IFERROR(BE131/BE127,""),"")</f>
        <v>0.267212278560089</v>
      </c>
      <c r="BF228" s="215">
        <f>IF(AND(ISNUMBER(BF131),ISNUMBER(BF127)),IFERROR(BF131/BF127,""),"")</f>
        <v>0.275709108009222</v>
      </c>
      <c r="BG228" s="215">
        <f>IF(AND(ISNUMBER(BG131),ISNUMBER(BG127)),IFERROR(BG131/BG127,""),"")</f>
        <v>0.278712961147778</v>
      </c>
      <c r="BH228" s="215">
        <f>IF(AND(ISNUMBER(BH131),ISNUMBER(BH127)),IFERROR(BH131/BH127,""),"")</f>
        <v>0.26965233276307</v>
      </c>
      <c r="BI228" s="215">
        <f>IF(AND(ISNUMBER(BI131),ISNUMBER(BI127)),IFERROR(BI131/BI127,""),"")</f>
        <v>0.263389311692342</v>
      </c>
      <c r="BJ228" s="215">
        <f>IF(AND(ISNUMBER(BJ131),ISNUMBER(BJ127)),IFERROR(BJ131/BJ127,""),"")</f>
        <v>0.271091680712738</v>
      </c>
      <c r="BK228" s="215">
        <f>IF(AND(ISNUMBER(BK131),ISNUMBER(BK127)),IFERROR(BK131/BK127,""),"")</f>
        <v>0.254869359279302</v>
      </c>
      <c r="BL228" s="215">
        <f>IF(AND(ISNUMBER(BL131),ISNUMBER(BL127)),IFERROR(BL131/BL127,""),"")</f>
        <v>0.264651413854913</v>
      </c>
      <c r="BM228" s="215">
        <f>IF(AND(ISNUMBER(BM131),ISNUMBER(BM127)),IFERROR(BM131/BM127,""),"")</f>
        <v>0.27307038965186</v>
      </c>
      <c r="BN228" s="215">
        <f>IF(AND(ISNUMBER(BN131),ISNUMBER(BN127)),IFERROR(BN131/BN127,""),"")</f>
        <v>0.255566389816717</v>
      </c>
      <c r="BO228" s="215">
        <f>IF(AND(ISNUMBER(BO131),ISNUMBER(BO127)),IFERROR(BO131/BO127,""),"")</f>
        <v>0.2788462182566</v>
      </c>
      <c r="BP228" s="215">
        <f>IF(AND(ISNUMBER(BP131),ISNUMBER(BP127)),IFERROR(BP131/BP127,""),"")</f>
        <v>0.270503670046209</v>
      </c>
      <c r="BQ228" s="215">
        <f>IF(AND(ISNUMBER(BQ131),ISNUMBER(BQ127)),IFERROR(BQ131/BQ127,""),"")</f>
        <v>0.269477143286332</v>
      </c>
      <c r="BR228" s="215">
        <f>IF(AND(ISNUMBER(BR131),ISNUMBER(BR127)),IFERROR(BR131/BR127,""),"")</f>
        <v>0.290816604843989</v>
      </c>
      <c r="BS228" s="215">
        <f>IF(AND(ISNUMBER(BS131),ISNUMBER(BS127)),IFERROR(BS131/BS127,""),"")</f>
        <v>0.241450870702878</v>
      </c>
      <c r="BT228" s="215">
        <f>IF(AND(ISNUMBER(BT131),ISNUMBER(BT127)),IFERROR(BT131/BT127,""),"")</f>
        <v>0.259340249620164</v>
      </c>
      <c r="BU228" s="215">
        <f>IF(AND(ISNUMBER(BU131),ISNUMBER(BU127)),IFERROR(BU131/BU127,""),"")</f>
        <v>0.243419789782279</v>
      </c>
      <c r="BV228" s="215">
        <f>IF(AND(ISNUMBER(BV131),ISNUMBER(BV127)),IFERROR(BV131/BV127,""),"")</f>
        <v>0.257690485913438</v>
      </c>
      <c r="BW228" s="215">
        <f>IF(AND(ISNUMBER(BW131),ISNUMBER(BW127)),IFERROR(BW131/BW127,""),"")</f>
        <v>0.274898966518803</v>
      </c>
      <c r="BX228" s="215">
        <f>IF(AND(ISNUMBER(BX131),ISNUMBER(BX127)),IFERROR(BX131/BX127,""),"")</f>
        <v>0.208329899649692</v>
      </c>
      <c r="BY228" s="215">
        <f>IF(AND(ISNUMBER(BY131),ISNUMBER(BY127)),IFERROR(BY131/BY127,""),"")</f>
        <v>0.253393712139641</v>
      </c>
      <c r="BZ228" s="256">
        <f>IF(AND(ISNUMBER(BZ131),ISNUMBER(BZ127)),IFERROR(BZ131/BZ127,""),"")</f>
        <v>0.27092214044072</v>
      </c>
      <c r="CA228" s="256">
        <f>IF(AND(ISNUMBER(CA131),ISNUMBER(CA127)),IFERROR(CA131/CA127,""),"")</f>
        <v>0.249943841052991</v>
      </c>
      <c r="CB228" s="256">
        <f>IF(AND(ISNUMBER(CB131),ISNUMBER(CB127)),IFERROR(CB131/CB127,""),"")</f>
        <v>0.229409487300209</v>
      </c>
      <c r="CC228" s="256">
        <f>IF(AND(ISNUMBER(CC131),ISNUMBER(CC127)),IFERROR(CC131/CC127,""),"")</f>
        <v>0.220533274587181</v>
      </c>
      <c r="CD228" s="256">
        <f>IF(AND(ISNUMBER(CD131),ISNUMBER(CD127)),IFERROR(CD131/CD127,""),"")</f>
        <v>0.214785447895399</v>
      </c>
      <c r="CE228" s="256">
        <f>IF(AND(ISNUMBER(CE131),ISNUMBER(CE127)),IFERROR(CE131/CE127,""),"")</f>
        <v>0.213352055804244</v>
      </c>
      <c r="CF228" s="256">
        <f>IF(AND(ISNUMBER(CF131),ISNUMBER(CF127)),IFERROR(CF131/CF127,""),"")</f>
        <v>0.212590473503011</v>
      </c>
      <c r="CG228" s="153" t="n"/>
      <c r="CI228" s="37">
        <f>IFERROR(AVERAGE(CB228,CC228,CD228,CE228,CF228),"n/m")</f>
        <v>0.218134147818009</v>
      </c>
      <c r="CJ228" s="37">
        <f>IFERROR(AVERAGE(BB228,BG228,BL228,BQ228,BV228),"n/m")</f>
        <v>0.274306957452693</v>
      </c>
      <c r="CK228" s="37">
        <f>IFERROR(AVERAGE(AC228,AH228,AM228,AR228,AW228,BB228,BG228,BL228,BQ228,BV228),"n/m")</f>
        <v>0.315977288837612</v>
      </c>
      <c r="CL228" s="37">
        <f>IFERROR(AVERAGE(C228,D228,E228,F228,G228,H228,I228,N228,S228,X228,AC228,AH228,AM228,AR228,AW228,BB228,BG228,BL228,BQ228,BV228),"n/m")</f>
        <v>0.332071996425166</v>
      </c>
    </row>
    <row r="229" ht="15" customHeight="1" s="251">
      <c r="B229" s="25" t="inlineStr">
        <is>
          <t xml:space="preserve">  R&amp;D % of revenue</t>
        </is>
      </c>
      <c r="C229" s="215">
        <f>IF(AND(ISNUMBER(C130),ISNUMBER(C127)),IFERROR(C130/C127,""),"")</f>
        <v>0.102944757773833</v>
      </c>
      <c r="D229" s="215">
        <f>IF(AND(ISNUMBER(D130),ISNUMBER(D127)),IFERROR(D130/D127,""),"")</f>
        <v>0.0858622098764832</v>
      </c>
      <c r="E229" s="215">
        <f>IF(AND(ISNUMBER(E130),ISNUMBER(E127)),IFERROR(E130/E127,""),"")</f>
        <v>0.104443626970552</v>
      </c>
      <c r="F229" s="215">
        <f>IF(AND(ISNUMBER(F130),ISNUMBER(F127)),IFERROR(F130/F127,""),"")</f>
        <v>0.116730481105377</v>
      </c>
      <c r="G229" s="215">
        <f>IF(AND(ISNUMBER(G130),ISNUMBER(G127)),IFERROR(G130/G127,""),"")</f>
        <v>0.12149236431363</v>
      </c>
      <c r="H229" s="215">
        <f>IF(AND(ISNUMBER(H130),ISNUMBER(H127)),IFERROR(H130/H127,""),"")</f>
        <v>0.100259326139333</v>
      </c>
      <c r="I229" s="215">
        <f>IF(AND(ISNUMBER(I130),ISNUMBER(I127)),IFERROR(I130/I127,""),"")</f>
        <v>0.0880026255760079</v>
      </c>
      <c r="J229" s="215">
        <f>IF(AND(ISNUMBER(J130),ISNUMBER(J127)),IFERROR(J130/J127,""),"")</f>
        <v>0.0765814124828965</v>
      </c>
      <c r="K229" s="215">
        <f>IF(AND(ISNUMBER(K130),ISNUMBER(K127)),IFERROR(K130/K127,""),"")</f>
        <v>0.0893405827408337</v>
      </c>
      <c r="L229" s="215">
        <f>IF(AND(ISNUMBER(L130),ISNUMBER(L127)),IFERROR(L130/L127,""),"")</f>
        <v>0.101049126091026</v>
      </c>
      <c r="M229" s="215">
        <f>IF(AND(ISNUMBER(M130),ISNUMBER(M127)),IFERROR(M130/M127,""),"")</f>
        <v>0.0936493508540564</v>
      </c>
      <c r="N229" s="215">
        <f>IF(AND(ISNUMBER(N130),ISNUMBER(N127)),IFERROR(N130/N127,""),"")</f>
        <v>0.0900767240034219</v>
      </c>
      <c r="O229" s="215">
        <f>IF(AND(ISNUMBER(O130),ISNUMBER(O127)),IFERROR(O130/O127,""),"")</f>
        <v>0.098143135350949</v>
      </c>
      <c r="P229" s="215">
        <f>IF(AND(ISNUMBER(P130),ISNUMBER(P127)),IFERROR(P130/P127,""),"")</f>
        <v>0.106167301118288</v>
      </c>
      <c r="Q229" s="215">
        <f>IF(AND(ISNUMBER(Q130),ISNUMBER(Q127)),IFERROR(Q130/Q127,""),"")</f>
        <v>0.117605384342898</v>
      </c>
      <c r="R229" s="215">
        <f>IF(AND(ISNUMBER(R130),ISNUMBER(R127)),IFERROR(R130/R127,""),"")</f>
        <v>0.101155391072799</v>
      </c>
      <c r="S229" s="215">
        <f>IF(AND(ISNUMBER(S130),ISNUMBER(S127)),IFERROR(S130/S127,""),"")</f>
        <v>0.105749792454863</v>
      </c>
      <c r="T229" s="215">
        <f>IF(AND(ISNUMBER(T130),ISNUMBER(T127)),IFERROR(T130/T127,""),"")</f>
        <v>0.119424953838037</v>
      </c>
      <c r="U229" s="215">
        <f>IF(AND(ISNUMBER(U130),ISNUMBER(U127)),IFERROR(U130/U127,""),"")</f>
        <v>0.117527485526945</v>
      </c>
      <c r="V229" s="215">
        <f>IF(AND(ISNUMBER(V130),ISNUMBER(V127)),IFERROR(V130/V127,""),"")</f>
        <v>0.122321675916816</v>
      </c>
      <c r="W229" s="215">
        <f>IF(AND(ISNUMBER(W130),ISNUMBER(W127)),IFERROR(W130/W127,""),"")</f>
        <v>0.112718898760934</v>
      </c>
      <c r="X229" s="215">
        <f>IF(AND(ISNUMBER(X130),ISNUMBER(X127)),IFERROR(X130/X127,""),"")</f>
        <v>0.117818596272448</v>
      </c>
      <c r="Y229" s="215">
        <f>IF(AND(ISNUMBER(Y130),ISNUMBER(Y127)),IFERROR(Y130/Y127,""),"")</f>
        <v>0.123108218876827</v>
      </c>
      <c r="Z229" s="215">
        <f>IF(AND(ISNUMBER(Z130),ISNUMBER(Z127)),IFERROR(Z130/Z127,""),"")</f>
        <v>0.120225665044175</v>
      </c>
      <c r="AA229" s="215">
        <f>IF(AND(ISNUMBER(AA130),ISNUMBER(AA127)),IFERROR(AA130/AA127,""),"")</f>
        <v>0.110634145524295</v>
      </c>
      <c r="AB229" s="215">
        <f>IF(AND(ISNUMBER(AB130),ISNUMBER(AB127)),IFERROR(AB130/AB127,""),"")</f>
        <v>0.117770031888188</v>
      </c>
      <c r="AC229" s="215">
        <f>IF(AND(ISNUMBER(AC130),ISNUMBER(AC127)),IFERROR(AC130/AC127,""),"")</f>
        <v>0.117624433259659</v>
      </c>
      <c r="AD229" s="215">
        <f>IF(AND(ISNUMBER(AD130),ISNUMBER(AD127)),IFERROR(AD130/AD127,""),"")</f>
        <v>0.119043715846995</v>
      </c>
      <c r="AE229" s="215">
        <f>IF(AND(ISNUMBER(AE130),ISNUMBER(AE127)),IFERROR(AE130/AE127,""),"")</f>
        <v>0.116749424200229</v>
      </c>
      <c r="AF229" s="215">
        <f>IF(AND(ISNUMBER(AF130),ISNUMBER(AF127)),IFERROR(AF130/AF127,""),"")</f>
        <v>0.120522455906419</v>
      </c>
      <c r="AG229" s="215">
        <f>IF(AND(ISNUMBER(AG130),ISNUMBER(AG127)),IFERROR(AG130/AG127,""),"")</f>
        <v>0.119373630062597</v>
      </c>
      <c r="AH229" s="215">
        <f>IF(AND(ISNUMBER(AH130),ISNUMBER(AH127)),IFERROR(AH130/AH127,""),"")</f>
        <v>0.118937660445692</v>
      </c>
      <c r="AI229" s="215">
        <f>IF(AND(ISNUMBER(AI130),ISNUMBER(AI127)),IFERROR(AI130/AI127,""),"")</f>
        <v>0.123125432919289</v>
      </c>
      <c r="AJ229" s="215">
        <f>IF(AND(ISNUMBER(AJ130),ISNUMBER(AJ127)),IFERROR(AJ130/AJ127,""),"")</f>
        <v>0.126112046164943</v>
      </c>
      <c r="AK229" s="215">
        <f>IF(AND(ISNUMBER(AK130),ISNUMBER(AK127)),IFERROR(AK130/AK127,""),"")</f>
        <v>0.12517292537716</v>
      </c>
      <c r="AL229" s="215">
        <f>IF(AND(ISNUMBER(AL130),ISNUMBER(AL127)),IFERROR(AL130/AL127,""),"")</f>
        <v>0.122973934115107</v>
      </c>
      <c r="AM229" s="215">
        <f>IF(AND(ISNUMBER(AM130),ISNUMBER(AM127)),IFERROR(AM130/AM127,""),"")</f>
        <v>0.124344899392237</v>
      </c>
      <c r="AN229" s="215">
        <f>IF(AND(ISNUMBER(AN130),ISNUMBER(AN127)),IFERROR(AN130/AN127,""),"")</f>
        <v>0.135081752181075</v>
      </c>
      <c r="AO229" s="215">
        <f>IF(AND(ISNUMBER(AO130),ISNUMBER(AO127)),IFERROR(AO130/AO127,""),"")</f>
        <v>0.135439953420502</v>
      </c>
      <c r="AP229" s="215">
        <f>IF(AND(ISNUMBER(AP130),ISNUMBER(AP127)),IFERROR(AP130/AP127,""),"")</f>
        <v>0.11765192570223</v>
      </c>
      <c r="AQ229" s="215">
        <f>IF(AND(ISNUMBER(AQ130),ISNUMBER(AQ127)),IFERROR(AQ130/AQ127,""),"")</f>
        <v>0.12902169356529</v>
      </c>
      <c r="AR229" s="215">
        <f>IF(AND(ISNUMBER(AR130),ISNUMBER(AR127)),IFERROR(AR130/AR127,""),"")</f>
        <v>0.128851125307413</v>
      </c>
      <c r="AS229" s="215">
        <f>IF(AND(ISNUMBER(AS130),ISNUMBER(AS127)),IFERROR(AS130/AS127,""),"")</f>
        <v>0.130460563342535</v>
      </c>
      <c r="AT229" s="215">
        <f>IF(AND(ISNUMBER(AT130),ISNUMBER(AT127)),IFERROR(AT130/AT127,""),"")</f>
        <v>0.128060758967565</v>
      </c>
      <c r="AU229" s="215">
        <f>IF(AND(ISNUMBER(AU130),ISNUMBER(AU127)),IFERROR(AU130/AU127,""),"")</f>
        <v>0.131995244333521</v>
      </c>
      <c r="AV229" s="215">
        <f>IF(AND(ISNUMBER(AV130),ISNUMBER(AV127)),IFERROR(AV130/AV127,""),"")</f>
        <v>0.124763594012117</v>
      </c>
      <c r="AW229" s="215">
        <f>IF(AND(ISNUMBER(AW130),ISNUMBER(AW127)),IFERROR(AW130/AW127,""),"")</f>
        <v>0.128614156757266</v>
      </c>
      <c r="AX229" s="215">
        <f>IF(AND(ISNUMBER(AX130),ISNUMBER(AX127)),IFERROR(AX130/AX127,""),"")</f>
        <v>0.130119008751208</v>
      </c>
      <c r="AY229" s="215">
        <f>IF(AND(ISNUMBER(AY130),ISNUMBER(AY127)),IFERROR(AY130/AY127,""),"")</f>
        <v>0.131614764561913</v>
      </c>
      <c r="AZ229" s="215">
        <f>IF(AND(ISNUMBER(AZ130),ISNUMBER(AZ127)),IFERROR(AZ130/AZ127,""),"")</f>
        <v>0.135506115014312</v>
      </c>
      <c r="BA229" s="215">
        <f>IF(AND(ISNUMBER(BA130),ISNUMBER(BA127)),IFERROR(BA130/BA127,""),"")</f>
        <v>0.122967209341945</v>
      </c>
      <c r="BB229" s="215">
        <f>IF(AND(ISNUMBER(BB130),ISNUMBER(BB127)),IFERROR(BB130/BB127,""),"")</f>
        <v>0.130061768155219</v>
      </c>
      <c r="BC229" s="215">
        <f>IF(AND(ISNUMBER(BC130),ISNUMBER(BC127)),IFERROR(BC130/BC127,""),"")</f>
        <v>0.120920334655867</v>
      </c>
      <c r="BD229" s="215">
        <f>IF(AND(ISNUMBER(BD130),ISNUMBER(BD127)),IFERROR(BD130/BD127,""),"")</f>
        <v>0.101868727165834</v>
      </c>
      <c r="BE229" s="215">
        <f>IF(AND(ISNUMBER(BE130),ISNUMBER(BE127)),IFERROR(BE130/BE127,""),"")</f>
        <v>0.102818039579787</v>
      </c>
      <c r="BF229" s="215">
        <f>IF(AND(ISNUMBER(BF130),ISNUMBER(BF127)),IFERROR(BF130/BF127,""),"")</f>
        <v>0.101824239852272</v>
      </c>
      <c r="BG229" s="215">
        <f>IF(AND(ISNUMBER(BG130),ISNUMBER(BG127)),IFERROR(BG130/BG127,""),"")</f>
        <v>0.106557174700676</v>
      </c>
      <c r="BH229" s="215">
        <f>IF(AND(ISNUMBER(BH130),ISNUMBER(BH127)),IFERROR(BH130/BH127,""),"")</f>
        <v>0.106222634615942</v>
      </c>
      <c r="BI229" s="215">
        <f>IF(AND(ISNUMBER(BI130),ISNUMBER(BI127)),IFERROR(BI130/BI127,""),"")</f>
        <v>0.105889035569838</v>
      </c>
      <c r="BJ229" s="215">
        <f>IF(AND(ISNUMBER(BJ130),ISNUMBER(BJ127)),IFERROR(BJ130/BJ127,""),"")</f>
        <v>0.103978549642828</v>
      </c>
      <c r="BK229" s="215">
        <f>IF(AND(ISNUMBER(BK130),ISNUMBER(BK127)),IFERROR(BK130/BK127,""),"")</f>
        <v>0.106729478899657</v>
      </c>
      <c r="BL229" s="215">
        <f>IF(AND(ISNUMBER(BL130),ISNUMBER(BL127)),IFERROR(BL130/BL127,""),"")</f>
        <v>0.105678213638469</v>
      </c>
      <c r="BM229" s="215">
        <f>IF(AND(ISNUMBER(BM130),ISNUMBER(BM127)),IFERROR(BM130/BM127,""),"")</f>
        <v>0.111592712120379</v>
      </c>
      <c r="BN229" s="215">
        <f>IF(AND(ISNUMBER(BN130),ISNUMBER(BN127)),IFERROR(BN130/BN127,""),"")</f>
        <v>0.0942350204813639</v>
      </c>
      <c r="BO229" s="215">
        <f>IF(AND(ISNUMBER(BO130),ISNUMBER(BO127)),IFERROR(BO130/BO127,""),"")</f>
        <v>0.0987319386668274</v>
      </c>
      <c r="BP229" s="215">
        <f>IF(AND(ISNUMBER(BP130),ISNUMBER(BP127)),IFERROR(BP130/BP127,""),"")</f>
        <v>0.0974154324837101</v>
      </c>
      <c r="BQ229" s="215">
        <f>IF(AND(ISNUMBER(BQ130),ISNUMBER(BQ127)),IFERROR(BQ130/BQ127,""),"")</f>
        <v>0.100109110429769</v>
      </c>
      <c r="BR229" s="215">
        <f>IF(AND(ISNUMBER(BR130),ISNUMBER(BR127)),IFERROR(BR130/BR127,""),"")</f>
        <v>0.102609735253473</v>
      </c>
      <c r="BS229" s="215">
        <f>IF(AND(ISNUMBER(BS130),ISNUMBER(BS127)),IFERROR(BS130/BS127,""),"")</f>
        <v>0.0903024652370497</v>
      </c>
      <c r="BT229" s="215">
        <f>IF(AND(ISNUMBER(BT130),ISNUMBER(BT127)),IFERROR(BT130/BT127,""),"")</f>
        <v>0.0880139444273557</v>
      </c>
      <c r="BU229" s="215">
        <f>IF(AND(ISNUMBER(BU130),ISNUMBER(BU127)),IFERROR(BU130/BU127,""),"")</f>
        <v>0.0987937977822632</v>
      </c>
      <c r="BV229" s="215">
        <f>IF(AND(ISNUMBER(BV130),ISNUMBER(BV127)),IFERROR(BV130/BV127,""),"")</f>
        <v>0.0946054210498029</v>
      </c>
      <c r="BW229" s="215">
        <f>IF(AND(ISNUMBER(BW130),ISNUMBER(BW127)),IFERROR(BW130/BW127,""),"")</f>
        <v>0.097492181991136</v>
      </c>
      <c r="BX229" s="215">
        <f>IF(AND(ISNUMBER(BX130),ISNUMBER(BX127)),IFERROR(BX130/BX127,""),"")</f>
        <v>0.0779496788240754</v>
      </c>
      <c r="BY229" s="215">
        <f>IF(AND(ISNUMBER(BY130),ISNUMBER(BY127)),IFERROR(BY130/BY127,""),"")</f>
        <v>0.0796632393338357</v>
      </c>
      <c r="BZ229" s="256">
        <f>IF(AND(ISNUMBER(BZ130),ISNUMBER(BZ127)),IFERROR(BZ130/BZ127,""),"")</f>
        <v>0.0838928461879282</v>
      </c>
      <c r="CA229" s="256">
        <f>IF(AND(ISNUMBER(CA130),ISNUMBER(CA127)),IFERROR(CA130/CA127,""),"")</f>
        <v>0.0838928461879282</v>
      </c>
      <c r="CB229" s="256">
        <f>IF(AND(ISNUMBER(CB130),ISNUMBER(CB127)),IFERROR(CB130/CB127,""),"")</f>
        <v>0.08</v>
      </c>
      <c r="CC229" s="256">
        <f>IF(AND(ISNUMBER(CC130),ISNUMBER(CC127)),IFERROR(CC130/CC127,""),"")</f>
        <v>0.08</v>
      </c>
      <c r="CD229" s="256">
        <f>IF(AND(ISNUMBER(CD130),ISNUMBER(CD127)),IFERROR(CD130/CD127,""),"")</f>
        <v>0.08</v>
      </c>
      <c r="CE229" s="256">
        <f>IF(AND(ISNUMBER(CE130),ISNUMBER(CE127)),IFERROR(CE130/CE127,""),"")</f>
        <v>0.08</v>
      </c>
      <c r="CF229" s="256">
        <f>IF(AND(ISNUMBER(CF130),ISNUMBER(CF127)),IFERROR(CF130/CF127,""),"")</f>
        <v>0.08</v>
      </c>
      <c r="CG229" s="153" t="n"/>
      <c r="CI229" s="37">
        <f>IFERROR(AVERAGE(CB229,CC229,CD229,CE229,CF229),"n/m")</f>
        <v>0.08</v>
      </c>
      <c r="CJ229" s="37">
        <f>IFERROR(AVERAGE(BB229,BG229,BL229,BQ229,BV229),"n/m")</f>
        <v>0.107402337594787</v>
      </c>
      <c r="CK229" s="37">
        <f>IFERROR(AVERAGE(AC229,AH229,AM229,AR229,AW229,BB229,BG229,BL229,BQ229,BV229),"n/m")</f>
        <v>0.11553839631362</v>
      </c>
      <c r="CL229" s="37">
        <f>IFERROR(AVERAGE(C229,D229,E229,F229,G229,H229,I229,N229,S229,X229,AC229,AH229,AM229,AR229,AW229,BB229,BG229,BL229,BQ229,BV229),"n/m")</f>
        <v>0.109438223381108</v>
      </c>
    </row>
    <row r="230" ht="15" customHeight="1" s="251">
      <c r="CO230" s="11" t="n"/>
      <c r="CP230" s="12" t="n"/>
      <c r="CQ230" s="12" t="n"/>
      <c r="CR230" s="12" t="n"/>
      <c r="CS230" s="13" t="n"/>
    </row>
    <row r="231" ht="15" customHeight="1" s="251">
      <c r="B231" s="10" t="inlineStr">
        <is>
          <t>CONDENSED CONSOLIDATED STATEMENTS OF CASH FLOWS</t>
        </is>
      </c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inlineStr">
        <is>
          <t>CASH FLOW — forecast logic (annual; 2026E = 9M FY26 actual + Q4 estimate; quarters = discrete, derived from year-to-date statements)</t>
        </is>
      </c>
    </row>
    <row r="232" ht="15" customHeight="1" s="251">
      <c r="B232" s="25" t="inlineStr">
        <is>
          <t>Net income</t>
        </is>
      </c>
      <c r="C232" s="253" t="n">
        <v>103.486</v>
      </c>
      <c r="D232" s="253" t="n">
        <v>104.65</v>
      </c>
      <c r="E232" s="253" t="n">
        <v>83.952</v>
      </c>
      <c r="F232" s="253" t="n">
        <v>65.102</v>
      </c>
      <c r="G232" s="253" t="n">
        <v>64.45699999999999</v>
      </c>
      <c r="H232" s="253" t="n">
        <v>71.562</v>
      </c>
      <c r="I232" s="253" t="n">
        <v>92.004</v>
      </c>
      <c r="J232" s="253" t="n">
        <v>23.421</v>
      </c>
      <c r="K232" s="253" t="n">
        <v>18.495</v>
      </c>
      <c r="L232" s="253" t="n">
        <v>19.622</v>
      </c>
      <c r="M232" s="253" t="n">
        <v>28.557</v>
      </c>
      <c r="N232" s="253" t="n">
        <v>90.095</v>
      </c>
      <c r="O232" s="253" t="n">
        <v>16.977</v>
      </c>
      <c r="P232" s="253" t="n">
        <v>20.751</v>
      </c>
      <c r="Q232" s="253" t="n">
        <v>20.548</v>
      </c>
      <c r="R232" s="253" t="n">
        <v>36.603</v>
      </c>
      <c r="S232" s="253" t="n">
        <v>94.879</v>
      </c>
      <c r="T232" s="253" t="n">
        <v>14.407</v>
      </c>
      <c r="U232" s="253" t="n">
        <v>18.87</v>
      </c>
      <c r="V232" s="253" t="n">
        <v>19.906</v>
      </c>
      <c r="W232" s="253" t="n">
        <v>33.319</v>
      </c>
      <c r="X232" s="253" t="n">
        <v>86.502</v>
      </c>
      <c r="Y232" s="253" t="n">
        <v>19.241</v>
      </c>
      <c r="Z232" s="253" t="n">
        <v>23.116</v>
      </c>
      <c r="AA232" s="253" t="n">
        <v>34.987</v>
      </c>
      <c r="AB232" s="253" t="n">
        <v>32.104</v>
      </c>
      <c r="AC232" s="253" t="n">
        <v>109.448</v>
      </c>
      <c r="AD232" s="253" t="n">
        <v>37.901</v>
      </c>
      <c r="AE232" s="253" t="n">
        <v>25.084</v>
      </c>
      <c r="AF232" s="253" t="n">
        <v>25.227</v>
      </c>
      <c r="AG232" s="253" t="n">
        <v>40.044</v>
      </c>
      <c r="AH232" s="253" t="n">
        <v>128.256</v>
      </c>
      <c r="AI232" s="253" t="n">
        <v>27.299</v>
      </c>
      <c r="AJ232" s="253" t="n">
        <v>32.275</v>
      </c>
      <c r="AK232" s="253" t="n">
        <v>32.361</v>
      </c>
      <c r="AL232" s="253" t="n">
        <v>50.48</v>
      </c>
      <c r="AM232" s="253" t="n">
        <v>142.415</v>
      </c>
      <c r="AN232" s="253" t="n">
        <v>40.007</v>
      </c>
      <c r="AO232" s="253" t="n">
        <v>33.381</v>
      </c>
      <c r="AP232" s="253" t="n">
        <v>64.152</v>
      </c>
      <c r="AQ232" s="253" t="n">
        <v>54.584</v>
      </c>
      <c r="AR232" s="253" t="n">
        <v>192.124</v>
      </c>
      <c r="AS232" s="253" t="n">
        <v>54.921</v>
      </c>
      <c r="AT232" s="253" t="n">
        <v>58.288</v>
      </c>
      <c r="AU232" s="253" t="n">
        <v>64.07599999999999</v>
      </c>
      <c r="AV232" s="253" t="n">
        <v>59.126</v>
      </c>
      <c r="AW232" s="253" t="n">
        <v>236.411</v>
      </c>
      <c r="AX232" s="253" t="n">
        <v>86.492</v>
      </c>
      <c r="AY232" s="253" t="n">
        <v>68.67400000000001</v>
      </c>
      <c r="AZ232" s="253" t="n">
        <v>151.198</v>
      </c>
      <c r="BA232" s="253" t="n">
        <v>85.72</v>
      </c>
      <c r="BB232" s="253" t="n">
        <v>392.084</v>
      </c>
      <c r="BC232" s="253" t="n">
        <v>84.959</v>
      </c>
      <c r="BD232" s="253" t="n">
        <v>104.383</v>
      </c>
      <c r="BE232" s="253" t="n">
        <v>93.5</v>
      </c>
      <c r="BF232" s="253" t="n">
        <v>90.699</v>
      </c>
      <c r="BG232" s="253" t="n">
        <v>373.541</v>
      </c>
      <c r="BH232" s="253" t="n">
        <v>97.643</v>
      </c>
      <c r="BI232" s="253" t="n">
        <v>101.55</v>
      </c>
      <c r="BJ232" s="253" t="n">
        <v>128.758</v>
      </c>
      <c r="BK232" s="253" t="n">
        <v>101.424</v>
      </c>
      <c r="BL232" s="253" t="n">
        <v>429.375</v>
      </c>
      <c r="BM232" s="253" t="n">
        <v>121.065</v>
      </c>
      <c r="BN232" s="253" t="n">
        <v>129.799</v>
      </c>
      <c r="BO232" s="253" t="n">
        <v>126.256</v>
      </c>
      <c r="BP232" s="253" t="n">
        <v>135.691</v>
      </c>
      <c r="BQ232" s="253" t="n">
        <v>512.811</v>
      </c>
      <c r="BR232" s="253" t="n">
        <v>152.528</v>
      </c>
      <c r="BS232" s="253" t="n">
        <v>162.615</v>
      </c>
      <c r="BT232" s="253" t="n">
        <v>181.789</v>
      </c>
      <c r="BU232" s="253" t="n">
        <v>155.014</v>
      </c>
      <c r="BV232" s="253" t="n">
        <v>651.946</v>
      </c>
      <c r="BW232" s="253" t="n">
        <v>158.373</v>
      </c>
      <c r="BX232" s="253" t="n">
        <v>264.458</v>
      </c>
      <c r="BY232" s="253" t="n">
        <v>237.172</v>
      </c>
      <c r="BZ232" s="35" t="n"/>
      <c r="CA232" s="254">
        <f>SUM(BW232:BY232)+BZ146</f>
        <v>825.281908581081</v>
      </c>
      <c r="CB232" s="254">
        <f>CB146</f>
        <v>948.510583928938</v>
      </c>
      <c r="CC232" s="254">
        <f>CC146</f>
        <v>1093.98374737196</v>
      </c>
      <c r="CD232" s="254">
        <f>CD146</f>
        <v>1182.12782589206</v>
      </c>
      <c r="CE232" s="254">
        <f>CE146</f>
        <v>1284.45508425195</v>
      </c>
      <c r="CF232" s="254">
        <f>CF146</f>
        <v>1387.43885688563</v>
      </c>
      <c r="CG232" s="19" t="n"/>
    </row>
    <row r="233" ht="15" customHeight="1" s="251">
      <c r="B233" s="25" t="inlineStr">
        <is>
          <t>Non-cash items:</t>
        </is>
      </c>
      <c r="CG233" s="153" t="n"/>
    </row>
    <row r="234" ht="15" customHeight="1" s="251">
      <c r="B234" s="25" t="inlineStr">
        <is>
          <t xml:space="preserve">  Depreciation &amp; amortization</t>
        </is>
      </c>
      <c r="C234" s="253" t="n">
        <v>48.805</v>
      </c>
      <c r="D234" s="253" t="n">
        <v>50.224</v>
      </c>
      <c r="E234" s="253" t="n">
        <v>39.494</v>
      </c>
      <c r="F234" s="253" t="n">
        <v>38.419</v>
      </c>
      <c r="G234" s="253" t="n">
        <v>30.918</v>
      </c>
      <c r="H234" s="253" t="n">
        <v>24.197</v>
      </c>
      <c r="I234" s="253" t="n">
        <v>21.549</v>
      </c>
      <c r="J234" s="253" t="n">
        <v>7.973</v>
      </c>
      <c r="K234" s="253" t="n">
        <v>8.460000000000001</v>
      </c>
      <c r="L234" s="253" t="n">
        <v>8.727</v>
      </c>
      <c r="M234" s="253" t="n">
        <v>8.054</v>
      </c>
      <c r="N234" s="253" t="n">
        <v>33.214</v>
      </c>
      <c r="O234" s="253" t="n">
        <v>8.167</v>
      </c>
      <c r="P234" s="253" t="n">
        <v>7.845</v>
      </c>
      <c r="Q234" s="253" t="n">
        <v>8.183999999999999</v>
      </c>
      <c r="R234" s="253" t="n">
        <v>8.436</v>
      </c>
      <c r="S234" s="253" t="n">
        <v>32.632</v>
      </c>
      <c r="T234" s="253" t="n">
        <v>8.106999999999999</v>
      </c>
      <c r="U234" s="253" t="n">
        <v>8.94</v>
      </c>
      <c r="V234" s="253" t="n">
        <v>9.045999999999999</v>
      </c>
      <c r="W234" s="253" t="n">
        <v>7.796</v>
      </c>
      <c r="X234" s="253" t="n">
        <v>33.889</v>
      </c>
      <c r="Y234" s="253" t="n">
        <v>7.441</v>
      </c>
      <c r="Z234" s="253" t="n">
        <v>7.727</v>
      </c>
      <c r="AA234" s="253" t="n">
        <v>7.959</v>
      </c>
      <c r="AB234" s="253" t="n">
        <v>8.506</v>
      </c>
      <c r="AC234" s="253" t="n">
        <v>31.633</v>
      </c>
      <c r="AD234" s="253" t="n">
        <v>9.058</v>
      </c>
      <c r="AE234" s="253" t="n">
        <v>9.178000000000001</v>
      </c>
      <c r="AF234" s="253" t="n">
        <v>9.191000000000001</v>
      </c>
      <c r="AG234" s="253" t="n">
        <v>8.787000000000001</v>
      </c>
      <c r="AH234" s="253" t="n">
        <v>36.214</v>
      </c>
      <c r="AI234" s="253" t="n">
        <v>7.731</v>
      </c>
      <c r="AJ234" s="253" t="n">
        <v>7.364</v>
      </c>
      <c r="AK234" s="253" t="n">
        <v>7.234</v>
      </c>
      <c r="AL234" s="253" t="n">
        <v>7.853</v>
      </c>
      <c r="AM234" s="253" t="n">
        <v>30.182</v>
      </c>
      <c r="AN234" s="253" t="n">
        <v>7.967</v>
      </c>
      <c r="AO234" s="253" t="n">
        <v>7.819</v>
      </c>
      <c r="AP234" s="253" t="n">
        <v>7.948</v>
      </c>
      <c r="AQ234" s="253" t="n">
        <v>7.878</v>
      </c>
      <c r="AR234" s="253" t="n">
        <v>31.612</v>
      </c>
      <c r="AS234" s="253" t="n">
        <v>7.856</v>
      </c>
      <c r="AT234" s="253" t="n">
        <v>7.679</v>
      </c>
      <c r="AU234" s="253" t="n">
        <v>8.013999999999999</v>
      </c>
      <c r="AV234" s="253" t="n">
        <v>6.818</v>
      </c>
      <c r="AW234" s="253" t="n">
        <v>30.367</v>
      </c>
      <c r="AX234" s="253" t="n">
        <v>7.026</v>
      </c>
      <c r="AY234" s="253" t="n">
        <v>6.675</v>
      </c>
      <c r="AZ234" s="253" t="n">
        <v>6.365</v>
      </c>
      <c r="BA234" s="253" t="n">
        <v>5.526</v>
      </c>
      <c r="BB234" s="253" t="n">
        <v>25.592</v>
      </c>
      <c r="BC234" s="253" t="n">
        <v>5.227</v>
      </c>
      <c r="BD234" s="253" t="n">
        <v>5.429</v>
      </c>
      <c r="BE234" s="253" t="n">
        <v>5.163</v>
      </c>
      <c r="BF234" s="253" t="n">
        <v>4.646</v>
      </c>
      <c r="BG234" s="253" t="n">
        <v>20.465</v>
      </c>
      <c r="BH234" s="253" t="n">
        <v>4.28</v>
      </c>
      <c r="BI234" s="253" t="n">
        <v>4.014</v>
      </c>
      <c r="BJ234" s="253" t="n">
        <v>3.348</v>
      </c>
      <c r="BK234" s="253" t="n">
        <v>2.996</v>
      </c>
      <c r="BL234" s="253" t="n">
        <v>14.638</v>
      </c>
      <c r="BM234" s="253" t="n">
        <v>2.824</v>
      </c>
      <c r="BN234" s="253" t="n">
        <v>3.354</v>
      </c>
      <c r="BO234" s="253" t="n">
        <v>3.834</v>
      </c>
      <c r="BP234" s="253" t="n">
        <v>3.815</v>
      </c>
      <c r="BQ234" s="253" t="n">
        <v>13.827</v>
      </c>
      <c r="BR234" s="253" t="n">
        <v>3.535</v>
      </c>
      <c r="BS234" s="253" t="n">
        <v>3.415</v>
      </c>
      <c r="BT234" s="253" t="n">
        <v>3.981</v>
      </c>
      <c r="BU234" s="253" t="n">
        <v>4.021</v>
      </c>
      <c r="BV234" s="253" t="n">
        <v>14.952</v>
      </c>
      <c r="BW234" s="253" t="n">
        <v>4.017</v>
      </c>
      <c r="BX234" s="253" t="n">
        <v>3.888</v>
      </c>
      <c r="BY234" s="253" t="n">
        <v>4.218</v>
      </c>
      <c r="BZ234" s="35" t="n"/>
      <c r="CA234" s="254">
        <f>SUM(BW234:BY234)+BZ149</f>
        <v>16.423</v>
      </c>
      <c r="CB234" s="254">
        <f>CB149</f>
        <v>22.3905384992236</v>
      </c>
      <c r="CC234" s="254">
        <f>CC149</f>
        <v>24.7056812126778</v>
      </c>
      <c r="CD234" s="254">
        <f>CD149</f>
        <v>27.0385845651573</v>
      </c>
      <c r="CE234" s="254">
        <f>CE149</f>
        <v>29.4175685255994</v>
      </c>
      <c r="CF234" s="254">
        <f>CF149</f>
        <v>31.8116804395785</v>
      </c>
      <c r="CG234" s="19" t="n"/>
    </row>
    <row r="235" ht="15" customHeight="1" s="251">
      <c r="B235" s="25" t="inlineStr">
        <is>
          <t xml:space="preserve">  Share-based compensation</t>
        </is>
      </c>
      <c r="C235" s="253" t="n">
        <v>42.085</v>
      </c>
      <c r="D235" s="253" t="n">
        <v>36.261</v>
      </c>
      <c r="E235" s="253" t="n">
        <v>27.981</v>
      </c>
      <c r="F235" s="253" t="n">
        <v>19.935</v>
      </c>
      <c r="G235" s="253" t="n">
        <v>17.305</v>
      </c>
      <c r="H235" s="253" t="n">
        <v>15.5</v>
      </c>
      <c r="I235" s="253" t="n">
        <v>21.229</v>
      </c>
      <c r="J235" s="253" t="n">
        <v>5.832</v>
      </c>
      <c r="K235" s="253" t="n">
        <v>6.413</v>
      </c>
      <c r="L235" s="253" t="n">
        <v>6.652</v>
      </c>
      <c r="M235" s="253" t="n">
        <v>6.953</v>
      </c>
      <c r="N235" s="253" t="n">
        <v>25.85</v>
      </c>
      <c r="O235" s="253" t="n">
        <v>7.235</v>
      </c>
      <c r="P235" s="253" t="n">
        <v>9.051</v>
      </c>
      <c r="Q235" s="253" t="n">
        <v>9.345000000000001</v>
      </c>
      <c r="R235" s="253" t="n">
        <v>10.731</v>
      </c>
      <c r="S235" s="253" t="n">
        <v>36.362</v>
      </c>
      <c r="T235" s="253" t="n">
        <v>8.794</v>
      </c>
      <c r="U235" s="253" t="n">
        <v>11.802</v>
      </c>
      <c r="V235" s="253" t="n">
        <v>12.166</v>
      </c>
      <c r="W235" s="253" t="n">
        <v>12.546</v>
      </c>
      <c r="X235" s="253" t="n">
        <v>45.308</v>
      </c>
      <c r="Y235" s="253" t="n">
        <v>14.7</v>
      </c>
      <c r="Z235" s="253" t="n">
        <v>13.6</v>
      </c>
      <c r="AA235" s="253" t="n">
        <v>13.404</v>
      </c>
      <c r="AB235" s="253" t="n">
        <v>13.805</v>
      </c>
      <c r="AC235" s="253" t="n">
        <v>55.509</v>
      </c>
      <c r="AD235" s="253" t="n">
        <v>14.519</v>
      </c>
      <c r="AE235" s="253" t="n">
        <v>14.712</v>
      </c>
      <c r="AF235" s="253" t="n">
        <v>14.315</v>
      </c>
      <c r="AG235" s="253" t="n">
        <v>17.676</v>
      </c>
      <c r="AH235" s="253" t="n">
        <v>61.222</v>
      </c>
      <c r="AI235" s="253" t="n">
        <v>16.51</v>
      </c>
      <c r="AJ235" s="253" t="n">
        <v>19.239</v>
      </c>
      <c r="AK235" s="253" t="n">
        <v>18.882</v>
      </c>
      <c r="AL235" s="253" t="n">
        <v>20.183</v>
      </c>
      <c r="AM235" s="253" t="n">
        <v>74.81399999999999</v>
      </c>
      <c r="AN235" s="253" t="n">
        <v>21.854</v>
      </c>
      <c r="AO235" s="253" t="n">
        <v>20.482</v>
      </c>
      <c r="AP235" s="253" t="n">
        <v>19.595</v>
      </c>
      <c r="AQ235" s="253" t="n">
        <v>21.042</v>
      </c>
      <c r="AR235" s="253" t="n">
        <v>82.973</v>
      </c>
      <c r="AS235" s="253" t="n">
        <v>23.145</v>
      </c>
      <c r="AT235" s="253" t="n">
        <v>22.788</v>
      </c>
      <c r="AU235" s="253" t="n">
        <v>22.264</v>
      </c>
      <c r="AV235" s="253" t="n">
        <v>25.484</v>
      </c>
      <c r="AW235" s="253" t="n">
        <v>93.681</v>
      </c>
      <c r="AX235" s="253" t="n">
        <v>25.132</v>
      </c>
      <c r="AY235" s="253" t="n">
        <v>28.206</v>
      </c>
      <c r="AZ235" s="253" t="n">
        <v>30.761</v>
      </c>
      <c r="BA235" s="253" t="n">
        <v>28.358</v>
      </c>
      <c r="BB235" s="253" t="n">
        <v>112.457</v>
      </c>
      <c r="BC235" s="253" t="n">
        <v>29.878</v>
      </c>
      <c r="BD235" s="253" t="n">
        <v>27.936</v>
      </c>
      <c r="BE235" s="253" t="n">
        <v>28.549</v>
      </c>
      <c r="BF235" s="253" t="n">
        <v>28.992</v>
      </c>
      <c r="BG235" s="253" t="n">
        <v>115.355</v>
      </c>
      <c r="BH235" s="253" t="n">
        <v>29.702</v>
      </c>
      <c r="BI235" s="253" t="n">
        <v>27.053</v>
      </c>
      <c r="BJ235" s="253" t="n">
        <v>32.995</v>
      </c>
      <c r="BK235" s="253" t="n">
        <v>34.097</v>
      </c>
      <c r="BL235" s="253" t="n">
        <v>123.847</v>
      </c>
      <c r="BM235" s="253" t="n">
        <v>31.574</v>
      </c>
      <c r="BN235" s="253" t="n">
        <v>35.448</v>
      </c>
      <c r="BO235" s="253" t="n">
        <v>42.435</v>
      </c>
      <c r="BP235" s="253" t="n">
        <v>39.982</v>
      </c>
      <c r="BQ235" s="253" t="n">
        <v>149.439</v>
      </c>
      <c r="BR235" s="253" t="n">
        <v>40.654</v>
      </c>
      <c r="BS235" s="253" t="n">
        <v>41.704</v>
      </c>
      <c r="BT235" s="253" t="n">
        <v>41.93</v>
      </c>
      <c r="BU235" s="253" t="n">
        <v>32.379</v>
      </c>
      <c r="BV235" s="253" t="n">
        <v>156.667</v>
      </c>
      <c r="BW235" s="253" t="n">
        <v>44.269</v>
      </c>
      <c r="BX235" s="253" t="n">
        <v>45.31</v>
      </c>
      <c r="BY235" s="253" t="n">
        <v>52.331</v>
      </c>
      <c r="BZ235" s="35" t="n"/>
      <c r="CA235" s="254">
        <f>SUM(BW235:BY235)+BZ150</f>
        <v>188.01</v>
      </c>
      <c r="CB235" s="254">
        <f>CB150</f>
        <v>201.514846493013</v>
      </c>
      <c r="CC235" s="254">
        <f>CC150</f>
        <v>222.3511309141</v>
      </c>
      <c r="CD235" s="254">
        <f>CD150</f>
        <v>243.347261086416</v>
      </c>
      <c r="CE235" s="254">
        <f>CE150</f>
        <v>264.758116730395</v>
      </c>
      <c r="CF235" s="254">
        <f>CF150</f>
        <v>286.305123956207</v>
      </c>
      <c r="CG235" s="19" t="n"/>
    </row>
    <row r="236" ht="15" customHeight="1" s="251">
      <c r="B236" s="25" t="inlineStr">
        <is>
          <t xml:space="preserve">  Changes in operating assets &amp; liabilities and other, net (derived)</t>
        </is>
      </c>
      <c r="C236" s="253" t="n">
        <v>4.666</v>
      </c>
      <c r="D236" s="253" t="n">
        <v>-11.972</v>
      </c>
      <c r="E236" s="253" t="n">
        <v>7.723</v>
      </c>
      <c r="F236" s="253" t="n">
        <v>28.177</v>
      </c>
      <c r="G236" s="253" t="n">
        <v>-6.9</v>
      </c>
      <c r="H236" s="253" t="n">
        <v>24.897</v>
      </c>
      <c r="I236" s="253" t="n">
        <v>-5.036</v>
      </c>
      <c r="J236" s="253" t="n">
        <v>-8.497</v>
      </c>
      <c r="K236" s="253" t="n">
        <v>6.857</v>
      </c>
      <c r="L236" s="253" t="n">
        <v>-3.778</v>
      </c>
      <c r="M236" s="253" t="n">
        <v>-7.621</v>
      </c>
      <c r="N236" s="253" t="n">
        <v>-13.039</v>
      </c>
      <c r="O236" s="253" t="n">
        <v>-4.001</v>
      </c>
      <c r="P236" s="253" t="n">
        <v>9.061999999999999</v>
      </c>
      <c r="Q236" s="253" t="n">
        <v>-9.351000000000001</v>
      </c>
      <c r="R236" s="253" t="n">
        <v>15.451</v>
      </c>
      <c r="S236" s="253" t="n">
        <v>11.161</v>
      </c>
      <c r="T236" s="253" t="n">
        <v>-29.948</v>
      </c>
      <c r="U236" s="253" t="n">
        <v>2.31</v>
      </c>
      <c r="V236" s="253" t="n">
        <v>2</v>
      </c>
      <c r="W236" s="253" t="n">
        <v>-7.084</v>
      </c>
      <c r="X236" s="253" t="n">
        <v>-32.722</v>
      </c>
      <c r="Y236" s="253" t="n">
        <v>-0.832</v>
      </c>
      <c r="Z236" s="253" t="n">
        <v>-6.667</v>
      </c>
      <c r="AA236" s="253" t="n">
        <v>26.949</v>
      </c>
      <c r="AB236" s="253" t="n">
        <v>-30.809</v>
      </c>
      <c r="AC236" s="253" t="n">
        <v>-11.359</v>
      </c>
      <c r="AD236" s="253" t="n">
        <v>-28.5</v>
      </c>
      <c r="AE236" s="253" t="n">
        <v>17.445</v>
      </c>
      <c r="AF236" s="253" t="n">
        <v>23.293</v>
      </c>
      <c r="AG236" s="253" t="n">
        <v>-12.286</v>
      </c>
      <c r="AH236" s="253" t="n">
        <v>-0.048</v>
      </c>
      <c r="AI236" s="253" t="n">
        <v>-22.763</v>
      </c>
      <c r="AJ236" s="253" t="n">
        <v>-9.645</v>
      </c>
      <c r="AK236" s="253" t="n">
        <v>26.602</v>
      </c>
      <c r="AL236" s="253" t="n">
        <v>-18.553</v>
      </c>
      <c r="AM236" s="253" t="n">
        <v>-24.359</v>
      </c>
      <c r="AN236" s="253" t="n">
        <v>-20.971</v>
      </c>
      <c r="AO236" s="253" t="n">
        <v>-13.893</v>
      </c>
      <c r="AP236" s="253" t="n">
        <v>-23.405</v>
      </c>
      <c r="AQ236" s="253" t="n">
        <v>11.91</v>
      </c>
      <c r="AR236" s="253" t="n">
        <v>-46.359</v>
      </c>
      <c r="AS236" s="253" t="n">
        <v>-25.557</v>
      </c>
      <c r="AT236" s="253" t="n">
        <v>-27.261</v>
      </c>
      <c r="AU236" s="253" t="n">
        <v>12.517</v>
      </c>
      <c r="AV236" s="253" t="n">
        <v>44.758</v>
      </c>
      <c r="AW236" s="253" t="n">
        <v>4.457</v>
      </c>
      <c r="AX236" s="253" t="n">
        <v>-40.703</v>
      </c>
      <c r="AY236" s="253" t="n">
        <v>49.968</v>
      </c>
      <c r="AZ236" s="253" t="n">
        <v>-87.732</v>
      </c>
      <c r="BA236" s="253" t="n">
        <v>-27.849</v>
      </c>
      <c r="BB236" s="253" t="n">
        <v>-106.316</v>
      </c>
      <c r="BC236" s="253" t="n">
        <v>4.817</v>
      </c>
      <c r="BD236" s="253" t="n">
        <v>-15.145</v>
      </c>
      <c r="BE236" s="253" t="n">
        <v>-10.072</v>
      </c>
      <c r="BF236" s="253" t="n">
        <v>20.489</v>
      </c>
      <c r="BG236" s="253" t="n">
        <v>0.089</v>
      </c>
      <c r="BH236" s="253" t="n">
        <v>-39.185</v>
      </c>
      <c r="BI236" s="253" t="n">
        <v>-42.813</v>
      </c>
      <c r="BJ236" s="253" t="n">
        <v>-42.479</v>
      </c>
      <c r="BK236" s="253" t="n">
        <v>25.532</v>
      </c>
      <c r="BL236" s="253" t="n">
        <v>-98.94499999999999</v>
      </c>
      <c r="BM236" s="253" t="n">
        <v>-33.343</v>
      </c>
      <c r="BN236" s="253" t="n">
        <v>-97.566</v>
      </c>
      <c r="BO236" s="253" t="n">
        <v>40.806</v>
      </c>
      <c r="BP236" s="253" t="n">
        <v>46.99</v>
      </c>
      <c r="BQ236" s="253" t="n">
        <v>-43.113</v>
      </c>
      <c r="BR236" s="253" t="n">
        <v>-2.72</v>
      </c>
      <c r="BS236" s="253" t="n">
        <v>-132.816</v>
      </c>
      <c r="BT236" s="253" t="n">
        <v>58.523</v>
      </c>
      <c r="BU236" s="253" t="n">
        <v>32.255</v>
      </c>
      <c r="BV236" s="253" t="n">
        <v>-44.758</v>
      </c>
      <c r="BW236" s="253" t="n">
        <v>-32.577</v>
      </c>
      <c r="BX236" s="253" t="n">
        <v>-90.298</v>
      </c>
      <c r="BY236" s="253" t="n">
        <v>86.71899999999999</v>
      </c>
      <c r="BZ236" s="35" t="n"/>
      <c r="CA236" s="254">
        <f>SUM(BW236:BY236)-(CA289-BY289)-(CA290-BY290)+(CA296-BY296)+(CA297-BY297)+(CA298-BY298)+(CA300-BY300)</f>
        <v>10.6068356164383</v>
      </c>
      <c r="CB236" s="254">
        <f>-(CB289-CA289)-(CB290-CA290)+(CB296-CA296)+(CB297-CA297)+(CB298-CA298)+(CB300-CA300)</f>
        <v>-10.6864087752516</v>
      </c>
      <c r="CC236" s="254">
        <f>-(CC289-CB289)-(CC290-CB290)+(CC296-CB296)+(CC297-CB297)+(CC298-CB298)+(CC300-CB300)</f>
        <v>-11.5043564288426</v>
      </c>
      <c r="CD236" s="254">
        <f>-(CD289-CC289)-(CD290-CC290)+(CD296-CC296)+(CD297-CC297)+(CD298-CC298)+(CD300-CC300)</f>
        <v>-11.5926122070129</v>
      </c>
      <c r="CE236" s="254">
        <f>-(CE289-CD289)-(CE290-CD290)+(CE296-CD296)+(CE297-CD297)+(CE298-CD298)+(CE300-CD300)</f>
        <v>-11.8215949541146</v>
      </c>
      <c r="CF236" s="254">
        <f>-(CF289-CE289)-(CF290-CE290)+(CF296-CE296)+(CF297-CE297)+(CF298-CE298)+(CF300-CE300)</f>
        <v>-11.8967684492593</v>
      </c>
      <c r="CG236" s="19" t="inlineStr">
        <is>
          <t>History: net cash from operating activities − net income − D&amp;A − share-based compensation (deferred taxes and other non-cash items included). Forecast linked to the balance sheet: −Δ(receivables, other current assets) + Δ(payables &amp; accrued, accrued compensation, deferred revenue, other).</t>
        </is>
      </c>
    </row>
    <row r="237" ht="15" customHeight="1" s="251">
      <c r="B237" s="16" t="inlineStr">
        <is>
          <t>Net cash provided by operating activities</t>
        </is>
      </c>
      <c r="C237" s="284" t="n">
        <v>199.042</v>
      </c>
      <c r="D237" s="284" t="n">
        <v>179.163</v>
      </c>
      <c r="E237" s="284" t="n">
        <v>159.15</v>
      </c>
      <c r="F237" s="284" t="n">
        <v>151.633</v>
      </c>
      <c r="G237" s="284" t="n">
        <v>105.78</v>
      </c>
      <c r="H237" s="284" t="n">
        <v>136.156</v>
      </c>
      <c r="I237" s="284" t="n">
        <v>129.746</v>
      </c>
      <c r="J237" s="284" t="n">
        <v>28.729</v>
      </c>
      <c r="K237" s="284" t="n">
        <v>40.225</v>
      </c>
      <c r="L237" s="284" t="n">
        <v>31.223</v>
      </c>
      <c r="M237" s="284" t="n">
        <v>35.943</v>
      </c>
      <c r="N237" s="284" t="n">
        <v>136.12</v>
      </c>
      <c r="O237" s="284" t="n">
        <v>28.378</v>
      </c>
      <c r="P237" s="284" t="n">
        <v>46.709</v>
      </c>
      <c r="Q237" s="284" t="n">
        <v>28.726</v>
      </c>
      <c r="R237" s="284" t="n">
        <v>71.221</v>
      </c>
      <c r="S237" s="284" t="n">
        <v>175.034</v>
      </c>
      <c r="T237" s="284" t="n">
        <v>1.36</v>
      </c>
      <c r="U237" s="284" t="n">
        <v>41.922</v>
      </c>
      <c r="V237" s="284" t="n">
        <v>43.118</v>
      </c>
      <c r="W237" s="284" t="n">
        <v>46.577</v>
      </c>
      <c r="X237" s="284" t="n">
        <v>132.977</v>
      </c>
      <c r="Y237" s="284" t="n">
        <v>40.55</v>
      </c>
      <c r="Z237" s="284" t="n">
        <v>37.776</v>
      </c>
      <c r="AA237" s="284" t="n">
        <v>83.29900000000001</v>
      </c>
      <c r="AB237" s="284" t="n">
        <v>23.606</v>
      </c>
      <c r="AC237" s="284" t="n">
        <v>185.231</v>
      </c>
      <c r="AD237" s="284" t="n">
        <v>32.978</v>
      </c>
      <c r="AE237" s="284" t="n">
        <v>66.419</v>
      </c>
      <c r="AF237" s="284" t="n">
        <v>72.026</v>
      </c>
      <c r="AG237" s="284" t="n">
        <v>54.221</v>
      </c>
      <c r="AH237" s="284" t="n">
        <v>225.644</v>
      </c>
      <c r="AI237" s="284" t="n">
        <v>28.777</v>
      </c>
      <c r="AJ237" s="284" t="n">
        <v>49.233</v>
      </c>
      <c r="AK237" s="284" t="n">
        <v>85.07899999999999</v>
      </c>
      <c r="AL237" s="284" t="n">
        <v>59.963</v>
      </c>
      <c r="AM237" s="284" t="n">
        <v>223.052</v>
      </c>
      <c r="AN237" s="284" t="n">
        <v>48.857</v>
      </c>
      <c r="AO237" s="284" t="n">
        <v>47.789</v>
      </c>
      <c r="AP237" s="284" t="n">
        <v>68.29000000000001</v>
      </c>
      <c r="AQ237" s="284" t="n">
        <v>95.414</v>
      </c>
      <c r="AR237" s="284" t="n">
        <v>260.35</v>
      </c>
      <c r="AS237" s="284" t="n">
        <v>60.365</v>
      </c>
      <c r="AT237" s="284" t="n">
        <v>61.494</v>
      </c>
      <c r="AU237" s="284" t="n">
        <v>106.871</v>
      </c>
      <c r="AV237" s="284" t="n">
        <v>136.186</v>
      </c>
      <c r="AW237" s="284" t="n">
        <v>364.916</v>
      </c>
      <c r="AX237" s="284" t="n">
        <v>77.947</v>
      </c>
      <c r="AY237" s="284" t="n">
        <v>153.523</v>
      </c>
      <c r="AZ237" s="284" t="n">
        <v>100.592</v>
      </c>
      <c r="BA237" s="284" t="n">
        <v>91.755</v>
      </c>
      <c r="BB237" s="284" t="n">
        <v>423.817</v>
      </c>
      <c r="BC237" s="284" t="n">
        <v>124.881</v>
      </c>
      <c r="BD237" s="284" t="n">
        <v>122.603</v>
      </c>
      <c r="BE237" s="284" t="n">
        <v>117.14</v>
      </c>
      <c r="BF237" s="284" t="n">
        <v>144.826</v>
      </c>
      <c r="BG237" s="284" t="n">
        <v>509.45</v>
      </c>
      <c r="BH237" s="284" t="n">
        <v>92.44</v>
      </c>
      <c r="BI237" s="284" t="n">
        <v>89.804</v>
      </c>
      <c r="BJ237" s="284" t="n">
        <v>122.622</v>
      </c>
      <c r="BK237" s="284" t="n">
        <v>164.049</v>
      </c>
      <c r="BL237" s="284" t="n">
        <v>468.915</v>
      </c>
      <c r="BM237" s="284" t="n">
        <v>122.12</v>
      </c>
      <c r="BN237" s="284" t="n">
        <v>71.035</v>
      </c>
      <c r="BO237" s="284" t="n">
        <v>213.331</v>
      </c>
      <c r="BP237" s="284" t="n">
        <v>226.478</v>
      </c>
      <c r="BQ237" s="284" t="n">
        <v>632.9640000000001</v>
      </c>
      <c r="BR237" s="284" t="n">
        <v>193.997</v>
      </c>
      <c r="BS237" s="284" t="n">
        <v>74.91800000000001</v>
      </c>
      <c r="BT237" s="284" t="n">
        <v>286.223</v>
      </c>
      <c r="BU237" s="284" t="n">
        <v>223.669</v>
      </c>
      <c r="BV237" s="284" t="n">
        <v>778.807</v>
      </c>
      <c r="BW237" s="284" t="n">
        <v>174.082</v>
      </c>
      <c r="BX237" s="284" t="n">
        <v>223.358</v>
      </c>
      <c r="BY237" s="284" t="n">
        <v>380.44</v>
      </c>
      <c r="BZ237" s="32" t="n"/>
      <c r="CA237" s="260">
        <f>SUM(CA232:CA236)</f>
        <v>1040.32174419752</v>
      </c>
      <c r="CB237" s="260">
        <f>SUM(CB232:CB236)</f>
        <v>1161.72956014592</v>
      </c>
      <c r="CC237" s="260">
        <f>SUM(CC232:CC236)</f>
        <v>1329.53620306989</v>
      </c>
      <c r="CD237" s="260">
        <f>SUM(CD232:CD236)</f>
        <v>1440.92105933662</v>
      </c>
      <c r="CE237" s="260">
        <f>SUM(CE232:CE236)</f>
        <v>1566.80917455383</v>
      </c>
      <c r="CF237" s="260">
        <f>SUM(CF232:CF236)</f>
        <v>1693.65889283216</v>
      </c>
      <c r="CG237" s="153" t="n"/>
      <c r="CI237" s="20">
        <f>IFERROR((CF237/CA237)^(1/5)-1,"n/m")</f>
        <v>0.102380834473844</v>
      </c>
      <c r="CJ237" s="20">
        <f>IFERROR((BV237/AW237)^(1/5)-1,"n/m")</f>
        <v>0.163717025259078</v>
      </c>
      <c r="CK237" s="20">
        <f>IFERROR((BV237/X237)^(1/10)-1,"n/m")</f>
        <v>0.193343114322827</v>
      </c>
      <c r="CL237" s="20">
        <f>IFERROR((BV237/C237)^(1/19)-1,"n/m")</f>
        <v>0.0744431151574203</v>
      </c>
    </row>
    <row r="238" ht="15" customHeight="1" s="251">
      <c r="B238" s="25" t="inlineStr">
        <is>
          <t>Purchases of property and equipment</t>
        </is>
      </c>
      <c r="C238" s="253" t="n">
        <v>-31.409</v>
      </c>
      <c r="D238" s="253" t="n">
        <v>-22.735</v>
      </c>
      <c r="E238" s="253" t="n">
        <v>-22.78</v>
      </c>
      <c r="F238" s="253" t="n">
        <v>-13.958</v>
      </c>
      <c r="G238" s="253" t="n">
        <v>-17.453</v>
      </c>
      <c r="H238" s="253" t="n">
        <v>-14.02</v>
      </c>
      <c r="I238" s="253" t="n">
        <v>-25.483</v>
      </c>
      <c r="J238" s="253" t="n">
        <v>-9.012</v>
      </c>
      <c r="K238" s="253" t="n">
        <v>-8.111000000000001</v>
      </c>
      <c r="L238" s="253" t="n">
        <v>-3.312</v>
      </c>
      <c r="M238" s="253" t="n">
        <v>-3.712</v>
      </c>
      <c r="N238" s="253" t="n">
        <v>-24.147</v>
      </c>
      <c r="O238" s="253" t="n">
        <v>-2.154</v>
      </c>
      <c r="P238" s="253" t="n">
        <v>-2.142</v>
      </c>
      <c r="Q238" s="253" t="n">
        <v>-2.792</v>
      </c>
      <c r="R238" s="253" t="n">
        <v>-5.502</v>
      </c>
      <c r="S238" s="253" t="n">
        <v>-12.59</v>
      </c>
      <c r="T238" s="253" t="n">
        <v>-5.667</v>
      </c>
      <c r="U238" s="253" t="n">
        <v>-4.584</v>
      </c>
      <c r="V238" s="253" t="n">
        <v>-8.015000000000001</v>
      </c>
      <c r="W238" s="253" t="n">
        <v>-6.733</v>
      </c>
      <c r="X238" s="253" t="n">
        <v>-24.999</v>
      </c>
      <c r="Y238" s="253" t="n">
        <v>-4.294</v>
      </c>
      <c r="Z238" s="253" t="n">
        <v>-3.513</v>
      </c>
      <c r="AA238" s="253" t="n">
        <v>-4.734</v>
      </c>
      <c r="AB238" s="253" t="n">
        <v>-9.428000000000001</v>
      </c>
      <c r="AC238" s="253" t="n">
        <v>-21.969</v>
      </c>
      <c r="AD238" s="253" t="n">
        <v>-4.319</v>
      </c>
      <c r="AE238" s="253" t="n">
        <v>-5.285</v>
      </c>
      <c r="AF238" s="253" t="n">
        <v>-5.188</v>
      </c>
      <c r="AG238" s="253" t="n">
        <v>-5.036</v>
      </c>
      <c r="AH238" s="253" t="n">
        <v>-19.828</v>
      </c>
      <c r="AI238" s="253" t="n">
        <v>-4.044</v>
      </c>
      <c r="AJ238" s="253" t="n">
        <v>-7.067</v>
      </c>
      <c r="AK238" s="253" t="n">
        <v>-13.109</v>
      </c>
      <c r="AL238" s="253" t="n">
        <v>-7.079</v>
      </c>
      <c r="AM238" s="253" t="n">
        <v>-31.299</v>
      </c>
      <c r="AN238" s="253" t="n">
        <v>-6.474</v>
      </c>
      <c r="AO238" s="253" t="n">
        <v>-4.17</v>
      </c>
      <c r="AP238" s="253" t="n">
        <v>-7.526</v>
      </c>
      <c r="AQ238" s="253" t="n">
        <v>-5.811</v>
      </c>
      <c r="AR238" s="253" t="n">
        <v>-23.981</v>
      </c>
      <c r="AS238" s="253" t="n">
        <v>-6.5</v>
      </c>
      <c r="AT238" s="253" t="n">
        <v>-6.666</v>
      </c>
      <c r="AU238" s="253" t="n">
        <v>-7.907</v>
      </c>
      <c r="AV238" s="253" t="n">
        <v>-0.916</v>
      </c>
      <c r="AW238" s="253" t="n">
        <v>-21.989</v>
      </c>
      <c r="AX238" s="253" t="n">
        <v>-3.045</v>
      </c>
      <c r="AY238" s="253" t="n">
        <v>-1.175</v>
      </c>
      <c r="AZ238" s="253" t="n">
        <v>-1.572</v>
      </c>
      <c r="BA238" s="253" t="n">
        <v>-1.777</v>
      </c>
      <c r="BB238" s="253" t="n">
        <v>-7.569</v>
      </c>
      <c r="BC238" s="253" t="n">
        <v>-0.895</v>
      </c>
      <c r="BD238" s="253" t="n">
        <v>-2.398</v>
      </c>
      <c r="BE238" s="253" t="n">
        <v>-1.939</v>
      </c>
      <c r="BF238" s="253" t="n">
        <v>-0.797</v>
      </c>
      <c r="BG238" s="253" t="n">
        <v>-6.029</v>
      </c>
      <c r="BH238" s="253" t="n">
        <v>-0.85</v>
      </c>
      <c r="BI238" s="253" t="n">
        <v>-1.527</v>
      </c>
      <c r="BJ238" s="253" t="n">
        <v>-0.792</v>
      </c>
      <c r="BK238" s="253" t="n">
        <v>-1.068</v>
      </c>
      <c r="BL238" s="253" t="n">
        <v>-4.237</v>
      </c>
      <c r="BM238" s="253" t="n">
        <v>-1.361</v>
      </c>
      <c r="BN238" s="253" t="n">
        <v>-4.042</v>
      </c>
      <c r="BO238" s="253" t="n">
        <v>-1.727</v>
      </c>
      <c r="BP238" s="253" t="n">
        <v>-1.754</v>
      </c>
      <c r="BQ238" s="253" t="n">
        <v>-8.884</v>
      </c>
      <c r="BR238" s="253" t="n">
        <v>-0.841</v>
      </c>
      <c r="BS238" s="253" t="n">
        <v>-2.119</v>
      </c>
      <c r="BT238" s="253" t="n">
        <v>-1.791</v>
      </c>
      <c r="BU238" s="253" t="n">
        <v>-4.171</v>
      </c>
      <c r="BV238" s="253" t="n">
        <v>-8.922000000000001</v>
      </c>
      <c r="BW238" s="253" t="n">
        <v>-0.226</v>
      </c>
      <c r="BX238" s="253" t="n">
        <v>-0.266</v>
      </c>
      <c r="BY238" s="253" t="n">
        <v>-0.863</v>
      </c>
      <c r="BZ238" s="35" t="n"/>
      <c r="CA238" s="254">
        <f>SUM(BW238:BY238)-$CQ$24</f>
        <v>-1.955</v>
      </c>
      <c r="CB238" s="254">
        <f>-CB127*CB269</f>
        <v>-5.59763462480591</v>
      </c>
      <c r="CC238" s="254">
        <f>-CC127*CC269</f>
        <v>-6.17642030316945</v>
      </c>
      <c r="CD238" s="254">
        <f>-CD127*CD269</f>
        <v>-6.75964614128933</v>
      </c>
      <c r="CE238" s="254">
        <f>-CE127*CE269</f>
        <v>-7.35439213139985</v>
      </c>
      <c r="CF238" s="254">
        <f>-CF127*CF269</f>
        <v>-7.95292010989463</v>
      </c>
      <c r="CG238" s="19" t="n"/>
    </row>
    <row r="239" ht="15" customHeight="1" s="251">
      <c r="B239" s="25" t="inlineStr">
        <is>
          <t>Capitalized internal-use software costs (separate line from FY2024)</t>
        </is>
      </c>
      <c r="C239" s="253" t="n">
        <v>0</v>
      </c>
      <c r="D239" s="253" t="n">
        <v>0</v>
      </c>
      <c r="E239" s="253" t="n">
        <v>0</v>
      </c>
      <c r="F239" s="253" t="n">
        <v>0</v>
      </c>
      <c r="G239" s="253" t="n">
        <v>0</v>
      </c>
      <c r="H239" s="253" t="n">
        <v>0</v>
      </c>
      <c r="I239" s="253" t="n">
        <v>0</v>
      </c>
      <c r="J239" s="253" t="n">
        <v>0</v>
      </c>
      <c r="K239" s="253" t="n">
        <v>0</v>
      </c>
      <c r="L239" s="253" t="n">
        <v>0</v>
      </c>
      <c r="M239" s="253" t="n">
        <v>0</v>
      </c>
      <c r="N239" s="253" t="n">
        <v>0</v>
      </c>
      <c r="O239" s="253" t="n">
        <v>0</v>
      </c>
      <c r="P239" s="253" t="n">
        <v>0</v>
      </c>
      <c r="Q239" s="253" t="n">
        <v>0</v>
      </c>
      <c r="R239" s="253" t="n">
        <v>0</v>
      </c>
      <c r="S239" s="253" t="n">
        <v>0</v>
      </c>
      <c r="T239" s="253" t="n">
        <v>0</v>
      </c>
      <c r="U239" s="253" t="n">
        <v>0</v>
      </c>
      <c r="V239" s="253" t="n">
        <v>0</v>
      </c>
      <c r="W239" s="253" t="n">
        <v>0</v>
      </c>
      <c r="X239" s="253" t="n">
        <v>0</v>
      </c>
      <c r="Y239" s="253" t="n">
        <v>0</v>
      </c>
      <c r="Z239" s="253" t="n">
        <v>0</v>
      </c>
      <c r="AA239" s="253" t="n">
        <v>0</v>
      </c>
      <c r="AB239" s="253" t="n">
        <v>0</v>
      </c>
      <c r="AC239" s="253" t="n">
        <v>0</v>
      </c>
      <c r="AD239" s="253" t="n">
        <v>0</v>
      </c>
      <c r="AE239" s="253" t="n">
        <v>0</v>
      </c>
      <c r="AF239" s="253" t="n">
        <v>0</v>
      </c>
      <c r="AG239" s="253" t="n">
        <v>0</v>
      </c>
      <c r="AH239" s="253" t="n">
        <v>0</v>
      </c>
      <c r="AI239" s="253" t="n">
        <v>0</v>
      </c>
      <c r="AJ239" s="253" t="n">
        <v>0</v>
      </c>
      <c r="AK239" s="253" t="n">
        <v>0</v>
      </c>
      <c r="AL239" s="253" t="n">
        <v>0</v>
      </c>
      <c r="AM239" s="253" t="n">
        <v>0</v>
      </c>
      <c r="AN239" s="253" t="n">
        <v>0</v>
      </c>
      <c r="AO239" s="253" t="n">
        <v>0</v>
      </c>
      <c r="AP239" s="253" t="n">
        <v>0</v>
      </c>
      <c r="AQ239" s="253" t="n">
        <v>0</v>
      </c>
      <c r="AR239" s="253" t="n">
        <v>0</v>
      </c>
      <c r="AS239" s="253" t="n">
        <v>0</v>
      </c>
      <c r="AT239" s="253" t="n">
        <v>0</v>
      </c>
      <c r="AU239" s="253" t="n">
        <v>0</v>
      </c>
      <c r="AV239" s="253" t="n">
        <v>0</v>
      </c>
      <c r="AW239" s="253" t="n">
        <v>0</v>
      </c>
      <c r="AX239" s="253" t="n">
        <v>0</v>
      </c>
      <c r="AY239" s="253" t="n">
        <v>0</v>
      </c>
      <c r="AZ239" s="253" t="n">
        <v>0</v>
      </c>
      <c r="BA239" s="253" t="n">
        <v>0</v>
      </c>
      <c r="BB239" s="253" t="n">
        <v>0</v>
      </c>
      <c r="BC239" s="253" t="n">
        <v>0</v>
      </c>
      <c r="BD239" s="253" t="n">
        <v>0</v>
      </c>
      <c r="BE239" s="253" t="n">
        <v>0</v>
      </c>
      <c r="BF239" s="253" t="n">
        <v>0</v>
      </c>
      <c r="BG239" s="253" t="n">
        <v>0</v>
      </c>
      <c r="BH239" s="253" t="n">
        <v>0</v>
      </c>
      <c r="BI239" s="253" t="n">
        <v>0</v>
      </c>
      <c r="BJ239" s="253" t="n">
        <v>0</v>
      </c>
      <c r="BK239" s="253" t="n">
        <v>0</v>
      </c>
      <c r="BL239" s="253" t="n">
        <v>0</v>
      </c>
      <c r="BM239" s="253" t="n">
        <v>0</v>
      </c>
      <c r="BN239" s="253" t="n">
        <v>-5.38</v>
      </c>
      <c r="BO239" s="253" t="n">
        <v>-5.918</v>
      </c>
      <c r="BP239" s="253" t="n">
        <v>-5.369</v>
      </c>
      <c r="BQ239" s="253" t="n">
        <v>-16.667</v>
      </c>
      <c r="BR239" s="253" t="n">
        <v>-6.33</v>
      </c>
      <c r="BS239" s="253" t="n">
        <v>-7.308</v>
      </c>
      <c r="BT239" s="253" t="n">
        <v>-8.193</v>
      </c>
      <c r="BU239" s="253" t="n">
        <v>-8.654</v>
      </c>
      <c r="BV239" s="253" t="n">
        <v>-30.485</v>
      </c>
      <c r="BW239" s="253" t="n">
        <v>-8.48</v>
      </c>
      <c r="BX239" s="253" t="n">
        <v>-8.776</v>
      </c>
      <c r="BY239" s="253" t="n">
        <v>-9.234999999999999</v>
      </c>
      <c r="BZ239" s="35" t="n"/>
      <c r="CA239" s="254">
        <f>SUM(BW239:BY239)-$CQ$25</f>
        <v>-35.991</v>
      </c>
      <c r="CB239" s="254">
        <f>-CB127*CB270</f>
        <v>-39.1834423736414</v>
      </c>
      <c r="CC239" s="254">
        <f>-CC127*CC270</f>
        <v>-43.2349421221862</v>
      </c>
      <c r="CD239" s="254">
        <f>-CD127*CD270</f>
        <v>-47.3175229890253</v>
      </c>
      <c r="CE239" s="254">
        <f>-CE127*CE270</f>
        <v>-51.4807449197989</v>
      </c>
      <c r="CF239" s="254">
        <f>-CF127*CF270</f>
        <v>-55.6704407692624</v>
      </c>
      <c r="CG239" s="19" t="n"/>
    </row>
    <row r="240" ht="15" customHeight="1" s="251">
      <c r="B240" s="25" t="inlineStr">
        <is>
          <t>Cash paid for acquisitions, net of cash acquired</t>
        </is>
      </c>
      <c r="C240" s="253" t="n">
        <v>0</v>
      </c>
      <c r="D240" s="253" t="n">
        <v>0</v>
      </c>
      <c r="E240" s="253" t="n">
        <v>-33.336</v>
      </c>
      <c r="F240" s="253" t="n">
        <v>0</v>
      </c>
      <c r="G240" s="253" t="n">
        <v>0</v>
      </c>
      <c r="H240" s="253" t="n">
        <v>0</v>
      </c>
      <c r="I240" s="253" t="n">
        <v>-123.631</v>
      </c>
      <c r="J240" s="253" t="n">
        <v>-27.605</v>
      </c>
      <c r="K240" s="253" t="n">
        <v>-0.833</v>
      </c>
      <c r="L240" s="253" t="n">
        <v>-4.436</v>
      </c>
      <c r="M240" s="253" t="n">
        <v>0</v>
      </c>
      <c r="N240" s="253" t="n">
        <v>-32.874</v>
      </c>
      <c r="O240" s="253" t="n">
        <v>0</v>
      </c>
      <c r="P240" s="253" t="n">
        <v>0</v>
      </c>
      <c r="Q240" s="253" t="n">
        <v>-7.253</v>
      </c>
      <c r="R240" s="253" t="n">
        <v>0</v>
      </c>
      <c r="S240" s="253" t="n">
        <v>-7.253</v>
      </c>
      <c r="T240" s="253" t="n">
        <v>0</v>
      </c>
      <c r="U240" s="253" t="n">
        <v>-56.621</v>
      </c>
      <c r="V240" s="253" t="n">
        <v>-0.371</v>
      </c>
      <c r="W240" s="253" t="n">
        <v>0</v>
      </c>
      <c r="X240" s="253" t="n">
        <v>-56.992</v>
      </c>
      <c r="Y240" s="253" t="n">
        <v>0</v>
      </c>
      <c r="Z240" s="253" t="n">
        <v>0</v>
      </c>
      <c r="AA240" s="253" t="n">
        <v>-5.683</v>
      </c>
      <c r="AB240" s="253" t="n">
        <v>0</v>
      </c>
      <c r="AC240" s="253" t="n">
        <v>-5.683</v>
      </c>
      <c r="AD240" s="253" t="n">
        <v>0</v>
      </c>
      <c r="AE240" s="253" t="n">
        <v>0</v>
      </c>
      <c r="AF240" s="253" t="n">
        <v>0</v>
      </c>
      <c r="AG240" s="253" t="n">
        <v>0</v>
      </c>
      <c r="AH240" s="253" t="n">
        <v>0</v>
      </c>
      <c r="AI240" s="253" t="n">
        <v>0</v>
      </c>
      <c r="AJ240" s="253" t="n">
        <v>0</v>
      </c>
      <c r="AK240" s="253" t="n">
        <v>0</v>
      </c>
      <c r="AL240" s="253" t="n">
        <v>0</v>
      </c>
      <c r="AM240" s="253" t="n">
        <v>0</v>
      </c>
      <c r="AN240" s="253" t="n">
        <v>0</v>
      </c>
      <c r="AO240" s="253" t="n">
        <v>0</v>
      </c>
      <c r="AP240" s="253" t="n">
        <v>0</v>
      </c>
      <c r="AQ240" s="253" t="n">
        <v>-15.855</v>
      </c>
      <c r="AR240" s="253" t="n">
        <v>-15.855</v>
      </c>
      <c r="AS240" s="253" t="n">
        <v>0</v>
      </c>
      <c r="AT240" s="253" t="n">
        <v>0</v>
      </c>
      <c r="AU240" s="253" t="n">
        <v>0</v>
      </c>
      <c r="AV240" s="253" t="n">
        <v>0</v>
      </c>
      <c r="AW240" s="253" t="n">
        <v>0</v>
      </c>
      <c r="AX240" s="253" t="n">
        <v>0</v>
      </c>
      <c r="AY240" s="253" t="n">
        <v>0</v>
      </c>
      <c r="AZ240" s="253" t="n">
        <v>0</v>
      </c>
      <c r="BA240" s="253" t="n">
        <v>0</v>
      </c>
      <c r="BB240" s="253" t="n">
        <v>0</v>
      </c>
      <c r="BC240" s="253" t="n">
        <v>0</v>
      </c>
      <c r="BD240" s="253" t="n">
        <v>0</v>
      </c>
      <c r="BE240" s="253" t="n">
        <v>0</v>
      </c>
      <c r="BF240" s="253" t="n">
        <v>0</v>
      </c>
      <c r="BG240" s="253" t="n">
        <v>0</v>
      </c>
      <c r="BH240" s="253" t="n">
        <v>0</v>
      </c>
      <c r="BI240" s="253" t="n">
        <v>0</v>
      </c>
      <c r="BJ240" s="253" t="n">
        <v>0</v>
      </c>
      <c r="BK240" s="253" t="n">
        <v>0</v>
      </c>
      <c r="BL240" s="253" t="n">
        <v>0</v>
      </c>
      <c r="BM240" s="253" t="n">
        <v>0</v>
      </c>
      <c r="BN240" s="253" t="n">
        <v>0</v>
      </c>
      <c r="BO240" s="253" t="n">
        <v>0</v>
      </c>
      <c r="BP240" s="253" t="n">
        <v>0</v>
      </c>
      <c r="BQ240" s="253" t="n">
        <v>0</v>
      </c>
      <c r="BR240" s="253" t="n">
        <v>0</v>
      </c>
      <c r="BS240" s="253" t="n">
        <v>0</v>
      </c>
      <c r="BT240" s="253" t="n">
        <v>0</v>
      </c>
      <c r="BU240" s="253" t="n">
        <v>0</v>
      </c>
      <c r="BV240" s="253" t="n">
        <v>0</v>
      </c>
      <c r="BW240" s="253" t="n">
        <v>0</v>
      </c>
      <c r="BX240" s="253" t="n">
        <v>0</v>
      </c>
      <c r="BY240" s="253" t="n">
        <v>0</v>
      </c>
      <c r="BZ240" s="35" t="n"/>
      <c r="CA240" s="254">
        <f>SUM(BW240:BY240)</f>
        <v>0</v>
      </c>
      <c r="CB240" s="254">
        <f>-CB72</f>
        <v>0</v>
      </c>
      <c r="CC240" s="254">
        <f>-CC72</f>
        <v>0</v>
      </c>
      <c r="CD240" s="254">
        <f>-CD72</f>
        <v>0</v>
      </c>
      <c r="CE240" s="254">
        <f>-CE72</f>
        <v>0</v>
      </c>
      <c r="CF240" s="254">
        <f>-CF72</f>
        <v>0</v>
      </c>
      <c r="CG240" s="19" t="n"/>
    </row>
    <row r="241" ht="15" customHeight="1" s="251">
      <c r="B241" s="25" t="inlineStr">
        <is>
          <t>Proceeds from product-line asset sales &amp; business divestitures</t>
        </is>
      </c>
      <c r="C241" s="253" t="n">
        <v>53.39</v>
      </c>
      <c r="D241" s="253" t="n">
        <v>30.574</v>
      </c>
      <c r="E241" s="253" t="n">
        <v>19.116</v>
      </c>
      <c r="F241" s="253" t="n">
        <v>11.4</v>
      </c>
      <c r="G241" s="253" t="n">
        <v>12.246</v>
      </c>
      <c r="H241" s="253" t="n">
        <v>13.644</v>
      </c>
      <c r="I241" s="253" t="n">
        <v>0</v>
      </c>
      <c r="J241" s="253" t="n">
        <v>0</v>
      </c>
      <c r="K241" s="253" t="n">
        <v>0</v>
      </c>
      <c r="L241" s="253" t="n">
        <v>0</v>
      </c>
      <c r="M241" s="253" t="n">
        <v>0</v>
      </c>
      <c r="N241" s="253" t="n">
        <v>0</v>
      </c>
      <c r="O241" s="253" t="n">
        <v>0</v>
      </c>
      <c r="P241" s="253" t="n">
        <v>0</v>
      </c>
      <c r="Q241" s="253" t="n">
        <v>0</v>
      </c>
      <c r="R241" s="253" t="n">
        <v>0</v>
      </c>
      <c r="S241" s="253" t="n">
        <v>0</v>
      </c>
      <c r="T241" s="253" t="n">
        <v>0</v>
      </c>
      <c r="U241" s="253" t="n">
        <v>0</v>
      </c>
      <c r="V241" s="253" t="n">
        <v>0</v>
      </c>
      <c r="W241" s="253" t="n">
        <v>0</v>
      </c>
      <c r="X241" s="253" t="n">
        <v>0</v>
      </c>
      <c r="Y241" s="253" t="n">
        <v>0</v>
      </c>
      <c r="Z241" s="253" t="n">
        <v>0</v>
      </c>
      <c r="AA241" s="253" t="n">
        <v>0</v>
      </c>
      <c r="AB241" s="253" t="n">
        <v>0</v>
      </c>
      <c r="AC241" s="253" t="n">
        <v>0</v>
      </c>
      <c r="AD241" s="253" t="n">
        <v>0</v>
      </c>
      <c r="AE241" s="253" t="n">
        <v>0</v>
      </c>
      <c r="AF241" s="253" t="n">
        <v>0</v>
      </c>
      <c r="AG241" s="253" t="n">
        <v>0</v>
      </c>
      <c r="AH241" s="253" t="n">
        <v>0</v>
      </c>
      <c r="AI241" s="253" t="n">
        <v>0</v>
      </c>
      <c r="AJ241" s="253" t="n">
        <v>0</v>
      </c>
      <c r="AK241" s="253" t="n">
        <v>0</v>
      </c>
      <c r="AL241" s="253" t="n">
        <v>0</v>
      </c>
      <c r="AM241" s="253" t="n">
        <v>0</v>
      </c>
      <c r="AN241" s="253" t="n">
        <v>0</v>
      </c>
      <c r="AO241" s="253" t="n">
        <v>0</v>
      </c>
      <c r="AP241" s="253" t="n">
        <v>0</v>
      </c>
      <c r="AQ241" s="253" t="n">
        <v>0</v>
      </c>
      <c r="AR241" s="253" t="n">
        <v>0</v>
      </c>
      <c r="AS241" s="253" t="n">
        <v>0</v>
      </c>
      <c r="AT241" s="253" t="n">
        <v>0</v>
      </c>
      <c r="AU241" s="253" t="n">
        <v>0</v>
      </c>
      <c r="AV241" s="253" t="n">
        <v>0</v>
      </c>
      <c r="AW241" s="253" t="n">
        <v>0</v>
      </c>
      <c r="AX241" s="253" t="n">
        <v>8.291</v>
      </c>
      <c r="AY241" s="253" t="n">
        <v>-8.291</v>
      </c>
      <c r="AZ241" s="253" t="n">
        <v>146.428</v>
      </c>
      <c r="BA241" s="253" t="n">
        <v>1.003</v>
      </c>
      <c r="BB241" s="253" t="n">
        <v>147.431</v>
      </c>
      <c r="BC241" s="253" t="n">
        <v>2.257</v>
      </c>
      <c r="BD241" s="253" t="n">
        <v>0</v>
      </c>
      <c r="BE241" s="253" t="n">
        <v>0</v>
      </c>
      <c r="BF241" s="253" t="n">
        <v>0.001</v>
      </c>
      <c r="BG241" s="253" t="n">
        <v>2.258</v>
      </c>
      <c r="BH241" s="253" t="n">
        <v>-7.575</v>
      </c>
      <c r="BI241" s="253" t="n">
        <v>1.449</v>
      </c>
      <c r="BJ241" s="253" t="n">
        <v>0</v>
      </c>
      <c r="BK241" s="253" t="n">
        <v>0</v>
      </c>
      <c r="BL241" s="253" t="n">
        <v>-6.126</v>
      </c>
      <c r="BM241" s="253" t="n">
        <v>0</v>
      </c>
      <c r="BN241" s="253" t="n">
        <v>0</v>
      </c>
      <c r="BO241" s="253" t="n">
        <v>0</v>
      </c>
      <c r="BP241" s="253" t="n">
        <v>0</v>
      </c>
      <c r="BQ241" s="253" t="n">
        <v>0</v>
      </c>
      <c r="BR241" s="253" t="n">
        <v>0</v>
      </c>
      <c r="BS241" s="253" t="n">
        <v>0</v>
      </c>
      <c r="BT241" s="253" t="n">
        <v>0</v>
      </c>
      <c r="BU241" s="253" t="n">
        <v>0</v>
      </c>
      <c r="BV241" s="253" t="n">
        <v>0</v>
      </c>
      <c r="BW241" s="253" t="n">
        <v>0</v>
      </c>
      <c r="BX241" s="253" t="n">
        <v>0</v>
      </c>
      <c r="BY241" s="253" t="n">
        <v>0</v>
      </c>
      <c r="BZ241" s="35" t="n"/>
      <c r="CA241" s="254">
        <f>SUM(BW241:BY241)</f>
        <v>0</v>
      </c>
      <c r="CB241" s="277" t="n">
        <v>0</v>
      </c>
      <c r="CC241" s="277" t="n">
        <v>0</v>
      </c>
      <c r="CD241" s="277" t="n">
        <v>0</v>
      </c>
      <c r="CE241" s="277" t="n">
        <v>0</v>
      </c>
      <c r="CF241" s="277" t="n">
        <v>0</v>
      </c>
      <c r="CG241" s="19" t="n"/>
    </row>
    <row r="242" ht="15" customHeight="1" s="251">
      <c r="B242" s="25" t="inlineStr">
        <is>
          <t>Marketable securities &amp; other investing, net (derived)</t>
        </is>
      </c>
      <c r="C242" s="253" t="n">
        <v>-39.008</v>
      </c>
      <c r="D242" s="253" t="n">
        <v>29.599</v>
      </c>
      <c r="E242" s="253" t="n">
        <v>5.881</v>
      </c>
      <c r="F242" s="253" t="n">
        <v>-79.389</v>
      </c>
      <c r="G242" s="253" t="n">
        <v>115.844</v>
      </c>
      <c r="H242" s="253" t="n">
        <v>-51.325</v>
      </c>
      <c r="I242" s="253" t="n">
        <v>83.444</v>
      </c>
      <c r="J242" s="253" t="n">
        <v>22.05</v>
      </c>
      <c r="K242" s="253" t="n">
        <v>0</v>
      </c>
      <c r="L242" s="253" t="n">
        <v>0</v>
      </c>
      <c r="M242" s="253" t="n">
        <v>0</v>
      </c>
      <c r="N242" s="253" t="n">
        <v>22.05</v>
      </c>
      <c r="O242" s="253" t="n">
        <v>0</v>
      </c>
      <c r="P242" s="253" t="n">
        <v>0</v>
      </c>
      <c r="Q242" s="253" t="n">
        <v>0</v>
      </c>
      <c r="R242" s="253" t="n">
        <v>0</v>
      </c>
      <c r="S242" s="253" t="n">
        <v>0</v>
      </c>
      <c r="T242" s="253" t="n">
        <v>0.075</v>
      </c>
      <c r="U242" s="253" t="n">
        <v>0</v>
      </c>
      <c r="V242" s="253" t="n">
        <v>0</v>
      </c>
      <c r="W242" s="253" t="n">
        <v>0</v>
      </c>
      <c r="X242" s="253" t="n">
        <v>0.075</v>
      </c>
      <c r="Y242" s="253" t="n">
        <v>0</v>
      </c>
      <c r="Z242" s="253" t="n">
        <v>0</v>
      </c>
      <c r="AA242" s="253" t="n">
        <v>0.037</v>
      </c>
      <c r="AB242" s="253" t="n">
        <v>0</v>
      </c>
      <c r="AC242" s="253" t="n">
        <v>0.037</v>
      </c>
      <c r="AD242" s="253" t="n">
        <v>0</v>
      </c>
      <c r="AE242" s="253" t="n">
        <v>0</v>
      </c>
      <c r="AF242" s="253" t="n">
        <v>-0.777</v>
      </c>
      <c r="AG242" s="253" t="n">
        <v>0</v>
      </c>
      <c r="AH242" s="253" t="n">
        <v>-0.777</v>
      </c>
      <c r="AI242" s="253" t="n">
        <v>-1.935</v>
      </c>
      <c r="AJ242" s="253" t="n">
        <v>-0.21</v>
      </c>
      <c r="AK242" s="253" t="n">
        <v>-0.359</v>
      </c>
      <c r="AL242" s="253" t="n">
        <v>19.684</v>
      </c>
      <c r="AM242" s="253" t="n">
        <v>17.18</v>
      </c>
      <c r="AN242" s="253" t="n">
        <v>-2.201</v>
      </c>
      <c r="AO242" s="253" t="n">
        <v>0.07199999999999999</v>
      </c>
      <c r="AP242" s="253" t="n">
        <v>-0.501</v>
      </c>
      <c r="AQ242" s="253" t="n">
        <v>-0.294</v>
      </c>
      <c r="AR242" s="253" t="n">
        <v>-2.924</v>
      </c>
      <c r="AS242" s="253" t="n">
        <v>-2.511</v>
      </c>
      <c r="AT242" s="253" t="n">
        <v>0.719</v>
      </c>
      <c r="AU242" s="253" t="n">
        <v>-0.481</v>
      </c>
      <c r="AV242" s="253" t="n">
        <v>-0.321</v>
      </c>
      <c r="AW242" s="253" t="n">
        <v>-2.594</v>
      </c>
      <c r="AX242" s="253" t="n">
        <v>-1.384</v>
      </c>
      <c r="AY242" s="253" t="n">
        <v>7.35</v>
      </c>
      <c r="AZ242" s="253" t="n">
        <v>-9.003</v>
      </c>
      <c r="BA242" s="253" t="n">
        <v>1.025</v>
      </c>
      <c r="BB242" s="253" t="n">
        <v>-2.012</v>
      </c>
      <c r="BC242" s="253" t="n">
        <v>-2.634</v>
      </c>
      <c r="BD242" s="253" t="n">
        <v>0.006</v>
      </c>
      <c r="BE242" s="253" t="n">
        <v>1.181</v>
      </c>
      <c r="BF242" s="253" t="n">
        <v>-0.453</v>
      </c>
      <c r="BG242" s="253" t="n">
        <v>-1.9</v>
      </c>
      <c r="BH242" s="253" t="n">
        <v>-2.165</v>
      </c>
      <c r="BI242" s="253" t="n">
        <v>-1.219</v>
      </c>
      <c r="BJ242" s="253" t="n">
        <v>-0.295</v>
      </c>
      <c r="BK242" s="253" t="n">
        <v>-1.912</v>
      </c>
      <c r="BL242" s="253" t="n">
        <v>-5.591</v>
      </c>
      <c r="BM242" s="253" t="n">
        <v>-1.057</v>
      </c>
      <c r="BN242" s="253" t="n">
        <v>-0.2</v>
      </c>
      <c r="BO242" s="253" t="n">
        <v>-0.749</v>
      </c>
      <c r="BP242" s="253" t="n">
        <v>-0.436</v>
      </c>
      <c r="BQ242" s="253" t="n">
        <v>-2.442</v>
      </c>
      <c r="BR242" s="253" t="n">
        <v>-1.771</v>
      </c>
      <c r="BS242" s="253" t="n">
        <v>-1.514</v>
      </c>
      <c r="BT242" s="253" t="n">
        <v>-0.523</v>
      </c>
      <c r="BU242" s="253" t="n">
        <v>-0.504</v>
      </c>
      <c r="BV242" s="253" t="n">
        <v>-4.312</v>
      </c>
      <c r="BW242" s="253" t="n">
        <v>-4.028</v>
      </c>
      <c r="BX242" s="253" t="n">
        <v>0.628</v>
      </c>
      <c r="BY242" s="253" t="n">
        <v>-8.029999999999999</v>
      </c>
      <c r="BZ242" s="35" t="n"/>
      <c r="CA242" s="254">
        <f>SUM(BW242:BY242)</f>
        <v>-11.43</v>
      </c>
      <c r="CB242" s="277" t="n">
        <v>0</v>
      </c>
      <c r="CC242" s="277" t="n">
        <v>0</v>
      </c>
      <c r="CD242" s="277" t="n">
        <v>0</v>
      </c>
      <c r="CE242" s="277" t="n">
        <v>0</v>
      </c>
      <c r="CF242" s="277" t="n">
        <v>0</v>
      </c>
      <c r="CG242" s="19" t="n"/>
    </row>
    <row r="243" ht="15" customHeight="1" s="251">
      <c r="B243" s="16" t="inlineStr">
        <is>
          <t>Net cash used in investing activities</t>
        </is>
      </c>
      <c r="C243" s="284" t="n">
        <v>-17.027</v>
      </c>
      <c r="D243" s="284" t="n">
        <v>37.438</v>
      </c>
      <c r="E243" s="284" t="n">
        <v>-31.119</v>
      </c>
      <c r="F243" s="284" t="n">
        <v>-81.947</v>
      </c>
      <c r="G243" s="284" t="n">
        <v>110.637</v>
      </c>
      <c r="H243" s="284" t="n">
        <v>-51.701</v>
      </c>
      <c r="I243" s="284" t="n">
        <v>-65.67</v>
      </c>
      <c r="J243" s="284" t="n">
        <v>-14.567</v>
      </c>
      <c r="K243" s="284" t="n">
        <v>-8.944000000000001</v>
      </c>
      <c r="L243" s="284" t="n">
        <v>-7.748</v>
      </c>
      <c r="M243" s="284" t="n">
        <v>-3.712</v>
      </c>
      <c r="N243" s="284" t="n">
        <v>-34.971</v>
      </c>
      <c r="O243" s="284" t="n">
        <v>-2.154</v>
      </c>
      <c r="P243" s="284" t="n">
        <v>-2.142</v>
      </c>
      <c r="Q243" s="284" t="n">
        <v>-10.045</v>
      </c>
      <c r="R243" s="284" t="n">
        <v>-5.502</v>
      </c>
      <c r="S243" s="284" t="n">
        <v>-19.843</v>
      </c>
      <c r="T243" s="284" t="n">
        <v>-5.592</v>
      </c>
      <c r="U243" s="284" t="n">
        <v>-61.205</v>
      </c>
      <c r="V243" s="284" t="n">
        <v>-8.385999999999999</v>
      </c>
      <c r="W243" s="284" t="n">
        <v>-6.733</v>
      </c>
      <c r="X243" s="284" t="n">
        <v>-81.916</v>
      </c>
      <c r="Y243" s="284" t="n">
        <v>-4.294</v>
      </c>
      <c r="Z243" s="284" t="n">
        <v>-3.513</v>
      </c>
      <c r="AA243" s="284" t="n">
        <v>-10.38</v>
      </c>
      <c r="AB243" s="284" t="n">
        <v>-9.428000000000001</v>
      </c>
      <c r="AC243" s="284" t="n">
        <v>-27.615</v>
      </c>
      <c r="AD243" s="284" t="n">
        <v>-4.319</v>
      </c>
      <c r="AE243" s="284" t="n">
        <v>-5.285</v>
      </c>
      <c r="AF243" s="284" t="n">
        <v>-5.965</v>
      </c>
      <c r="AG243" s="284" t="n">
        <v>-5.036</v>
      </c>
      <c r="AH243" s="284" t="n">
        <v>-20.605</v>
      </c>
      <c r="AI243" s="284" t="n">
        <v>-5.979</v>
      </c>
      <c r="AJ243" s="284" t="n">
        <v>-7.277</v>
      </c>
      <c r="AK243" s="284" t="n">
        <v>-13.468</v>
      </c>
      <c r="AL243" s="284" t="n">
        <v>12.605</v>
      </c>
      <c r="AM243" s="284" t="n">
        <v>-14.119</v>
      </c>
      <c r="AN243" s="284" t="n">
        <v>-8.675000000000001</v>
      </c>
      <c r="AO243" s="284" t="n">
        <v>-4.098</v>
      </c>
      <c r="AP243" s="284" t="n">
        <v>-8.026999999999999</v>
      </c>
      <c r="AQ243" s="284" t="n">
        <v>-21.96</v>
      </c>
      <c r="AR243" s="284" t="n">
        <v>-42.76</v>
      </c>
      <c r="AS243" s="284" t="n">
        <v>-9.010999999999999</v>
      </c>
      <c r="AT243" s="284" t="n">
        <v>-5.947</v>
      </c>
      <c r="AU243" s="284" t="n">
        <v>-8.388</v>
      </c>
      <c r="AV243" s="284" t="n">
        <v>-1.237</v>
      </c>
      <c r="AW243" s="284" t="n">
        <v>-24.583</v>
      </c>
      <c r="AX243" s="284" t="n">
        <v>3.862</v>
      </c>
      <c r="AY243" s="284" t="n">
        <v>-2.116</v>
      </c>
      <c r="AZ243" s="284" t="n">
        <v>135.853</v>
      </c>
      <c r="BA243" s="284" t="n">
        <v>0.251</v>
      </c>
      <c r="BB243" s="284" t="n">
        <v>137.85</v>
      </c>
      <c r="BC243" s="284" t="n">
        <v>-1.272</v>
      </c>
      <c r="BD243" s="284" t="n">
        <v>-2.392</v>
      </c>
      <c r="BE243" s="284" t="n">
        <v>-0.758</v>
      </c>
      <c r="BF243" s="284" t="n">
        <v>-1.249</v>
      </c>
      <c r="BG243" s="284" t="n">
        <v>-5.671</v>
      </c>
      <c r="BH243" s="284" t="n">
        <v>-10.59</v>
      </c>
      <c r="BI243" s="284" t="n">
        <v>-1.297</v>
      </c>
      <c r="BJ243" s="284" t="n">
        <v>-1.087</v>
      </c>
      <c r="BK243" s="284" t="n">
        <v>-2.98</v>
      </c>
      <c r="BL243" s="284" t="n">
        <v>-15.954</v>
      </c>
      <c r="BM243" s="284" t="n">
        <v>-2.418</v>
      </c>
      <c r="BN243" s="284" t="n">
        <v>-9.622</v>
      </c>
      <c r="BO243" s="284" t="n">
        <v>-8.394</v>
      </c>
      <c r="BP243" s="284" t="n">
        <v>-7.559</v>
      </c>
      <c r="BQ243" s="284" t="n">
        <v>-27.993</v>
      </c>
      <c r="BR243" s="284" t="n">
        <v>-8.942</v>
      </c>
      <c r="BS243" s="284" t="n">
        <v>-10.941</v>
      </c>
      <c r="BT243" s="284" t="n">
        <v>-10.507</v>
      </c>
      <c r="BU243" s="284" t="n">
        <v>-13.329</v>
      </c>
      <c r="BV243" s="284" t="n">
        <v>-43.719</v>
      </c>
      <c r="BW243" s="284" t="n">
        <v>-12.734</v>
      </c>
      <c r="BX243" s="284" t="n">
        <v>-8.414</v>
      </c>
      <c r="BY243" s="284" t="n">
        <v>-18.128</v>
      </c>
      <c r="BZ243" s="32" t="n"/>
      <c r="CA243" s="260">
        <f>SUM(CA238:CA242)</f>
        <v>-49.376</v>
      </c>
      <c r="CB243" s="260">
        <f>SUM(CB238:CB242)</f>
        <v>-44.7810769984473</v>
      </c>
      <c r="CC243" s="260">
        <f>SUM(CC238:CC242)</f>
        <v>-49.4113624253556</v>
      </c>
      <c r="CD243" s="260">
        <f>SUM(CD238:CD242)</f>
        <v>-54.0771691303147</v>
      </c>
      <c r="CE243" s="260">
        <f>SUM(CE238:CE242)</f>
        <v>-58.8351370511988</v>
      </c>
      <c r="CF243" s="260">
        <f>SUM(CF238:CF242)</f>
        <v>-63.6233608791571</v>
      </c>
      <c r="CG243" s="153" t="n"/>
    </row>
    <row r="244" ht="15" customHeight="1" s="251">
      <c r="B244" s="25" t="inlineStr">
        <is>
          <t>Repurchases of common stock</t>
        </is>
      </c>
      <c r="C244" s="253" t="n">
        <v>-256.487</v>
      </c>
      <c r="D244" s="253" t="n">
        <v>-451.088</v>
      </c>
      <c r="E244" s="253" t="n">
        <v>-116.642</v>
      </c>
      <c r="F244" s="253" t="n">
        <v>-18.5</v>
      </c>
      <c r="G244" s="253" t="n">
        <v>-196.119</v>
      </c>
      <c r="H244" s="253" t="n">
        <v>-91.422</v>
      </c>
      <c r="I244" s="253" t="n">
        <v>-191.056</v>
      </c>
      <c r="J244" s="253" t="n">
        <v>0</v>
      </c>
      <c r="K244" s="253" t="n">
        <v>0</v>
      </c>
      <c r="L244" s="253" t="n">
        <v>-47.811</v>
      </c>
      <c r="M244" s="253" t="n">
        <v>-34.941</v>
      </c>
      <c r="N244" s="253" t="n">
        <v>-82.752</v>
      </c>
      <c r="O244" s="253" t="n">
        <v>-27.125</v>
      </c>
      <c r="P244" s="253" t="n">
        <v>-40.016</v>
      </c>
      <c r="Q244" s="253" t="n">
        <v>-85.188</v>
      </c>
      <c r="R244" s="253" t="n">
        <v>-64.70999999999999</v>
      </c>
      <c r="S244" s="253" t="n">
        <v>-217.039</v>
      </c>
      <c r="T244" s="253" t="n">
        <v>-60.593</v>
      </c>
      <c r="U244" s="253" t="n">
        <v>-40.12</v>
      </c>
      <c r="V244" s="253" t="n">
        <v>-30.006</v>
      </c>
      <c r="W244" s="253" t="n">
        <v>0</v>
      </c>
      <c r="X244" s="253" t="n">
        <v>-130.719</v>
      </c>
      <c r="Y244" s="253" t="n">
        <v>-28.382</v>
      </c>
      <c r="Z244" s="253" t="n">
        <v>-40.008</v>
      </c>
      <c r="AA244" s="253" t="n">
        <v>-27.731</v>
      </c>
      <c r="AB244" s="253" t="n">
        <v>-42.278</v>
      </c>
      <c r="AC244" s="253" t="n">
        <v>-138.399</v>
      </c>
      <c r="AD244" s="253" t="n">
        <v>-30.442</v>
      </c>
      <c r="AE244" s="253" t="n">
        <v>-44.205</v>
      </c>
      <c r="AF244" s="253" t="n">
        <v>-41.694</v>
      </c>
      <c r="AG244" s="253" t="n">
        <v>-71.288</v>
      </c>
      <c r="AH244" s="253" t="n">
        <v>-187.629</v>
      </c>
      <c r="AI244" s="253" t="n">
        <v>-55.263</v>
      </c>
      <c r="AJ244" s="253" t="n">
        <v>-69.452</v>
      </c>
      <c r="AK244" s="253" t="n">
        <v>-104.825</v>
      </c>
      <c r="AL244" s="253" t="n">
        <v>-113.056</v>
      </c>
      <c r="AM244" s="253" t="n">
        <v>-342.596</v>
      </c>
      <c r="AN244" s="253" t="n">
        <v>-82.7</v>
      </c>
      <c r="AO244" s="253" t="n">
        <v>-37.023</v>
      </c>
      <c r="AP244" s="253" t="n">
        <v>-59.203</v>
      </c>
      <c r="AQ244" s="253" t="n">
        <v>-49.968</v>
      </c>
      <c r="AR244" s="253" t="n">
        <v>-228.894</v>
      </c>
      <c r="AS244" s="253" t="n">
        <v>-60.009</v>
      </c>
      <c r="AT244" s="253" t="n">
        <v>-87.999</v>
      </c>
      <c r="AU244" s="253" t="n">
        <v>-61.992</v>
      </c>
      <c r="AV244" s="253" t="n">
        <v>-25.223</v>
      </c>
      <c r="AW244" s="253" t="n">
        <v>-235.223</v>
      </c>
      <c r="AX244" s="253" t="n">
        <v>-50.011</v>
      </c>
      <c r="AY244" s="253" t="n">
        <v>-200.345</v>
      </c>
      <c r="AZ244" s="253" t="n">
        <v>-290.849</v>
      </c>
      <c r="BA244" s="253" t="n">
        <v>-332.974</v>
      </c>
      <c r="BB244" s="253" t="n">
        <v>-874.179</v>
      </c>
      <c r="BC244" s="253" t="n">
        <v>-482.755</v>
      </c>
      <c r="BD244" s="253" t="n">
        <v>-278.106</v>
      </c>
      <c r="BE244" s="253" t="n">
        <v>-287.166</v>
      </c>
      <c r="BF244" s="253" t="n">
        <v>-56.153</v>
      </c>
      <c r="BG244" s="253" t="n">
        <v>-1104.18</v>
      </c>
      <c r="BH244" s="253" t="n">
        <v>-75.004</v>
      </c>
      <c r="BI244" s="253" t="n">
        <v>-109.286</v>
      </c>
      <c r="BJ244" s="253" t="n">
        <v>-100.868</v>
      </c>
      <c r="BK244" s="253" t="n">
        <v>-120.368</v>
      </c>
      <c r="BL244" s="253" t="n">
        <v>-405.526</v>
      </c>
      <c r="BM244" s="253" t="n">
        <v>-71.70399999999999</v>
      </c>
      <c r="BN244" s="253" t="n">
        <v>-171.769</v>
      </c>
      <c r="BO244" s="253" t="n">
        <v>-254.698</v>
      </c>
      <c r="BP244" s="253" t="n">
        <v>-323.531</v>
      </c>
      <c r="BQ244" s="253" t="n">
        <v>-821.702</v>
      </c>
      <c r="BR244" s="253" t="n">
        <v>-162.581</v>
      </c>
      <c r="BS244" s="253" t="n">
        <v>-217.157</v>
      </c>
      <c r="BT244" s="253" t="n">
        <v>-486.782</v>
      </c>
      <c r="BU244" s="253" t="n">
        <v>-547.982</v>
      </c>
      <c r="BV244" s="253" t="n">
        <v>-1414.502</v>
      </c>
      <c r="BW244" s="253" t="n">
        <v>-171.169</v>
      </c>
      <c r="BX244" s="253" t="n">
        <v>-605.396</v>
      </c>
      <c r="BY244" s="253" t="n">
        <v>-2269.427</v>
      </c>
      <c r="BZ244" s="35" t="n"/>
      <c r="CA244" s="254">
        <f>SUM(BW244:BY244)-CHOOSE(MATCH($CG$2,{"Bull","Base","Bear"},0),$CP$16,$CQ$16,$CR$16)</f>
        <v>-3345.992</v>
      </c>
      <c r="CB244" s="254">
        <f>-CB353</f>
        <v>-1035.29299572822</v>
      </c>
      <c r="CC244" s="254">
        <f>-CC353</f>
        <v>-1827.99013489306</v>
      </c>
      <c r="CD244" s="254">
        <f>-CD353</f>
        <v>-1912.25464054385</v>
      </c>
      <c r="CE244" s="254">
        <f>-CE353</f>
        <v>-1996.47631677561</v>
      </c>
      <c r="CF244" s="254">
        <f>-CF353</f>
        <v>-2106.01246486777</v>
      </c>
      <c r="CG244" s="19" t="inlineStr">
        <is>
          <t>2026E: 9M actual (incl. the $1.5bn ASR prepaid in June 2026) + Q4 scenario input. 2027E+ = leverage plug (surplus cash returned until net debt / adjusted EBITDA reaches the target).</t>
        </is>
      </c>
    </row>
    <row r="245" ht="15" customHeight="1" s="251">
      <c r="B245" s="25" t="inlineStr">
        <is>
          <t>Dividends paid</t>
        </is>
      </c>
      <c r="C245" s="253" t="n">
        <v>-5.1</v>
      </c>
      <c r="D245" s="253" t="n">
        <v>-4.432</v>
      </c>
      <c r="E245" s="253" t="n">
        <v>-3.897</v>
      </c>
      <c r="F245" s="253" t="n">
        <v>-3.887</v>
      </c>
      <c r="G245" s="253" t="n">
        <v>-3.579</v>
      </c>
      <c r="H245" s="253" t="n">
        <v>-3.14</v>
      </c>
      <c r="I245" s="253" t="n">
        <v>-2.803</v>
      </c>
      <c r="J245" s="253" t="n">
        <v>0</v>
      </c>
      <c r="K245" s="253" t="n">
        <v>0</v>
      </c>
      <c r="L245" s="253" t="n">
        <v>0</v>
      </c>
      <c r="M245" s="253" t="n">
        <v>0</v>
      </c>
      <c r="N245" s="253" t="n">
        <v>0</v>
      </c>
      <c r="O245" s="253" t="n">
        <v>0</v>
      </c>
      <c r="P245" s="253" t="n">
        <v>0</v>
      </c>
      <c r="Q245" s="253" t="n">
        <v>0</v>
      </c>
      <c r="R245" s="253" t="n">
        <v>0</v>
      </c>
      <c r="S245" s="253" t="n">
        <v>0</v>
      </c>
      <c r="T245" s="253" t="n">
        <v>0</v>
      </c>
      <c r="U245" s="253" t="n">
        <v>0</v>
      </c>
      <c r="V245" s="253" t="n">
        <v>0</v>
      </c>
      <c r="W245" s="253" t="n">
        <v>0</v>
      </c>
      <c r="X245" s="253" t="n">
        <v>0</v>
      </c>
      <c r="Y245" s="253" t="n">
        <v>0</v>
      </c>
      <c r="Z245" s="253" t="n">
        <v>0</v>
      </c>
      <c r="AA245" s="253" t="n">
        <v>0</v>
      </c>
      <c r="AB245" s="253" t="n">
        <v>0</v>
      </c>
      <c r="AC245" s="253" t="n">
        <v>0</v>
      </c>
      <c r="AD245" s="253" t="n">
        <v>0</v>
      </c>
      <c r="AE245" s="253" t="n">
        <v>0</v>
      </c>
      <c r="AF245" s="253" t="n">
        <v>0</v>
      </c>
      <c r="AG245" s="253" t="n">
        <v>0</v>
      </c>
      <c r="AH245" s="253" t="n">
        <v>0</v>
      </c>
      <c r="AI245" s="253" t="n">
        <v>0</v>
      </c>
      <c r="AJ245" s="253" t="n">
        <v>0</v>
      </c>
      <c r="AK245" s="253" t="n">
        <v>0</v>
      </c>
      <c r="AL245" s="253" t="n">
        <v>0</v>
      </c>
      <c r="AM245" s="253" t="n">
        <v>0</v>
      </c>
      <c r="AN245" s="253" t="n">
        <v>0</v>
      </c>
      <c r="AO245" s="253" t="n">
        <v>0</v>
      </c>
      <c r="AP245" s="253" t="n">
        <v>0</v>
      </c>
      <c r="AQ245" s="253" t="n">
        <v>0</v>
      </c>
      <c r="AR245" s="253" t="n">
        <v>0</v>
      </c>
      <c r="AS245" s="253" t="n">
        <v>0</v>
      </c>
      <c r="AT245" s="253" t="n">
        <v>0</v>
      </c>
      <c r="AU245" s="253" t="n">
        <v>0</v>
      </c>
      <c r="AV245" s="253" t="n">
        <v>0</v>
      </c>
      <c r="AW245" s="253" t="n">
        <v>0</v>
      </c>
      <c r="AX245" s="253" t="n">
        <v>0</v>
      </c>
      <c r="AY245" s="253" t="n">
        <v>0</v>
      </c>
      <c r="AZ245" s="253" t="n">
        <v>0</v>
      </c>
      <c r="BA245" s="253" t="n">
        <v>0</v>
      </c>
      <c r="BB245" s="253" t="n">
        <v>0</v>
      </c>
      <c r="BC245" s="253" t="n">
        <v>0</v>
      </c>
      <c r="BD245" s="253" t="n">
        <v>0</v>
      </c>
      <c r="BE245" s="253" t="n">
        <v>0</v>
      </c>
      <c r="BF245" s="253" t="n">
        <v>0</v>
      </c>
      <c r="BG245" s="253" t="n">
        <v>0</v>
      </c>
      <c r="BH245" s="253" t="n">
        <v>0</v>
      </c>
      <c r="BI245" s="253" t="n">
        <v>0</v>
      </c>
      <c r="BJ245" s="253" t="n">
        <v>0</v>
      </c>
      <c r="BK245" s="253" t="n">
        <v>0</v>
      </c>
      <c r="BL245" s="253" t="n">
        <v>0</v>
      </c>
      <c r="BM245" s="253" t="n">
        <v>0</v>
      </c>
      <c r="BN245" s="253" t="n">
        <v>0</v>
      </c>
      <c r="BO245" s="253" t="n">
        <v>0</v>
      </c>
      <c r="BP245" s="253" t="n">
        <v>0</v>
      </c>
      <c r="BQ245" s="253" t="n">
        <v>0</v>
      </c>
      <c r="BR245" s="253" t="n">
        <v>0</v>
      </c>
      <c r="BS245" s="253" t="n">
        <v>0</v>
      </c>
      <c r="BT245" s="253" t="n">
        <v>0</v>
      </c>
      <c r="BU245" s="253" t="n">
        <v>0</v>
      </c>
      <c r="BV245" s="253" t="n">
        <v>0</v>
      </c>
      <c r="BW245" s="253" t="n">
        <v>0</v>
      </c>
      <c r="BX245" s="253" t="n">
        <v>0</v>
      </c>
      <c r="BY245" s="253" t="n">
        <v>0</v>
      </c>
      <c r="BZ245" s="35" t="n"/>
      <c r="CA245" s="254">
        <f>SUM(BW245:BY245)</f>
        <v>0</v>
      </c>
      <c r="CB245" s="277" t="n">
        <v>0</v>
      </c>
      <c r="CC245" s="277" t="n">
        <v>0</v>
      </c>
      <c r="CD245" s="277" t="n">
        <v>0</v>
      </c>
      <c r="CE245" s="277" t="n">
        <v>0</v>
      </c>
      <c r="CF245" s="277" t="n">
        <v>0</v>
      </c>
      <c r="CG245" s="19" t="n"/>
    </row>
    <row r="246" ht="15" customHeight="1" s="251">
      <c r="B246" s="25" t="inlineStr">
        <is>
          <t>Proceeds from issuance of stock under employee stock plans</t>
        </is>
      </c>
      <c r="C246" s="253" t="n">
        <v>64.2</v>
      </c>
      <c r="D246" s="253" t="n">
        <v>84.087</v>
      </c>
      <c r="E246" s="253" t="n">
        <v>19.786</v>
      </c>
      <c r="F246" s="253" t="n">
        <v>3.289</v>
      </c>
      <c r="G246" s="253" t="n">
        <v>1.41</v>
      </c>
      <c r="H246" s="253" t="n">
        <v>7.613</v>
      </c>
      <c r="I246" s="253" t="n">
        <v>70.79300000000001</v>
      </c>
      <c r="J246" s="253" t="n">
        <v>6.189</v>
      </c>
      <c r="K246" s="253" t="n">
        <v>9.808999999999999</v>
      </c>
      <c r="L246" s="253" t="n">
        <v>7.792</v>
      </c>
      <c r="M246" s="253" t="n">
        <v>6.466</v>
      </c>
      <c r="N246" s="253" t="n">
        <v>30.256</v>
      </c>
      <c r="O246" s="253" t="n">
        <v>2.011</v>
      </c>
      <c r="P246" s="253" t="n">
        <v>1.674</v>
      </c>
      <c r="Q246" s="253" t="n">
        <v>3.566</v>
      </c>
      <c r="R246" s="253" t="n">
        <v>-0.697</v>
      </c>
      <c r="S246" s="253" t="n">
        <v>6.554</v>
      </c>
      <c r="T246" s="253" t="n">
        <v>6.713</v>
      </c>
      <c r="U246" s="253" t="n">
        <v>5.14</v>
      </c>
      <c r="V246" s="253" t="n">
        <v>1.79</v>
      </c>
      <c r="W246" s="253" t="n">
        <v>4.615</v>
      </c>
      <c r="X246" s="253" t="n">
        <v>18.258</v>
      </c>
      <c r="Y246" s="253" t="n">
        <v>1.199</v>
      </c>
      <c r="Z246" s="253" t="n">
        <v>5.558</v>
      </c>
      <c r="AA246" s="253" t="n">
        <v>1.599</v>
      </c>
      <c r="AB246" s="253" t="n">
        <v>9.472</v>
      </c>
      <c r="AC246" s="253" t="n">
        <v>17.828</v>
      </c>
      <c r="AD246" s="253" t="n">
        <v>3.663</v>
      </c>
      <c r="AE246" s="253" t="n">
        <v>5.451</v>
      </c>
      <c r="AF246" s="253" t="n">
        <v>3.998</v>
      </c>
      <c r="AG246" s="253" t="n">
        <v>1.362</v>
      </c>
      <c r="AH246" s="253" t="n">
        <v>14.474</v>
      </c>
      <c r="AI246" s="253" t="n">
        <v>0.6929999999999999</v>
      </c>
      <c r="AJ246" s="253" t="n">
        <v>1.013</v>
      </c>
      <c r="AK246" s="253" t="n">
        <v>0.786</v>
      </c>
      <c r="AL246" s="253" t="n">
        <v>8.531000000000001</v>
      </c>
      <c r="AM246" s="253" t="n">
        <v>11.023</v>
      </c>
      <c r="AN246" s="253" t="n">
        <v>7.55</v>
      </c>
      <c r="AO246" s="253" t="n">
        <v>5.3</v>
      </c>
      <c r="AP246" s="253" t="n">
        <v>3.223</v>
      </c>
      <c r="AQ246" s="253" t="n">
        <v>6.715</v>
      </c>
      <c r="AR246" s="253" t="n">
        <v>22.788</v>
      </c>
      <c r="AS246" s="253" t="n">
        <v>5.091</v>
      </c>
      <c r="AT246" s="253" t="n">
        <v>18.125</v>
      </c>
      <c r="AU246" s="253" t="n">
        <v>3.019</v>
      </c>
      <c r="AV246" s="253" t="n">
        <v>16.023</v>
      </c>
      <c r="AW246" s="253" t="n">
        <v>42.258</v>
      </c>
      <c r="AX246" s="253" t="n">
        <v>0.057</v>
      </c>
      <c r="AY246" s="253" t="n">
        <v>10.333</v>
      </c>
      <c r="AZ246" s="253" t="n">
        <v>4.19</v>
      </c>
      <c r="BA246" s="253" t="n">
        <v>6.301</v>
      </c>
      <c r="BB246" s="253" t="n">
        <v>20.881</v>
      </c>
      <c r="BC246" s="253" t="n">
        <v>0.55</v>
      </c>
      <c r="BD246" s="253" t="n">
        <v>10.567</v>
      </c>
      <c r="BE246" s="253" t="n">
        <v>0</v>
      </c>
      <c r="BF246" s="253" t="n">
        <v>4.909</v>
      </c>
      <c r="BG246" s="253" t="n">
        <v>16.026</v>
      </c>
      <c r="BH246" s="253" t="n">
        <v>1.995</v>
      </c>
      <c r="BI246" s="253" t="n">
        <v>13.222</v>
      </c>
      <c r="BJ246" s="253" t="n">
        <v>0.398</v>
      </c>
      <c r="BK246" s="253" t="n">
        <v>6.583</v>
      </c>
      <c r="BL246" s="253" t="n">
        <v>22.198</v>
      </c>
      <c r="BM246" s="253" t="n">
        <v>4.499</v>
      </c>
      <c r="BN246" s="253" t="n">
        <v>10.438</v>
      </c>
      <c r="BO246" s="253" t="n">
        <v>0.743</v>
      </c>
      <c r="BP246" s="253" t="n">
        <v>9.326000000000001</v>
      </c>
      <c r="BQ246" s="253" t="n">
        <v>25.006</v>
      </c>
      <c r="BR246" s="253" t="n">
        <v>3.261</v>
      </c>
      <c r="BS246" s="253" t="n">
        <v>12.801</v>
      </c>
      <c r="BT246" s="253" t="n">
        <v>5.846</v>
      </c>
      <c r="BU246" s="253" t="n">
        <v>10.915</v>
      </c>
      <c r="BV246" s="253" t="n">
        <v>32.823</v>
      </c>
      <c r="BW246" s="253" t="n">
        <v>2.132</v>
      </c>
      <c r="BX246" s="253" t="n">
        <v>12.803</v>
      </c>
      <c r="BY246" s="253" t="n">
        <v>0</v>
      </c>
      <c r="BZ246" s="35" t="n"/>
      <c r="CA246" s="254">
        <f>SUM(BW246:BY246)+8.0</f>
        <v>22.935</v>
      </c>
      <c r="CB246" s="277" t="n">
        <v>25</v>
      </c>
      <c r="CC246" s="277" t="n">
        <v>25</v>
      </c>
      <c r="CD246" s="277" t="n">
        <v>25</v>
      </c>
      <c r="CE246" s="277" t="n">
        <v>25</v>
      </c>
      <c r="CF246" s="277" t="n">
        <v>25</v>
      </c>
      <c r="CG246" s="19" t="n"/>
    </row>
    <row r="247" ht="15" customHeight="1" s="251">
      <c r="B247" s="25" t="inlineStr">
        <is>
          <t>Taxes paid related to net share settlement of equity awards</t>
        </is>
      </c>
      <c r="C247" s="253" t="n">
        <v>0</v>
      </c>
      <c r="D247" s="253" t="n">
        <v>0</v>
      </c>
      <c r="E247" s="253" t="n">
        <v>0</v>
      </c>
      <c r="F247" s="253" t="n">
        <v>0</v>
      </c>
      <c r="G247" s="253" t="n">
        <v>0</v>
      </c>
      <c r="H247" s="253" t="n">
        <v>0</v>
      </c>
      <c r="I247" s="253" t="n">
        <v>0</v>
      </c>
      <c r="J247" s="253" t="n">
        <v>0</v>
      </c>
      <c r="K247" s="253" t="n">
        <v>0</v>
      </c>
      <c r="L247" s="253" t="n">
        <v>0</v>
      </c>
      <c r="M247" s="253" t="n">
        <v>0</v>
      </c>
      <c r="N247" s="253" t="n">
        <v>0</v>
      </c>
      <c r="O247" s="253" t="n">
        <v>0</v>
      </c>
      <c r="P247" s="253" t="n">
        <v>0</v>
      </c>
      <c r="Q247" s="253" t="n">
        <v>0</v>
      </c>
      <c r="R247" s="253" t="n">
        <v>0</v>
      </c>
      <c r="S247" s="253" t="n">
        <v>0</v>
      </c>
      <c r="T247" s="253" t="n">
        <v>-15.007</v>
      </c>
      <c r="U247" s="253" t="n">
        <v>-0.985</v>
      </c>
      <c r="V247" s="253" t="n">
        <v>-2.11</v>
      </c>
      <c r="W247" s="253" t="n">
        <v>-1.359</v>
      </c>
      <c r="X247" s="253" t="n">
        <v>-19.461</v>
      </c>
      <c r="Y247" s="253" t="n">
        <v>-24.462</v>
      </c>
      <c r="Z247" s="253" t="n">
        <v>-1.419</v>
      </c>
      <c r="AA247" s="253" t="n">
        <v>-2.663</v>
      </c>
      <c r="AB247" s="253" t="n">
        <v>-1.411</v>
      </c>
      <c r="AC247" s="253" t="n">
        <v>-29.955</v>
      </c>
      <c r="AD247" s="253" t="n">
        <v>-35.598</v>
      </c>
      <c r="AE247" s="253" t="n">
        <v>-1.316</v>
      </c>
      <c r="AF247" s="253" t="n">
        <v>-2.41</v>
      </c>
      <c r="AG247" s="253" t="n">
        <v>-0.908</v>
      </c>
      <c r="AH247" s="253" t="n">
        <v>-40.232</v>
      </c>
      <c r="AI247" s="253" t="n">
        <v>-38.867</v>
      </c>
      <c r="AJ247" s="253" t="n">
        <v>-1.581</v>
      </c>
      <c r="AK247" s="253" t="n">
        <v>-2.424</v>
      </c>
      <c r="AL247" s="253" t="n">
        <v>-1.333</v>
      </c>
      <c r="AM247" s="253" t="n">
        <v>-44.205</v>
      </c>
      <c r="AN247" s="253" t="n">
        <v>-42.987</v>
      </c>
      <c r="AO247" s="253" t="n">
        <v>-5.483</v>
      </c>
      <c r="AP247" s="253" t="n">
        <v>-2.738</v>
      </c>
      <c r="AQ247" s="253" t="n">
        <v>-1.788</v>
      </c>
      <c r="AR247" s="253" t="n">
        <v>-52.996</v>
      </c>
      <c r="AS247" s="253" t="n">
        <v>-86.047</v>
      </c>
      <c r="AT247" s="253" t="n">
        <v>-10.953</v>
      </c>
      <c r="AU247" s="253" t="n">
        <v>-3.067</v>
      </c>
      <c r="AV247" s="253" t="n">
        <v>-2.836</v>
      </c>
      <c r="AW247" s="253" t="n">
        <v>-102.903</v>
      </c>
      <c r="AX247" s="253" t="n">
        <v>-85.678</v>
      </c>
      <c r="AY247" s="253" t="n">
        <v>-0.975</v>
      </c>
      <c r="AZ247" s="253" t="n">
        <v>-2.117</v>
      </c>
      <c r="BA247" s="253" t="n">
        <v>-2.839</v>
      </c>
      <c r="BB247" s="253" t="n">
        <v>-91.60899999999999</v>
      </c>
      <c r="BC247" s="253" t="n">
        <v>-47.024</v>
      </c>
      <c r="BD247" s="253" t="n">
        <v>-0.825</v>
      </c>
      <c r="BE247" s="253" t="n">
        <v>-1.178</v>
      </c>
      <c r="BF247" s="253" t="n">
        <v>-1.915</v>
      </c>
      <c r="BG247" s="253" t="n">
        <v>-50.942</v>
      </c>
      <c r="BH247" s="253" t="n">
        <v>-72.86499999999999</v>
      </c>
      <c r="BI247" s="253" t="n">
        <v>-0.8070000000000001</v>
      </c>
      <c r="BJ247" s="253" t="n">
        <v>-1.771</v>
      </c>
      <c r="BK247" s="253" t="n">
        <v>-1.23</v>
      </c>
      <c r="BL247" s="253" t="n">
        <v>-76.673</v>
      </c>
      <c r="BM247" s="253" t="n">
        <v>-131.911</v>
      </c>
      <c r="BN247" s="253" t="n">
        <v>-1.875</v>
      </c>
      <c r="BO247" s="253" t="n">
        <v>-3.437</v>
      </c>
      <c r="BP247" s="253" t="n">
        <v>-1.965</v>
      </c>
      <c r="BQ247" s="253" t="n">
        <v>-139.188</v>
      </c>
      <c r="BR247" s="253" t="n">
        <v>-196.126</v>
      </c>
      <c r="BS247" s="253" t="n">
        <v>-2.405</v>
      </c>
      <c r="BT247" s="253" t="n">
        <v>-4.657</v>
      </c>
      <c r="BU247" s="253" t="n">
        <v>-1.405</v>
      </c>
      <c r="BV247" s="253" t="n">
        <v>-204.593</v>
      </c>
      <c r="BW247" s="253" t="n">
        <v>-104.379</v>
      </c>
      <c r="BX247" s="253" t="n">
        <v>-1.388</v>
      </c>
      <c r="BY247" s="253" t="n">
        <v>-5.508</v>
      </c>
      <c r="BZ247" s="35" t="n"/>
      <c r="CA247" s="254">
        <f>SUM(BW247:BY247)+-5.0</f>
        <v>-116.275</v>
      </c>
      <c r="CB247" s="254">
        <f>-CB150*CB272</f>
        <v>-100.757423246506</v>
      </c>
      <c r="CC247" s="254">
        <f>-CC150*CC272</f>
        <v>-111.17556545705</v>
      </c>
      <c r="CD247" s="254">
        <f>-CD150*CD272</f>
        <v>-121.673630543208</v>
      </c>
      <c r="CE247" s="254">
        <f>-CE150*CE272</f>
        <v>-132.379058365197</v>
      </c>
      <c r="CF247" s="254">
        <f>-CF150*CF272</f>
        <v>-143.152561978103</v>
      </c>
      <c r="CG247" s="19" t="inlineStr">
        <is>
          <t>Withholding taxes on vesting awards (mostly in Q1). 2027E+: % of share-based compensation (input).</t>
        </is>
      </c>
    </row>
    <row r="248" ht="15" customHeight="1" s="251">
      <c r="B248" s="25" t="inlineStr">
        <is>
          <t>Debt issued / (repaid), net — revolver, term loans, senior notes</t>
        </is>
      </c>
      <c r="C248" s="253" t="n">
        <v>0</v>
      </c>
      <c r="D248" s="253" t="n">
        <v>160.963</v>
      </c>
      <c r="E248" s="253" t="n">
        <v>9.933</v>
      </c>
      <c r="F248" s="253" t="n">
        <v>0</v>
      </c>
      <c r="G248" s="253" t="n">
        <v>-50</v>
      </c>
      <c r="H248" s="253" t="n">
        <v>-8</v>
      </c>
      <c r="I248" s="253" t="n">
        <v>-13.466</v>
      </c>
      <c r="J248" s="253" t="n">
        <v>0</v>
      </c>
      <c r="K248" s="253" t="n">
        <v>0</v>
      </c>
      <c r="L248" s="253" t="n">
        <v>-19</v>
      </c>
      <c r="M248" s="253" t="n">
        <v>-18.676</v>
      </c>
      <c r="N248" s="253" t="n">
        <v>-37.676</v>
      </c>
      <c r="O248" s="253" t="n">
        <v>8</v>
      </c>
      <c r="P248" s="253" t="n">
        <v>5</v>
      </c>
      <c r="Q248" s="253" t="n">
        <v>47</v>
      </c>
      <c r="R248" s="253" t="n">
        <v>16</v>
      </c>
      <c r="S248" s="253" t="n">
        <v>76</v>
      </c>
      <c r="T248" s="253" t="n">
        <v>61</v>
      </c>
      <c r="U248" s="253" t="n">
        <v>51</v>
      </c>
      <c r="V248" s="253" t="n">
        <v>-10</v>
      </c>
      <c r="W248" s="253" t="n">
        <v>-40</v>
      </c>
      <c r="X248" s="253" t="n">
        <v>62</v>
      </c>
      <c r="Y248" s="253" t="n">
        <v>11</v>
      </c>
      <c r="Z248" s="253" t="n">
        <v>-8</v>
      </c>
      <c r="AA248" s="253" t="n">
        <v>-10</v>
      </c>
      <c r="AB248" s="253" t="n">
        <v>-30</v>
      </c>
      <c r="AC248" s="253" t="n">
        <v>-37</v>
      </c>
      <c r="AD248" s="253" t="n">
        <v>50</v>
      </c>
      <c r="AE248" s="253" t="n">
        <v>5</v>
      </c>
      <c r="AF248" s="253" t="n">
        <v>-14</v>
      </c>
      <c r="AG248" s="253" t="n">
        <v>-7</v>
      </c>
      <c r="AH248" s="253" t="n">
        <v>34</v>
      </c>
      <c r="AI248" s="253" t="n">
        <v>59</v>
      </c>
      <c r="AJ248" s="253" t="n">
        <v>40</v>
      </c>
      <c r="AK248" s="253" t="n">
        <v>61</v>
      </c>
      <c r="AL248" s="253" t="n">
        <v>5</v>
      </c>
      <c r="AM248" s="253" t="n">
        <v>165</v>
      </c>
      <c r="AN248" s="253" t="n">
        <v>68</v>
      </c>
      <c r="AO248" s="253" t="n">
        <v>-10</v>
      </c>
      <c r="AP248" s="253" t="n">
        <v>0</v>
      </c>
      <c r="AQ248" s="253" t="n">
        <v>2</v>
      </c>
      <c r="AR248" s="253" t="n">
        <v>60</v>
      </c>
      <c r="AS248" s="253" t="n">
        <v>100</v>
      </c>
      <c r="AT248" s="253" t="n">
        <v>29</v>
      </c>
      <c r="AU248" s="253" t="n">
        <v>-21</v>
      </c>
      <c r="AV248" s="253" t="n">
        <v>-93</v>
      </c>
      <c r="AW248" s="253" t="n">
        <v>15</v>
      </c>
      <c r="AX248" s="253" t="n">
        <v>36</v>
      </c>
      <c r="AY248" s="253" t="n">
        <v>94</v>
      </c>
      <c r="AZ248" s="253" t="n">
        <v>91</v>
      </c>
      <c r="BA248" s="253" t="n">
        <v>202</v>
      </c>
      <c r="BB248" s="253" t="n">
        <v>423</v>
      </c>
      <c r="BC248" s="253" t="n">
        <v>382</v>
      </c>
      <c r="BD248" s="253" t="n">
        <v>161.25</v>
      </c>
      <c r="BE248" s="253" t="n">
        <v>161.25</v>
      </c>
      <c r="BF248" s="253" t="n">
        <v>-103.75</v>
      </c>
      <c r="BG248" s="253" t="n">
        <v>600.75</v>
      </c>
      <c r="BH248" s="253" t="n">
        <v>66.25</v>
      </c>
      <c r="BI248" s="253" t="n">
        <v>3.25</v>
      </c>
      <c r="BJ248" s="253" t="n">
        <v>4.25</v>
      </c>
      <c r="BK248" s="253" t="n">
        <v>-68.75</v>
      </c>
      <c r="BL248" s="253" t="n">
        <v>5</v>
      </c>
      <c r="BM248" s="253" t="n">
        <v>99.25</v>
      </c>
      <c r="BN248" s="253" t="n">
        <v>81.25</v>
      </c>
      <c r="BO248" s="253" t="n">
        <v>76.25</v>
      </c>
      <c r="BP248" s="253" t="n">
        <v>88.25</v>
      </c>
      <c r="BQ248" s="253" t="n">
        <v>345</v>
      </c>
      <c r="BR248" s="253" t="n">
        <v>211.25</v>
      </c>
      <c r="BS248" s="253" t="n">
        <v>106.25</v>
      </c>
      <c r="BT248" s="253" t="n">
        <v>263.75</v>
      </c>
      <c r="BU248" s="253" t="n">
        <v>275</v>
      </c>
      <c r="BV248" s="253" t="n">
        <v>856.25</v>
      </c>
      <c r="BW248" s="253" t="n">
        <v>140</v>
      </c>
      <c r="BX248" s="253" t="n">
        <v>450</v>
      </c>
      <c r="BY248" s="253" t="n">
        <v>1945</v>
      </c>
      <c r="BZ248" s="35" t="n"/>
      <c r="CA248" s="254">
        <f>SUM(BW248:BY248)+(CA328-BY328)</f>
        <v>2481.21425580248</v>
      </c>
      <c r="CB248" s="254">
        <f>CB342</f>
        <v>-5.8980641727494</v>
      </c>
      <c r="CC248" s="254">
        <f>CC342</f>
        <v>634.04085970557</v>
      </c>
      <c r="CD248" s="254">
        <f>CD342</f>
        <v>622.084380880755</v>
      </c>
      <c r="CE248" s="254">
        <f>CE342</f>
        <v>595.88133763818</v>
      </c>
      <c r="CF248" s="254">
        <f>CF342</f>
        <v>594.129494892871</v>
      </c>
      <c r="CG248" s="19" t="inlineStr">
        <is>
          <t>Per the debt schedule: term-loan amortization, notes repaid at maturity / refinanced, revolver drawn or repaid to the minimum cash balance.</t>
        </is>
      </c>
    </row>
    <row r="249" ht="15" customHeight="1" s="251">
      <c r="B249" s="25" t="inlineStr">
        <is>
          <t>Other financing, net (derived; incl. debt issuance costs)</t>
        </is>
      </c>
      <c r="C249" s="253" t="n">
        <v>7.094</v>
      </c>
      <c r="D249" s="253" t="n">
        <v>11.765</v>
      </c>
      <c r="E249" s="253" t="n">
        <v>-0.135</v>
      </c>
      <c r="F249" s="253" t="n">
        <v>0.28</v>
      </c>
      <c r="G249" s="253" t="n">
        <v>-0.185</v>
      </c>
      <c r="H249" s="253" t="n">
        <v>0.928</v>
      </c>
      <c r="I249" s="253" t="n">
        <v>8.079000000000001</v>
      </c>
      <c r="J249" s="253" t="n">
        <v>-0.695</v>
      </c>
      <c r="K249" s="253" t="n">
        <v>0.597</v>
      </c>
      <c r="L249" s="253" t="n">
        <v>-0.628</v>
      </c>
      <c r="M249" s="253" t="n">
        <v>4.264</v>
      </c>
      <c r="N249" s="253" t="n">
        <v>3.538</v>
      </c>
      <c r="O249" s="253" t="n">
        <v>3.857</v>
      </c>
      <c r="P249" s="253" t="n">
        <v>-0.169</v>
      </c>
      <c r="Q249" s="253" t="n">
        <v>0.172</v>
      </c>
      <c r="R249" s="253" t="n">
        <v>0.234</v>
      </c>
      <c r="S249" s="253" t="n">
        <v>4.094</v>
      </c>
      <c r="T249" s="253" t="n">
        <v>5.85</v>
      </c>
      <c r="U249" s="253" t="n">
        <v>1.506</v>
      </c>
      <c r="V249" s="253" t="n">
        <v>2.126</v>
      </c>
      <c r="W249" s="253" t="n">
        <v>1.805</v>
      </c>
      <c r="X249" s="253" t="n">
        <v>11.287</v>
      </c>
      <c r="Y249" s="253" t="n">
        <v>9.457000000000001</v>
      </c>
      <c r="Z249" s="253" t="n">
        <v>3.306</v>
      </c>
      <c r="AA249" s="253" t="n">
        <v>1.468</v>
      </c>
      <c r="AB249" s="253" t="n">
        <v>8.317</v>
      </c>
      <c r="AC249" s="253" t="n">
        <v>22.548</v>
      </c>
      <c r="AD249" s="253" t="n">
        <v>-0.618</v>
      </c>
      <c r="AE249" s="253" t="n">
        <v>-0.62</v>
      </c>
      <c r="AF249" s="253" t="n">
        <v>0</v>
      </c>
      <c r="AG249" s="253" t="n">
        <v>0</v>
      </c>
      <c r="AH249" s="253" t="n">
        <v>-1.238</v>
      </c>
      <c r="AI249" s="253" t="n">
        <v>-0.24</v>
      </c>
      <c r="AJ249" s="253" t="n">
        <v>0</v>
      </c>
      <c r="AK249" s="253" t="n">
        <v>-7.629</v>
      </c>
      <c r="AL249" s="253" t="n">
        <v>0.02</v>
      </c>
      <c r="AM249" s="253" t="n">
        <v>-7.849</v>
      </c>
      <c r="AN249" s="253" t="n">
        <v>0</v>
      </c>
      <c r="AO249" s="253" t="n">
        <v>0</v>
      </c>
      <c r="AP249" s="253" t="n">
        <v>0</v>
      </c>
      <c r="AQ249" s="253" t="n">
        <v>-0.945</v>
      </c>
      <c r="AR249" s="253" t="n">
        <v>-0.945</v>
      </c>
      <c r="AS249" s="253" t="n">
        <v>-7.23</v>
      </c>
      <c r="AT249" s="253" t="n">
        <v>-0.322</v>
      </c>
      <c r="AU249" s="253" t="n">
        <v>-0.099</v>
      </c>
      <c r="AV249" s="253" t="n">
        <v>-0.905</v>
      </c>
      <c r="AW249" s="253" t="n">
        <v>-8.555999999999999</v>
      </c>
      <c r="AX249" s="253" t="n">
        <v>-0.176</v>
      </c>
      <c r="AY249" s="253" t="n">
        <v>0</v>
      </c>
      <c r="AZ249" s="253" t="n">
        <v>-0.001</v>
      </c>
      <c r="BA249" s="253" t="n">
        <v>-1.487</v>
      </c>
      <c r="BB249" s="253" t="n">
        <v>-1.664</v>
      </c>
      <c r="BC249" s="253" t="n">
        <v>-8.199999999999999</v>
      </c>
      <c r="BD249" s="253" t="n">
        <v>-0.619</v>
      </c>
      <c r="BE249" s="253" t="n">
        <v>0</v>
      </c>
      <c r="BF249" s="253" t="n">
        <v>0</v>
      </c>
      <c r="BG249" s="253" t="n">
        <v>-8.819000000000001</v>
      </c>
      <c r="BH249" s="253" t="n">
        <v>0</v>
      </c>
      <c r="BI249" s="253" t="n">
        <v>0</v>
      </c>
      <c r="BJ249" s="253" t="n">
        <v>0</v>
      </c>
      <c r="BK249" s="253" t="n">
        <v>0</v>
      </c>
      <c r="BL249" s="253" t="n">
        <v>0</v>
      </c>
      <c r="BM249" s="253" t="n">
        <v>0</v>
      </c>
      <c r="BN249" s="253" t="n">
        <v>-1.4</v>
      </c>
      <c r="BO249" s="253" t="n">
        <v>-0.617</v>
      </c>
      <c r="BP249" s="253" t="n">
        <v>-0.022</v>
      </c>
      <c r="BQ249" s="253" t="n">
        <v>-2.039</v>
      </c>
      <c r="BR249" s="253" t="n">
        <v>-0.022</v>
      </c>
      <c r="BS249" s="253" t="n">
        <v>-2.994</v>
      </c>
      <c r="BT249" s="253" t="n">
        <v>-17.226</v>
      </c>
      <c r="BU249" s="253" t="n">
        <v>-0.065</v>
      </c>
      <c r="BV249" s="253" t="n">
        <v>-20.307</v>
      </c>
      <c r="BW249" s="253" t="n">
        <v>-0.066</v>
      </c>
      <c r="BX249" s="253" t="n">
        <v>-11.781</v>
      </c>
      <c r="BY249" s="253" t="n">
        <v>-3.166</v>
      </c>
      <c r="BZ249" s="35" t="n"/>
      <c r="CA249" s="254">
        <f>SUM(BW249:BY249)</f>
        <v>-15.013</v>
      </c>
      <c r="CB249" s="277" t="n">
        <v>0</v>
      </c>
      <c r="CC249" s="277" t="n">
        <v>0</v>
      </c>
      <c r="CD249" s="277" t="n">
        <v>0</v>
      </c>
      <c r="CE249" s="277" t="n">
        <v>0</v>
      </c>
      <c r="CF249" s="277" t="n">
        <v>0</v>
      </c>
      <c r="CG249" s="19" t="n"/>
    </row>
    <row r="250" ht="15" customHeight="1" s="251">
      <c r="B250" s="16" t="inlineStr">
        <is>
          <t>Net cash provided by (used in) financing activities</t>
        </is>
      </c>
      <c r="C250" s="284" t="n">
        <v>-190.293</v>
      </c>
      <c r="D250" s="284" t="n">
        <v>-198.705</v>
      </c>
      <c r="E250" s="284" t="n">
        <v>-90.955</v>
      </c>
      <c r="F250" s="284" t="n">
        <v>-18.818</v>
      </c>
      <c r="G250" s="284" t="n">
        <v>-248.473</v>
      </c>
      <c r="H250" s="284" t="n">
        <v>-94.021</v>
      </c>
      <c r="I250" s="284" t="n">
        <v>-128.453</v>
      </c>
      <c r="J250" s="284" t="n">
        <v>5.494</v>
      </c>
      <c r="K250" s="284" t="n">
        <v>10.406</v>
      </c>
      <c r="L250" s="284" t="n">
        <v>-59.647</v>
      </c>
      <c r="M250" s="284" t="n">
        <v>-42.887</v>
      </c>
      <c r="N250" s="284" t="n">
        <v>-86.634</v>
      </c>
      <c r="O250" s="284" t="n">
        <v>-13.257</v>
      </c>
      <c r="P250" s="284" t="n">
        <v>-33.511</v>
      </c>
      <c r="Q250" s="284" t="n">
        <v>-34.45</v>
      </c>
      <c r="R250" s="284" t="n">
        <v>-49.173</v>
      </c>
      <c r="S250" s="284" t="n">
        <v>-130.391</v>
      </c>
      <c r="T250" s="284" t="n">
        <v>-2.037</v>
      </c>
      <c r="U250" s="284" t="n">
        <v>16.541</v>
      </c>
      <c r="V250" s="284" t="n">
        <v>-38.2</v>
      </c>
      <c r="W250" s="284" t="n">
        <v>-34.939</v>
      </c>
      <c r="X250" s="284" t="n">
        <v>-58.635</v>
      </c>
      <c r="Y250" s="284" t="n">
        <v>-31.188</v>
      </c>
      <c r="Z250" s="284" t="n">
        <v>-40.563</v>
      </c>
      <c r="AA250" s="284" t="n">
        <v>-37.327</v>
      </c>
      <c r="AB250" s="284" t="n">
        <v>-55.9</v>
      </c>
      <c r="AC250" s="284" t="n">
        <v>-164.978</v>
      </c>
      <c r="AD250" s="284" t="n">
        <v>-12.995</v>
      </c>
      <c r="AE250" s="284" t="n">
        <v>-35.69</v>
      </c>
      <c r="AF250" s="284" t="n">
        <v>-54.106</v>
      </c>
      <c r="AG250" s="284" t="n">
        <v>-77.834</v>
      </c>
      <c r="AH250" s="284" t="n">
        <v>-180.625</v>
      </c>
      <c r="AI250" s="284" t="n">
        <v>-34.677</v>
      </c>
      <c r="AJ250" s="284" t="n">
        <v>-30.02</v>
      </c>
      <c r="AK250" s="284" t="n">
        <v>-53.092</v>
      </c>
      <c r="AL250" s="284" t="n">
        <v>-100.838</v>
      </c>
      <c r="AM250" s="284" t="n">
        <v>-218.627</v>
      </c>
      <c r="AN250" s="284" t="n">
        <v>-50.137</v>
      </c>
      <c r="AO250" s="284" t="n">
        <v>-47.206</v>
      </c>
      <c r="AP250" s="284" t="n">
        <v>-58.718</v>
      </c>
      <c r="AQ250" s="284" t="n">
        <v>-43.986</v>
      </c>
      <c r="AR250" s="284" t="n">
        <v>-200.047</v>
      </c>
      <c r="AS250" s="284" t="n">
        <v>-48.195</v>
      </c>
      <c r="AT250" s="284" t="n">
        <v>-52.149</v>
      </c>
      <c r="AU250" s="284" t="n">
        <v>-83.139</v>
      </c>
      <c r="AV250" s="284" t="n">
        <v>-105.941</v>
      </c>
      <c r="AW250" s="284" t="n">
        <v>-289.424</v>
      </c>
      <c r="AX250" s="284" t="n">
        <v>-99.80800000000001</v>
      </c>
      <c r="AY250" s="284" t="n">
        <v>-96.98699999999999</v>
      </c>
      <c r="AZ250" s="284" t="n">
        <v>-197.777</v>
      </c>
      <c r="BA250" s="284" t="n">
        <v>-128.999</v>
      </c>
      <c r="BB250" s="284" t="n">
        <v>-523.571</v>
      </c>
      <c r="BC250" s="284" t="n">
        <v>-155.429</v>
      </c>
      <c r="BD250" s="284" t="n">
        <v>-107.733</v>
      </c>
      <c r="BE250" s="284" t="n">
        <v>-127.094</v>
      </c>
      <c r="BF250" s="284" t="n">
        <v>-156.909</v>
      </c>
      <c r="BG250" s="284" t="n">
        <v>-547.165</v>
      </c>
      <c r="BH250" s="284" t="n">
        <v>-79.624</v>
      </c>
      <c r="BI250" s="284" t="n">
        <v>-93.621</v>
      </c>
      <c r="BJ250" s="284" t="n">
        <v>-97.991</v>
      </c>
      <c r="BK250" s="284" t="n">
        <v>-183.765</v>
      </c>
      <c r="BL250" s="284" t="n">
        <v>-455.001</v>
      </c>
      <c r="BM250" s="284" t="n">
        <v>-99.866</v>
      </c>
      <c r="BN250" s="284" t="n">
        <v>-83.35599999999999</v>
      </c>
      <c r="BO250" s="284" t="n">
        <v>-181.759</v>
      </c>
      <c r="BP250" s="284" t="n">
        <v>-227.942</v>
      </c>
      <c r="BQ250" s="284" t="n">
        <v>-592.923</v>
      </c>
      <c r="BR250" s="284" t="n">
        <v>-144.218</v>
      </c>
      <c r="BS250" s="284" t="n">
        <v>-103.505</v>
      </c>
      <c r="BT250" s="284" t="n">
        <v>-239.069</v>
      </c>
      <c r="BU250" s="284" t="n">
        <v>-263.537</v>
      </c>
      <c r="BV250" s="284" t="n">
        <v>-750.329</v>
      </c>
      <c r="BW250" s="284" t="n">
        <v>-133.482</v>
      </c>
      <c r="BX250" s="284" t="n">
        <v>-155.762</v>
      </c>
      <c r="BY250" s="284" t="n">
        <v>-333.101</v>
      </c>
      <c r="BZ250" s="32" t="n"/>
      <c r="CA250" s="260">
        <f>SUM(CA244:CA249)</f>
        <v>-973.13074419752</v>
      </c>
      <c r="CB250" s="260">
        <f>SUM(CB244:CB249)</f>
        <v>-1116.94848314748</v>
      </c>
      <c r="CC250" s="260">
        <f>SUM(CC244:CC249)</f>
        <v>-1280.12484064454</v>
      </c>
      <c r="CD250" s="260">
        <f>SUM(CD244:CD249)</f>
        <v>-1386.84389020631</v>
      </c>
      <c r="CE250" s="260">
        <f>SUM(CE244:CE249)</f>
        <v>-1507.97403750263</v>
      </c>
      <c r="CF250" s="260">
        <f>SUM(CF244:CF249)</f>
        <v>-1630.035531953</v>
      </c>
      <c r="CG250" s="153" t="n"/>
    </row>
    <row r="251" ht="15" customHeight="1" s="251">
      <c r="B251" s="25" t="inlineStr">
        <is>
          <t>Effect of exchange rate changes on cash</t>
        </is>
      </c>
      <c r="C251" s="253" t="n">
        <v>0.552</v>
      </c>
      <c r="D251" s="253" t="n">
        <v>2.234</v>
      </c>
      <c r="E251" s="253" t="n">
        <v>-2.682</v>
      </c>
      <c r="F251" s="253" t="n">
        <v>-2.389</v>
      </c>
      <c r="G251" s="253" t="n">
        <v>0.098</v>
      </c>
      <c r="H251" s="253" t="n">
        <v>-0.881</v>
      </c>
      <c r="I251" s="253" t="n">
        <v>0.234</v>
      </c>
      <c r="J251" s="253" t="n">
        <v>-0.426</v>
      </c>
      <c r="K251" s="253" t="n">
        <v>-1.376</v>
      </c>
      <c r="L251" s="253" t="n">
        <v>-1.959</v>
      </c>
      <c r="M251" s="253" t="n">
        <v>0.8149999999999999</v>
      </c>
      <c r="N251" s="253" t="n">
        <v>-2.946</v>
      </c>
      <c r="O251" s="253" t="n">
        <v>-0.208</v>
      </c>
      <c r="P251" s="253" t="n">
        <v>1.183</v>
      </c>
      <c r="Q251" s="253" t="n">
        <v>0.702</v>
      </c>
      <c r="R251" s="253" t="n">
        <v>-4.58</v>
      </c>
      <c r="S251" s="253" t="n">
        <v>-2.903</v>
      </c>
      <c r="T251" s="253" t="n">
        <v>-4.155</v>
      </c>
      <c r="U251" s="253" t="n">
        <v>-5.068</v>
      </c>
      <c r="V251" s="253" t="n">
        <v>0.985</v>
      </c>
      <c r="W251" s="253" t="n">
        <v>-3.143</v>
      </c>
      <c r="X251" s="253" t="n">
        <v>-11.381</v>
      </c>
      <c r="Y251" s="253" t="n">
        <v>-0.478</v>
      </c>
      <c r="Z251" s="253" t="n">
        <v>0.964</v>
      </c>
      <c r="AA251" s="253" t="n">
        <v>-2.811</v>
      </c>
      <c r="AB251" s="253" t="n">
        <v>-0.507</v>
      </c>
      <c r="AC251" s="253" t="n">
        <v>-2.832</v>
      </c>
      <c r="AD251" s="253" t="n">
        <v>-3.489</v>
      </c>
      <c r="AE251" s="253" t="n">
        <v>2.303</v>
      </c>
      <c r="AF251" s="253" t="n">
        <v>2.864</v>
      </c>
      <c r="AG251" s="253" t="n">
        <v>3.6</v>
      </c>
      <c r="AH251" s="253" t="n">
        <v>5.278</v>
      </c>
      <c r="AI251" s="253" t="n">
        <v>0.474</v>
      </c>
      <c r="AJ251" s="253" t="n">
        <v>1.719</v>
      </c>
      <c r="AK251" s="253" t="n">
        <v>-6.458</v>
      </c>
      <c r="AL251" s="253" t="n">
        <v>-1.636</v>
      </c>
      <c r="AM251" s="253" t="n">
        <v>-5.901</v>
      </c>
      <c r="AN251" s="253" t="n">
        <v>-0.172</v>
      </c>
      <c r="AO251" s="253" t="n">
        <v>0.504</v>
      </c>
      <c r="AP251" s="253" t="n">
        <v>0.378</v>
      </c>
      <c r="AQ251" s="253" t="n">
        <v>-1.85</v>
      </c>
      <c r="AR251" s="253" t="n">
        <v>-1.14</v>
      </c>
      <c r="AS251" s="253" t="n">
        <v>1.631</v>
      </c>
      <c r="AT251" s="253" t="n">
        <v>-5.648</v>
      </c>
      <c r="AU251" s="253" t="n">
        <v>1.363</v>
      </c>
      <c r="AV251" s="253" t="n">
        <v>2.713</v>
      </c>
      <c r="AW251" s="253" t="n">
        <v>0.059</v>
      </c>
      <c r="AX251" s="253" t="n">
        <v>5.267</v>
      </c>
      <c r="AY251" s="253" t="n">
        <v>-1.246</v>
      </c>
      <c r="AZ251" s="253" t="n">
        <v>1.108</v>
      </c>
      <c r="BA251" s="253" t="n">
        <v>-5.265</v>
      </c>
      <c r="BB251" s="253" t="n">
        <v>-0.136</v>
      </c>
      <c r="BC251" s="253" t="n">
        <v>-1.377</v>
      </c>
      <c r="BD251" s="253" t="n">
        <v>-0.416</v>
      </c>
      <c r="BE251" s="253" t="n">
        <v>-8.445</v>
      </c>
      <c r="BF251" s="253" t="n">
        <v>-8.528</v>
      </c>
      <c r="BG251" s="253" t="n">
        <v>-18.766</v>
      </c>
      <c r="BH251" s="253" t="n">
        <v>4.428</v>
      </c>
      <c r="BI251" s="253" t="n">
        <v>3.029</v>
      </c>
      <c r="BJ251" s="253" t="n">
        <v>1.707</v>
      </c>
      <c r="BK251" s="253" t="n">
        <v>-3.548</v>
      </c>
      <c r="BL251" s="253" t="n">
        <v>5.616</v>
      </c>
      <c r="BM251" s="253" t="n">
        <v>3.807</v>
      </c>
      <c r="BN251" s="253" t="n">
        <v>-2.811</v>
      </c>
      <c r="BO251" s="253" t="n">
        <v>-2.802</v>
      </c>
      <c r="BP251" s="253" t="n">
        <v>3.647</v>
      </c>
      <c r="BQ251" s="253" t="n">
        <v>1.841</v>
      </c>
      <c r="BR251" s="253" t="n">
        <v>-7.25</v>
      </c>
      <c r="BS251" s="253" t="n">
        <v>1.915</v>
      </c>
      <c r="BT251" s="253" t="n">
        <v>5.761</v>
      </c>
      <c r="BU251" s="253" t="n">
        <v>-1.716</v>
      </c>
      <c r="BV251" s="253" t="n">
        <v>-1.29</v>
      </c>
      <c r="BW251" s="253" t="n">
        <v>0.032</v>
      </c>
      <c r="BX251" s="253" t="n">
        <v>-1.797</v>
      </c>
      <c r="BY251" s="253" t="n">
        <v>-0.186</v>
      </c>
      <c r="BZ251" s="35" t="n"/>
      <c r="CA251" s="254">
        <f>SUM(BW251:BY251)</f>
        <v>-1.951</v>
      </c>
      <c r="CB251" s="277" t="n">
        <v>0</v>
      </c>
      <c r="CC251" s="277" t="n">
        <v>0</v>
      </c>
      <c r="CD251" s="277" t="n">
        <v>0</v>
      </c>
      <c r="CE251" s="277" t="n">
        <v>0</v>
      </c>
      <c r="CF251" s="277" t="n">
        <v>0</v>
      </c>
      <c r="CG251" s="19" t="n"/>
    </row>
    <row r="252" ht="15" customHeight="1" s="251">
      <c r="B252" s="25" t="inlineStr">
        <is>
          <t>Net change in cash and cash equivalents</t>
        </is>
      </c>
      <c r="C252" s="253" t="n">
        <v>-7.726</v>
      </c>
      <c r="D252" s="253" t="n">
        <v>20.13</v>
      </c>
      <c r="E252" s="253" t="n">
        <v>34.394</v>
      </c>
      <c r="F252" s="253" t="n">
        <v>48.479</v>
      </c>
      <c r="G252" s="253" t="n">
        <v>-31.958</v>
      </c>
      <c r="H252" s="253" t="n">
        <v>-10.447</v>
      </c>
      <c r="I252" s="253" t="n">
        <v>-64.143</v>
      </c>
      <c r="J252" s="253" t="n">
        <v>19.23</v>
      </c>
      <c r="K252" s="253" t="n">
        <v>40.311</v>
      </c>
      <c r="L252" s="253" t="n">
        <v>-38.131</v>
      </c>
      <c r="M252" s="253" t="n">
        <v>-9.840999999999999</v>
      </c>
      <c r="N252" s="253" t="n">
        <v>11.569</v>
      </c>
      <c r="O252" s="253" t="n">
        <v>12.759</v>
      </c>
      <c r="P252" s="253" t="n">
        <v>12.239</v>
      </c>
      <c r="Q252" s="253" t="n">
        <v>-15.067</v>
      </c>
      <c r="R252" s="253" t="n">
        <v>11.966</v>
      </c>
      <c r="S252" s="253" t="n">
        <v>21.897</v>
      </c>
      <c r="T252" s="253" t="n">
        <v>-10.424</v>
      </c>
      <c r="U252" s="253" t="n">
        <v>-7.81</v>
      </c>
      <c r="V252" s="253" t="n">
        <v>-2.483</v>
      </c>
      <c r="W252" s="253" t="n">
        <v>1.762</v>
      </c>
      <c r="X252" s="253" t="n">
        <v>-18.955</v>
      </c>
      <c r="Y252" s="253" t="n">
        <v>4.59</v>
      </c>
      <c r="Z252" s="253" t="n">
        <v>-5.336</v>
      </c>
      <c r="AA252" s="253" t="n">
        <v>32.781</v>
      </c>
      <c r="AB252" s="253" t="n">
        <v>-42.229</v>
      </c>
      <c r="AC252" s="253" t="n">
        <v>-10.194</v>
      </c>
      <c r="AD252" s="253" t="n">
        <v>12.175</v>
      </c>
      <c r="AE252" s="253" t="n">
        <v>27.747</v>
      </c>
      <c r="AF252" s="253" t="n">
        <v>14.819</v>
      </c>
      <c r="AG252" s="253" t="n">
        <v>-25.049</v>
      </c>
      <c r="AH252" s="253" t="n">
        <v>29.692</v>
      </c>
      <c r="AI252" s="253" t="n">
        <v>-11.405</v>
      </c>
      <c r="AJ252" s="253" t="n">
        <v>13.655</v>
      </c>
      <c r="AK252" s="253" t="n">
        <v>12.061</v>
      </c>
      <c r="AL252" s="253" t="n">
        <v>-29.906</v>
      </c>
      <c r="AM252" s="253" t="n">
        <v>-15.595</v>
      </c>
      <c r="AN252" s="253" t="n">
        <v>-10.127</v>
      </c>
      <c r="AO252" s="253" t="n">
        <v>-3.011</v>
      </c>
      <c r="AP252" s="253" t="n">
        <v>1.923</v>
      </c>
      <c r="AQ252" s="253" t="n">
        <v>27.618</v>
      </c>
      <c r="AR252" s="253" t="n">
        <v>16.403</v>
      </c>
      <c r="AS252" s="253" t="n">
        <v>4.79</v>
      </c>
      <c r="AT252" s="253" t="n">
        <v>-2.25</v>
      </c>
      <c r="AU252" s="253" t="n">
        <v>16.707</v>
      </c>
      <c r="AV252" s="253" t="n">
        <v>31.721</v>
      </c>
      <c r="AW252" s="253" t="n">
        <v>50.968</v>
      </c>
      <c r="AX252" s="253" t="n">
        <v>-12.732</v>
      </c>
      <c r="AY252" s="253" t="n">
        <v>53.174</v>
      </c>
      <c r="AZ252" s="253" t="n">
        <v>39.776</v>
      </c>
      <c r="BA252" s="253" t="n">
        <v>-42.258</v>
      </c>
      <c r="BB252" s="253" t="n">
        <v>37.96</v>
      </c>
      <c r="BC252" s="253" t="n">
        <v>-33.197</v>
      </c>
      <c r="BD252" s="253" t="n">
        <v>12.062</v>
      </c>
      <c r="BE252" s="253" t="n">
        <v>-19.157</v>
      </c>
      <c r="BF252" s="253" t="n">
        <v>-21.86</v>
      </c>
      <c r="BG252" s="253" t="n">
        <v>-62.152</v>
      </c>
      <c r="BH252" s="253" t="n">
        <v>6.654</v>
      </c>
      <c r="BI252" s="253" t="n">
        <v>-2.085</v>
      </c>
      <c r="BJ252" s="253" t="n">
        <v>25.251</v>
      </c>
      <c r="BK252" s="253" t="n">
        <v>-26.244</v>
      </c>
      <c r="BL252" s="253" t="n">
        <v>3.576</v>
      </c>
      <c r="BM252" s="253" t="n">
        <v>23.643</v>
      </c>
      <c r="BN252" s="253" t="n">
        <v>-24.754</v>
      </c>
      <c r="BO252" s="253" t="n">
        <v>20.376</v>
      </c>
      <c r="BP252" s="253" t="n">
        <v>-5.376</v>
      </c>
      <c r="BQ252" s="253" t="n">
        <v>13.889</v>
      </c>
      <c r="BR252" s="253" t="n">
        <v>33.587</v>
      </c>
      <c r="BS252" s="253" t="n">
        <v>-37.613</v>
      </c>
      <c r="BT252" s="253" t="n">
        <v>42.408</v>
      </c>
      <c r="BU252" s="253" t="n">
        <v>-54.913</v>
      </c>
      <c r="BV252" s="253" t="n">
        <v>-16.531</v>
      </c>
      <c r="BW252" s="253" t="n">
        <v>27.898</v>
      </c>
      <c r="BX252" s="253" t="n">
        <v>57.385</v>
      </c>
      <c r="BY252" s="253" t="n">
        <v>29.025</v>
      </c>
      <c r="BZ252" s="35" t="n"/>
      <c r="CA252" s="254">
        <f>CA237+CA243+CA250+CA251</f>
        <v>15.8639999999998</v>
      </c>
      <c r="CB252" s="254">
        <f>CB237+CB243+CB250+CB251</f>
        <v>0</v>
      </c>
      <c r="CC252" s="254">
        <f>CC237+CC243+CC250+CC251</f>
        <v>0</v>
      </c>
      <c r="CD252" s="254">
        <f>CD237+CD243+CD250+CD251</f>
        <v>0</v>
      </c>
      <c r="CE252" s="254">
        <f>CE237+CE243+CE250+CE251</f>
        <v>0</v>
      </c>
      <c r="CF252" s="254">
        <f>CF237+CF243+CF250+CF251</f>
        <v>0</v>
      </c>
      <c r="CG252" s="19" t="n"/>
    </row>
    <row r="253" ht="15" customHeight="1" s="251">
      <c r="B253" s="25" t="inlineStr">
        <is>
          <t>Cash — beginning of period</t>
        </is>
      </c>
      <c r="C253" s="253" t="n">
        <v>82.88</v>
      </c>
      <c r="D253" s="253" t="n">
        <v>75.154</v>
      </c>
      <c r="E253" s="253" t="n">
        <v>95.28400000000001</v>
      </c>
      <c r="F253" s="253" t="n">
        <v>129.678</v>
      </c>
      <c r="G253" s="253" t="n">
        <v>178.157</v>
      </c>
      <c r="H253" s="253" t="n">
        <v>146.199</v>
      </c>
      <c r="I253" s="253" t="n">
        <v>135.752</v>
      </c>
      <c r="J253" s="253" t="n">
        <v>71.60899999999999</v>
      </c>
      <c r="K253" s="253" t="n">
        <v>90.839</v>
      </c>
      <c r="L253" s="253" t="n">
        <v>131.15</v>
      </c>
      <c r="M253" s="253" t="n">
        <v>93.01900000000001</v>
      </c>
      <c r="N253" s="253" t="n">
        <v>71.60899999999999</v>
      </c>
      <c r="O253" s="253" t="n">
        <v>83.178</v>
      </c>
      <c r="P253" s="253" t="n">
        <v>95.937</v>
      </c>
      <c r="Q253" s="253" t="n">
        <v>108.176</v>
      </c>
      <c r="R253" s="253" t="n">
        <v>93.10899999999999</v>
      </c>
      <c r="S253" s="253" t="n">
        <v>83.178</v>
      </c>
      <c r="T253" s="253" t="n">
        <v>105.075</v>
      </c>
      <c r="U253" s="253" t="n">
        <v>94.651</v>
      </c>
      <c r="V253" s="253" t="n">
        <v>86.84099999999999</v>
      </c>
      <c r="W253" s="253" t="n">
        <v>84.358</v>
      </c>
      <c r="X253" s="253" t="n">
        <v>105.075</v>
      </c>
      <c r="Y253" s="253" t="n">
        <v>86.12</v>
      </c>
      <c r="Z253" s="253" t="n">
        <v>90.70999999999999</v>
      </c>
      <c r="AA253" s="253" t="n">
        <v>85.374</v>
      </c>
      <c r="AB253" s="253" t="n">
        <v>118.155</v>
      </c>
      <c r="AC253" s="253" t="n">
        <v>86.12</v>
      </c>
      <c r="AD253" s="253" t="n">
        <v>75.926</v>
      </c>
      <c r="AE253" s="253" t="n">
        <v>88.101</v>
      </c>
      <c r="AF253" s="253" t="n">
        <v>115.848</v>
      </c>
      <c r="AG253" s="253" t="n">
        <v>130.667</v>
      </c>
      <c r="AH253" s="253" t="n">
        <v>75.926</v>
      </c>
      <c r="AI253" s="253" t="n">
        <v>105.618</v>
      </c>
      <c r="AJ253" s="253" t="n">
        <v>94.21299999999999</v>
      </c>
      <c r="AK253" s="253" t="n">
        <v>107.868</v>
      </c>
      <c r="AL253" s="253" t="n">
        <v>119.929</v>
      </c>
      <c r="AM253" s="253" t="n">
        <v>105.618</v>
      </c>
      <c r="AN253" s="253" t="n">
        <v>90.023</v>
      </c>
      <c r="AO253" s="253" t="n">
        <v>79.896</v>
      </c>
      <c r="AP253" s="253" t="n">
        <v>76.88500000000001</v>
      </c>
      <c r="AQ253" s="253" t="n">
        <v>78.80800000000001</v>
      </c>
      <c r="AR253" s="253" t="n">
        <v>90.023</v>
      </c>
      <c r="AS253" s="253" t="n">
        <v>106.426</v>
      </c>
      <c r="AT253" s="253" t="n">
        <v>111.216</v>
      </c>
      <c r="AU253" s="253" t="n">
        <v>108.966</v>
      </c>
      <c r="AV253" s="253" t="n">
        <v>125.673</v>
      </c>
      <c r="AW253" s="253" t="n">
        <v>106.426</v>
      </c>
      <c r="AX253" s="253" t="n">
        <v>157.394</v>
      </c>
      <c r="AY253" s="253" t="n">
        <v>144.662</v>
      </c>
      <c r="AZ253" s="253" t="n">
        <v>197.836</v>
      </c>
      <c r="BA253" s="253" t="n">
        <v>237.612</v>
      </c>
      <c r="BB253" s="253" t="n">
        <v>157.394</v>
      </c>
      <c r="BC253" s="253" t="n">
        <v>195.354</v>
      </c>
      <c r="BD253" s="253" t="n">
        <v>162.157</v>
      </c>
      <c r="BE253" s="253" t="n">
        <v>174.219</v>
      </c>
      <c r="BF253" s="253" t="n">
        <v>155.062</v>
      </c>
      <c r="BG253" s="253" t="n">
        <v>195.354</v>
      </c>
      <c r="BH253" s="253" t="n">
        <v>133.202</v>
      </c>
      <c r="BI253" s="253" t="n">
        <v>139.856</v>
      </c>
      <c r="BJ253" s="253" t="n">
        <v>137.771</v>
      </c>
      <c r="BK253" s="253" t="n">
        <v>163.022</v>
      </c>
      <c r="BL253" s="253" t="n">
        <v>133.202</v>
      </c>
      <c r="BM253" s="253" t="n">
        <v>136.778</v>
      </c>
      <c r="BN253" s="253" t="n">
        <v>160.421</v>
      </c>
      <c r="BO253" s="253" t="n">
        <v>135.667</v>
      </c>
      <c r="BP253" s="253" t="n">
        <v>156.043</v>
      </c>
      <c r="BQ253" s="253" t="n">
        <v>136.778</v>
      </c>
      <c r="BR253" s="253" t="n">
        <v>150.667</v>
      </c>
      <c r="BS253" s="253" t="n">
        <v>184.254</v>
      </c>
      <c r="BT253" s="253" t="n">
        <v>146.641</v>
      </c>
      <c r="BU253" s="253" t="n">
        <v>189.049</v>
      </c>
      <c r="BV253" s="253" t="n">
        <v>150.667</v>
      </c>
      <c r="BW253" s="253" t="n">
        <v>134.136</v>
      </c>
      <c r="BX253" s="253" t="n">
        <v>162.034</v>
      </c>
      <c r="BY253" s="253" t="n">
        <v>219.419</v>
      </c>
      <c r="BZ253" s="35" t="n"/>
      <c r="CA253" s="254">
        <f>BV254</f>
        <v>134.136</v>
      </c>
      <c r="CB253" s="254">
        <f>CA254</f>
        <v>150</v>
      </c>
      <c r="CC253" s="254">
        <f>CB254</f>
        <v>150</v>
      </c>
      <c r="CD253" s="254">
        <f>CC254</f>
        <v>150</v>
      </c>
      <c r="CE253" s="254">
        <f>CD254</f>
        <v>150</v>
      </c>
      <c r="CF253" s="254">
        <f>CE254</f>
        <v>150</v>
      </c>
      <c r="CG253" s="19" t="n"/>
    </row>
    <row r="254" ht="15" customHeight="1" s="251">
      <c r="B254" s="16" t="inlineStr">
        <is>
          <t>Cash — end of period</t>
        </is>
      </c>
      <c r="C254" s="284" t="n">
        <v>75.154</v>
      </c>
      <c r="D254" s="284" t="n">
        <v>95.28400000000001</v>
      </c>
      <c r="E254" s="284" t="n">
        <v>129.678</v>
      </c>
      <c r="F254" s="284" t="n">
        <v>178.157</v>
      </c>
      <c r="G254" s="284" t="n">
        <v>146.199</v>
      </c>
      <c r="H254" s="284" t="n">
        <v>135.752</v>
      </c>
      <c r="I254" s="284" t="n">
        <v>71.60899999999999</v>
      </c>
      <c r="J254" s="284" t="n">
        <v>90.839</v>
      </c>
      <c r="K254" s="284" t="n">
        <v>131.15</v>
      </c>
      <c r="L254" s="284" t="n">
        <v>93.01900000000001</v>
      </c>
      <c r="M254" s="284" t="n">
        <v>83.178</v>
      </c>
      <c r="N254" s="284" t="n">
        <v>83.178</v>
      </c>
      <c r="O254" s="284" t="n">
        <v>95.937</v>
      </c>
      <c r="P254" s="284" t="n">
        <v>108.176</v>
      </c>
      <c r="Q254" s="284" t="n">
        <v>93.10899999999999</v>
      </c>
      <c r="R254" s="284" t="n">
        <v>105.075</v>
      </c>
      <c r="S254" s="284" t="n">
        <v>105.075</v>
      </c>
      <c r="T254" s="284" t="n">
        <v>94.651</v>
      </c>
      <c r="U254" s="284" t="n">
        <v>86.84099999999999</v>
      </c>
      <c r="V254" s="284" t="n">
        <v>84.358</v>
      </c>
      <c r="W254" s="284" t="n">
        <v>86.12</v>
      </c>
      <c r="X254" s="284" t="n">
        <v>86.12</v>
      </c>
      <c r="Y254" s="284" t="n">
        <v>90.70999999999999</v>
      </c>
      <c r="Z254" s="284" t="n">
        <v>85.374</v>
      </c>
      <c r="AA254" s="284" t="n">
        <v>118.155</v>
      </c>
      <c r="AB254" s="284" t="n">
        <v>75.926</v>
      </c>
      <c r="AC254" s="284" t="n">
        <v>75.926</v>
      </c>
      <c r="AD254" s="284" t="n">
        <v>88.101</v>
      </c>
      <c r="AE254" s="284" t="n">
        <v>115.848</v>
      </c>
      <c r="AF254" s="284" t="n">
        <v>130.667</v>
      </c>
      <c r="AG254" s="284" t="n">
        <v>105.618</v>
      </c>
      <c r="AH254" s="284" t="n">
        <v>105.618</v>
      </c>
      <c r="AI254" s="284" t="n">
        <v>94.21299999999999</v>
      </c>
      <c r="AJ254" s="284" t="n">
        <v>107.868</v>
      </c>
      <c r="AK254" s="284" t="n">
        <v>119.929</v>
      </c>
      <c r="AL254" s="284" t="n">
        <v>90.023</v>
      </c>
      <c r="AM254" s="284" t="n">
        <v>90.023</v>
      </c>
      <c r="AN254" s="284" t="n">
        <v>79.896</v>
      </c>
      <c r="AO254" s="284" t="n">
        <v>76.88500000000001</v>
      </c>
      <c r="AP254" s="284" t="n">
        <v>78.80800000000001</v>
      </c>
      <c r="AQ254" s="284" t="n">
        <v>106.426</v>
      </c>
      <c r="AR254" s="284" t="n">
        <v>106.426</v>
      </c>
      <c r="AS254" s="284" t="n">
        <v>111.216</v>
      </c>
      <c r="AT254" s="284" t="n">
        <v>108.966</v>
      </c>
      <c r="AU254" s="284" t="n">
        <v>125.673</v>
      </c>
      <c r="AV254" s="284" t="n">
        <v>157.394</v>
      </c>
      <c r="AW254" s="284" t="n">
        <v>157.394</v>
      </c>
      <c r="AX254" s="284" t="n">
        <v>144.662</v>
      </c>
      <c r="AY254" s="284" t="n">
        <v>197.836</v>
      </c>
      <c r="AZ254" s="284" t="n">
        <v>237.612</v>
      </c>
      <c r="BA254" s="284" t="n">
        <v>195.354</v>
      </c>
      <c r="BB254" s="284" t="n">
        <v>195.354</v>
      </c>
      <c r="BC254" s="284" t="n">
        <v>162.157</v>
      </c>
      <c r="BD254" s="284" t="n">
        <v>174.219</v>
      </c>
      <c r="BE254" s="284" t="n">
        <v>155.062</v>
      </c>
      <c r="BF254" s="284" t="n">
        <v>133.202</v>
      </c>
      <c r="BG254" s="284" t="n">
        <v>133.202</v>
      </c>
      <c r="BH254" s="284" t="n">
        <v>139.856</v>
      </c>
      <c r="BI254" s="284" t="n">
        <v>137.771</v>
      </c>
      <c r="BJ254" s="284" t="n">
        <v>163.022</v>
      </c>
      <c r="BK254" s="284" t="n">
        <v>136.778</v>
      </c>
      <c r="BL254" s="284" t="n">
        <v>136.778</v>
      </c>
      <c r="BM254" s="284" t="n">
        <v>160.421</v>
      </c>
      <c r="BN254" s="284" t="n">
        <v>135.667</v>
      </c>
      <c r="BO254" s="284" t="n">
        <v>156.043</v>
      </c>
      <c r="BP254" s="284" t="n">
        <v>150.667</v>
      </c>
      <c r="BQ254" s="284" t="n">
        <v>150.667</v>
      </c>
      <c r="BR254" s="284" t="n">
        <v>184.254</v>
      </c>
      <c r="BS254" s="284" t="n">
        <v>146.641</v>
      </c>
      <c r="BT254" s="284" t="n">
        <v>189.049</v>
      </c>
      <c r="BU254" s="284" t="n">
        <v>134.136</v>
      </c>
      <c r="BV254" s="284" t="n">
        <v>134.136</v>
      </c>
      <c r="BW254" s="284" t="n">
        <v>162.034</v>
      </c>
      <c r="BX254" s="284" t="n">
        <v>219.419</v>
      </c>
      <c r="BY254" s="284" t="n">
        <v>248.444</v>
      </c>
      <c r="BZ254" s="32" t="n"/>
      <c r="CA254" s="260">
        <f>CA253+CA252</f>
        <v>150</v>
      </c>
      <c r="CB254" s="260">
        <f>CB253+CB252</f>
        <v>150</v>
      </c>
      <c r="CC254" s="260">
        <f>CC253+CC252</f>
        <v>150</v>
      </c>
      <c r="CD254" s="260">
        <f>CD253+CD252</f>
        <v>150</v>
      </c>
      <c r="CE254" s="260">
        <f>CE253+CE252</f>
        <v>150</v>
      </c>
      <c r="CF254" s="260">
        <f>CF253+CF252</f>
        <v>150</v>
      </c>
      <c r="CG254" s="153" t="n"/>
    </row>
    <row r="255" ht="15" customHeight="1" s="251">
      <c r="B255" s="57" t="inlineStr">
        <is>
          <t xml:space="preserve">  Check: beginning cash + net change = ending cash (should be 0)</t>
        </is>
      </c>
      <c r="C255" s="262">
        <f>IF(AND(ISNUMBER(C253),ISNUMBER(C237)),IF(ABS(C253+C252-C254)&lt;=0.15,0,ROUND(C253+C252-C254,1)),"")</f>
        <v>0</v>
      </c>
      <c r="D255" s="262">
        <f>IF(AND(ISNUMBER(D253),ISNUMBER(D237)),IF(ABS(D253+D252-D254)&lt;=0.15,0,ROUND(D253+D252-D254,1)),"")</f>
        <v>0</v>
      </c>
      <c r="E255" s="262">
        <f>IF(AND(ISNUMBER(E253),ISNUMBER(E237)),IF(ABS(E253+E252-E254)&lt;=0.15,0,ROUND(E253+E252-E254,1)),"")</f>
        <v>0</v>
      </c>
      <c r="F255" s="262">
        <f>IF(AND(ISNUMBER(F253),ISNUMBER(F237)),IF(ABS(F253+F252-F254)&lt;=0.15,0,ROUND(F253+F252-F254,1)),"")</f>
        <v>0</v>
      </c>
      <c r="G255" s="262">
        <f>IF(AND(ISNUMBER(G253),ISNUMBER(G237)),IF(ABS(G253+G252-G254)&lt;=0.15,0,ROUND(G253+G252-G254,1)),"")</f>
        <v>0</v>
      </c>
      <c r="H255" s="262">
        <f>IF(AND(ISNUMBER(H253),ISNUMBER(H237)),IF(ABS(H253+H252-H254)&lt;=0.15,0,ROUND(H253+H252-H254,1)),"")</f>
        <v>0</v>
      </c>
      <c r="I255" s="262">
        <f>IF(AND(ISNUMBER(I253),ISNUMBER(I237)),IF(ABS(I253+I252-I254)&lt;=0.15,0,ROUND(I253+I252-I254,1)),"")</f>
        <v>0</v>
      </c>
      <c r="J255" s="262">
        <f>IF(AND(ISNUMBER(J253),ISNUMBER(J237)),IF(ABS(J253+J252-J254)&lt;=0.15,0,ROUND(J253+J252-J254,1)),"")</f>
        <v>0</v>
      </c>
      <c r="K255" s="262">
        <f>IF(AND(ISNUMBER(K253),ISNUMBER(K237)),IF(ABS(K253+K252-K254)&lt;=0.15,0,ROUND(K253+K252-K254,1)),"")</f>
        <v>0</v>
      </c>
      <c r="L255" s="262">
        <f>IF(AND(ISNUMBER(L253),ISNUMBER(L237)),IF(ABS(L253+L252-L254)&lt;=0.15,0,ROUND(L253+L252-L254,1)),"")</f>
        <v>0</v>
      </c>
      <c r="M255" s="262">
        <f>IF(AND(ISNUMBER(M253),ISNUMBER(M237)),IF(ABS(M253+M252-M254)&lt;=0.15,0,ROUND(M253+M252-M254,1)),"")</f>
        <v>0</v>
      </c>
      <c r="N255" s="262">
        <f>IF(AND(ISNUMBER(N253),ISNUMBER(N237)),IF(ABS(N253+N252-N254)&lt;=0.15,0,ROUND(N253+N252-N254,1)),"")</f>
        <v>0</v>
      </c>
      <c r="O255" s="262">
        <f>IF(AND(ISNUMBER(O253),ISNUMBER(O237)),IF(ABS(O253+O252-O254)&lt;=0.15,0,ROUND(O253+O252-O254,1)),"")</f>
        <v>0</v>
      </c>
      <c r="P255" s="262">
        <f>IF(AND(ISNUMBER(P253),ISNUMBER(P237)),IF(ABS(P253+P252-P254)&lt;=0.15,0,ROUND(P253+P252-P254,1)),"")</f>
        <v>0</v>
      </c>
      <c r="Q255" s="262">
        <f>IF(AND(ISNUMBER(Q253),ISNUMBER(Q237)),IF(ABS(Q253+Q252-Q254)&lt;=0.15,0,ROUND(Q253+Q252-Q254,1)),"")</f>
        <v>0</v>
      </c>
      <c r="R255" s="262">
        <f>IF(AND(ISNUMBER(R253),ISNUMBER(R237)),IF(ABS(R253+R252-R254)&lt;=0.15,0,ROUND(R253+R252-R254,1)),"")</f>
        <v>0</v>
      </c>
      <c r="S255" s="262">
        <f>IF(AND(ISNUMBER(S253),ISNUMBER(S237)),IF(ABS(S253+S252-S254)&lt;=0.15,0,ROUND(S253+S252-S254,1)),"")</f>
        <v>0</v>
      </c>
      <c r="T255" s="262">
        <f>IF(AND(ISNUMBER(T253),ISNUMBER(T237)),IF(ABS(T253+T252-T254)&lt;=0.15,0,ROUND(T253+T252-T254,1)),"")</f>
        <v>0</v>
      </c>
      <c r="U255" s="262">
        <f>IF(AND(ISNUMBER(U253),ISNUMBER(U237)),IF(ABS(U253+U252-U254)&lt;=0.15,0,ROUND(U253+U252-U254,1)),"")</f>
        <v>0</v>
      </c>
      <c r="V255" s="262">
        <f>IF(AND(ISNUMBER(V253),ISNUMBER(V237)),IF(ABS(V253+V252-V254)&lt;=0.15,0,ROUND(V253+V252-V254,1)),"")</f>
        <v>0</v>
      </c>
      <c r="W255" s="262">
        <f>IF(AND(ISNUMBER(W253),ISNUMBER(W237)),IF(ABS(W253+W252-W254)&lt;=0.15,0,ROUND(W253+W252-W254,1)),"")</f>
        <v>0</v>
      </c>
      <c r="X255" s="262">
        <f>IF(AND(ISNUMBER(X253),ISNUMBER(X237)),IF(ABS(X253+X252-X254)&lt;=0.15,0,ROUND(X253+X252-X254,1)),"")</f>
        <v>0</v>
      </c>
      <c r="Y255" s="262">
        <f>IF(AND(ISNUMBER(Y253),ISNUMBER(Y237)),IF(ABS(Y253+Y252-Y254)&lt;=0.15,0,ROUND(Y253+Y252-Y254,1)),"")</f>
        <v>0</v>
      </c>
      <c r="Z255" s="262">
        <f>IF(AND(ISNUMBER(Z253),ISNUMBER(Z237)),IF(ABS(Z253+Z252-Z254)&lt;=0.15,0,ROUND(Z253+Z252-Z254,1)),"")</f>
        <v>0</v>
      </c>
      <c r="AA255" s="262">
        <f>IF(AND(ISNUMBER(AA253),ISNUMBER(AA237)),IF(ABS(AA253+AA252-AA254)&lt;=0.15,0,ROUND(AA253+AA252-AA254,1)),"")</f>
        <v>0</v>
      </c>
      <c r="AB255" s="262">
        <f>IF(AND(ISNUMBER(AB253),ISNUMBER(AB237)),IF(ABS(AB253+AB252-AB254)&lt;=0.15,0,ROUND(AB253+AB252-AB254,1)),"")</f>
        <v>0</v>
      </c>
      <c r="AC255" s="262">
        <f>IF(AND(ISNUMBER(AC253),ISNUMBER(AC237)),IF(ABS(AC253+AC252-AC254)&lt;=0.15,0,ROUND(AC253+AC252-AC254,1)),"")</f>
        <v>0</v>
      </c>
      <c r="AD255" s="262">
        <f>IF(AND(ISNUMBER(AD253),ISNUMBER(AD237)),IF(ABS(AD253+AD252-AD254)&lt;=0.15,0,ROUND(AD253+AD252-AD254,1)),"")</f>
        <v>0</v>
      </c>
      <c r="AE255" s="262">
        <f>IF(AND(ISNUMBER(AE253),ISNUMBER(AE237)),IF(ABS(AE253+AE252-AE254)&lt;=0.15,0,ROUND(AE253+AE252-AE254,1)),"")</f>
        <v>0</v>
      </c>
      <c r="AF255" s="262">
        <f>IF(AND(ISNUMBER(AF253),ISNUMBER(AF237)),IF(ABS(AF253+AF252-AF254)&lt;=0.15,0,ROUND(AF253+AF252-AF254,1)),"")</f>
        <v>0</v>
      </c>
      <c r="AG255" s="262">
        <f>IF(AND(ISNUMBER(AG253),ISNUMBER(AG237)),IF(ABS(AG253+AG252-AG254)&lt;=0.15,0,ROUND(AG253+AG252-AG254,1)),"")</f>
        <v>0</v>
      </c>
      <c r="AH255" s="262">
        <f>IF(AND(ISNUMBER(AH253),ISNUMBER(AH237)),IF(ABS(AH253+AH252-AH254)&lt;=0.15,0,ROUND(AH253+AH252-AH254,1)),"")</f>
        <v>0</v>
      </c>
      <c r="AI255" s="262">
        <f>IF(AND(ISNUMBER(AI253),ISNUMBER(AI237)),IF(ABS(AI253+AI252-AI254)&lt;=0.15,0,ROUND(AI253+AI252-AI254,1)),"")</f>
        <v>0</v>
      </c>
      <c r="AJ255" s="262">
        <f>IF(AND(ISNUMBER(AJ253),ISNUMBER(AJ237)),IF(ABS(AJ253+AJ252-AJ254)&lt;=0.15,0,ROUND(AJ253+AJ252-AJ254,1)),"")</f>
        <v>0</v>
      </c>
      <c r="AK255" s="262">
        <f>IF(AND(ISNUMBER(AK253),ISNUMBER(AK237)),IF(ABS(AK253+AK252-AK254)&lt;=0.15,0,ROUND(AK253+AK252-AK254,1)),"")</f>
        <v>0</v>
      </c>
      <c r="AL255" s="262">
        <f>IF(AND(ISNUMBER(AL253),ISNUMBER(AL237)),IF(ABS(AL253+AL252-AL254)&lt;=0.15,0,ROUND(AL253+AL252-AL254,1)),"")</f>
        <v>0</v>
      </c>
      <c r="AM255" s="262">
        <f>IF(AND(ISNUMBER(AM253),ISNUMBER(AM237)),IF(ABS(AM253+AM252-AM254)&lt;=0.15,0,ROUND(AM253+AM252-AM254,1)),"")</f>
        <v>0</v>
      </c>
      <c r="AN255" s="262">
        <f>IF(AND(ISNUMBER(AN253),ISNUMBER(AN237)),IF(ABS(AN253+AN252-AN254)&lt;=0.15,0,ROUND(AN253+AN252-AN254,1)),"")</f>
        <v>0</v>
      </c>
      <c r="AO255" s="262">
        <f>IF(AND(ISNUMBER(AO253),ISNUMBER(AO237)),IF(ABS(AO253+AO252-AO254)&lt;=0.15,0,ROUND(AO253+AO252-AO254,1)),"")</f>
        <v>0</v>
      </c>
      <c r="AP255" s="262">
        <f>IF(AND(ISNUMBER(AP253),ISNUMBER(AP237)),IF(ABS(AP253+AP252-AP254)&lt;=0.15,0,ROUND(AP253+AP252-AP254,1)),"")</f>
        <v>0</v>
      </c>
      <c r="AQ255" s="262">
        <f>IF(AND(ISNUMBER(AQ253),ISNUMBER(AQ237)),IF(ABS(AQ253+AQ252-AQ254)&lt;=0.15,0,ROUND(AQ253+AQ252-AQ254,1)),"")</f>
        <v>0</v>
      </c>
      <c r="AR255" s="262">
        <f>IF(AND(ISNUMBER(AR253),ISNUMBER(AR237)),IF(ABS(AR253+AR252-AR254)&lt;=0.15,0,ROUND(AR253+AR252-AR254,1)),"")</f>
        <v>0</v>
      </c>
      <c r="AS255" s="262">
        <f>IF(AND(ISNUMBER(AS253),ISNUMBER(AS237)),IF(ABS(AS253+AS252-AS254)&lt;=0.15,0,ROUND(AS253+AS252-AS254,1)),"")</f>
        <v>0</v>
      </c>
      <c r="AT255" s="262">
        <f>IF(AND(ISNUMBER(AT253),ISNUMBER(AT237)),IF(ABS(AT253+AT252-AT254)&lt;=0.15,0,ROUND(AT253+AT252-AT254,1)),"")</f>
        <v>0</v>
      </c>
      <c r="AU255" s="262">
        <f>IF(AND(ISNUMBER(AU253),ISNUMBER(AU237)),IF(ABS(AU253+AU252-AU254)&lt;=0.15,0,ROUND(AU253+AU252-AU254,1)),"")</f>
        <v>0</v>
      </c>
      <c r="AV255" s="262">
        <f>IF(AND(ISNUMBER(AV253),ISNUMBER(AV237)),IF(ABS(AV253+AV252-AV254)&lt;=0.15,0,ROUND(AV253+AV252-AV254,1)),"")</f>
        <v>0</v>
      </c>
      <c r="AW255" s="262">
        <f>IF(AND(ISNUMBER(AW253),ISNUMBER(AW237)),IF(ABS(AW253+AW252-AW254)&lt;=0.15,0,ROUND(AW253+AW252-AW254,1)),"")</f>
        <v>0</v>
      </c>
      <c r="AX255" s="262">
        <f>IF(AND(ISNUMBER(AX253),ISNUMBER(AX237)),IF(ABS(AX253+AX252-AX254)&lt;=0.15,0,ROUND(AX253+AX252-AX254,1)),"")</f>
        <v>0</v>
      </c>
      <c r="AY255" s="262">
        <f>IF(AND(ISNUMBER(AY253),ISNUMBER(AY237)),IF(ABS(AY253+AY252-AY254)&lt;=0.15,0,ROUND(AY253+AY252-AY254,1)),"")</f>
        <v>0</v>
      </c>
      <c r="AZ255" s="262">
        <f>IF(AND(ISNUMBER(AZ253),ISNUMBER(AZ237)),IF(ABS(AZ253+AZ252-AZ254)&lt;=0.15,0,ROUND(AZ253+AZ252-AZ254,1)),"")</f>
        <v>0</v>
      </c>
      <c r="BA255" s="262">
        <f>IF(AND(ISNUMBER(BA253),ISNUMBER(BA237)),IF(ABS(BA253+BA252-BA254)&lt;=0.15,0,ROUND(BA253+BA252-BA254,1)),"")</f>
        <v>0</v>
      </c>
      <c r="BB255" s="262">
        <f>IF(AND(ISNUMBER(BB253),ISNUMBER(BB237)),IF(ABS(BB253+BB252-BB254)&lt;=0.15,0,ROUND(BB253+BB252-BB254,1)),"")</f>
        <v>0</v>
      </c>
      <c r="BC255" s="262">
        <f>IF(AND(ISNUMBER(BC253),ISNUMBER(BC237)),IF(ABS(BC253+BC252-BC254)&lt;=0.15,0,ROUND(BC253+BC252-BC254,1)),"")</f>
        <v>0</v>
      </c>
      <c r="BD255" s="262">
        <f>IF(AND(ISNUMBER(BD253),ISNUMBER(BD237)),IF(ABS(BD253+BD252-BD254)&lt;=0.15,0,ROUND(BD253+BD252-BD254,1)),"")</f>
        <v>0</v>
      </c>
      <c r="BE255" s="262">
        <f>IF(AND(ISNUMBER(BE253),ISNUMBER(BE237)),IF(ABS(BE253+BE252-BE254)&lt;=0.15,0,ROUND(BE253+BE252-BE254,1)),"")</f>
        <v>0</v>
      </c>
      <c r="BF255" s="262">
        <f>IF(AND(ISNUMBER(BF253),ISNUMBER(BF237)),IF(ABS(BF253+BF252-BF254)&lt;=0.15,0,ROUND(BF253+BF252-BF254,1)),"")</f>
        <v>0</v>
      </c>
      <c r="BG255" s="262">
        <f>IF(AND(ISNUMBER(BG253),ISNUMBER(BG237)),IF(ABS(BG253+BG252-BG254)&lt;=0.15,0,ROUND(BG253+BG252-BG254,1)),"")</f>
        <v>0</v>
      </c>
      <c r="BH255" s="262">
        <f>IF(AND(ISNUMBER(BH253),ISNUMBER(BH237)),IF(ABS(BH253+BH252-BH254)&lt;=0.15,0,ROUND(BH253+BH252-BH254,1)),"")</f>
        <v>0</v>
      </c>
      <c r="BI255" s="262">
        <f>IF(AND(ISNUMBER(BI253),ISNUMBER(BI237)),IF(ABS(BI253+BI252-BI254)&lt;=0.15,0,ROUND(BI253+BI252-BI254,1)),"")</f>
        <v>0</v>
      </c>
      <c r="BJ255" s="262">
        <f>IF(AND(ISNUMBER(BJ253),ISNUMBER(BJ237)),IF(ABS(BJ253+BJ252-BJ254)&lt;=0.15,0,ROUND(BJ253+BJ252-BJ254,1)),"")</f>
        <v>0</v>
      </c>
      <c r="BK255" s="262">
        <f>IF(AND(ISNUMBER(BK253),ISNUMBER(BK237)),IF(ABS(BK253+BK252-BK254)&lt;=0.15,0,ROUND(BK253+BK252-BK254,1)),"")</f>
        <v>0</v>
      </c>
      <c r="BL255" s="262">
        <f>IF(AND(ISNUMBER(BL253),ISNUMBER(BL237)),IF(ABS(BL253+BL252-BL254)&lt;=0.15,0,ROUND(BL253+BL252-BL254,1)),"")</f>
        <v>0</v>
      </c>
      <c r="BM255" s="262">
        <f>IF(AND(ISNUMBER(BM253),ISNUMBER(BM237)),IF(ABS(BM253+BM252-BM254)&lt;=0.15,0,ROUND(BM253+BM252-BM254,1)),"")</f>
        <v>0</v>
      </c>
      <c r="BN255" s="262">
        <f>IF(AND(ISNUMBER(BN253),ISNUMBER(BN237)),IF(ABS(BN253+BN252-BN254)&lt;=0.15,0,ROUND(BN253+BN252-BN254,1)),"")</f>
        <v>0</v>
      </c>
      <c r="BO255" s="262">
        <f>IF(AND(ISNUMBER(BO253),ISNUMBER(BO237)),IF(ABS(BO253+BO252-BO254)&lt;=0.15,0,ROUND(BO253+BO252-BO254,1)),"")</f>
        <v>0</v>
      </c>
      <c r="BP255" s="262">
        <f>IF(AND(ISNUMBER(BP253),ISNUMBER(BP237)),IF(ABS(BP253+BP252-BP254)&lt;=0.15,0,ROUND(BP253+BP252-BP254,1)),"")</f>
        <v>0</v>
      </c>
      <c r="BQ255" s="262">
        <f>IF(AND(ISNUMBER(BQ253),ISNUMBER(BQ237)),IF(ABS(BQ253+BQ252-BQ254)&lt;=0.15,0,ROUND(BQ253+BQ252-BQ254,1)),"")</f>
        <v>0</v>
      </c>
      <c r="BR255" s="262">
        <f>IF(AND(ISNUMBER(BR253),ISNUMBER(BR237)),IF(ABS(BR253+BR252-BR254)&lt;=0.15,0,ROUND(BR253+BR252-BR254,1)),"")</f>
        <v>0</v>
      </c>
      <c r="BS255" s="262">
        <f>IF(AND(ISNUMBER(BS253),ISNUMBER(BS237)),IF(ABS(BS253+BS252-BS254)&lt;=0.15,0,ROUND(BS253+BS252-BS254,1)),"")</f>
        <v>0</v>
      </c>
      <c r="BT255" s="262">
        <f>IF(AND(ISNUMBER(BT253),ISNUMBER(BT237)),IF(ABS(BT253+BT252-BT254)&lt;=0.15,0,ROUND(BT253+BT252-BT254,1)),"")</f>
        <v>0</v>
      </c>
      <c r="BU255" s="262">
        <f>IF(AND(ISNUMBER(BU253),ISNUMBER(BU237)),IF(ABS(BU253+BU252-BU254)&lt;=0.15,0,ROUND(BU253+BU252-BU254,1)),"")</f>
        <v>0</v>
      </c>
      <c r="BV255" s="262">
        <f>IF(AND(ISNUMBER(BV253),ISNUMBER(BV237)),IF(ABS(BV253+BV252-BV254)&lt;=0.15,0,ROUND(BV253+BV252-BV254,1)),"")</f>
        <v>0</v>
      </c>
      <c r="BW255" s="262">
        <f>IF(AND(ISNUMBER(BW253),ISNUMBER(BW237)),IF(ABS(BW253+BW252-BW254)&lt;=0.15,0,ROUND(BW253+BW252-BW254,1)),"")</f>
        <v>0</v>
      </c>
      <c r="BX255" s="262">
        <f>IF(AND(ISNUMBER(BX253),ISNUMBER(BX237)),IF(ABS(BX253+BX252-BX254)&lt;=0.15,0,ROUND(BX253+BX252-BX254,1)),"")</f>
        <v>0</v>
      </c>
      <c r="BY255" s="262">
        <f>IF(AND(ISNUMBER(BY253),ISNUMBER(BY237)),IF(ABS(BY253+BY252-BY254)&lt;=0.15,0,ROUND(BY253+BY252-BY254,1)),"")</f>
        <v>0</v>
      </c>
      <c r="BZ255" s="153" t="n"/>
      <c r="CA255" s="274">
        <f>IF(AND(ISNUMBER(CA253),ISNUMBER(CA237)),IF(ABS(CA253+CA252-CA254)&lt;=0.15,0,ROUND(CA253+CA252-CA254,1)),"")</f>
        <v>0</v>
      </c>
      <c r="CB255" s="274">
        <f>IF(AND(ISNUMBER(CB253),ISNUMBER(CB237)),IF(ABS(CB253+CB252-CB254)&lt;=0.15,0,ROUND(CB253+CB252-CB254,1)),"")</f>
        <v>0</v>
      </c>
      <c r="CC255" s="274">
        <f>IF(AND(ISNUMBER(CC253),ISNUMBER(CC237)),IF(ABS(CC253+CC252-CC254)&lt;=0.15,0,ROUND(CC253+CC252-CC254,1)),"")</f>
        <v>0</v>
      </c>
      <c r="CD255" s="274">
        <f>IF(AND(ISNUMBER(CD253),ISNUMBER(CD237)),IF(ABS(CD253+CD252-CD254)&lt;=0.15,0,ROUND(CD253+CD252-CD254,1)),"")</f>
        <v>0</v>
      </c>
      <c r="CE255" s="274">
        <f>IF(AND(ISNUMBER(CE253),ISNUMBER(CE237)),IF(ABS(CE253+CE252-CE254)&lt;=0.15,0,ROUND(CE253+CE252-CE254,1)),"")</f>
        <v>0</v>
      </c>
      <c r="CF255" s="274">
        <f>IF(AND(ISNUMBER(CF253),ISNUMBER(CF237)),IF(ABS(CF253+CF252-CF254)&lt;=0.15,0,ROUND(CF253+CF252-CF254,1)),"")</f>
        <v>0</v>
      </c>
      <c r="CG255" s="153" t="n"/>
    </row>
    <row r="256" ht="15" customHeight="1" s="251">
      <c r="B256" s="57" t="inlineStr">
        <is>
          <t xml:space="preserve">  Check: CFO = sum of operating lines (should be 0)</t>
        </is>
      </c>
      <c r="C256" s="262">
        <f>IF(ISNUMBER(C232),IF(ABS(SUM(C232:C236)-C237)&lt;=0.15,0,ROUND(SUM(C232:C236)-C237,1)),"")</f>
        <v>0</v>
      </c>
      <c r="D256" s="262">
        <f>IF(ISNUMBER(D232),IF(ABS(SUM(D232:D236)-D237)&lt;=0.15,0,ROUND(SUM(D232:D236)-D237,1)),"")</f>
        <v>0</v>
      </c>
      <c r="E256" s="262">
        <f>IF(ISNUMBER(E232),IF(ABS(SUM(E232:E236)-E237)&lt;=0.15,0,ROUND(SUM(E232:E236)-E237,1)),"")</f>
        <v>0</v>
      </c>
      <c r="F256" s="262">
        <f>IF(ISNUMBER(F232),IF(ABS(SUM(F232:F236)-F237)&lt;=0.15,0,ROUND(SUM(F232:F236)-F237,1)),"")</f>
        <v>0</v>
      </c>
      <c r="G256" s="262">
        <f>IF(ISNUMBER(G232),IF(ABS(SUM(G232:G236)-G237)&lt;=0.15,0,ROUND(SUM(G232:G236)-G237,1)),"")</f>
        <v>0</v>
      </c>
      <c r="H256" s="262">
        <f>IF(ISNUMBER(H232),IF(ABS(SUM(H232:H236)-H237)&lt;=0.15,0,ROUND(SUM(H232:H236)-H237,1)),"")</f>
        <v>0</v>
      </c>
      <c r="I256" s="262">
        <f>IF(ISNUMBER(I232),IF(ABS(SUM(I232:I236)-I237)&lt;=0.15,0,ROUND(SUM(I232:I236)-I237,1)),"")</f>
        <v>0</v>
      </c>
      <c r="J256" s="262">
        <f>IF(ISNUMBER(J232),IF(ABS(SUM(J232:J236)-J237)&lt;=0.15,0,ROUND(SUM(J232:J236)-J237,1)),"")</f>
        <v>0</v>
      </c>
      <c r="K256" s="262">
        <f>IF(ISNUMBER(K232),IF(ABS(SUM(K232:K236)-K237)&lt;=0.15,0,ROUND(SUM(K232:K236)-K237,1)),"")</f>
        <v>0</v>
      </c>
      <c r="L256" s="262">
        <f>IF(ISNUMBER(L232),IF(ABS(SUM(L232:L236)-L237)&lt;=0.15,0,ROUND(SUM(L232:L236)-L237,1)),"")</f>
        <v>0</v>
      </c>
      <c r="M256" s="262">
        <f>IF(ISNUMBER(M232),IF(ABS(SUM(M232:M236)-M237)&lt;=0.15,0,ROUND(SUM(M232:M236)-M237,1)),"")</f>
        <v>0</v>
      </c>
      <c r="N256" s="262">
        <f>IF(ISNUMBER(N232),IF(ABS(SUM(N232:N236)-N237)&lt;=0.15,0,ROUND(SUM(N232:N236)-N237,1)),"")</f>
        <v>0</v>
      </c>
      <c r="O256" s="262">
        <f>IF(ISNUMBER(O232),IF(ABS(SUM(O232:O236)-O237)&lt;=0.15,0,ROUND(SUM(O232:O236)-O237,1)),"")</f>
        <v>0</v>
      </c>
      <c r="P256" s="262">
        <f>IF(ISNUMBER(P232),IF(ABS(SUM(P232:P236)-P237)&lt;=0.15,0,ROUND(SUM(P232:P236)-P237,1)),"")</f>
        <v>0</v>
      </c>
      <c r="Q256" s="262">
        <f>IF(ISNUMBER(Q232),IF(ABS(SUM(Q232:Q236)-Q237)&lt;=0.15,0,ROUND(SUM(Q232:Q236)-Q237,1)),"")</f>
        <v>0</v>
      </c>
      <c r="R256" s="262">
        <f>IF(ISNUMBER(R232),IF(ABS(SUM(R232:R236)-R237)&lt;=0.15,0,ROUND(SUM(R232:R236)-R237,1)),"")</f>
        <v>0</v>
      </c>
      <c r="S256" s="262">
        <f>IF(ISNUMBER(S232),IF(ABS(SUM(S232:S236)-S237)&lt;=0.15,0,ROUND(SUM(S232:S236)-S237,1)),"")</f>
        <v>0</v>
      </c>
      <c r="T256" s="262">
        <f>IF(ISNUMBER(T232),IF(ABS(SUM(T232:T236)-T237)&lt;=0.15,0,ROUND(SUM(T232:T236)-T237,1)),"")</f>
        <v>0</v>
      </c>
      <c r="U256" s="262">
        <f>IF(ISNUMBER(U232),IF(ABS(SUM(U232:U236)-U237)&lt;=0.15,0,ROUND(SUM(U232:U236)-U237,1)),"")</f>
        <v>0</v>
      </c>
      <c r="V256" s="262">
        <f>IF(ISNUMBER(V232),IF(ABS(SUM(V232:V236)-V237)&lt;=0.15,0,ROUND(SUM(V232:V236)-V237,1)),"")</f>
        <v>0</v>
      </c>
      <c r="W256" s="262">
        <f>IF(ISNUMBER(W232),IF(ABS(SUM(W232:W236)-W237)&lt;=0.15,0,ROUND(SUM(W232:W236)-W237,1)),"")</f>
        <v>0</v>
      </c>
      <c r="X256" s="262">
        <f>IF(ISNUMBER(X232),IF(ABS(SUM(X232:X236)-X237)&lt;=0.15,0,ROUND(SUM(X232:X236)-X237,1)),"")</f>
        <v>0</v>
      </c>
      <c r="Y256" s="262">
        <f>IF(ISNUMBER(Y232),IF(ABS(SUM(Y232:Y236)-Y237)&lt;=0.15,0,ROUND(SUM(Y232:Y236)-Y237,1)),"")</f>
        <v>0</v>
      </c>
      <c r="Z256" s="262">
        <f>IF(ISNUMBER(Z232),IF(ABS(SUM(Z232:Z236)-Z237)&lt;=0.15,0,ROUND(SUM(Z232:Z236)-Z237,1)),"")</f>
        <v>0</v>
      </c>
      <c r="AA256" s="262">
        <f>IF(ISNUMBER(AA232),IF(ABS(SUM(AA232:AA236)-AA237)&lt;=0.15,0,ROUND(SUM(AA232:AA236)-AA237,1)),"")</f>
        <v>0</v>
      </c>
      <c r="AB256" s="262">
        <f>IF(ISNUMBER(AB232),IF(ABS(SUM(AB232:AB236)-AB237)&lt;=0.15,0,ROUND(SUM(AB232:AB236)-AB237,1)),"")</f>
        <v>0</v>
      </c>
      <c r="AC256" s="262">
        <f>IF(ISNUMBER(AC232),IF(ABS(SUM(AC232:AC236)-AC237)&lt;=0.15,0,ROUND(SUM(AC232:AC236)-AC237,1)),"")</f>
        <v>0</v>
      </c>
      <c r="AD256" s="262">
        <f>IF(ISNUMBER(AD232),IF(ABS(SUM(AD232:AD236)-AD237)&lt;=0.15,0,ROUND(SUM(AD232:AD236)-AD237,1)),"")</f>
        <v>0</v>
      </c>
      <c r="AE256" s="262">
        <f>IF(ISNUMBER(AE232),IF(ABS(SUM(AE232:AE236)-AE237)&lt;=0.15,0,ROUND(SUM(AE232:AE236)-AE237,1)),"")</f>
        <v>0</v>
      </c>
      <c r="AF256" s="262">
        <f>IF(ISNUMBER(AF232),IF(ABS(SUM(AF232:AF236)-AF237)&lt;=0.15,0,ROUND(SUM(AF232:AF236)-AF237,1)),"")</f>
        <v>0</v>
      </c>
      <c r="AG256" s="262">
        <f>IF(ISNUMBER(AG232),IF(ABS(SUM(AG232:AG236)-AG237)&lt;=0.15,0,ROUND(SUM(AG232:AG236)-AG237,1)),"")</f>
        <v>0</v>
      </c>
      <c r="AH256" s="262">
        <f>IF(ISNUMBER(AH232),IF(ABS(SUM(AH232:AH236)-AH237)&lt;=0.15,0,ROUND(SUM(AH232:AH236)-AH237,1)),"")</f>
        <v>0</v>
      </c>
      <c r="AI256" s="262">
        <f>IF(ISNUMBER(AI232),IF(ABS(SUM(AI232:AI236)-AI237)&lt;=0.15,0,ROUND(SUM(AI232:AI236)-AI237,1)),"")</f>
        <v>0</v>
      </c>
      <c r="AJ256" s="262">
        <f>IF(ISNUMBER(AJ232),IF(ABS(SUM(AJ232:AJ236)-AJ237)&lt;=0.15,0,ROUND(SUM(AJ232:AJ236)-AJ237,1)),"")</f>
        <v>0</v>
      </c>
      <c r="AK256" s="262">
        <f>IF(ISNUMBER(AK232),IF(ABS(SUM(AK232:AK236)-AK237)&lt;=0.15,0,ROUND(SUM(AK232:AK236)-AK237,1)),"")</f>
        <v>0</v>
      </c>
      <c r="AL256" s="262">
        <f>IF(ISNUMBER(AL232),IF(ABS(SUM(AL232:AL236)-AL237)&lt;=0.15,0,ROUND(SUM(AL232:AL236)-AL237,1)),"")</f>
        <v>0</v>
      </c>
      <c r="AM256" s="262">
        <f>IF(ISNUMBER(AM232),IF(ABS(SUM(AM232:AM236)-AM237)&lt;=0.15,0,ROUND(SUM(AM232:AM236)-AM237,1)),"")</f>
        <v>0</v>
      </c>
      <c r="AN256" s="262">
        <f>IF(ISNUMBER(AN232),IF(ABS(SUM(AN232:AN236)-AN237)&lt;=0.15,0,ROUND(SUM(AN232:AN236)-AN237,1)),"")</f>
        <v>0</v>
      </c>
      <c r="AO256" s="262">
        <f>IF(ISNUMBER(AO232),IF(ABS(SUM(AO232:AO236)-AO237)&lt;=0.15,0,ROUND(SUM(AO232:AO236)-AO237,1)),"")</f>
        <v>0</v>
      </c>
      <c r="AP256" s="262">
        <f>IF(ISNUMBER(AP232),IF(ABS(SUM(AP232:AP236)-AP237)&lt;=0.15,0,ROUND(SUM(AP232:AP236)-AP237,1)),"")</f>
        <v>0</v>
      </c>
      <c r="AQ256" s="262">
        <f>IF(ISNUMBER(AQ232),IF(ABS(SUM(AQ232:AQ236)-AQ237)&lt;=0.15,0,ROUND(SUM(AQ232:AQ236)-AQ237,1)),"")</f>
        <v>0</v>
      </c>
      <c r="AR256" s="262">
        <f>IF(ISNUMBER(AR232),IF(ABS(SUM(AR232:AR236)-AR237)&lt;=0.15,0,ROUND(SUM(AR232:AR236)-AR237,1)),"")</f>
        <v>0</v>
      </c>
      <c r="AS256" s="262">
        <f>IF(ISNUMBER(AS232),IF(ABS(SUM(AS232:AS236)-AS237)&lt;=0.15,0,ROUND(SUM(AS232:AS236)-AS237,1)),"")</f>
        <v>0</v>
      </c>
      <c r="AT256" s="262">
        <f>IF(ISNUMBER(AT232),IF(ABS(SUM(AT232:AT236)-AT237)&lt;=0.15,0,ROUND(SUM(AT232:AT236)-AT237,1)),"")</f>
        <v>0</v>
      </c>
      <c r="AU256" s="262">
        <f>IF(ISNUMBER(AU232),IF(ABS(SUM(AU232:AU236)-AU237)&lt;=0.15,0,ROUND(SUM(AU232:AU236)-AU237,1)),"")</f>
        <v>0</v>
      </c>
      <c r="AV256" s="262">
        <f>IF(ISNUMBER(AV232),IF(ABS(SUM(AV232:AV236)-AV237)&lt;=0.15,0,ROUND(SUM(AV232:AV236)-AV237,1)),"")</f>
        <v>0</v>
      </c>
      <c r="AW256" s="262">
        <f>IF(ISNUMBER(AW232),IF(ABS(SUM(AW232:AW236)-AW237)&lt;=0.15,0,ROUND(SUM(AW232:AW236)-AW237,1)),"")</f>
        <v>0</v>
      </c>
      <c r="AX256" s="262">
        <f>IF(ISNUMBER(AX232),IF(ABS(SUM(AX232:AX236)-AX237)&lt;=0.15,0,ROUND(SUM(AX232:AX236)-AX237,1)),"")</f>
        <v>0</v>
      </c>
      <c r="AY256" s="262">
        <f>IF(ISNUMBER(AY232),IF(ABS(SUM(AY232:AY236)-AY237)&lt;=0.15,0,ROUND(SUM(AY232:AY236)-AY237,1)),"")</f>
        <v>0</v>
      </c>
      <c r="AZ256" s="262">
        <f>IF(ISNUMBER(AZ232),IF(ABS(SUM(AZ232:AZ236)-AZ237)&lt;=0.15,0,ROUND(SUM(AZ232:AZ236)-AZ237,1)),"")</f>
        <v>0</v>
      </c>
      <c r="BA256" s="262">
        <f>IF(ISNUMBER(BA232),IF(ABS(SUM(BA232:BA236)-BA237)&lt;=0.15,0,ROUND(SUM(BA232:BA236)-BA237,1)),"")</f>
        <v>0</v>
      </c>
      <c r="BB256" s="262">
        <f>IF(ISNUMBER(BB232),IF(ABS(SUM(BB232:BB236)-BB237)&lt;=0.15,0,ROUND(SUM(BB232:BB236)-BB237,1)),"")</f>
        <v>0</v>
      </c>
      <c r="BC256" s="262">
        <f>IF(ISNUMBER(BC232),IF(ABS(SUM(BC232:BC236)-BC237)&lt;=0.15,0,ROUND(SUM(BC232:BC236)-BC237,1)),"")</f>
        <v>0</v>
      </c>
      <c r="BD256" s="262">
        <f>IF(ISNUMBER(BD232),IF(ABS(SUM(BD232:BD236)-BD237)&lt;=0.15,0,ROUND(SUM(BD232:BD236)-BD237,1)),"")</f>
        <v>0</v>
      </c>
      <c r="BE256" s="262">
        <f>IF(ISNUMBER(BE232),IF(ABS(SUM(BE232:BE236)-BE237)&lt;=0.15,0,ROUND(SUM(BE232:BE236)-BE237,1)),"")</f>
        <v>0</v>
      </c>
      <c r="BF256" s="262">
        <f>IF(ISNUMBER(BF232),IF(ABS(SUM(BF232:BF236)-BF237)&lt;=0.15,0,ROUND(SUM(BF232:BF236)-BF237,1)),"")</f>
        <v>0</v>
      </c>
      <c r="BG256" s="262">
        <f>IF(ISNUMBER(BG232),IF(ABS(SUM(BG232:BG236)-BG237)&lt;=0.15,0,ROUND(SUM(BG232:BG236)-BG237,1)),"")</f>
        <v>0</v>
      </c>
      <c r="BH256" s="262">
        <f>IF(ISNUMBER(BH232),IF(ABS(SUM(BH232:BH236)-BH237)&lt;=0.15,0,ROUND(SUM(BH232:BH236)-BH237,1)),"")</f>
        <v>0</v>
      </c>
      <c r="BI256" s="262">
        <f>IF(ISNUMBER(BI232),IF(ABS(SUM(BI232:BI236)-BI237)&lt;=0.15,0,ROUND(SUM(BI232:BI236)-BI237,1)),"")</f>
        <v>0</v>
      </c>
      <c r="BJ256" s="262">
        <f>IF(ISNUMBER(BJ232),IF(ABS(SUM(BJ232:BJ236)-BJ237)&lt;=0.15,0,ROUND(SUM(BJ232:BJ236)-BJ237,1)),"")</f>
        <v>0</v>
      </c>
      <c r="BK256" s="262">
        <f>IF(ISNUMBER(BK232),IF(ABS(SUM(BK232:BK236)-BK237)&lt;=0.15,0,ROUND(SUM(BK232:BK236)-BK237,1)),"")</f>
        <v>0</v>
      </c>
      <c r="BL256" s="262">
        <f>IF(ISNUMBER(BL232),IF(ABS(SUM(BL232:BL236)-BL237)&lt;=0.15,0,ROUND(SUM(BL232:BL236)-BL237,1)),"")</f>
        <v>0</v>
      </c>
      <c r="BM256" s="262">
        <f>IF(ISNUMBER(BM232),IF(ABS(SUM(BM232:BM236)-BM237)&lt;=0.15,0,ROUND(SUM(BM232:BM236)-BM237,1)),"")</f>
        <v>0</v>
      </c>
      <c r="BN256" s="262">
        <f>IF(ISNUMBER(BN232),IF(ABS(SUM(BN232:BN236)-BN237)&lt;=0.15,0,ROUND(SUM(BN232:BN236)-BN237,1)),"")</f>
        <v>0</v>
      </c>
      <c r="BO256" s="262">
        <f>IF(ISNUMBER(BO232),IF(ABS(SUM(BO232:BO236)-BO237)&lt;=0.15,0,ROUND(SUM(BO232:BO236)-BO237,1)),"")</f>
        <v>0</v>
      </c>
      <c r="BP256" s="262">
        <f>IF(ISNUMBER(BP232),IF(ABS(SUM(BP232:BP236)-BP237)&lt;=0.15,0,ROUND(SUM(BP232:BP236)-BP237,1)),"")</f>
        <v>0</v>
      </c>
      <c r="BQ256" s="262">
        <f>IF(ISNUMBER(BQ232),IF(ABS(SUM(BQ232:BQ236)-BQ237)&lt;=0.15,0,ROUND(SUM(BQ232:BQ236)-BQ237,1)),"")</f>
        <v>0</v>
      </c>
      <c r="BR256" s="262">
        <f>IF(ISNUMBER(BR232),IF(ABS(SUM(BR232:BR236)-BR237)&lt;=0.15,0,ROUND(SUM(BR232:BR236)-BR237,1)),"")</f>
        <v>0</v>
      </c>
      <c r="BS256" s="262">
        <f>IF(ISNUMBER(BS232),IF(ABS(SUM(BS232:BS236)-BS237)&lt;=0.15,0,ROUND(SUM(BS232:BS236)-BS237,1)),"")</f>
        <v>0</v>
      </c>
      <c r="BT256" s="262">
        <f>IF(ISNUMBER(BT232),IF(ABS(SUM(BT232:BT236)-BT237)&lt;=0.15,0,ROUND(SUM(BT232:BT236)-BT237,1)),"")</f>
        <v>0</v>
      </c>
      <c r="BU256" s="262">
        <f>IF(ISNUMBER(BU232),IF(ABS(SUM(BU232:BU236)-BU237)&lt;=0.15,0,ROUND(SUM(BU232:BU236)-BU237,1)),"")</f>
        <v>0</v>
      </c>
      <c r="BV256" s="262">
        <f>IF(ISNUMBER(BV232),IF(ABS(SUM(BV232:BV236)-BV237)&lt;=0.15,0,ROUND(SUM(BV232:BV236)-BV237,1)),"")</f>
        <v>0</v>
      </c>
      <c r="BW256" s="262">
        <f>IF(ISNUMBER(BW232),IF(ABS(SUM(BW232:BW236)-BW237)&lt;=0.15,0,ROUND(SUM(BW232:BW236)-BW237,1)),"")</f>
        <v>0</v>
      </c>
      <c r="BX256" s="262">
        <f>IF(ISNUMBER(BX232),IF(ABS(SUM(BX232:BX236)-BX237)&lt;=0.15,0,ROUND(SUM(BX232:BX236)-BX237,1)),"")</f>
        <v>0</v>
      </c>
      <c r="BY256" s="262">
        <f>IF(ISNUMBER(BY232),IF(ABS(SUM(BY232:BY236)-BY237)&lt;=0.15,0,ROUND(SUM(BY232:BY236)-BY237,1)),"")</f>
        <v>0</v>
      </c>
      <c r="BZ256" s="153" t="n"/>
      <c r="CA256" s="274">
        <f>IF(ISNUMBER(CA232),IF(ABS(SUM(CA232:CA236)-CA237)&lt;=0.15,0,ROUND(SUM(CA232:CA236)-CA237,1)),"")</f>
        <v>0</v>
      </c>
      <c r="CB256" s="274">
        <f>IF(ISNUMBER(CB232),IF(ABS(SUM(CB232:CB236)-CB237)&lt;=0.15,0,ROUND(SUM(CB232:CB236)-CB237,1)),"")</f>
        <v>0</v>
      </c>
      <c r="CC256" s="274">
        <f>IF(ISNUMBER(CC232),IF(ABS(SUM(CC232:CC236)-CC237)&lt;=0.15,0,ROUND(SUM(CC232:CC236)-CC237,1)),"")</f>
        <v>0</v>
      </c>
      <c r="CD256" s="274">
        <f>IF(ISNUMBER(CD232),IF(ABS(SUM(CD232:CD236)-CD237)&lt;=0.15,0,ROUND(SUM(CD232:CD236)-CD237,1)),"")</f>
        <v>0</v>
      </c>
      <c r="CE256" s="274">
        <f>IF(ISNUMBER(CE232),IF(ABS(SUM(CE232:CE236)-CE237)&lt;=0.15,0,ROUND(SUM(CE232:CE236)-CE237,1)),"")</f>
        <v>0</v>
      </c>
      <c r="CF256" s="274">
        <f>IF(ISNUMBER(CF232),IF(ABS(SUM(CF232:CF236)-CF237)&lt;=0.15,0,ROUND(SUM(CF232:CF236)-CF237,1)),"")</f>
        <v>0</v>
      </c>
      <c r="CG256" s="153" t="n"/>
    </row>
    <row r="257" ht="15" customHeight="1" s="251">
      <c r="B257" s="25" t="inlineStr">
        <is>
          <t>(Memo)</t>
        </is>
      </c>
      <c r="CG257" s="153" t="n"/>
    </row>
    <row r="258" ht="15" customHeight="1" s="251">
      <c r="B258" s="55" t="inlineStr">
        <is>
          <t>Free cash flow (company definition: CFO − capital expenditures incl. capitalized software)</t>
        </is>
      </c>
      <c r="C258" s="273">
        <f>IF(AND(ISNUMBER(C237),ISNUMBER(C238)),C237+C238+N(C239),"")</f>
        <v>167.633</v>
      </c>
      <c r="D258" s="273">
        <f>IF(AND(ISNUMBER(D237),ISNUMBER(D238)),D237+D238+N(D239),"")</f>
        <v>156.428</v>
      </c>
      <c r="E258" s="273">
        <f>IF(AND(ISNUMBER(E237),ISNUMBER(E238)),E237+E238+N(E239),"")</f>
        <v>136.37</v>
      </c>
      <c r="F258" s="273">
        <f>IF(AND(ISNUMBER(F237),ISNUMBER(F238)),F237+F238+N(F239),"")</f>
        <v>137.675</v>
      </c>
      <c r="G258" s="273">
        <f>IF(AND(ISNUMBER(G237),ISNUMBER(G238)),G237+G238+N(G239),"")</f>
        <v>88.327</v>
      </c>
      <c r="H258" s="273">
        <f>IF(AND(ISNUMBER(H237),ISNUMBER(H238)),H237+H238+N(H239),"")</f>
        <v>122.136</v>
      </c>
      <c r="I258" s="273">
        <f>IF(AND(ISNUMBER(I237),ISNUMBER(I238)),I237+I238+N(I239),"")</f>
        <v>104.263</v>
      </c>
      <c r="J258" s="273">
        <f>IF(AND(ISNUMBER(J237),ISNUMBER(J238)),J237+J238+N(J239),"")</f>
        <v>19.717</v>
      </c>
      <c r="K258" s="273">
        <f>IF(AND(ISNUMBER(K237),ISNUMBER(K238)),K237+K238+N(K239),"")</f>
        <v>32.114</v>
      </c>
      <c r="L258" s="273">
        <f>IF(AND(ISNUMBER(L237),ISNUMBER(L238)),L237+L238+N(L239),"")</f>
        <v>27.911</v>
      </c>
      <c r="M258" s="273">
        <f>IF(AND(ISNUMBER(M237),ISNUMBER(M238)),M237+M238+N(M239),"")</f>
        <v>32.231</v>
      </c>
      <c r="N258" s="273">
        <f>IF(AND(ISNUMBER(N237),ISNUMBER(N238)),N237+N238+N(N239),"")</f>
        <v>111.973</v>
      </c>
      <c r="O258" s="273">
        <f>IF(AND(ISNUMBER(O237),ISNUMBER(O238)),O237+O238+N(O239),"")</f>
        <v>26.224</v>
      </c>
      <c r="P258" s="273">
        <f>IF(AND(ISNUMBER(P237),ISNUMBER(P238)),P237+P238+N(P239),"")</f>
        <v>44.567</v>
      </c>
      <c r="Q258" s="273">
        <f>IF(AND(ISNUMBER(Q237),ISNUMBER(Q238)),Q237+Q238+N(Q239),"")</f>
        <v>25.934</v>
      </c>
      <c r="R258" s="273">
        <f>IF(AND(ISNUMBER(R237),ISNUMBER(R238)),R237+R238+N(R239),"")</f>
        <v>65.719</v>
      </c>
      <c r="S258" s="273">
        <f>IF(AND(ISNUMBER(S237),ISNUMBER(S238)),S237+S238+N(S239),"")</f>
        <v>162.444</v>
      </c>
      <c r="T258" s="273">
        <f>IF(AND(ISNUMBER(T237),ISNUMBER(T238)),T237+T238+N(T239),"")</f>
        <v>-4.307</v>
      </c>
      <c r="U258" s="273">
        <f>IF(AND(ISNUMBER(U237),ISNUMBER(U238)),U237+U238+N(U239),"")</f>
        <v>37.338</v>
      </c>
      <c r="V258" s="273">
        <f>IF(AND(ISNUMBER(V237),ISNUMBER(V238)),V237+V238+N(V239),"")</f>
        <v>35.103</v>
      </c>
      <c r="W258" s="273">
        <f>IF(AND(ISNUMBER(W237),ISNUMBER(W238)),W237+W238+N(W239),"")</f>
        <v>39.844</v>
      </c>
      <c r="X258" s="273">
        <f>IF(AND(ISNUMBER(X237),ISNUMBER(X238)),X237+X238+N(X239),"")</f>
        <v>107.978</v>
      </c>
      <c r="Y258" s="273">
        <f>IF(AND(ISNUMBER(Y237),ISNUMBER(Y238)),Y237+Y238+N(Y239),"")</f>
        <v>36.256</v>
      </c>
      <c r="Z258" s="273">
        <f>IF(AND(ISNUMBER(Z237),ISNUMBER(Z238)),Z237+Z238+N(Z239),"")</f>
        <v>34.263</v>
      </c>
      <c r="AA258" s="273">
        <f>IF(AND(ISNUMBER(AA237),ISNUMBER(AA238)),AA237+AA238+N(AA239),"")</f>
        <v>78.565</v>
      </c>
      <c r="AB258" s="273">
        <f>IF(AND(ISNUMBER(AB237),ISNUMBER(AB238)),AB237+AB238+N(AB239),"")</f>
        <v>14.178</v>
      </c>
      <c r="AC258" s="273">
        <f>IF(AND(ISNUMBER(AC237),ISNUMBER(AC238)),AC237+AC238+N(AC239),"")</f>
        <v>163.262</v>
      </c>
      <c r="AD258" s="273">
        <f>IF(AND(ISNUMBER(AD237),ISNUMBER(AD238)),AD237+AD238+N(AD239),"")</f>
        <v>28.659</v>
      </c>
      <c r="AE258" s="273">
        <f>IF(AND(ISNUMBER(AE237),ISNUMBER(AE238)),AE237+AE238+N(AE239),"")</f>
        <v>61.134</v>
      </c>
      <c r="AF258" s="273">
        <f>IF(AND(ISNUMBER(AF237),ISNUMBER(AF238)),AF237+AF238+N(AF239),"")</f>
        <v>66.838</v>
      </c>
      <c r="AG258" s="273">
        <f>IF(AND(ISNUMBER(AG237),ISNUMBER(AG238)),AG237+AG238+N(AG239),"")</f>
        <v>49.185</v>
      </c>
      <c r="AH258" s="273">
        <f>IF(AND(ISNUMBER(AH237),ISNUMBER(AH238)),AH237+AH238+N(AH239),"")</f>
        <v>205.816</v>
      </c>
      <c r="AI258" s="273">
        <f>IF(AND(ISNUMBER(AI237),ISNUMBER(AI238)),AI237+AI238+N(AI239),"")</f>
        <v>24.733</v>
      </c>
      <c r="AJ258" s="273">
        <f>IF(AND(ISNUMBER(AJ237),ISNUMBER(AJ238)),AJ237+AJ238+N(AJ239),"")</f>
        <v>42.166</v>
      </c>
      <c r="AK258" s="273">
        <f>IF(AND(ISNUMBER(AK237),ISNUMBER(AK238)),AK237+AK238+N(AK239),"")</f>
        <v>71.97</v>
      </c>
      <c r="AL258" s="273">
        <f>IF(AND(ISNUMBER(AL237),ISNUMBER(AL238)),AL237+AL238+N(AL239),"")</f>
        <v>52.884</v>
      </c>
      <c r="AM258" s="273">
        <f>IF(AND(ISNUMBER(AM237),ISNUMBER(AM238)),AM237+AM238+N(AM239),"")</f>
        <v>191.753</v>
      </c>
      <c r="AN258" s="273">
        <f>IF(AND(ISNUMBER(AN237),ISNUMBER(AN238)),AN237+AN238+N(AN239),"")</f>
        <v>42.383</v>
      </c>
      <c r="AO258" s="273">
        <f>IF(AND(ISNUMBER(AO237),ISNUMBER(AO238)),AO237+AO238+N(AO239),"")</f>
        <v>43.619</v>
      </c>
      <c r="AP258" s="273">
        <f>IF(AND(ISNUMBER(AP237),ISNUMBER(AP238)),AP237+AP238+N(AP239),"")</f>
        <v>60.764</v>
      </c>
      <c r="AQ258" s="273">
        <f>IF(AND(ISNUMBER(AQ237),ISNUMBER(AQ238)),AQ237+AQ238+N(AQ239),"")</f>
        <v>89.603</v>
      </c>
      <c r="AR258" s="273">
        <f>IF(AND(ISNUMBER(AR237),ISNUMBER(AR238)),AR237+AR238+N(AR239),"")</f>
        <v>236.369</v>
      </c>
      <c r="AS258" s="273">
        <f>IF(AND(ISNUMBER(AS237),ISNUMBER(AS238)),AS237+AS238+N(AS239),"")</f>
        <v>53.865</v>
      </c>
      <c r="AT258" s="273">
        <f>IF(AND(ISNUMBER(AT237),ISNUMBER(AT238)),AT237+AT238+N(AT239),"")</f>
        <v>54.828</v>
      </c>
      <c r="AU258" s="273">
        <f>IF(AND(ISNUMBER(AU237),ISNUMBER(AU238)),AU237+AU238+N(AU239),"")</f>
        <v>98.964</v>
      </c>
      <c r="AV258" s="273">
        <f>IF(AND(ISNUMBER(AV237),ISNUMBER(AV238)),AV237+AV238+N(AV239),"")</f>
        <v>135.27</v>
      </c>
      <c r="AW258" s="273">
        <f>IF(AND(ISNUMBER(AW237),ISNUMBER(AW238)),AW237+AW238+N(AW239),"")</f>
        <v>342.927</v>
      </c>
      <c r="AX258" s="273">
        <f>IF(AND(ISNUMBER(AX237),ISNUMBER(AX238)),AX237+AX238+N(AX239),"")</f>
        <v>74.902</v>
      </c>
      <c r="AY258" s="273">
        <f>IF(AND(ISNUMBER(AY237),ISNUMBER(AY238)),AY237+AY238+N(AY239),"")</f>
        <v>152.348</v>
      </c>
      <c r="AZ258" s="273">
        <f>IF(AND(ISNUMBER(AZ237),ISNUMBER(AZ238)),AZ237+AZ238+N(AZ239),"")</f>
        <v>99.02</v>
      </c>
      <c r="BA258" s="273">
        <f>IF(AND(ISNUMBER(BA237),ISNUMBER(BA238)),BA237+BA238+N(BA239),"")</f>
        <v>89.978</v>
      </c>
      <c r="BB258" s="273">
        <f>IF(AND(ISNUMBER(BB237),ISNUMBER(BB238)),BB237+BB238+N(BB239),"")</f>
        <v>416.248</v>
      </c>
      <c r="BC258" s="273">
        <f>IF(AND(ISNUMBER(BC237),ISNUMBER(BC238)),BC237+BC238+N(BC239),"")</f>
        <v>123.986</v>
      </c>
      <c r="BD258" s="273">
        <f>IF(AND(ISNUMBER(BD237),ISNUMBER(BD238)),BD237+BD238+N(BD239),"")</f>
        <v>120.205</v>
      </c>
      <c r="BE258" s="273">
        <f>IF(AND(ISNUMBER(BE237),ISNUMBER(BE238)),BE237+BE238+N(BE239),"")</f>
        <v>115.201</v>
      </c>
      <c r="BF258" s="273">
        <f>IF(AND(ISNUMBER(BF237),ISNUMBER(BF238)),BF237+BF238+N(BF239),"")</f>
        <v>144.029</v>
      </c>
      <c r="BG258" s="273">
        <f>IF(AND(ISNUMBER(BG237),ISNUMBER(BG238)),BG237+BG238+N(BG239),"")</f>
        <v>503.421</v>
      </c>
      <c r="BH258" s="273">
        <f>IF(AND(ISNUMBER(BH237),ISNUMBER(BH238)),BH237+BH238+N(BH239),"")</f>
        <v>91.59</v>
      </c>
      <c r="BI258" s="273">
        <f>IF(AND(ISNUMBER(BI237),ISNUMBER(BI238)),BI237+BI238+N(BI239),"")</f>
        <v>88.277</v>
      </c>
      <c r="BJ258" s="273">
        <f>IF(AND(ISNUMBER(BJ237),ISNUMBER(BJ238)),BJ237+BJ238+N(BJ239),"")</f>
        <v>121.83</v>
      </c>
      <c r="BK258" s="273">
        <f>IF(AND(ISNUMBER(BK237),ISNUMBER(BK238)),BK237+BK238+N(BK239),"")</f>
        <v>162.981</v>
      </c>
      <c r="BL258" s="273">
        <f>IF(AND(ISNUMBER(BL237),ISNUMBER(BL238)),BL237+BL238+N(BL239),"")</f>
        <v>464.678</v>
      </c>
      <c r="BM258" s="273">
        <f>IF(AND(ISNUMBER(BM237),ISNUMBER(BM238)),BM237+BM238+N(BM239),"")</f>
        <v>120.759</v>
      </c>
      <c r="BN258" s="273">
        <f>IF(AND(ISNUMBER(BN237),ISNUMBER(BN238)),BN237+BN238+N(BN239),"")</f>
        <v>61.613</v>
      </c>
      <c r="BO258" s="273">
        <f>IF(AND(ISNUMBER(BO237),ISNUMBER(BO238)),BO237+BO238+N(BO239),"")</f>
        <v>205.686</v>
      </c>
      <c r="BP258" s="273">
        <f>IF(AND(ISNUMBER(BP237),ISNUMBER(BP238)),BP237+BP238+N(BP239),"")</f>
        <v>219.355</v>
      </c>
      <c r="BQ258" s="273">
        <f>IF(AND(ISNUMBER(BQ237),ISNUMBER(BQ238)),BQ237+BQ238+N(BQ239),"")</f>
        <v>607.413</v>
      </c>
      <c r="BR258" s="273">
        <f>IF(AND(ISNUMBER(BR237),ISNUMBER(BR238)),BR237+BR238+N(BR239),"")</f>
        <v>186.826</v>
      </c>
      <c r="BS258" s="273">
        <f>IF(AND(ISNUMBER(BS237),ISNUMBER(BS238)),BS237+BS238+N(BS239),"")</f>
        <v>65.491</v>
      </c>
      <c r="BT258" s="273">
        <f>IF(AND(ISNUMBER(BT237),ISNUMBER(BT238)),BT237+BT238+N(BT239),"")</f>
        <v>276.239</v>
      </c>
      <c r="BU258" s="273">
        <f>IF(AND(ISNUMBER(BU237),ISNUMBER(BU238)),BU237+BU238+N(BU239),"")</f>
        <v>210.844</v>
      </c>
      <c r="BV258" s="273">
        <f>IF(AND(ISNUMBER(BV237),ISNUMBER(BV238)),BV237+BV238+N(BV239),"")</f>
        <v>739.4</v>
      </c>
      <c r="BW258" s="273">
        <f>IF(AND(ISNUMBER(BW237),ISNUMBER(BW238)),BW237+BW238+N(BW239),"")</f>
        <v>165.376</v>
      </c>
      <c r="BX258" s="273">
        <f>IF(AND(ISNUMBER(BX237),ISNUMBER(BX238)),BX237+BX238+N(BX239),"")</f>
        <v>214.316</v>
      </c>
      <c r="BY258" s="273">
        <f>IF(AND(ISNUMBER(BY237),ISNUMBER(BY238)),BY237+BY238+N(BY239),"")</f>
        <v>370.342</v>
      </c>
      <c r="BZ258" s="56" t="n"/>
      <c r="CA258" s="273">
        <f>IF(AND(ISNUMBER(CA237),ISNUMBER(CA238)),CA237+CA238+N(CA239),"")</f>
        <v>1002.37574419752</v>
      </c>
      <c r="CB258" s="273">
        <f>IF(AND(ISNUMBER(CB237),ISNUMBER(CB238)),CB237+CB238+N(CB239),"")</f>
        <v>1116.94848314748</v>
      </c>
      <c r="CC258" s="273">
        <f>IF(AND(ISNUMBER(CC237),ISNUMBER(CC238)),CC237+CC238+N(CC239),"")</f>
        <v>1280.12484064454</v>
      </c>
      <c r="CD258" s="273">
        <f>IF(AND(ISNUMBER(CD237),ISNUMBER(CD238)),CD237+CD238+N(CD239),"")</f>
        <v>1386.84389020631</v>
      </c>
      <c r="CE258" s="273">
        <f>IF(AND(ISNUMBER(CE237),ISNUMBER(CE238)),CE237+CE238+N(CE239),"")</f>
        <v>1507.97403750263</v>
      </c>
      <c r="CF258" s="273">
        <f>IF(AND(ISNUMBER(CF237),ISNUMBER(CF238)),CF237+CF238+N(CF239),"")</f>
        <v>1630.035531953</v>
      </c>
      <c r="CG258" s="153" t="n"/>
      <c r="CI258" s="20">
        <f>IFERROR((CF258/CA258)^(1/5)-1,"n/m")</f>
        <v>0.102131219225373</v>
      </c>
      <c r="CJ258" s="20">
        <f>IFERROR((BV258/AW258)^(1/5)-1,"n/m")</f>
        <v>0.166099349842355</v>
      </c>
      <c r="CK258" s="20">
        <f>IFERROR((BV258/X258)^(1/10)-1,"n/m")</f>
        <v>0.212144559904601</v>
      </c>
      <c r="CL258" s="20">
        <f>IFERROR((BV258/C258)^(1/19)-1,"n/m")</f>
        <v>0.0812399941842064</v>
      </c>
    </row>
    <row r="259" ht="15" customHeight="1" s="251">
      <c r="B259" s="156" t="inlineStr">
        <is>
          <t xml:space="preserve">  Company-published free cash flow</t>
        </is>
      </c>
      <c r="C259" s="34" t="n"/>
      <c r="D259" s="34" t="n"/>
      <c r="E259" s="34" t="n"/>
      <c r="F259" s="34" t="n"/>
      <c r="G259" s="34" t="n"/>
      <c r="H259" s="34" t="n"/>
      <c r="I259" s="34" t="n"/>
      <c r="J259" s="253" t="n">
        <v>19.015</v>
      </c>
      <c r="K259" s="253" t="n">
        <v>31.399</v>
      </c>
      <c r="L259" s="253" t="n">
        <v>27.206</v>
      </c>
      <c r="M259" s="253" t="n">
        <v>31.53</v>
      </c>
      <c r="N259" s="253" t="n">
        <v>109.15</v>
      </c>
      <c r="O259" s="253" t="n">
        <v>25.531</v>
      </c>
      <c r="P259" s="253" t="n">
        <v>43.871</v>
      </c>
      <c r="Q259" s="253" t="n">
        <v>25.251</v>
      </c>
      <c r="R259" s="253" t="n">
        <v>65.077</v>
      </c>
      <c r="S259" s="253" t="n">
        <v>159.73</v>
      </c>
      <c r="T259" s="253" t="n">
        <v>-4.942</v>
      </c>
      <c r="U259" s="253" t="n">
        <v>36.712</v>
      </c>
      <c r="V259" s="253" t="n">
        <v>34.482</v>
      </c>
      <c r="W259" s="253" t="n">
        <v>39.218</v>
      </c>
      <c r="X259" s="253" t="n">
        <v>105.47</v>
      </c>
      <c r="Y259" s="253" t="n">
        <v>35.634</v>
      </c>
      <c r="Z259" s="253" t="n">
        <v>33.64</v>
      </c>
      <c r="AA259" s="253" t="n">
        <v>77.941</v>
      </c>
      <c r="AB259" s="253" t="n">
        <v>13.559</v>
      </c>
      <c r="AC259" s="253" t="n">
        <v>160.774</v>
      </c>
      <c r="AD259" s="253" t="n">
        <v>28.041</v>
      </c>
      <c r="AE259" s="253" t="n">
        <v>60.514</v>
      </c>
      <c r="AF259" s="253" t="n">
        <v>66.83799999999999</v>
      </c>
      <c r="AG259" s="253" t="n">
        <v>49.185</v>
      </c>
      <c r="AH259" s="253" t="n">
        <v>204.578</v>
      </c>
      <c r="AI259" s="253" t="n">
        <v>24.733</v>
      </c>
      <c r="AJ259" s="253" t="n">
        <v>42.166</v>
      </c>
      <c r="AK259" s="253" t="n">
        <v>71.97</v>
      </c>
      <c r="AL259" s="253" t="n">
        <v>52.884</v>
      </c>
      <c r="AM259" s="253" t="n">
        <v>191.753</v>
      </c>
      <c r="AN259" s="253" t="n">
        <v>42.383</v>
      </c>
      <c r="AO259" s="253" t="n">
        <v>43.619</v>
      </c>
      <c r="AP259" s="253" t="n">
        <v>60.764</v>
      </c>
      <c r="AQ259" s="253" t="n">
        <v>89.60299999999999</v>
      </c>
      <c r="AR259" s="253" t="n">
        <v>236.369</v>
      </c>
      <c r="AS259" s="253" t="n">
        <v>53.865</v>
      </c>
      <c r="AT259" s="253" t="n">
        <v>54.827</v>
      </c>
      <c r="AU259" s="253" t="n">
        <v>98.964</v>
      </c>
      <c r="AV259" s="253" t="n">
        <v>135.269</v>
      </c>
      <c r="AW259" s="253" t="n">
        <v>342.925</v>
      </c>
      <c r="AX259" s="253" t="n">
        <v>74.902</v>
      </c>
      <c r="AY259" s="253" t="n">
        <v>152.348</v>
      </c>
      <c r="AZ259" s="253" t="n">
        <v>99.02</v>
      </c>
      <c r="BA259" s="253" t="n">
        <v>89.977</v>
      </c>
      <c r="BB259" s="253" t="n">
        <v>416.247</v>
      </c>
      <c r="BC259" s="253" t="n">
        <v>123.986</v>
      </c>
      <c r="BD259" s="253" t="n">
        <v>120.205</v>
      </c>
      <c r="BE259" s="253" t="n">
        <v>115.201</v>
      </c>
      <c r="BF259" s="253" t="n">
        <v>144.029</v>
      </c>
      <c r="BG259" s="253" t="n">
        <v>503.421</v>
      </c>
      <c r="BH259" s="253" t="n">
        <v>91.59</v>
      </c>
      <c r="BI259" s="253" t="n">
        <v>88.277</v>
      </c>
      <c r="BJ259" s="253" t="n">
        <v>121.83</v>
      </c>
      <c r="BK259" s="253" t="n">
        <v>162.981</v>
      </c>
      <c r="BL259" s="253" t="n">
        <v>464.678</v>
      </c>
      <c r="BM259" s="253" t="n">
        <v>120.759</v>
      </c>
      <c r="BN259" s="253" t="n">
        <v>61.613</v>
      </c>
      <c r="BO259" s="253" t="n">
        <v>205.686</v>
      </c>
      <c r="BP259" s="253" t="n">
        <v>219.355</v>
      </c>
      <c r="BQ259" s="253" t="n">
        <v>607.413</v>
      </c>
      <c r="BR259" s="253" t="n">
        <v>186.826</v>
      </c>
      <c r="BS259" s="253" t="n">
        <v>65.491</v>
      </c>
      <c r="BT259" s="253" t="n">
        <v>276.239</v>
      </c>
      <c r="BU259" s="253" t="n">
        <v>210.844</v>
      </c>
      <c r="BV259" s="253" t="n">
        <v>739.4</v>
      </c>
      <c r="BW259" s="253" t="n">
        <v>165.376</v>
      </c>
      <c r="BX259" s="253" t="n">
        <v>214.316</v>
      </c>
      <c r="BY259" s="253" t="n">
        <v>370.343</v>
      </c>
      <c r="BZ259" s="153" t="n"/>
      <c r="CA259" s="153" t="n"/>
      <c r="CB259" s="153" t="n"/>
      <c r="CC259" s="153" t="n"/>
      <c r="CD259" s="153" t="n"/>
      <c r="CE259" s="153" t="n"/>
      <c r="CF259" s="153" t="n"/>
      <c r="CG259" s="153" t="n"/>
    </row>
    <row r="260" ht="15" customHeight="1" s="251">
      <c r="B260" s="156" t="inlineStr">
        <is>
          <t xml:space="preserve">  of which: dividends paid deducted in the published figure (FY2013–Q2/17 definition)</t>
        </is>
      </c>
      <c r="C260" s="34" t="n"/>
      <c r="D260" s="34" t="n"/>
      <c r="E260" s="34" t="n"/>
      <c r="F260" s="34" t="n"/>
      <c r="G260" s="34" t="n"/>
      <c r="H260" s="34" t="n"/>
      <c r="I260" s="34" t="n"/>
      <c r="J260" s="253" t="n">
        <v>-0.702</v>
      </c>
      <c r="K260" s="253" t="n">
        <v>-0.715</v>
      </c>
      <c r="L260" s="253" t="n">
        <v>-0.706</v>
      </c>
      <c r="M260" s="253" t="n">
        <v>-0.701</v>
      </c>
      <c r="N260" s="253" t="n">
        <v>-2.824</v>
      </c>
      <c r="O260" s="253" t="n">
        <v>-0.6929999999999999</v>
      </c>
      <c r="P260" s="253" t="n">
        <v>-0.696</v>
      </c>
      <c r="Q260" s="253" t="n">
        <v>-0.6830000000000001</v>
      </c>
      <c r="R260" s="253" t="n">
        <v>-0.641</v>
      </c>
      <c r="S260" s="253" t="n">
        <v>-2.713</v>
      </c>
      <c r="T260" s="253" t="n">
        <v>-0.635</v>
      </c>
      <c r="U260" s="253" t="n">
        <v>-0.626</v>
      </c>
      <c r="V260" s="253" t="n">
        <v>-0.622</v>
      </c>
      <c r="W260" s="253" t="n">
        <v>-0.626</v>
      </c>
      <c r="X260" s="253" t="n">
        <v>-2.509</v>
      </c>
      <c r="Y260" s="253" t="n">
        <v>-0.622</v>
      </c>
      <c r="Z260" s="253" t="n">
        <v>-0.623</v>
      </c>
      <c r="AA260" s="253" t="n">
        <v>-0.624</v>
      </c>
      <c r="AB260" s="253" t="n">
        <v>-0.619</v>
      </c>
      <c r="AC260" s="253" t="n">
        <v>-2.488</v>
      </c>
      <c r="AD260" s="253" t="n">
        <v>-0.618</v>
      </c>
      <c r="AE260" s="253" t="n">
        <v>-0.62</v>
      </c>
      <c r="AF260" s="253" t="n">
        <v>0</v>
      </c>
      <c r="AG260" s="253" t="n">
        <v>0</v>
      </c>
      <c r="AH260" s="253" t="n">
        <v>-1.238</v>
      </c>
      <c r="AI260" s="253" t="n">
        <v>0</v>
      </c>
      <c r="AJ260" s="253" t="n">
        <v>0</v>
      </c>
      <c r="AK260" s="253" t="n">
        <v>0</v>
      </c>
      <c r="AL260" s="253" t="n">
        <v>0</v>
      </c>
      <c r="AM260" s="253" t="n">
        <v>0</v>
      </c>
      <c r="AN260" s="253" t="n">
        <v>0</v>
      </c>
      <c r="AO260" s="253" t="n">
        <v>0</v>
      </c>
      <c r="AP260" s="253" t="n">
        <v>0</v>
      </c>
      <c r="AQ260" s="253" t="n">
        <v>0</v>
      </c>
      <c r="AR260" s="253" t="n">
        <v>0</v>
      </c>
      <c r="AS260" s="253" t="n">
        <v>0</v>
      </c>
      <c r="AT260" s="253" t="n">
        <v>0</v>
      </c>
      <c r="AU260" s="253" t="n">
        <v>0</v>
      </c>
      <c r="AV260" s="253" t="n">
        <v>0</v>
      </c>
      <c r="AW260" s="253" t="n">
        <v>0</v>
      </c>
      <c r="AX260" s="253" t="n">
        <v>0</v>
      </c>
      <c r="AY260" s="253" t="n">
        <v>0</v>
      </c>
      <c r="AZ260" s="253" t="n">
        <v>0</v>
      </c>
      <c r="BA260" s="253" t="n">
        <v>0</v>
      </c>
      <c r="BB260" s="253" t="n">
        <v>0</v>
      </c>
      <c r="BC260" s="253" t="n">
        <v>0</v>
      </c>
      <c r="BD260" s="253" t="n">
        <v>0</v>
      </c>
      <c r="BE260" s="253" t="n">
        <v>0</v>
      </c>
      <c r="BF260" s="253" t="n">
        <v>0</v>
      </c>
      <c r="BG260" s="253" t="n">
        <v>0</v>
      </c>
      <c r="BH260" s="253" t="n">
        <v>0</v>
      </c>
      <c r="BI260" s="253" t="n">
        <v>0</v>
      </c>
      <c r="BJ260" s="253" t="n">
        <v>0</v>
      </c>
      <c r="BK260" s="253" t="n">
        <v>0</v>
      </c>
      <c r="BL260" s="253" t="n">
        <v>0</v>
      </c>
      <c r="BM260" s="253" t="n">
        <v>0</v>
      </c>
      <c r="BN260" s="253" t="n">
        <v>0</v>
      </c>
      <c r="BO260" s="253" t="n">
        <v>0</v>
      </c>
      <c r="BP260" s="253" t="n">
        <v>0</v>
      </c>
      <c r="BQ260" s="253" t="n">
        <v>0</v>
      </c>
      <c r="BR260" s="253" t="n">
        <v>0</v>
      </c>
      <c r="BS260" s="253" t="n">
        <v>0</v>
      </c>
      <c r="BT260" s="253" t="n">
        <v>0</v>
      </c>
      <c r="BU260" s="253" t="n">
        <v>0</v>
      </c>
      <c r="BV260" s="253" t="n">
        <v>0</v>
      </c>
      <c r="BW260" s="253" t="n">
        <v>0</v>
      </c>
      <c r="BX260" s="253" t="n">
        <v>0</v>
      </c>
      <c r="BY260" s="253" t="n">
        <v>0</v>
      </c>
      <c r="BZ260" s="153" t="n"/>
      <c r="CA260" s="153" t="n"/>
      <c r="CB260" s="153" t="n"/>
      <c r="CC260" s="153" t="n"/>
      <c r="CD260" s="153" t="n"/>
      <c r="CE260" s="153" t="n"/>
      <c r="CF260" s="153" t="n"/>
      <c r="CG260" s="153" t="n"/>
    </row>
    <row r="261" ht="15" customHeight="1" s="251">
      <c r="B261" s="57" t="inlineStr">
        <is>
          <t xml:space="preserve">  Check: model vs company-published free cash flow + dividends deducted (should be 0)</t>
        </is>
      </c>
      <c r="C261" s="262" t="str">
        <f>IF(ISNUMBER(C259),IF(ABS(C258-(C259-N(C260)))&lt;=0.15,0,ROUND(C258-(C259-N(C260)),1)),"n/p")</f>
        <v>n/p</v>
      </c>
      <c r="D261" s="262" t="str">
        <f>IF(ISNUMBER(D259),IF(ABS(D258-(D259-N(D260)))&lt;=0.15,0,ROUND(D258-(D259-N(D260)),1)),"n/p")</f>
        <v>n/p</v>
      </c>
      <c r="E261" s="262" t="str">
        <f>IF(ISNUMBER(E259),IF(ABS(E258-(E259-N(E260)))&lt;=0.15,0,ROUND(E258-(E259-N(E260)),1)),"n/p")</f>
        <v>n/p</v>
      </c>
      <c r="F261" s="262" t="str">
        <f>IF(ISNUMBER(F259),IF(ABS(F258-(F259-N(F260)))&lt;=0.15,0,ROUND(F258-(F259-N(F260)),1)),"n/p")</f>
        <v>n/p</v>
      </c>
      <c r="G261" s="262" t="str">
        <f>IF(ISNUMBER(G259),IF(ABS(G258-(G259-N(G260)))&lt;=0.15,0,ROUND(G258-(G259-N(G260)),1)),"n/p")</f>
        <v>n/p</v>
      </c>
      <c r="H261" s="262" t="str">
        <f>IF(ISNUMBER(H259),IF(ABS(H258-(H259-N(H260)))&lt;=0.15,0,ROUND(H258-(H259-N(H260)),1)),"n/p")</f>
        <v>n/p</v>
      </c>
      <c r="I261" s="262" t="str">
        <f>IF(ISNUMBER(I259),IF(ABS(I258-(I259-N(I260)))&lt;=0.15,0,ROUND(I258-(I259-N(I260)),1)),"n/p")</f>
        <v>n/p</v>
      </c>
      <c r="J261" s="262">
        <f>IF(ISNUMBER(J259),IF(ABS(J258-(J259-N(J260)))&lt;=0.15,0,ROUND(J258-(J259-N(J260)),1)),"n/p")</f>
        <v>0</v>
      </c>
      <c r="K261" s="262">
        <f>IF(ISNUMBER(K259),IF(ABS(K258-(K259-N(K260)))&lt;=0.15,0,ROUND(K258-(K259-N(K260)),1)),"n/p")</f>
        <v>0</v>
      </c>
      <c r="L261" s="262">
        <f>IF(ISNUMBER(L259),IF(ABS(L258-(L259-N(L260)))&lt;=0.15,0,ROUND(L258-(L259-N(L260)),1)),"n/p")</f>
        <v>0</v>
      </c>
      <c r="M261" s="262">
        <f>IF(ISNUMBER(M259),IF(ABS(M258-(M259-N(M260)))&lt;=0.15,0,ROUND(M258-(M259-N(M260)),1)),"n/p")</f>
        <v>0</v>
      </c>
      <c r="N261" s="262">
        <f>IF(ISNUMBER(N259),IF(ABS(N258-(N259-N(N260)))&lt;=0.15,0,ROUND(N258-(N259-N(N260)),1)),"n/p")</f>
        <v>0</v>
      </c>
      <c r="O261" s="262">
        <f>IF(ISNUMBER(O259),IF(ABS(O258-(O259-N(O260)))&lt;=0.15,0,ROUND(O258-(O259-N(O260)),1)),"n/p")</f>
        <v>0</v>
      </c>
      <c r="P261" s="262">
        <f>IF(ISNUMBER(P259),IF(ABS(P258-(P259-N(P260)))&lt;=0.15,0,ROUND(P258-(P259-N(P260)),1)),"n/p")</f>
        <v>0</v>
      </c>
      <c r="Q261" s="262">
        <f>IF(ISNUMBER(Q259),IF(ABS(Q258-(Q259-N(Q260)))&lt;=0.15,0,ROUND(Q258-(Q259-N(Q260)),1)),"n/p")</f>
        <v>0</v>
      </c>
      <c r="R261" s="262">
        <f>IF(ISNUMBER(R259),IF(ABS(R258-(R259-N(R260)))&lt;=0.15,0,ROUND(R258-(R259-N(R260)),1)),"n/p")</f>
        <v>0</v>
      </c>
      <c r="S261" s="262">
        <f>IF(ISNUMBER(S259),IF(ABS(S258-(S259-N(S260)))&lt;=0.15,0,ROUND(S258-(S259-N(S260)),1)),"n/p")</f>
        <v>0</v>
      </c>
      <c r="T261" s="262">
        <f>IF(ISNUMBER(T259),IF(ABS(T258-(T259-N(T260)))&lt;=0.15,0,ROUND(T258-(T259-N(T260)),1)),"n/p")</f>
        <v>0</v>
      </c>
      <c r="U261" s="262">
        <f>IF(ISNUMBER(U259),IF(ABS(U258-(U259-N(U260)))&lt;=0.15,0,ROUND(U258-(U259-N(U260)),1)),"n/p")</f>
        <v>0</v>
      </c>
      <c r="V261" s="262">
        <f>IF(ISNUMBER(V259),IF(ABS(V258-(V259-N(V260)))&lt;=0.15,0,ROUND(V258-(V259-N(V260)),1)),"n/p")</f>
        <v>0</v>
      </c>
      <c r="W261" s="262">
        <f>IF(ISNUMBER(W259),IF(ABS(W258-(W259-N(W260)))&lt;=0.15,0,ROUND(W258-(W259-N(W260)),1)),"n/p")</f>
        <v>0</v>
      </c>
      <c r="X261" s="262">
        <f>IF(ISNUMBER(X259),IF(ABS(X258-(X259-N(X260)))&lt;=0.15,0,ROUND(X258-(X259-N(X260)),1)),"n/p")</f>
        <v>0</v>
      </c>
      <c r="Y261" s="262">
        <f>IF(ISNUMBER(Y259),IF(ABS(Y258-(Y259-N(Y260)))&lt;=0.15,0,ROUND(Y258-(Y259-N(Y260)),1)),"n/p")</f>
        <v>0</v>
      </c>
      <c r="Z261" s="262">
        <f>IF(ISNUMBER(Z259),IF(ABS(Z258-(Z259-N(Z260)))&lt;=0.15,0,ROUND(Z258-(Z259-N(Z260)),1)),"n/p")</f>
        <v>0</v>
      </c>
      <c r="AA261" s="262">
        <f>IF(ISNUMBER(AA259),IF(ABS(AA258-(AA259-N(AA260)))&lt;=0.15,0,ROUND(AA258-(AA259-N(AA260)),1)),"n/p")</f>
        <v>0</v>
      </c>
      <c r="AB261" s="262">
        <f>IF(ISNUMBER(AB259),IF(ABS(AB258-(AB259-N(AB260)))&lt;=0.15,0,ROUND(AB258-(AB259-N(AB260)),1)),"n/p")</f>
        <v>0</v>
      </c>
      <c r="AC261" s="262">
        <f>IF(ISNUMBER(AC259),IF(ABS(AC258-(AC259-N(AC260)))&lt;=0.15,0,ROUND(AC258-(AC259-N(AC260)),1)),"n/p")</f>
        <v>0</v>
      </c>
      <c r="AD261" s="262">
        <f>IF(ISNUMBER(AD259),IF(ABS(AD258-(AD259-N(AD260)))&lt;=0.15,0,ROUND(AD258-(AD259-N(AD260)),1)),"n/p")</f>
        <v>0</v>
      </c>
      <c r="AE261" s="262">
        <f>IF(ISNUMBER(AE259),IF(ABS(AE258-(AE259-N(AE260)))&lt;=0.15,0,ROUND(AE258-(AE259-N(AE260)),1)),"n/p")</f>
        <v>0</v>
      </c>
      <c r="AF261" s="262">
        <f>IF(ISNUMBER(AF259),IF(ABS(AF258-(AF259-N(AF260)))&lt;=0.15,0,ROUND(AF258-(AF259-N(AF260)),1)),"n/p")</f>
        <v>0</v>
      </c>
      <c r="AG261" s="262">
        <f>IF(ISNUMBER(AG259),IF(ABS(AG258-(AG259-N(AG260)))&lt;=0.15,0,ROUND(AG258-(AG259-N(AG260)),1)),"n/p")</f>
        <v>0</v>
      </c>
      <c r="AH261" s="262">
        <f>IF(ISNUMBER(AH259),IF(ABS(AH258-(AH259-N(AH260)))&lt;=0.15,0,ROUND(AH258-(AH259-N(AH260)),1)),"n/p")</f>
        <v>0</v>
      </c>
      <c r="AI261" s="262">
        <f>IF(ISNUMBER(AI259),IF(ABS(AI258-(AI259-N(AI260)))&lt;=0.15,0,ROUND(AI258-(AI259-N(AI260)),1)),"n/p")</f>
        <v>0</v>
      </c>
      <c r="AJ261" s="262">
        <f>IF(ISNUMBER(AJ259),IF(ABS(AJ258-(AJ259-N(AJ260)))&lt;=0.15,0,ROUND(AJ258-(AJ259-N(AJ260)),1)),"n/p")</f>
        <v>0</v>
      </c>
      <c r="AK261" s="262">
        <f>IF(ISNUMBER(AK259),IF(ABS(AK258-(AK259-N(AK260)))&lt;=0.15,0,ROUND(AK258-(AK259-N(AK260)),1)),"n/p")</f>
        <v>0</v>
      </c>
      <c r="AL261" s="262">
        <f>IF(ISNUMBER(AL259),IF(ABS(AL258-(AL259-N(AL260)))&lt;=0.15,0,ROUND(AL258-(AL259-N(AL260)),1)),"n/p")</f>
        <v>0</v>
      </c>
      <c r="AM261" s="262">
        <f>IF(ISNUMBER(AM259),IF(ABS(AM258-(AM259-N(AM260)))&lt;=0.15,0,ROUND(AM258-(AM259-N(AM260)),1)),"n/p")</f>
        <v>0</v>
      </c>
      <c r="AN261" s="262">
        <f>IF(ISNUMBER(AN259),IF(ABS(AN258-(AN259-N(AN260)))&lt;=0.15,0,ROUND(AN258-(AN259-N(AN260)),1)),"n/p")</f>
        <v>0</v>
      </c>
      <c r="AO261" s="262">
        <f>IF(ISNUMBER(AO259),IF(ABS(AO258-(AO259-N(AO260)))&lt;=0.15,0,ROUND(AO258-(AO259-N(AO260)),1)),"n/p")</f>
        <v>0</v>
      </c>
      <c r="AP261" s="262">
        <f>IF(ISNUMBER(AP259),IF(ABS(AP258-(AP259-N(AP260)))&lt;=0.15,0,ROUND(AP258-(AP259-N(AP260)),1)),"n/p")</f>
        <v>0</v>
      </c>
      <c r="AQ261" s="262">
        <f>IF(ISNUMBER(AQ259),IF(ABS(AQ258-(AQ259-N(AQ260)))&lt;=0.15,0,ROUND(AQ258-(AQ259-N(AQ260)),1)),"n/p")</f>
        <v>0</v>
      </c>
      <c r="AR261" s="262">
        <f>IF(ISNUMBER(AR259),IF(ABS(AR258-(AR259-N(AR260)))&lt;=0.15,0,ROUND(AR258-(AR259-N(AR260)),1)),"n/p")</f>
        <v>0</v>
      </c>
      <c r="AS261" s="262">
        <f>IF(ISNUMBER(AS259),IF(ABS(AS258-(AS259-N(AS260)))&lt;=0.15,0,ROUND(AS258-(AS259-N(AS260)),1)),"n/p")</f>
        <v>0</v>
      </c>
      <c r="AT261" s="262">
        <f>IF(ISNUMBER(AT259),IF(ABS(AT258-(AT259-N(AT260)))&lt;=0.15,0,ROUND(AT258-(AT259-N(AT260)),1)),"n/p")</f>
        <v>0</v>
      </c>
      <c r="AU261" s="262">
        <f>IF(ISNUMBER(AU259),IF(ABS(AU258-(AU259-N(AU260)))&lt;=0.15,0,ROUND(AU258-(AU259-N(AU260)),1)),"n/p")</f>
        <v>0</v>
      </c>
      <c r="AV261" s="262">
        <f>IF(ISNUMBER(AV259),IF(ABS(AV258-(AV259-N(AV260)))&lt;=0.15,0,ROUND(AV258-(AV259-N(AV260)),1)),"n/p")</f>
        <v>0</v>
      </c>
      <c r="AW261" s="262">
        <f>IF(ISNUMBER(AW259),IF(ABS(AW258-(AW259-N(AW260)))&lt;=0.15,0,ROUND(AW258-(AW259-N(AW260)),1)),"n/p")</f>
        <v>0</v>
      </c>
      <c r="AX261" s="262">
        <f>IF(ISNUMBER(AX259),IF(ABS(AX258-(AX259-N(AX260)))&lt;=0.15,0,ROUND(AX258-(AX259-N(AX260)),1)),"n/p")</f>
        <v>0</v>
      </c>
      <c r="AY261" s="262">
        <f>IF(ISNUMBER(AY259),IF(ABS(AY258-(AY259-N(AY260)))&lt;=0.15,0,ROUND(AY258-(AY259-N(AY260)),1)),"n/p")</f>
        <v>0</v>
      </c>
      <c r="AZ261" s="262">
        <f>IF(ISNUMBER(AZ259),IF(ABS(AZ258-(AZ259-N(AZ260)))&lt;=0.15,0,ROUND(AZ258-(AZ259-N(AZ260)),1)),"n/p")</f>
        <v>0</v>
      </c>
      <c r="BA261" s="262">
        <f>IF(ISNUMBER(BA259),IF(ABS(BA258-(BA259-N(BA260)))&lt;=0.15,0,ROUND(BA258-(BA259-N(BA260)),1)),"n/p")</f>
        <v>0</v>
      </c>
      <c r="BB261" s="262">
        <f>IF(ISNUMBER(BB259),IF(ABS(BB258-(BB259-N(BB260)))&lt;=0.15,0,ROUND(BB258-(BB259-N(BB260)),1)),"n/p")</f>
        <v>0</v>
      </c>
      <c r="BC261" s="262">
        <f>IF(ISNUMBER(BC259),IF(ABS(BC258-(BC259-N(BC260)))&lt;=0.15,0,ROUND(BC258-(BC259-N(BC260)),1)),"n/p")</f>
        <v>0</v>
      </c>
      <c r="BD261" s="262">
        <f>IF(ISNUMBER(BD259),IF(ABS(BD258-(BD259-N(BD260)))&lt;=0.15,0,ROUND(BD258-(BD259-N(BD260)),1)),"n/p")</f>
        <v>0</v>
      </c>
      <c r="BE261" s="262">
        <f>IF(ISNUMBER(BE259),IF(ABS(BE258-(BE259-N(BE260)))&lt;=0.15,0,ROUND(BE258-(BE259-N(BE260)),1)),"n/p")</f>
        <v>0</v>
      </c>
      <c r="BF261" s="262">
        <f>IF(ISNUMBER(BF259),IF(ABS(BF258-(BF259-N(BF260)))&lt;=0.15,0,ROUND(BF258-(BF259-N(BF260)),1)),"n/p")</f>
        <v>0</v>
      </c>
      <c r="BG261" s="262">
        <f>IF(ISNUMBER(BG259),IF(ABS(BG258-(BG259-N(BG260)))&lt;=0.15,0,ROUND(BG258-(BG259-N(BG260)),1)),"n/p")</f>
        <v>0</v>
      </c>
      <c r="BH261" s="262">
        <f>IF(ISNUMBER(BH259),IF(ABS(BH258-(BH259-N(BH260)))&lt;=0.15,0,ROUND(BH258-(BH259-N(BH260)),1)),"n/p")</f>
        <v>0</v>
      </c>
      <c r="BI261" s="262">
        <f>IF(ISNUMBER(BI259),IF(ABS(BI258-(BI259-N(BI260)))&lt;=0.15,0,ROUND(BI258-(BI259-N(BI260)),1)),"n/p")</f>
        <v>0</v>
      </c>
      <c r="BJ261" s="262">
        <f>IF(ISNUMBER(BJ259),IF(ABS(BJ258-(BJ259-N(BJ260)))&lt;=0.15,0,ROUND(BJ258-(BJ259-N(BJ260)),1)),"n/p")</f>
        <v>0</v>
      </c>
      <c r="BK261" s="262">
        <f>IF(ISNUMBER(BK259),IF(ABS(BK258-(BK259-N(BK260)))&lt;=0.15,0,ROUND(BK258-(BK259-N(BK260)),1)),"n/p")</f>
        <v>0</v>
      </c>
      <c r="BL261" s="262">
        <f>IF(ISNUMBER(BL259),IF(ABS(BL258-(BL259-N(BL260)))&lt;=0.15,0,ROUND(BL258-(BL259-N(BL260)),1)),"n/p")</f>
        <v>0</v>
      </c>
      <c r="BM261" s="262">
        <f>IF(ISNUMBER(BM259),IF(ABS(BM258-(BM259-N(BM260)))&lt;=0.15,0,ROUND(BM258-(BM259-N(BM260)),1)),"n/p")</f>
        <v>0</v>
      </c>
      <c r="BN261" s="262">
        <f>IF(ISNUMBER(BN259),IF(ABS(BN258-(BN259-N(BN260)))&lt;=0.15,0,ROUND(BN258-(BN259-N(BN260)),1)),"n/p")</f>
        <v>0</v>
      </c>
      <c r="BO261" s="262">
        <f>IF(ISNUMBER(BO259),IF(ABS(BO258-(BO259-N(BO260)))&lt;=0.15,0,ROUND(BO258-(BO259-N(BO260)),1)),"n/p")</f>
        <v>0</v>
      </c>
      <c r="BP261" s="262">
        <f>IF(ISNUMBER(BP259),IF(ABS(BP258-(BP259-N(BP260)))&lt;=0.15,0,ROUND(BP258-(BP259-N(BP260)),1)),"n/p")</f>
        <v>0</v>
      </c>
      <c r="BQ261" s="262">
        <f>IF(ISNUMBER(BQ259),IF(ABS(BQ258-(BQ259-N(BQ260)))&lt;=0.15,0,ROUND(BQ258-(BQ259-N(BQ260)),1)),"n/p")</f>
        <v>0</v>
      </c>
      <c r="BR261" s="262">
        <f>IF(ISNUMBER(BR259),IF(ABS(BR258-(BR259-N(BR260)))&lt;=0.15,0,ROUND(BR258-(BR259-N(BR260)),1)),"n/p")</f>
        <v>0</v>
      </c>
      <c r="BS261" s="262">
        <f>IF(ISNUMBER(BS259),IF(ABS(BS258-(BS259-N(BS260)))&lt;=0.15,0,ROUND(BS258-(BS259-N(BS260)),1)),"n/p")</f>
        <v>0</v>
      </c>
      <c r="BT261" s="262">
        <f>IF(ISNUMBER(BT259),IF(ABS(BT258-(BT259-N(BT260)))&lt;=0.15,0,ROUND(BT258-(BT259-N(BT260)),1)),"n/p")</f>
        <v>0</v>
      </c>
      <c r="BU261" s="262">
        <f>IF(ISNUMBER(BU259),IF(ABS(BU258-(BU259-N(BU260)))&lt;=0.15,0,ROUND(BU258-(BU259-N(BU260)),1)),"n/p")</f>
        <v>0</v>
      </c>
      <c r="BV261" s="262">
        <f>IF(ISNUMBER(BV259),IF(ABS(BV258-(BV259-N(BV260)))&lt;=0.15,0,ROUND(BV258-(BV259-N(BV260)),1)),"n/p")</f>
        <v>0</v>
      </c>
      <c r="BW261" s="262">
        <f>IF(ISNUMBER(BW259),IF(ABS(BW258-(BW259-N(BW260)))&lt;=0.15,0,ROUND(BW258-(BW259-N(BW260)),1)),"n/p")</f>
        <v>0</v>
      </c>
      <c r="BX261" s="262">
        <f>IF(ISNUMBER(BX259),IF(ABS(BX258-(BX259-N(BX260)))&lt;=0.15,0,ROUND(BX258-(BX259-N(BX260)),1)),"n/p")</f>
        <v>0</v>
      </c>
      <c r="BY261" s="262">
        <f>IF(ISNUMBER(BY259),IF(ABS(BY258-(BY259-N(BY260)))&lt;=0.15,0,ROUND(BY258-(BY259-N(BY260)),1)),"n/p")</f>
        <v>0</v>
      </c>
      <c r="BZ261" s="153" t="n"/>
      <c r="CA261" s="153" t="n"/>
      <c r="CB261" s="153" t="n"/>
      <c r="CC261" s="153" t="n"/>
      <c r="CD261" s="153" t="n"/>
      <c r="CE261" s="153" t="n"/>
      <c r="CF261" s="153" t="n"/>
      <c r="CG261" s="153" t="n"/>
    </row>
    <row r="262" ht="15" customHeight="1" s="251">
      <c r="B262" s="22" t="inlineStr">
        <is>
          <t xml:space="preserve">  FCF y/y %</t>
        </is>
      </c>
      <c r="C262" s="23" t="n"/>
      <c r="D262" s="255">
        <f>IF(AND(ISNUMBER(D258),ISNUMBER(C258)),IFERROR(D258/C258-1,""),"")</f>
        <v>-0.0668424474894562</v>
      </c>
      <c r="E262" s="255">
        <f>IF(AND(ISNUMBER(E258),ISNUMBER(D258)),IFERROR(E258/D258-1,""),"")</f>
        <v>-0.128225125936533</v>
      </c>
      <c r="F262" s="255">
        <f>IF(AND(ISNUMBER(F258),ISNUMBER(E258)),IFERROR(F258/E258-1,""),"")</f>
        <v>0.00956955342084043</v>
      </c>
      <c r="G262" s="255">
        <f>IF(AND(ISNUMBER(G258),ISNUMBER(F258)),IFERROR(G258/F258-1,""),"")</f>
        <v>-0.358438351189395</v>
      </c>
      <c r="H262" s="255">
        <f>IF(AND(ISNUMBER(H258),ISNUMBER(G258)),IFERROR(H258/G258-1,""),"")</f>
        <v>0.382770840173447</v>
      </c>
      <c r="I262" s="255">
        <f>IF(AND(ISNUMBER(I258),ISNUMBER(H258)),IFERROR(I258/H258-1,""),"")</f>
        <v>-0.146336870374009</v>
      </c>
      <c r="J262" s="23" t="n"/>
      <c r="K262" s="23" t="n"/>
      <c r="L262" s="23" t="n"/>
      <c r="M262" s="23" t="n"/>
      <c r="N262" s="255">
        <f>IF(AND(ISNUMBER(N258),ISNUMBER(I258)),IFERROR(N258/I258-1,""),"")</f>
        <v>0.073947613247269</v>
      </c>
      <c r="O262" s="255">
        <f>IF(AND(ISNUMBER(O258),ISNUMBER(J258)),IFERROR(O258/J258-1,""),"")</f>
        <v>0.330019779885378</v>
      </c>
      <c r="P262" s="255">
        <f>IF(AND(ISNUMBER(P258),ISNUMBER(K258)),IFERROR(P258/K258-1,""),"")</f>
        <v>0.387774802266924</v>
      </c>
      <c r="Q262" s="255">
        <f>IF(AND(ISNUMBER(Q258),ISNUMBER(L258)),IFERROR(Q258/L258-1,""),"")</f>
        <v>-0.0708322883450969</v>
      </c>
      <c r="R262" s="255">
        <f>IF(AND(ISNUMBER(R258),ISNUMBER(M258)),IFERROR(R258/M258-1,""),"")</f>
        <v>1.03899972076572</v>
      </c>
      <c r="S262" s="255">
        <f>IF(AND(ISNUMBER(S258),ISNUMBER(N258)),IFERROR(S258/N258-1,""),"")</f>
        <v>0.450742589731453</v>
      </c>
      <c r="T262" s="255">
        <f>IF(AND(ISNUMBER(T258),ISNUMBER(O258)),IFERROR(T258/O258-1,""),"")</f>
        <v>-1.16423886516168</v>
      </c>
      <c r="U262" s="255">
        <f>IF(AND(ISNUMBER(U258),ISNUMBER(P258)),IFERROR(U258/P258-1,""),"")</f>
        <v>-0.162205219108309</v>
      </c>
      <c r="V262" s="255">
        <f>IF(AND(ISNUMBER(V258),ISNUMBER(Q258)),IFERROR(V258/Q258-1,""),"")</f>
        <v>0.353551322588108</v>
      </c>
      <c r="W262" s="255">
        <f>IF(AND(ISNUMBER(W258),ISNUMBER(R258)),IFERROR(W258/R258-1,""),"")</f>
        <v>-0.393721754743682</v>
      </c>
      <c r="X262" s="255">
        <f>IF(AND(ISNUMBER(X258),ISNUMBER(S258)),IFERROR(X258/S258-1,""),"")</f>
        <v>-0.335290931028539</v>
      </c>
      <c r="Y262" s="255">
        <f>IF(AND(ISNUMBER(Y258),ISNUMBER(T258)),IFERROR(Y258/T258-1,""),"")</f>
        <v>-9.41792430926399</v>
      </c>
      <c r="Z262" s="255">
        <f>IF(AND(ISNUMBER(Z258),ISNUMBER(U258)),IFERROR(Z258/U258-1,""),"")</f>
        <v>-0.0823557769564516</v>
      </c>
      <c r="AA262" s="255">
        <f>IF(AND(ISNUMBER(AA258),ISNUMBER(V258)),IFERROR(AA258/V258-1,""),"")</f>
        <v>1.23812779534513</v>
      </c>
      <c r="AB262" s="255">
        <f>IF(AND(ISNUMBER(AB258),ISNUMBER(W258)),IFERROR(AB258/W258-1,""),"")</f>
        <v>-0.64416223270756</v>
      </c>
      <c r="AC262" s="255">
        <f>IF(AND(ISNUMBER(AC258),ISNUMBER(X258)),IFERROR(AC258/X258-1,""),"")</f>
        <v>0.511993183796699</v>
      </c>
      <c r="AD262" s="255">
        <f>IF(AND(ISNUMBER(AD258),ISNUMBER(Y258)),IFERROR(AD258/Y258-1,""),"")</f>
        <v>-0.20953773168579</v>
      </c>
      <c r="AE262" s="255">
        <f>IF(AND(ISNUMBER(AE258),ISNUMBER(Z258)),IFERROR(AE258/Z258-1,""),"")</f>
        <v>0.784257070309079</v>
      </c>
      <c r="AF262" s="255">
        <f>IF(AND(ISNUMBER(AF258),ISNUMBER(AA258)),IFERROR(AF258/AA258-1,""),"")</f>
        <v>-0.149264939858716</v>
      </c>
      <c r="AG262" s="255">
        <f>IF(AND(ISNUMBER(AG258),ISNUMBER(AB258)),IFERROR(AG258/AB258-1,""),"")</f>
        <v>2.46910706728735</v>
      </c>
      <c r="AH262" s="255">
        <f>IF(AND(ISNUMBER(AH258),ISNUMBER(AC258)),IFERROR(AH258/AC258-1,""),"")</f>
        <v>0.260648528132695</v>
      </c>
      <c r="AI262" s="255">
        <f>IF(AND(ISNUMBER(AI258),ISNUMBER(AD258)),IFERROR(AI258/AD258-1,""),"")</f>
        <v>-0.13699012526606</v>
      </c>
      <c r="AJ262" s="255">
        <f>IF(AND(ISNUMBER(AJ258),ISNUMBER(AE258)),IFERROR(AJ258/AE258-1,""),"")</f>
        <v>-0.310269244610201</v>
      </c>
      <c r="AK262" s="255">
        <f>IF(AND(ISNUMBER(AK258),ISNUMBER(AF258)),IFERROR(AK258/AF258-1,""),"")</f>
        <v>0.0767826685418476</v>
      </c>
      <c r="AL262" s="255">
        <f>IF(AND(ISNUMBER(AL258),ISNUMBER(AG258)),IFERROR(AL258/AG258-1,""),"")</f>
        <v>0.0752058554437329</v>
      </c>
      <c r="AM262" s="255">
        <f>IF(AND(ISNUMBER(AM258),ISNUMBER(AH258)),IFERROR(AM258/AH258-1,""),"")</f>
        <v>-0.0683280211451005</v>
      </c>
      <c r="AN262" s="255">
        <f>IF(AND(ISNUMBER(AN258),ISNUMBER(AI258)),IFERROR(AN258/AI258-1,""),"")</f>
        <v>0.713621477378401</v>
      </c>
      <c r="AO262" s="255">
        <f>IF(AND(ISNUMBER(AO258),ISNUMBER(AJ258)),IFERROR(AO258/AJ258-1,""),"")</f>
        <v>0.0344590428307168</v>
      </c>
      <c r="AP262" s="255">
        <f>IF(AND(ISNUMBER(AP258),ISNUMBER(AK258)),IFERROR(AP258/AK258-1,""),"")</f>
        <v>-0.15570376545783</v>
      </c>
      <c r="AQ262" s="255">
        <f>IF(AND(ISNUMBER(AQ258),ISNUMBER(AL258)),IFERROR(AQ258/AL258-1,""),"")</f>
        <v>0.694330988578776</v>
      </c>
      <c r="AR262" s="255">
        <f>IF(AND(ISNUMBER(AR258),ISNUMBER(AM258)),IFERROR(AR258/AM258-1,""),"")</f>
        <v>0.232674325825411</v>
      </c>
      <c r="AS262" s="255">
        <f>IF(AND(ISNUMBER(AS258),ISNUMBER(AN258)),IFERROR(AS258/AN258-1,""),"")</f>
        <v>0.270910506571031</v>
      </c>
      <c r="AT262" s="255">
        <f>IF(AND(ISNUMBER(AT258),ISNUMBER(AO258)),IFERROR(AT258/AO258-1,""),"")</f>
        <v>0.256975171370275</v>
      </c>
      <c r="AU262" s="255">
        <f>IF(AND(ISNUMBER(AU258),ISNUMBER(AP258)),IFERROR(AU258/AP258-1,""),"")</f>
        <v>0.62866170759002</v>
      </c>
      <c r="AV262" s="255">
        <f>IF(AND(ISNUMBER(AV258),ISNUMBER(AQ258)),IFERROR(AV258/AQ258-1,""),"")</f>
        <v>0.509659274801067</v>
      </c>
      <c r="AW262" s="255">
        <f>IF(AND(ISNUMBER(AW258),ISNUMBER(AR258)),IFERROR(AW258/AR258-1,""),"")</f>
        <v>0.450812077725928</v>
      </c>
      <c r="AX262" s="255">
        <f>IF(AND(ISNUMBER(AX258),ISNUMBER(AS258)),IFERROR(AX258/AS258-1,""),"")</f>
        <v>0.390550450199573</v>
      </c>
      <c r="AY262" s="255">
        <f>IF(AND(ISNUMBER(AY258),ISNUMBER(AT258)),IFERROR(AY258/AT258-1,""),"")</f>
        <v>1.77865324286861</v>
      </c>
      <c r="AZ262" s="255">
        <f>IF(AND(ISNUMBER(AZ258),ISNUMBER(AU258)),IFERROR(AZ258/AU258-1,""),"")</f>
        <v>0.000565862333777867</v>
      </c>
      <c r="BA262" s="255">
        <f>IF(AND(ISNUMBER(BA258),ISNUMBER(AV258)),IFERROR(BA258/AV258-1,""),"")</f>
        <v>-0.334826643010276</v>
      </c>
      <c r="BB262" s="255">
        <f>IF(AND(ISNUMBER(BB258),ISNUMBER(AW258)),IFERROR(BB258/AW258-1,""),"")</f>
        <v>0.213809353010991</v>
      </c>
      <c r="BC262" s="255">
        <f>IF(AND(ISNUMBER(BC258),ISNUMBER(AX258)),IFERROR(BC258/AX258-1,""),"")</f>
        <v>0.655309604549945</v>
      </c>
      <c r="BD262" s="255">
        <f>IF(AND(ISNUMBER(BD258),ISNUMBER(AY258)),IFERROR(BD258/AY258-1,""),"")</f>
        <v>-0.210984062803581</v>
      </c>
      <c r="BE262" s="255">
        <f>IF(AND(ISNUMBER(BE258),ISNUMBER(AZ258)),IFERROR(BE258/AZ258-1,""),"")</f>
        <v>0.163411432033933</v>
      </c>
      <c r="BF262" s="255">
        <f>IF(AND(ISNUMBER(BF258),ISNUMBER(BA258)),IFERROR(BF258/BA258-1,""),"")</f>
        <v>0.600713507746338</v>
      </c>
      <c r="BG262" s="255">
        <f>IF(AND(ISNUMBER(BG258),ISNUMBER(BB258)),IFERROR(BG258/BB258-1,""),"")</f>
        <v>0.209425630873902</v>
      </c>
      <c r="BH262" s="255">
        <f>IF(AND(ISNUMBER(BH258),ISNUMBER(BC258)),IFERROR(BH258/BC258-1,""),"")</f>
        <v>-0.26128756472505</v>
      </c>
      <c r="BI262" s="255">
        <f>IF(AND(ISNUMBER(BI258),ISNUMBER(BD258)),IFERROR(BI258/BD258-1,""),"")</f>
        <v>-0.265612911276569</v>
      </c>
      <c r="BJ262" s="255">
        <f>IF(AND(ISNUMBER(BJ258),ISNUMBER(BE258)),IFERROR(BJ258/BE258-1,""),"")</f>
        <v>0.0575429032734092</v>
      </c>
      <c r="BK262" s="255">
        <f>IF(AND(ISNUMBER(BK258),ISNUMBER(BF258)),IFERROR(BK258/BF258-1,""),"")</f>
        <v>0.13158461143242</v>
      </c>
      <c r="BL262" s="255">
        <f>IF(AND(ISNUMBER(BL258),ISNUMBER(BG258)),IFERROR(BL258/BG258-1,""),"")</f>
        <v>-0.0769594434876575</v>
      </c>
      <c r="BM262" s="255">
        <f>IF(AND(ISNUMBER(BM258),ISNUMBER(BH258)),IFERROR(BM258/BH258-1,""),"")</f>
        <v>0.31847363249263</v>
      </c>
      <c r="BN262" s="255">
        <f>IF(AND(ISNUMBER(BN258),ISNUMBER(BI258)),IFERROR(BN258/BI258-1,""),"")</f>
        <v>-0.302049231396627</v>
      </c>
      <c r="BO262" s="255">
        <f>IF(AND(ISNUMBER(BO258),ISNUMBER(BJ258)),IFERROR(BO258/BJ258-1,""),"")</f>
        <v>0.688303373553312</v>
      </c>
      <c r="BP262" s="255">
        <f>IF(AND(ISNUMBER(BP258),ISNUMBER(BK258)),IFERROR(BP258/BK258-1,""),"")</f>
        <v>0.345893079561421</v>
      </c>
      <c r="BQ262" s="255">
        <f>IF(AND(ISNUMBER(BQ258),ISNUMBER(BL258)),IFERROR(BQ258/BL258-1,""),"")</f>
        <v>0.307169696004545</v>
      </c>
      <c r="BR262" s="255">
        <f>IF(AND(ISNUMBER(BR258),ISNUMBER(BM258)),IFERROR(BR258/BM258-1,""),"")</f>
        <v>0.547097938869981</v>
      </c>
      <c r="BS262" s="255">
        <f>IF(AND(ISNUMBER(BS258),ISNUMBER(BN258)),IFERROR(BS258/BN258-1,""),"")</f>
        <v>0.0629412623959234</v>
      </c>
      <c r="BT262" s="255">
        <f>IF(AND(ISNUMBER(BT258),ISNUMBER(BO258)),IFERROR(BT258/BO258-1,""),"")</f>
        <v>0.343013136528495</v>
      </c>
      <c r="BU262" s="255">
        <f>IF(AND(ISNUMBER(BU258),ISNUMBER(BP258)),IFERROR(BU258/BP258-1,""),"")</f>
        <v>-0.0388001185293246</v>
      </c>
      <c r="BV262" s="255">
        <f>IF(AND(ISNUMBER(BV258),ISNUMBER(BQ258)),IFERROR(BV258/BQ258-1,""),"")</f>
        <v>0.217293670039989</v>
      </c>
      <c r="BW262" s="255">
        <f>IF(AND(ISNUMBER(BW258),ISNUMBER(BR258)),IFERROR(BW258/BR258-1,""),"")</f>
        <v>-0.11481271343389</v>
      </c>
      <c r="BX262" s="255">
        <f>IF(AND(ISNUMBER(BX258),ISNUMBER(BS258)),IFERROR(BX258/BS258-1,""),"")</f>
        <v>2.27244964957017</v>
      </c>
      <c r="BY262" s="255">
        <f>IF(AND(ISNUMBER(BY258),ISNUMBER(BT258)),IFERROR(BY258/BT258-1,""),"")</f>
        <v>0.340657908550204</v>
      </c>
      <c r="BZ262" s="24" t="n"/>
      <c r="CA262" s="256">
        <f>IF(AND(ISNUMBER(CA258),ISNUMBER(BV258)),IFERROR(CA258/BV258-1,""),"")</f>
        <v>0.355661001078604</v>
      </c>
      <c r="CB262" s="256">
        <f>IF(AND(ISNUMBER(CB258),ISNUMBER(CA258)),IFERROR(CB258/CA258-1,""),"")</f>
        <v>0.114301188564454</v>
      </c>
      <c r="CC262" s="256">
        <f>IF(AND(ISNUMBER(CC258),ISNUMBER(CB258)),IFERROR(CC258/CB258-1,""),"")</f>
        <v>0.14609121186793</v>
      </c>
      <c r="CD262" s="256">
        <f>IF(AND(ISNUMBER(CD258),ISNUMBER(CC258)),IFERROR(CD258/CC258-1,""),"")</f>
        <v>0.0833661266256172</v>
      </c>
      <c r="CE262" s="256">
        <f>IF(AND(ISNUMBER(CE258),ISNUMBER(CD258)),IFERROR(CE258/CD258-1,""),"")</f>
        <v>0.0873423087859591</v>
      </c>
      <c r="CF262" s="256">
        <f>IF(AND(ISNUMBER(CF258),ISNUMBER(CE258)),IFERROR(CF258/CE258-1,""),"")</f>
        <v>0.080944029150873</v>
      </c>
      <c r="CG262" s="153" t="n"/>
    </row>
    <row r="263" ht="15" customHeight="1" s="251">
      <c r="B263" s="25" t="inlineStr">
        <is>
          <t xml:space="preserve">  FCF % of revenue</t>
        </is>
      </c>
      <c r="C263" s="215">
        <f>IF(AND(ISNUMBER(C258),ISNUMBER(C127)),IFERROR(C258/C127,""),"")</f>
        <v>0.203101658054315</v>
      </c>
      <c r="D263" s="215">
        <f>IF(AND(ISNUMBER(D258),ISNUMBER(D127)),IFERROR(D258/D127,""),"")</f>
        <v>0.190247082346188</v>
      </c>
      <c r="E263" s="215">
        <f>IF(AND(ISNUMBER(E258),ISNUMBER(E127)),IFERROR(E258/E127,""),"")</f>
        <v>0.183085808802404</v>
      </c>
      <c r="F263" s="215">
        <f>IF(AND(ISNUMBER(F258),ISNUMBER(F127)),IFERROR(F258/F127,""),"")</f>
        <v>0.218277089427414</v>
      </c>
      <c r="G263" s="215">
        <f>IF(AND(ISNUMBER(G258),ISNUMBER(G127)),IFERROR(G258/G127,""),"")</f>
        <v>0.145840041080306</v>
      </c>
      <c r="H263" s="215">
        <f>IF(AND(ISNUMBER(H258),ISNUMBER(H127)),IFERROR(H258/H127,""),"")</f>
        <v>0.19709432080596</v>
      </c>
      <c r="I263" s="215">
        <f>IF(AND(ISNUMBER(I258),ISNUMBER(I127)),IFERROR(I258/I127,""),"")</f>
        <v>0.154138756369905</v>
      </c>
      <c r="J263" s="215">
        <f>IF(AND(ISNUMBER(J258),ISNUMBER(J127)),IFERROR(J258/J127,""),"")</f>
        <v>0.103762761814546</v>
      </c>
      <c r="K263" s="215">
        <f>IF(AND(ISNUMBER(K258),ISNUMBER(K127)),IFERROR(K258/K127,""),"")</f>
        <v>0.179082671127841</v>
      </c>
      <c r="L263" s="215">
        <f>IF(AND(ISNUMBER(L258),ISNUMBER(L127)),IFERROR(L258/L127,""),"")</f>
        <v>0.151878414557169</v>
      </c>
      <c r="M263" s="215">
        <f>IF(AND(ISNUMBER(M258),ISNUMBER(M127)),IFERROR(M258/M127,""),"")</f>
        <v>0.169345389776542</v>
      </c>
      <c r="N263" s="215">
        <f>IF(AND(ISNUMBER(N258),ISNUMBER(N127)),IFERROR(N258/N127,""),"")</f>
        <v>0.150613899634673</v>
      </c>
      <c r="O263" s="215">
        <f>IF(AND(ISNUMBER(O258),ISNUMBER(O127)),IFERROR(O258/O127,""),"")</f>
        <v>0.142256554357909</v>
      </c>
      <c r="P263" s="215">
        <f>IF(AND(ISNUMBER(P258),ISNUMBER(P127)),IFERROR(P258/P127,""),"")</f>
        <v>0.240302595679978</v>
      </c>
      <c r="Q263" s="215">
        <f>IF(AND(ISNUMBER(Q258),ISNUMBER(Q127)),IFERROR(Q258/Q127,""),"")</f>
        <v>0.131238297657001</v>
      </c>
      <c r="R263" s="215">
        <f>IF(AND(ISNUMBER(R258),ISNUMBER(R127)),IFERROR(R258/R127,""),"")</f>
        <v>0.296606038723654</v>
      </c>
      <c r="S263" s="215">
        <f>IF(AND(ISNUMBER(S258),ISNUMBER(S127)),IFERROR(S258/S127,""),"")</f>
        <v>0.205889845814559</v>
      </c>
      <c r="T263" s="215">
        <f>IF(AND(ISNUMBER(T258),ISNUMBER(T127)),IFERROR(T258/T127,""),"")</f>
        <v>-0.0227222368768135</v>
      </c>
      <c r="U263" s="215">
        <f>IF(AND(ISNUMBER(U258),ISNUMBER(U127)),IFERROR(U258/U127,""),"")</f>
        <v>0.180281880555649</v>
      </c>
      <c r="V263" s="215">
        <f>IF(AND(ISNUMBER(V258),ISNUMBER(V127)),IFERROR(V258/V127,""),"")</f>
        <v>0.167663326423584</v>
      </c>
      <c r="W263" s="215">
        <f>IF(AND(ISNUMBER(W258),ISNUMBER(W127)),IFERROR(W258/W127,""),"")</f>
        <v>0.171183557029679</v>
      </c>
      <c r="X263" s="215">
        <f>IF(AND(ISNUMBER(X258),ISNUMBER(X127)),IFERROR(X258/X127,""),"")</f>
        <v>0.128732052824277</v>
      </c>
      <c r="Y263" s="215">
        <f>IF(AND(ISNUMBER(Y258),ISNUMBER(Y127)),IFERROR(Y258/Y127,""),"")</f>
        <v>0.181211139766889</v>
      </c>
      <c r="Z263" s="215">
        <f>IF(AND(ISNUMBER(Z258),ISNUMBER(Z127)),IFERROR(Z258/Z127,""),"")</f>
        <v>0.165779618537048</v>
      </c>
      <c r="AA263" s="215">
        <f>IF(AND(ISNUMBER(AA258),ISNUMBER(AA127)),IFERROR(AA258/AA127,""),"")</f>
        <v>0.329029475077269</v>
      </c>
      <c r="AB263" s="215">
        <f>IF(AND(ISNUMBER(AB258),ISNUMBER(AB127)),IFERROR(AB258/AB127,""),"")</f>
        <v>0.060121107266436</v>
      </c>
      <c r="AC263" s="215">
        <f>IF(AND(ISNUMBER(AC258),ISNUMBER(AC127)),IFERROR(AC258/AC127,""),"")</f>
        <v>0.18523956267388</v>
      </c>
      <c r="AD263" s="215">
        <f>IF(AND(ISNUMBER(AD258),ISNUMBER(AD127)),IFERROR(AD258/AD127,""),"")</f>
        <v>0.130505464480874</v>
      </c>
      <c r="AE263" s="215">
        <f>IF(AND(ISNUMBER(AE258),ISNUMBER(AE127)),IFERROR(AE258/AE127,""),"")</f>
        <v>0.267687780784489</v>
      </c>
      <c r="AF263" s="215">
        <f>IF(AND(ISNUMBER(AF258),ISNUMBER(AF127)),IFERROR(AF258/AF127,""),"")</f>
        <v>0.289359528283099</v>
      </c>
      <c r="AG263" s="215">
        <f>IF(AND(ISNUMBER(AG258),ISNUMBER(AG127)),IFERROR(AG258/AG127,""),"")</f>
        <v>0.194249718607452</v>
      </c>
      <c r="AH263" s="215">
        <f>IF(AND(ISNUMBER(AH258),ISNUMBER(AH127)),IFERROR(AH258/AH127,""),"")</f>
        <v>0.220792581602692</v>
      </c>
      <c r="AI263" s="215">
        <f>IF(AND(ISNUMBER(AI258),ISNUMBER(AI127)),IFERROR(AI258/AI127,""),"")</f>
        <v>0.105103241954607</v>
      </c>
      <c r="AJ263" s="215">
        <f>IF(AND(ISNUMBER(AJ258),ISNUMBER(AJ127)),IFERROR(AJ258/AJ127,""),"")</f>
        <v>0.163524110169163</v>
      </c>
      <c r="AK263" s="215">
        <f>IF(AND(ISNUMBER(AK258),ISNUMBER(AK127)),IFERROR(AK258/AK127,""),"")</f>
        <v>0.277335696807383</v>
      </c>
      <c r="AL263" s="215">
        <f>IF(AND(ISNUMBER(AL258),ISNUMBER(AL127)),IFERROR(AL258/AL127,""),"")</f>
        <v>0.189012512911423</v>
      </c>
      <c r="AM263" s="215">
        <f>IF(AND(ISNUMBER(AM258),ISNUMBER(AM127)),IFERROR(AM258/AM127,""),"")</f>
        <v>0.185721688176469</v>
      </c>
      <c r="AN263" s="215">
        <f>IF(AND(ISNUMBER(AN258),ISNUMBER(AN127)),IFERROR(AN258/AN127,""),"")</f>
        <v>0.161609267280825</v>
      </c>
      <c r="AO263" s="215">
        <f>IF(AND(ISNUMBER(AO258),ISNUMBER(AO127)),IFERROR(AO258/AO127,""),"")</f>
        <v>0.156770919441909</v>
      </c>
      <c r="AP263" s="215">
        <f>IF(AND(ISNUMBER(AP258),ISNUMBER(AP127)),IFERROR(AP258/AP127,""),"")</f>
        <v>0.193362588265993</v>
      </c>
      <c r="AQ263" s="215">
        <f>IF(AND(ISNUMBER(AQ258),ISNUMBER(AQ127)),IFERROR(AQ258/AQ127,""),"")</f>
        <v>0.293449355481031</v>
      </c>
      <c r="AR263" s="215">
        <f>IF(AND(ISNUMBER(AR258),ISNUMBER(AR127)),IFERROR(AR258/AR127,""),"")</f>
        <v>0.203751800517722</v>
      </c>
      <c r="AS263" s="215">
        <f>IF(AND(ISNUMBER(AS258),ISNUMBER(AS127)),IFERROR(AS258/AS127,""),"")</f>
        <v>0.180449843218181</v>
      </c>
      <c r="AT263" s="215">
        <f>IF(AND(ISNUMBER(AT258),ISNUMBER(AT127)),IFERROR(AT258/AT127,""),"")</f>
        <v>0.178029749554341</v>
      </c>
      <c r="AU263" s="215">
        <f>IF(AND(ISNUMBER(AU258),ISNUMBER(AU127)),IFERROR(AU258/AU127,""),"")</f>
        <v>0.315442210046186</v>
      </c>
      <c r="AV263" s="215">
        <f>IF(AND(ISNUMBER(AV258),ISNUMBER(AV127)),IFERROR(AV258/AV127,""),"")</f>
        <v>0.361340542157732</v>
      </c>
      <c r="AW263" s="215">
        <f>IF(AND(ISNUMBER(AW258),ISNUMBER(AW127)),IFERROR(AW258/AW127,""),"")</f>
        <v>0.264898089083412</v>
      </c>
      <c r="AX263" s="215">
        <f>IF(AND(ISNUMBER(AX258),ISNUMBER(AX127)),IFERROR(AX258/AX127,""),"")</f>
        <v>0.239752379854936</v>
      </c>
      <c r="AY263" s="215">
        <f>IF(AND(ISNUMBER(AY258),ISNUMBER(AY127)),IFERROR(AY258/AY127,""),"")</f>
        <v>0.459764426109289</v>
      </c>
      <c r="AZ263" s="215">
        <f>IF(AND(ISNUMBER(AZ258),ISNUMBER(AZ127)),IFERROR(AZ258/AZ127,""),"")</f>
        <v>0.292799186241809</v>
      </c>
      <c r="BA263" s="215">
        <f>IF(AND(ISNUMBER(BA258),ISNUMBER(BA127)),IFERROR(BA258/BA127,""),"")</f>
        <v>0.268930619857312</v>
      </c>
      <c r="BB263" s="215">
        <f>IF(AND(ISNUMBER(BB258),ISNUMBER(BB127)),IFERROR(BB258/BB127,""),"")</f>
        <v>0.316169098300388</v>
      </c>
      <c r="BC263" s="215">
        <f>IF(AND(ISNUMBER(BC258),ISNUMBER(BC127)),IFERROR(BC258/BC127,""),"")</f>
        <v>0.384618486727613</v>
      </c>
      <c r="BD263" s="215">
        <f>IF(AND(ISNUMBER(BD258),ISNUMBER(BD127)),IFERROR(BD258/BD127,""),"")</f>
        <v>0.336524867369364</v>
      </c>
      <c r="BE263" s="215">
        <f>IF(AND(ISNUMBER(BE258),ISNUMBER(BE127)),IFERROR(BE258/BE127,""),"")</f>
        <v>0.330120985998636</v>
      </c>
      <c r="BF263" s="215">
        <f>IF(AND(ISNUMBER(BF258),ISNUMBER(BF127)),IFERROR(BF258/BF127,""),"")</f>
        <v>0.412988748322571</v>
      </c>
      <c r="BG263" s="215">
        <f>IF(AND(ISNUMBER(BG258),ISNUMBER(BG127)),IFERROR(BG258/BG127,""),"")</f>
        <v>0.365520921823608</v>
      </c>
      <c r="BH263" s="215">
        <f>IF(AND(ISNUMBER(BH258),ISNUMBER(BH127)),IFERROR(BH258/BH127,""),"")</f>
        <v>0.265578333864935</v>
      </c>
      <c r="BI263" s="215">
        <f>IF(AND(ISNUMBER(BI258),ISNUMBER(BI127)),IFERROR(BI258/BI127,""),"")</f>
        <v>0.232145392961769</v>
      </c>
      <c r="BJ263" s="215">
        <f>IF(AND(ISNUMBER(BJ258),ISNUMBER(BJ127)),IFERROR(BJ258/BJ127,""),"")</f>
        <v>0.305577293522755</v>
      </c>
      <c r="BK263" s="215">
        <f>IF(AND(ISNUMBER(BK258),ISNUMBER(BK127)),IFERROR(BK258/BK127,""),"")</f>
        <v>0.418186296772406</v>
      </c>
      <c r="BL263" s="215">
        <f>IF(AND(ISNUMBER(BL258),ISNUMBER(BL127)),IFERROR(BL258/BL127,""),"")</f>
        <v>0.307010571785536</v>
      </c>
      <c r="BM263" s="215">
        <f>IF(AND(ISNUMBER(BM258),ISNUMBER(BM127)),IFERROR(BM258/BM127,""),"")</f>
        <v>0.316074218903363</v>
      </c>
      <c r="BN263" s="215">
        <f>IF(AND(ISNUMBER(BN258),ISNUMBER(BN127)),IFERROR(BN258/BN127,""),"")</f>
        <v>0.142027943173148</v>
      </c>
      <c r="BO263" s="215">
        <f>IF(AND(ISNUMBER(BO258),ISNUMBER(BO127)),IFERROR(BO258/BO127,""),"")</f>
        <v>0.459275336106589</v>
      </c>
      <c r="BP263" s="215">
        <f>IF(AND(ISNUMBER(BP258),ISNUMBER(BP127)),IFERROR(BP258/BP127,""),"")</f>
        <v>0.483364146590306</v>
      </c>
      <c r="BQ263" s="215">
        <f>IF(AND(ISNUMBER(BQ258),ISNUMBER(BQ127)),IFERROR(BQ258/BQ127,""),"")</f>
        <v>0.353655781630089</v>
      </c>
      <c r="BR263" s="215">
        <f>IF(AND(ISNUMBER(BR258),ISNUMBER(BR127)),IFERROR(BR258/BR127,""),"")</f>
        <v>0.42463542803113</v>
      </c>
      <c r="BS263" s="215">
        <f>IF(AND(ISNUMBER(BS258),ISNUMBER(BS127)),IFERROR(BS258/BS127,""),"")</f>
        <v>0.131314224989223</v>
      </c>
      <c r="BT263" s="215">
        <f>IF(AND(ISNUMBER(BT258),ISNUMBER(BT127)),IFERROR(BT258/BT127,""),"")</f>
        <v>0.514972549238929</v>
      </c>
      <c r="BU263" s="215">
        <f>IF(AND(ISNUMBER(BU258),ISNUMBER(BU127)),IFERROR(BU258/BU127,""),"")</f>
        <v>0.408809677538192</v>
      </c>
      <c r="BV263" s="215">
        <f>IF(AND(ISNUMBER(BV258),ISNUMBER(BV127)),IFERROR(BV258/BV127,""),"")</f>
        <v>0.371395606642125</v>
      </c>
      <c r="BW263" s="215">
        <f>IF(AND(ISNUMBER(BW258),ISNUMBER(BW127)),IFERROR(BW258/BW127,""),"")</f>
        <v>0.32302586730578</v>
      </c>
      <c r="BX263" s="215">
        <f>IF(AND(ISNUMBER(BX258),ISNUMBER(BX127)),IFERROR(BX258/BX127,""),"")</f>
        <v>0.309849828749546</v>
      </c>
      <c r="BY263" s="215">
        <f>IF(AND(ISNUMBER(BY258),ISNUMBER(BY127)),IFERROR(BY258/BY127,""),"")</f>
        <v>0.54931562116205</v>
      </c>
      <c r="BZ263" s="24" t="n"/>
      <c r="CA263" s="256">
        <f>IF(AND(ISNUMBER(CA258),ISNUMBER(CA127)),IFERROR(CA258/CA127,""),"")</f>
        <v>0.39619594632313</v>
      </c>
      <c r="CB263" s="256">
        <f>IF(AND(ISNUMBER(CB258),ISNUMBER(CB127)),IFERROR(CB258/CB127,""),"")</f>
        <v>0.399078738793604</v>
      </c>
      <c r="CC263" s="256">
        <f>IF(AND(ISNUMBER(CC258),ISNUMBER(CC127)),IFERROR(CC258/CC127,""),"")</f>
        <v>0.414519989835418</v>
      </c>
      <c r="CD263" s="256">
        <f>IF(AND(ISNUMBER(CD258),ISNUMBER(CD127)),IFERROR(CD258/CD127,""),"")</f>
        <v>0.410330322392225</v>
      </c>
      <c r="CE263" s="256">
        <f>IF(AND(ISNUMBER(CE258),ISNUMBER(CE127)),IFERROR(CE258/CE127,""),"")</f>
        <v>0.410088015585755</v>
      </c>
      <c r="CF263" s="256">
        <f>IF(AND(ISNUMBER(CF258),ISNUMBER(CF127)),IFERROR(CF258/CF127,""),"")</f>
        <v>0.409921263995847</v>
      </c>
      <c r="CG263" s="153" t="n"/>
      <c r="CI263" s="37">
        <f>IFERROR(AVERAGE(CB263,CC263,CD263,CE263,CF263),"n/m")</f>
        <v>0.40878766612057</v>
      </c>
      <c r="CJ263" s="37">
        <f>IFERROR(AVERAGE(BB263,BG263,BL263,BQ263,BV263),"n/m")</f>
        <v>0.342750396036349</v>
      </c>
      <c r="CK263" s="37">
        <f>IFERROR(AVERAGE(AC263,AH263,AM263,AR263,AW263,BB263,BG263,BL263,BQ263,BV263),"n/m")</f>
        <v>0.277415570223592</v>
      </c>
      <c r="CL263" s="37">
        <f>IFERROR(AVERAGE(C263,D263,E263,F263,G263,H263,I263,N263,S263,X263,AC263,AH263,AM263,AR263,AW263,BB263,BG263,BL263,BQ263,BV263),"n/m")</f>
        <v>0.227558812869796</v>
      </c>
    </row>
    <row r="264" ht="15" customHeight="1" s="251">
      <c r="B264" s="25" t="inlineStr">
        <is>
          <t xml:space="preserve">  FCF / non-GAAP net income conversion %</t>
        </is>
      </c>
      <c r="C264" s="215">
        <f>IF(AND(ISNUMBER(C258),ISNUMBER(C201)),IFERROR(C258/C201,""),"")</f>
        <v>1.01452494356454</v>
      </c>
      <c r="D264" s="215">
        <f>IF(AND(ISNUMBER(D258),ISNUMBER(D201)),IFERROR(D258/D201,""),"")</f>
        <v>1.10296492155826</v>
      </c>
      <c r="E264" s="215">
        <f>IF(AND(ISNUMBER(E258),ISNUMBER(E201)),IFERROR(E258/E201,""),"")</f>
        <v>1.11923638810919</v>
      </c>
      <c r="F264" s="215">
        <f>IF(AND(ISNUMBER(F258),ISNUMBER(F201)),IFERROR(F258/F201,""),"")</f>
        <v>1.42312980018813</v>
      </c>
      <c r="G264" s="215">
        <f>IF(AND(ISNUMBER(G258),ISNUMBER(G201)),IFERROR(G258/G201,""),"")</f>
        <v>0.936858294442087</v>
      </c>
      <c r="H264" s="215">
        <f>IF(AND(ISNUMBER(H258),ISNUMBER(H201)),IFERROR(H258/H201,""),"")</f>
        <v>1.13939213015654</v>
      </c>
      <c r="I264" s="215">
        <f>IF(AND(ISNUMBER(I258),ISNUMBER(I201)),IFERROR(I258/I201,""),"")</f>
        <v>0.832093661713301</v>
      </c>
      <c r="J264" s="215">
        <f>IF(AND(ISNUMBER(J258),ISNUMBER(J201)),IFERROR(J258/J201,""),"")</f>
        <v>0.61979756066893</v>
      </c>
      <c r="K264" s="215">
        <f>IF(AND(ISNUMBER(K258),ISNUMBER(K201)),IFERROR(K258/K201,""),"")</f>
        <v>1.26677448621356</v>
      </c>
      <c r="L264" s="215">
        <f>IF(AND(ISNUMBER(L258),ISNUMBER(L201)),IFERROR(L258/L201,""),"")</f>
        <v>0.953863504323161</v>
      </c>
      <c r="M264" s="215">
        <f>IF(AND(ISNUMBER(M258),ISNUMBER(M201)),IFERROR(M258/M201,""),"")</f>
        <v>0.912619984709913</v>
      </c>
      <c r="N264" s="215">
        <f>IF(AND(ISNUMBER(N258),ISNUMBER(N201)),IFERROR(N258/N201,""),"")</f>
        <v>0.919764089337199</v>
      </c>
      <c r="O264" s="215">
        <f>IF(AND(ISNUMBER(O258),ISNUMBER(O201)),IFERROR(O258/O201,""),"")</f>
        <v>1.00133643896292</v>
      </c>
      <c r="P264" s="215">
        <f>IF(AND(ISNUMBER(P258),ISNUMBER(P201)),IFERROR(P258/P201,""),"")</f>
        <v>1.55345254278643</v>
      </c>
      <c r="Q264" s="215">
        <f>IF(AND(ISNUMBER(Q258),ISNUMBER(Q201)),IFERROR(Q258/Q201,""),"")</f>
        <v>0.886753744101757</v>
      </c>
      <c r="R264" s="215">
        <f>IF(AND(ISNUMBER(R258),ISNUMBER(R201)),IFERROR(R258/R201,""),"")</f>
        <v>1.48752829334541</v>
      </c>
      <c r="S264" s="215">
        <f>IF(AND(ISNUMBER(S258),ISNUMBER(S201)),IFERROR(S258/S201,""),"")</f>
        <v>1.26608679386457</v>
      </c>
      <c r="T264" s="215">
        <f>IF(AND(ISNUMBER(T258),ISNUMBER(T201)),IFERROR(T258/T201,""),"")</f>
        <v>-0.190524639476245</v>
      </c>
      <c r="U264" s="215">
        <f>IF(AND(ISNUMBER(U258),ISNUMBER(U201)),IFERROR(U258/U201,""),"")</f>
        <v>1.25852770661993</v>
      </c>
      <c r="V264" s="215">
        <f>IF(AND(ISNUMBER(V258),ISNUMBER(V201)),IFERROR(V258/V201,""),"")</f>
        <v>1.08789165401184</v>
      </c>
      <c r="W264" s="215">
        <f>IF(AND(ISNUMBER(W258),ISNUMBER(W201)),IFERROR(W258/W201,""),"")</f>
        <v>0.782543797627465</v>
      </c>
      <c r="X264" s="215">
        <f>IF(AND(ISNUMBER(X258),ISNUMBER(X201)),IFERROR(X258/X201,""),"")</f>
        <v>0.797138575341252</v>
      </c>
      <c r="Y264" s="215">
        <f>IF(AND(ISNUMBER(Y258),ISNUMBER(Y201)),IFERROR(Y258/Y201,""),"")</f>
        <v>1.12922415672595</v>
      </c>
      <c r="Z264" s="215">
        <f>IF(AND(ISNUMBER(Z258),ISNUMBER(Z201)),IFERROR(Z258/Z201,""),"")</f>
        <v>0.975348003074383</v>
      </c>
      <c r="AA264" s="215">
        <f>IF(AND(ISNUMBER(AA258),ISNUMBER(AA201)),IFERROR(AA258/AA201,""),"")</f>
        <v>1.67780720112758</v>
      </c>
      <c r="AB264" s="215">
        <f>IF(AND(ISNUMBER(AB258),ISNUMBER(AB201)),IFERROR(AB258/AB201,""),"")</f>
        <v>0.342836416394632</v>
      </c>
      <c r="AC264" s="215">
        <f>IF(AND(ISNUMBER(AC258),ISNUMBER(AC201)),IFERROR(AC258/AC201,""),"")</f>
        <v>1.05047710353436</v>
      </c>
      <c r="AD264" s="215">
        <f>IF(AND(ISNUMBER(AD258),ISNUMBER(AD201)),IFERROR(AD258/AD201,""),"")</f>
        <v>0.855696882837693</v>
      </c>
      <c r="AE264" s="215">
        <f>IF(AND(ISNUMBER(AE258),ISNUMBER(AE201)),IFERROR(AE258/AE201,""),"")</f>
        <v>1.7999646684725</v>
      </c>
      <c r="AF264" s="215">
        <f>IF(AND(ISNUMBER(AF258),ISNUMBER(AF201)),IFERROR(AF258/AF201,""),"")</f>
        <v>1.78610940381069</v>
      </c>
      <c r="AG264" s="215">
        <f>IF(AND(ISNUMBER(AG258),ISNUMBER(AG201)),IFERROR(AG258/AG201,""),"")</f>
        <v>0.932965344562681</v>
      </c>
      <c r="AH264" s="215">
        <f>IF(AND(ISNUMBER(AH258),ISNUMBER(AH201)),IFERROR(AH258/AH201,""),"")</f>
        <v>1.30597223279779</v>
      </c>
      <c r="AI264" s="215">
        <f>IF(AND(ISNUMBER(AI258),ISNUMBER(AI201)),IFERROR(AI258/AI201,""),"")</f>
        <v>0.601117997326528</v>
      </c>
      <c r="AJ264" s="215">
        <f>IF(AND(ISNUMBER(AJ258),ISNUMBER(AJ201)),IFERROR(AJ258/AJ201,""),"")</f>
        <v>0.876012797606681</v>
      </c>
      <c r="AK264" s="215">
        <f>IF(AND(ISNUMBER(AK258),ISNUMBER(AK201)),IFERROR(AK258/AK201,""),"")</f>
        <v>1.52753900031837</v>
      </c>
      <c r="AL264" s="215">
        <f>IF(AND(ISNUMBER(AL258),ISNUMBER(AL201)),IFERROR(AL258/AL201,""),"")</f>
        <v>0.912910631980528</v>
      </c>
      <c r="AM264" s="215">
        <f>IF(AND(ISNUMBER(AM258),ISNUMBER(AM201)),IFERROR(AM258/AM201,""),"")</f>
        <v>0.986774596933971</v>
      </c>
      <c r="AN264" s="215">
        <f>IF(AND(ISNUMBER(AN258),ISNUMBER(AN201)),IFERROR(AN258/AN201,""),"")</f>
        <v>0.965202341099041</v>
      </c>
      <c r="AO264" s="215">
        <f>IF(AND(ISNUMBER(AO258),ISNUMBER(AO201)),IFERROR(AO258/AO201,""),"")</f>
        <v>0.922743331006325</v>
      </c>
      <c r="AP264" s="215">
        <f>IF(AND(ISNUMBER(AP258),ISNUMBER(AP201)),IFERROR(AP258/AP201,""),"")</f>
        <v>0.803586542530682</v>
      </c>
      <c r="AQ264" s="215">
        <f>IF(AND(ISNUMBER(AQ258),ISNUMBER(AQ201)),IFERROR(AQ258/AQ201,""),"")</f>
        <v>1.47324893127261</v>
      </c>
      <c r="AR264" s="215">
        <f>IF(AND(ISNUMBER(AR258),ISNUMBER(AR201)),IFERROR(AR258/AR201,""),"")</f>
        <v>1.03844599284767</v>
      </c>
      <c r="AS264" s="215">
        <f>IF(AND(ISNUMBER(AS258),ISNUMBER(AS201)),IFERROR(AS258/AS201,""),"")</f>
        <v>0.994075960580224</v>
      </c>
      <c r="AT264" s="215">
        <f>IF(AND(ISNUMBER(AT258),ISNUMBER(AT201)),IFERROR(AT258/AT201,""),"")</f>
        <v>0.852584437395036</v>
      </c>
      <c r="AU264" s="215">
        <f>IF(AND(ISNUMBER(AU258),ISNUMBER(AU201)),IFERROR(AU258/AU201,""),"")</f>
        <v>1.28946682649711</v>
      </c>
      <c r="AV264" s="215">
        <f>IF(AND(ISNUMBER(AV258),ISNUMBER(AV201)),IFERROR(AV258/AV201,""),"")</f>
        <v>1.39505383441277</v>
      </c>
      <c r="AW264" s="215">
        <f>IF(AND(ISNUMBER(AW258),ISNUMBER(AW201)),IFERROR(AW258/AW201,""),"")</f>
        <v>1.17357959795487</v>
      </c>
      <c r="AX264" s="215">
        <f>IF(AND(ISNUMBER(AX258),ISNUMBER(AX201)),IFERROR(AX258/AX201,""),"")</f>
        <v>0.918389367076191</v>
      </c>
      <c r="AY264" s="215">
        <f>IF(AND(ISNUMBER(AY258),ISNUMBER(AY201)),IFERROR(AY258/AY201,""),"")</f>
        <v>1.68853422000554</v>
      </c>
      <c r="AZ264" s="215">
        <f>IF(AND(ISNUMBER(AZ258),ISNUMBER(AZ201)),IFERROR(AZ258/AZ201,""),"")</f>
        <v>1.00228758831508</v>
      </c>
      <c r="BA264" s="215">
        <f>IF(AND(ISNUMBER(BA258),ISNUMBER(BA201)),IFERROR(BA258/BA201,""),"")</f>
        <v>0.80374098920044</v>
      </c>
      <c r="BB264" s="215">
        <f>IF(AND(ISNUMBER(BB258),ISNUMBER(BB201)),IFERROR(BB258/BB201,""),"")</f>
        <v>1.08815609919326</v>
      </c>
      <c r="BC264" s="215">
        <f>IF(AND(ISNUMBER(BC258),ISNUMBER(BC201)),IFERROR(BC258/BC201,""),"")</f>
        <v>1.21637185939508</v>
      </c>
      <c r="BD264" s="215">
        <f>IF(AND(ISNUMBER(BD258),ISNUMBER(BD201)),IFERROR(BD258/BD201,""),"")</f>
        <v>0.971824723098068</v>
      </c>
      <c r="BE264" s="215">
        <f>IF(AND(ISNUMBER(BE258),ISNUMBER(BE201)),IFERROR(BE258/BE201,""),"")</f>
        <v>0.996022859909563</v>
      </c>
      <c r="BF264" s="215">
        <f>IF(AND(ISNUMBER(BF258),ISNUMBER(BF201)),IFERROR(BF258/BF201,""),"")</f>
        <v>1.28032606183441</v>
      </c>
      <c r="BG264" s="215">
        <f>IF(AND(ISNUMBER(BG258),ISNUMBER(BG201)),IFERROR(BG258/BG201,""),"")</f>
        <v>1.10940419942879</v>
      </c>
      <c r="BH264" s="215">
        <f>IF(AND(ISNUMBER(BH258),ISNUMBER(BH201)),IFERROR(BH258/BH201,""),"")</f>
        <v>0.844451000820572</v>
      </c>
      <c r="BI264" s="215">
        <f>IF(AND(ISNUMBER(BI258),ISNUMBER(BI201)),IFERROR(BI258/BI201,""),"")</f>
        <v>0.726870759502009</v>
      </c>
      <c r="BJ264" s="215">
        <f>IF(AND(ISNUMBER(BJ258),ISNUMBER(BJ201)),IFERROR(BJ258/BJ201,""),"")</f>
        <v>0.849605288850456</v>
      </c>
      <c r="BK264" s="215">
        <f>IF(AND(ISNUMBER(BK258),ISNUMBER(BK201)),IFERROR(BK258/BK201,""),"")</f>
        <v>1.28590702518462</v>
      </c>
      <c r="BL264" s="215">
        <f>IF(AND(ISNUMBER(BL258),ISNUMBER(BL201)),IFERROR(BL258/BL201,""),"")</f>
        <v>0.929264932036661</v>
      </c>
      <c r="BM264" s="215">
        <f>IF(AND(ISNUMBER(BM258),ISNUMBER(BM201)),IFERROR(BM258/BM201,""),"")</f>
        <v>0.99616412591566</v>
      </c>
      <c r="BN264" s="215">
        <f>IF(AND(ISNUMBER(BN258),ISNUMBER(BN201)),IFERROR(BN258/BN201,""),"")</f>
        <v>0.398810294384175</v>
      </c>
      <c r="BO264" s="215">
        <f>IF(AND(ISNUMBER(BO258),ISNUMBER(BO201)),IFERROR(BO258/BO201,""),"")</f>
        <v>1.31520356030718</v>
      </c>
      <c r="BP264" s="215">
        <f>IF(AND(ISNUMBER(BP258),ISNUMBER(BP201)),IFERROR(BP258/BP201,""),"")</f>
        <v>1.34407053835125</v>
      </c>
      <c r="BQ264" s="215">
        <f>IF(AND(ISNUMBER(BQ258),ISNUMBER(BQ201)),IFERROR(BQ258/BQ201,""),"")</f>
        <v>1.02033058406545</v>
      </c>
      <c r="BR264" s="215">
        <f>IF(AND(ISNUMBER(BR258),ISNUMBER(BR201)),IFERROR(BR258/BR201,""),"")</f>
        <v>1.29930662289883</v>
      </c>
      <c r="BS264" s="215">
        <f>IF(AND(ISNUMBER(BS258),ISNUMBER(BS201)),IFERROR(BS258/BS201,""),"")</f>
        <v>0.339879287349044</v>
      </c>
      <c r="BT264" s="215">
        <f>IF(AND(ISNUMBER(BT258),ISNUMBER(BT201)),IFERROR(BT258/BT201,""),"")</f>
        <v>1.31198142017848</v>
      </c>
      <c r="BU264" s="215">
        <f>IF(AND(ISNUMBER(BU258),ISNUMBER(BU201)),IFERROR(BU258/BU201,""),"")</f>
        <v>1.12779147700224</v>
      </c>
      <c r="BV264" s="215">
        <f>IF(AND(ISNUMBER(BV258),ISNUMBER(BV201)),IFERROR(BV258/BV201,""),"")</f>
        <v>1.00738027992474</v>
      </c>
      <c r="BW264" s="215">
        <f>IF(AND(ISNUMBER(BW258),ISNUMBER(BW201)),IFERROR(BW258/BW201,""),"")</f>
        <v>0.941723136495644</v>
      </c>
      <c r="BX264" s="215">
        <f>IF(AND(ISNUMBER(BX258),ISNUMBER(BX201)),IFERROR(BX258/BX201,""),"")</f>
        <v>0.722079217261223</v>
      </c>
      <c r="BY264" s="215">
        <f>IF(AND(ISNUMBER(BY258),ISNUMBER(BY201)),IFERROR(BY258/BY201,""),"")</f>
        <v>1.33887912771234</v>
      </c>
      <c r="BZ264" s="24" t="n"/>
      <c r="CA264" s="256">
        <f>IF(AND(ISNUMBER(CA258),ISNUMBER(CA201)),IFERROR(CA258/CA201,""),"")</f>
        <v>1.03033977505495</v>
      </c>
      <c r="CB264" s="256">
        <f>IF(AND(ISNUMBER(CB258),ISNUMBER(CB201)),IFERROR(CB258/CB201,""),"")</f>
        <v>1.02057619460636</v>
      </c>
      <c r="CC264" s="256">
        <f>IF(AND(ISNUMBER(CC258),ISNUMBER(CC201)),IFERROR(CC258/CC201,""),"")</f>
        <v>1.02257921442586</v>
      </c>
      <c r="CD264" s="256">
        <f>IF(AND(ISNUMBER(CD258),ISNUMBER(CD201)),IFERROR(CD258/CD201,""),"")</f>
        <v>1.02285560182385</v>
      </c>
      <c r="CE264" s="256">
        <f>IF(AND(ISNUMBER(CE258),ISNUMBER(CE201)),IFERROR(CE258/CE201,""),"")</f>
        <v>1.02280776816672</v>
      </c>
      <c r="CF264" s="256">
        <f>IF(AND(ISNUMBER(CF258),ISNUMBER(CF201)),IFERROR(CF258/CF201,""),"")</f>
        <v>1.02286415925537</v>
      </c>
      <c r="CG264" s="153" t="n"/>
      <c r="CI264" s="37">
        <f>IFERROR(AVERAGE(CB264,CC264,CD264,CE264,CF264),"n/m")</f>
        <v>1.02233658765563</v>
      </c>
      <c r="CJ264" s="37">
        <f>IFERROR(AVERAGE(BB264,BG264,BL264,BQ264,BV264),"n/m")</f>
        <v>1.03090721892978</v>
      </c>
      <c r="CK264" s="37">
        <f>IFERROR(AVERAGE(AC264,AH264,AM264,AR264,AW264,BB264,BG264,BL264,BQ264,BV264),"n/m")</f>
        <v>1.07097856187175</v>
      </c>
      <c r="CL264" s="37">
        <f>IFERROR(AVERAGE(C264,D264,E264,F264,G264,H264,I264,N264,S264,X264,AC264,AH264,AM264,AR264,AW264,BB264,BG264,BL264,BQ264,BV264),"n/m")</f>
        <v>1.06304876084963</v>
      </c>
    </row>
    <row r="265" ht="15" customHeight="1" s="251">
      <c r="B265" s="25" t="inlineStr">
        <is>
          <t xml:space="preserve">  FCF per diluted share ($)</t>
        </is>
      </c>
      <c r="C265" s="282">
        <f>IF(AND(ISNUMBER(C258),ISNUMBER(C153)),IFERROR(C258/C153,""),"")</f>
        <v>2.57401919385797</v>
      </c>
      <c r="D265" s="282">
        <f>IF(AND(ISNUMBER(D258),ISNUMBER(D153)),IFERROR(D258/D153,""),"")</f>
        <v>2.71821783554598</v>
      </c>
      <c r="E265" s="282">
        <f>IF(AND(ISNUMBER(E258),ISNUMBER(E153)),IFERROR(E258/E153,""),"")</f>
        <v>2.76203593056934</v>
      </c>
      <c r="F265" s="282">
        <f>IF(AND(ISNUMBER(F258),ISNUMBER(F153)),IFERROR(F258/F153,""),"")</f>
        <v>2.82259717894046</v>
      </c>
      <c r="G265" s="282">
        <f>IF(AND(ISNUMBER(G258),ISNUMBER(G153)),IFERROR(G258/G153,""),"")</f>
        <v>1.94947912068509</v>
      </c>
      <c r="H265" s="282">
        <f>IF(AND(ISNUMBER(H258),ISNUMBER(H153)),IFERROR(H258/H153,""),"")</f>
        <v>3.05431629488847</v>
      </c>
      <c r="I265" s="282">
        <f>IF(AND(ISNUMBER(I258),ISNUMBER(I153)),IFERROR(I258/I153,""),"")</f>
        <v>2.89113495826748</v>
      </c>
      <c r="J265" s="282">
        <f>IF(AND(ISNUMBER(J258),ISNUMBER(J153)),IFERROR(J258/J153,""),"")</f>
        <v>0.545406766064562</v>
      </c>
      <c r="K265" s="282">
        <f>IF(AND(ISNUMBER(K258),ISNUMBER(K153)),IFERROR(K258/K153,""),"")</f>
        <v>0.880028499397128</v>
      </c>
      <c r="L265" s="282">
        <f>IF(AND(ISNUMBER(L258),ISNUMBER(L153)),IFERROR(L258/L153,""),"")</f>
        <v>0.76710182767624</v>
      </c>
      <c r="M265" s="282">
        <f>IF(AND(ISNUMBER(M258),ISNUMBER(M153)),IFERROR(M258/M153,""),"")</f>
        <v>0.891565931786119</v>
      </c>
      <c r="N265" s="282">
        <f>IF(AND(ISNUMBER(N258),ISNUMBER(N153)),IFERROR(N258/N153,""),"")</f>
        <v>3.08533561115397</v>
      </c>
      <c r="O265" s="282">
        <f>IF(AND(ISNUMBER(O258),ISNUMBER(O153)),IFERROR(O258/O153,""),"")</f>
        <v>0.732104969290899</v>
      </c>
      <c r="P265" s="282">
        <f>IF(AND(ISNUMBER(P258),ISNUMBER(P153)),IFERROR(P258/P153,""),"")</f>
        <v>1.26212794879783</v>
      </c>
      <c r="Q265" s="282">
        <f>IF(AND(ISNUMBER(Q258),ISNUMBER(Q153)),IFERROR(Q258/Q153,""),"")</f>
        <v>0.737557590580741</v>
      </c>
      <c r="R265" s="282">
        <f>IF(AND(ISNUMBER(R258),ISNUMBER(R153)),IFERROR(R258/R153,""),"")</f>
        <v>1.97847487732185</v>
      </c>
      <c r="S265" s="282">
        <f>IF(AND(ISNUMBER(S258),ISNUMBER(S153)),IFERROR(S258/S153,""),"")</f>
        <v>4.65936209270308</v>
      </c>
      <c r="T265" s="282">
        <f>IF(AND(ISNUMBER(T258),ISNUMBER(T153)),IFERROR(T258/T153,""),"")</f>
        <v>-0.130010866940353</v>
      </c>
      <c r="U265" s="282">
        <f>IF(AND(ISNUMBER(U258),ISNUMBER(U153)),IFERROR(U258/U153,""),"")</f>
        <v>1.15070266272189</v>
      </c>
      <c r="V265" s="282">
        <f>IF(AND(ISNUMBER(V258),ISNUMBER(V153)),IFERROR(V258/V153,""),"")</f>
        <v>1.08466458610141</v>
      </c>
      <c r="W265" s="282">
        <f>IF(AND(ISNUMBER(W258),ISNUMBER(W153)),IFERROR(W258/W153,""),"")</f>
        <v>1.22619560534253</v>
      </c>
      <c r="X265" s="282">
        <f>IF(AND(ISNUMBER(X258),ISNUMBER(X153)),IFERROR(X258/X153,""),"")</f>
        <v>3.31129442791867</v>
      </c>
      <c r="Y265" s="282">
        <f>IF(AND(ISNUMBER(Y258),ISNUMBER(Y153)),IFERROR(Y258/Y153,""),"")</f>
        <v>1.11777037859169</v>
      </c>
      <c r="Z265" s="282">
        <f>IF(AND(ISNUMBER(Z258),ISNUMBER(Z153)),IFERROR(Z258/Z153,""),"")</f>
        <v>1.06202343314116</v>
      </c>
      <c r="AA265" s="282">
        <f>IF(AND(ISNUMBER(AA258),ISNUMBER(AA153)),IFERROR(AA258/AA153,""),"")</f>
        <v>2.43137436944883</v>
      </c>
      <c r="AB265" s="282">
        <f>IF(AND(ISNUMBER(AB258),ISNUMBER(AB153)),IFERROR(AB258/AB153,""),"")</f>
        <v>0.44002358710158</v>
      </c>
      <c r="AC265" s="282">
        <f>IF(AND(ISNUMBER(AC258),ISNUMBER(AC153)),IFERROR(AC258/AC153,""),"")</f>
        <v>5.05329949238579</v>
      </c>
      <c r="AD265" s="282">
        <f>IF(AND(ISNUMBER(AD258),ISNUMBER(AD153)),IFERROR(AD258/AD153,""),"")</f>
        <v>0.880839685271699</v>
      </c>
      <c r="AE265" s="282">
        <f>IF(AND(ISNUMBER(AE258),ISNUMBER(AE153)),IFERROR(AE258/AE153,""),"")</f>
        <v>1.89504029758215</v>
      </c>
      <c r="AF265" s="282">
        <f>IF(AND(ISNUMBER(AF258),ISNUMBER(AF153)),IFERROR(AF258/AF153,""),"")</f>
        <v>2.07416832174777</v>
      </c>
      <c r="AG265" s="282">
        <f>IF(AND(ISNUMBER(AG258),ISNUMBER(AG153)),IFERROR(AG258/AG153,""),"")</f>
        <v>1.53881049964021</v>
      </c>
      <c r="AH265" s="282">
        <f>IF(AND(ISNUMBER(AH258),ISNUMBER(AH153)),IFERROR(AH258/AH153,""),"")</f>
        <v>6.38288106683207</v>
      </c>
      <c r="AI265" s="282">
        <f>IF(AND(ISNUMBER(AI258),ISNUMBER(AI153)),IFERROR(AI258/AI153,""),"")</f>
        <v>0.783657045087291</v>
      </c>
      <c r="AJ265" s="282">
        <f>IF(AND(ISNUMBER(AJ258),ISNUMBER(AJ153)),IFERROR(AJ258/AJ153,""),"")</f>
        <v>1.34715654952077</v>
      </c>
      <c r="AK265" s="282">
        <f>IF(AND(ISNUMBER(AK258),ISNUMBER(AK153)),IFERROR(AK258/AK153,""),"")</f>
        <v>2.30961779147011</v>
      </c>
      <c r="AL265" s="282">
        <f>IF(AND(ISNUMBER(AL258),ISNUMBER(AL153)),IFERROR(AL258/AL153,""),"")</f>
        <v>1.72249364862224</v>
      </c>
      <c r="AM265" s="282">
        <f>IF(AND(ISNUMBER(AM258),ISNUMBER(AM153)),IFERROR(AM258/AM153,""),"")</f>
        <v>6.14987171263631</v>
      </c>
      <c r="AN265" s="282">
        <f>IF(AND(ISNUMBER(AN258),ISNUMBER(AN153)),IFERROR(AN258/AN153,""),"")</f>
        <v>1.39711893459916</v>
      </c>
      <c r="AO265" s="282">
        <f>IF(AND(ISNUMBER(AO258),ISNUMBER(AO153)),IFERROR(AO258/AO153,""),"")</f>
        <v>1.44152153078423</v>
      </c>
      <c r="AP265" s="282">
        <f>IF(AND(ISNUMBER(AP258),ISNUMBER(AP153)),IFERROR(AP258/AP153,""),"")</f>
        <v>2.00594216294731</v>
      </c>
      <c r="AQ265" s="282">
        <f>IF(AND(ISNUMBER(AQ258),ISNUMBER(AQ153)),IFERROR(AQ258/AQ153,""),"")</f>
        <v>2.95817101353582</v>
      </c>
      <c r="AR265" s="282">
        <f>IF(AND(ISNUMBER(AR258),ISNUMBER(AR153)),IFERROR(AR258/AR153,""),"")</f>
        <v>7.8025021456394</v>
      </c>
      <c r="AS265" s="282">
        <f>IF(AND(ISNUMBER(AS258),ISNUMBER(AS153)),IFERROR(AS258/AS153,""),"")</f>
        <v>1.78544201001028</v>
      </c>
      <c r="AT265" s="282">
        <f>IF(AND(ISNUMBER(AT258),ISNUMBER(AT153)),IFERROR(AT258/AT153,""),"")</f>
        <v>1.82851425712856</v>
      </c>
      <c r="AU265" s="282">
        <f>IF(AND(ISNUMBER(AU258),ISNUMBER(AU153)),IFERROR(AU258/AU153,""),"")</f>
        <v>3.3271920387305</v>
      </c>
      <c r="AV265" s="282">
        <f>IF(AND(ISNUMBER(AV258),ISNUMBER(AV153)),IFERROR(AV258/AV153,""),"")</f>
        <v>4.53424060604029</v>
      </c>
      <c r="AW265" s="282">
        <f>IF(AND(ISNUMBER(AW258),ISNUMBER(AW153)),IFERROR(AW258/AW153,""),"")</f>
        <v>11.4568689028465</v>
      </c>
      <c r="AX265" s="282">
        <f>IF(AND(ISNUMBER(AX258),ISNUMBER(AX153)),IFERROR(AX258/AX153,""),"")</f>
        <v>2.51441807378563</v>
      </c>
      <c r="AY265" s="282">
        <f>IF(AND(ISNUMBER(AY258),ISNUMBER(AY153)),IFERROR(AY258/AY153,""),"")</f>
        <v>5.15891774745183</v>
      </c>
      <c r="AZ265" s="282">
        <f>IF(AND(ISNUMBER(AZ258),ISNUMBER(AZ153)),IFERROR(AZ258/AZ153,""),"")</f>
        <v>3.39167665696181</v>
      </c>
      <c r="BA265" s="282">
        <f>IF(AND(ISNUMBER(BA258),ISNUMBER(BA153)),IFERROR(BA258/BA153,""),"")</f>
        <v>3.15369247485192</v>
      </c>
      <c r="BB265" s="282">
        <f>IF(AND(ISNUMBER(BB258),ISNUMBER(BB153)),IFERROR(BB258/BB153,""),"")</f>
        <v>14.2258373205742</v>
      </c>
      <c r="BC265" s="282">
        <f>IF(AND(ISNUMBER(BC258),ISNUMBER(BC153)),IFERROR(BC258/BC153,""),"")</f>
        <v>4.50465048684784</v>
      </c>
      <c r="BD265" s="282">
        <f>IF(AND(ISNUMBER(BD258),ISNUMBER(BD153)),IFERROR(BD258/BD153,""),"")</f>
        <v>4.54960069641573</v>
      </c>
      <c r="BE265" s="282">
        <f>IF(AND(ISNUMBER(BE258),ISNUMBER(BE153)),IFERROR(BE258/BE153,""),"")</f>
        <v>4.45358951559903</v>
      </c>
      <c r="BF265" s="282">
        <f>IF(AND(ISNUMBER(BF258),ISNUMBER(BF153)),IFERROR(BF258/BF153,""),"")</f>
        <v>5.63207288937551</v>
      </c>
      <c r="BG265" s="282">
        <f>IF(AND(ISNUMBER(BG258),ISNUMBER(BG153)),IFERROR(BG258/BG153,""),"")</f>
        <v>19.1073366986754</v>
      </c>
      <c r="BH265" s="282">
        <f>IF(AND(ISNUMBER(BH258),ISNUMBER(BH153)),IFERROR(BH258/BH153,""),"")</f>
        <v>3.599811343002</v>
      </c>
      <c r="BI265" s="282">
        <f>IF(AND(ISNUMBER(BI258),ISNUMBER(BI153)),IFERROR(BI258/BI153,""),"")</f>
        <v>3.47287462134624</v>
      </c>
      <c r="BJ265" s="282">
        <f>IF(AND(ISNUMBER(BJ258),ISNUMBER(BJ153)),IFERROR(BJ258/BJ153,""),"")</f>
        <v>4.80838299719777</v>
      </c>
      <c r="BK265" s="282">
        <f>IF(AND(ISNUMBER(BK258),ISNUMBER(BK153)),IFERROR(BK258/BK153,""),"")</f>
        <v>6.4488188976378</v>
      </c>
      <c r="BL265" s="282">
        <f>IF(AND(ISNUMBER(BL258),ISNUMBER(BL153)),IFERROR(BL258/BL153,""),"")</f>
        <v>18.3182086963378</v>
      </c>
      <c r="BM265" s="282">
        <f>IF(AND(ISNUMBER(BM258),ISNUMBER(BM153)),IFERROR(BM258/BM153,""),"")</f>
        <v>4.78841349775963</v>
      </c>
      <c r="BN265" s="282">
        <f>IF(AND(ISNUMBER(BN258),ISNUMBER(BN153)),IFERROR(BN258/BN153,""),"")</f>
        <v>2.449431501948</v>
      </c>
      <c r="BO265" s="282">
        <f>IF(AND(ISNUMBER(BO258),ISNUMBER(BO153)),IFERROR(BO258/BO153,""),"")</f>
        <v>8.22250649610234</v>
      </c>
      <c r="BP265" s="282">
        <f>IF(AND(ISNUMBER(BP258),ISNUMBER(BP153)),IFERROR(BP258/BP153,""),"")</f>
        <v>8.79178356713427</v>
      </c>
      <c r="BQ265" s="282">
        <f>IF(AND(ISNUMBER(BQ258),ISNUMBER(BQ153)),IFERROR(BQ258/BQ153,""),"")</f>
        <v>24.2199848478807</v>
      </c>
      <c r="BR265" s="282">
        <f>IF(AND(ISNUMBER(BR258),ISNUMBER(BR153)),IFERROR(BR258/BR153,""),"")</f>
        <v>7.52511378740887</v>
      </c>
      <c r="BS265" s="282">
        <f>IF(AND(ISNUMBER(BS258),ISNUMBER(BS153)),IFERROR(BS258/BS153,""),"")</f>
        <v>2.65306866518129</v>
      </c>
      <c r="BT265" s="282">
        <f>IF(AND(ISNUMBER(BT258),ISNUMBER(BT153)),IFERROR(BT258/BT153,""),"")</f>
        <v>11.2406510681587</v>
      </c>
      <c r="BU265" s="282">
        <f>IF(AND(ISNUMBER(BU258),ISNUMBER(BU153)),IFERROR(BU258/BU153,""),"")</f>
        <v>8.72698675496689</v>
      </c>
      <c r="BV265" s="282">
        <f>IF(AND(ISNUMBER(BV258),ISNUMBER(BV153)),IFERROR(BV258/BV153,""),"")</f>
        <v>30.1046374333293</v>
      </c>
      <c r="BW265" s="282">
        <f>IF(AND(ISNUMBER(BW258),ISNUMBER(BW153)),IFERROR(BW258/BW153,""),"")</f>
        <v>6.90274647299441</v>
      </c>
      <c r="BX265" s="282">
        <f>IF(AND(ISNUMBER(BX258),ISNUMBER(BX153)),IFERROR(BX258/BX153,""),"")</f>
        <v>9.02459154455112</v>
      </c>
      <c r="BY265" s="282">
        <f>IF(AND(ISNUMBER(BY258),ISNUMBER(BY153)),IFERROR(BY258/BY153,""),"")</f>
        <v>16.3124697176585</v>
      </c>
      <c r="BZ265" s="35" t="n"/>
      <c r="CA265" s="276">
        <f>IF(AND(ISNUMBER(CA258),ISNUMBER(CA153)),IFERROR(CA258/CA153,""),"")</f>
        <v>43.7173166555814</v>
      </c>
      <c r="CB265" s="276">
        <f>IF(AND(ISNUMBER(CB258),ISNUMBER(CB153)),IFERROR(CB258/CB153,""),"")</f>
        <v>54.5521148314342</v>
      </c>
      <c r="CC265" s="276">
        <f>IF(AND(ISNUMBER(CC258),ISNUMBER(CC153)),IFERROR(CC258/CC153,""),"")</f>
        <v>67.6661006035669</v>
      </c>
      <c r="CD265" s="276">
        <f>IF(AND(ISNUMBER(CD258),ISNUMBER(CD153)),IFERROR(CD258/CD153,""),"")</f>
        <v>81.6575697195965</v>
      </c>
      <c r="CE265" s="276">
        <f>IF(AND(ISNUMBER(CE258),ISNUMBER(CE153)),IFERROR(CE258/CE153,""),"")</f>
        <v>99.7572326210936</v>
      </c>
      <c r="CF265" s="276">
        <f>IF(AND(ISNUMBER(CF258),ISNUMBER(CF153)),IFERROR(CF258/CF153,""),"")</f>
        <v>122.499679203458</v>
      </c>
      <c r="CG265" s="19" t="n"/>
    </row>
    <row r="266" ht="15" customHeight="1" s="251">
      <c r="B266" s="25" t="inlineStr">
        <is>
          <t xml:space="preserve">  FCF / adjusted EBITDA %</t>
        </is>
      </c>
      <c r="C266" s="215">
        <f>IF(AND(ISNUMBER(C258),ISNUMBER(C183)),IFERROR(C258/C183,""),"")</f>
        <v>0.637230342310836</v>
      </c>
      <c r="D266" s="215">
        <f>IF(AND(ISNUMBER(D258),ISNUMBER(D183)),IFERROR(D258/D183,""),"")</f>
        <v>0.661988997037664</v>
      </c>
      <c r="E266" s="215">
        <f>IF(AND(ISNUMBER(E258),ISNUMBER(E183)),IFERROR(E258/E183,""),"")</f>
        <v>0.675393240619676</v>
      </c>
      <c r="F266" s="215">
        <f>IF(AND(ISNUMBER(F258),ISNUMBER(F183)),IFERROR(F258/F183,""),"")</f>
        <v>0.730790054779396</v>
      </c>
      <c r="G266" s="215">
        <f>IF(AND(ISNUMBER(G258),ISNUMBER(G183)),IFERROR(G258/G183,""),"")</f>
        <v>0.536681249240491</v>
      </c>
      <c r="H266" s="215">
        <f>IF(AND(ISNUMBER(H258),ISNUMBER(H183)),IFERROR(H258/H183,""),"")</f>
        <v>0.679609381520742</v>
      </c>
      <c r="I266" s="215">
        <f>IF(AND(ISNUMBER(I258),ISNUMBER(I183)),IFERROR(I258/I183,""),"")</f>
        <v>0.48367762556654</v>
      </c>
      <c r="J266" s="215">
        <f>IF(AND(ISNUMBER(J258),ISNUMBER(J183)),IFERROR(J258/J183,""),"")</f>
        <v>0.32863857590506</v>
      </c>
      <c r="K266" s="215">
        <f>IF(AND(ISNUMBER(K258),ISNUMBER(K183)),IFERROR(K258/K183,""),"")</f>
        <v>0.667567455203094</v>
      </c>
      <c r="L266" s="215">
        <f>IF(AND(ISNUMBER(L258),ISNUMBER(L183)),IFERROR(L258/L183,""),"")</f>
        <v>0.540764133762158</v>
      </c>
      <c r="M266" s="215">
        <f>IF(AND(ISNUMBER(M258),ISNUMBER(M183)),IFERROR(M258/M183,""),"")</f>
        <v>0.495518487201168</v>
      </c>
      <c r="N266" s="215">
        <f>IF(AND(ISNUMBER(N258),ISNUMBER(N183)),IFERROR(N258/N183,""),"")</f>
        <v>0.498186963040741</v>
      </c>
      <c r="O266" s="215">
        <f>IF(AND(ISNUMBER(O258),ISNUMBER(O183)),IFERROR(O258/O183,""),"")</f>
        <v>0.491352981956493</v>
      </c>
      <c r="P266" s="215">
        <f>IF(AND(ISNUMBER(P258),ISNUMBER(P183)),IFERROR(P258/P183,""),"")</f>
        <v>0.806175608697225</v>
      </c>
      <c r="Q266" s="215">
        <f>IF(AND(ISNUMBER(Q258),ISNUMBER(Q183)),IFERROR(Q258/Q183,""),"")</f>
        <v>0.467262440993117</v>
      </c>
      <c r="R266" s="215">
        <f>IF(AND(ISNUMBER(R258),ISNUMBER(R183)),IFERROR(R258/R183,""),"")</f>
        <v>0.928221352805752</v>
      </c>
      <c r="S266" s="215">
        <f>IF(AND(ISNUMBER(S258),ISNUMBER(S183)),IFERROR(S258/S183,""),"")</f>
        <v>0.691380513798328</v>
      </c>
      <c r="T266" s="215">
        <f>IF(AND(ISNUMBER(T258),ISNUMBER(T183)),IFERROR(T258/T183,""),"")</f>
        <v>-0.101508366721659</v>
      </c>
      <c r="U266" s="215">
        <f>IF(AND(ISNUMBER(U258),ISNUMBER(U183)),IFERROR(U258/U183,""),"")</f>
        <v>0.685188923347953</v>
      </c>
      <c r="V266" s="215">
        <f>IF(AND(ISNUMBER(V258),ISNUMBER(V183)),IFERROR(V258/V183,""),"")</f>
        <v>0.572717483521504</v>
      </c>
      <c r="W266" s="215">
        <f>IF(AND(ISNUMBER(W258),ISNUMBER(W183)),IFERROR(W258/W183,""),"")</f>
        <v>0.513374220481369</v>
      </c>
      <c r="X266" s="215">
        <f>IF(AND(ISNUMBER(X258),ISNUMBER(X183)),IFERROR(X258/X183,""),"")</f>
        <v>0.457869539959377</v>
      </c>
      <c r="Y266" s="215">
        <f>IF(AND(ISNUMBER(Y258),ISNUMBER(Y183)),IFERROR(Y258/Y183,""),"")</f>
        <v>0.688740715411941</v>
      </c>
      <c r="Z266" s="215">
        <f>IF(AND(ISNUMBER(Z258),ISNUMBER(Z183)),IFERROR(Z258/Z183,""),"")</f>
        <v>0.568340908336927</v>
      </c>
      <c r="AA266" s="215">
        <f>IF(AND(ISNUMBER(AA258),ISNUMBER(AA183)),IFERROR(AA258/AA183,""),"")</f>
        <v>1.0016701940485</v>
      </c>
      <c r="AB266" s="215">
        <f>IF(AND(ISNUMBER(AB258),ISNUMBER(AB183)),IFERROR(AB258/AB183,""),"")</f>
        <v>0.211665646507323</v>
      </c>
      <c r="AC266" s="215">
        <f>IF(AND(ISNUMBER(AC258),ISNUMBER(AC183)),IFERROR(AC258/AC183,""),"")</f>
        <v>0.631955841823305</v>
      </c>
      <c r="AD266" s="215">
        <f>IF(AND(ISNUMBER(AD258),ISNUMBER(AD183)),IFERROR(AD258/AD183,""),"")</f>
        <v>0.490702691596466</v>
      </c>
      <c r="AE266" s="215">
        <f>IF(AND(ISNUMBER(AE258),ISNUMBER(AE183)),IFERROR(AE258/AE183,""),"")</f>
        <v>0.961165964404755</v>
      </c>
      <c r="AF266" s="215">
        <f>IF(AND(ISNUMBER(AF258),ISNUMBER(AF183)),IFERROR(AF258/AF183,""),"")</f>
        <v>0.955360843898744</v>
      </c>
      <c r="AG266" s="215">
        <f>IF(AND(ISNUMBER(AG258),ISNUMBER(AG183)),IFERROR(AG258/AG183,""),"")</f>
        <v>0.565007122179846</v>
      </c>
      <c r="AH266" s="215">
        <f>IF(AND(ISNUMBER(AH258),ISNUMBER(AH183)),IFERROR(AH258/AH183,""),"")</f>
        <v>0.737636235265446</v>
      </c>
      <c r="AI266" s="215">
        <f>IF(AND(ISNUMBER(AI258),ISNUMBER(AI183)),IFERROR(AI258/AI183,""),"")</f>
        <v>0.382520337777228</v>
      </c>
      <c r="AJ266" s="215">
        <f>IF(AND(ISNUMBER(AJ258),ISNUMBER(AJ183)),IFERROR(AJ258/AJ183,""),"")</f>
        <v>0.565827082298949</v>
      </c>
      <c r="AK266" s="215">
        <f>IF(AND(ISNUMBER(AK258),ISNUMBER(AK183)),IFERROR(AK258/AK183,""),"")</f>
        <v>0.945965484155045</v>
      </c>
      <c r="AL266" s="215">
        <f>IF(AND(ISNUMBER(AL258),ISNUMBER(AL183)),IFERROR(AL258/AL183,""),"")</f>
        <v>0.53386904641725</v>
      </c>
      <c r="AM266" s="215">
        <f>IF(AND(ISNUMBER(AM258),ISNUMBER(AM183)),IFERROR(AM258/AM183,""),"")</f>
        <v>0.61006245287401</v>
      </c>
      <c r="AN266" s="215">
        <f>IF(AND(ISNUMBER(AN258),ISNUMBER(AN183)),IFERROR(AN258/AN183,""),"")</f>
        <v>0.552920303184481</v>
      </c>
      <c r="AO266" s="215">
        <f>IF(AND(ISNUMBER(AO258),ISNUMBER(AO183)),IFERROR(AO258/AO183,""),"")</f>
        <v>0.557196326149994</v>
      </c>
      <c r="AP266" s="215">
        <f>IF(AND(ISNUMBER(AP258),ISNUMBER(AP183)),IFERROR(AP258/AP183,""),"")</f>
        <v>0.525149514294604</v>
      </c>
      <c r="AQ266" s="215">
        <f>IF(AND(ISNUMBER(AQ258),ISNUMBER(AQ183)),IFERROR(AQ258/AQ183,""),"")</f>
        <v>0.898140630481632</v>
      </c>
      <c r="AR266" s="215">
        <f>IF(AND(ISNUMBER(AR258),ISNUMBER(AR183)),IFERROR(AR258/AR183,""),"")</f>
        <v>0.638129743067798</v>
      </c>
      <c r="AS266" s="215">
        <f>IF(AND(ISNUMBER(AS258),ISNUMBER(AS183)),IFERROR(AS258/AS183,""),"")</f>
        <v>0.628031433634922</v>
      </c>
      <c r="AT266" s="215">
        <f>IF(AND(ISNUMBER(AT258),ISNUMBER(AT183)),IFERROR(AT258/AT183,""),"")</f>
        <v>0.526256178912511</v>
      </c>
      <c r="AU266" s="215">
        <f>IF(AND(ISNUMBER(AU258),ISNUMBER(AU183)),IFERROR(AU258/AU183,""),"")</f>
        <v>0.840751344417165</v>
      </c>
      <c r="AV266" s="215">
        <f>IF(AND(ISNUMBER(AV258),ISNUMBER(AV183)),IFERROR(AV258/AV183,""),"")</f>
        <v>0.842320912623294</v>
      </c>
      <c r="AW266" s="215">
        <f>IF(AND(ISNUMBER(AW258),ISNUMBER(AW183)),IFERROR(AW258/AW183,""),"")</f>
        <v>0.732352526620168</v>
      </c>
      <c r="AX266" s="215">
        <f>IF(AND(ISNUMBER(AX258),ISNUMBER(AX183)),IFERROR(AX258/AX183,""),"")</f>
        <v>0.611819481315091</v>
      </c>
      <c r="AY266" s="215">
        <f>IF(AND(ISNUMBER(AY258),ISNUMBER(AY183)),IFERROR(AY258/AY183,""),"")</f>
        <v>1.11489374158422</v>
      </c>
      <c r="AZ266" s="215">
        <f>IF(AND(ISNUMBER(AZ258),ISNUMBER(AZ183)),IFERROR(AZ258/AZ183,""),"")</f>
        <v>0.696191406936603</v>
      </c>
      <c r="BA266" s="215">
        <f>IF(AND(ISNUMBER(BA258),ISNUMBER(BA183)),IFERROR(BA258/BA183,""),"")</f>
        <v>0.570213628902958</v>
      </c>
      <c r="BB266" s="215">
        <f>IF(AND(ISNUMBER(BB258),ISNUMBER(BB183)),IFERROR(BB258/BB183,""),"")</f>
        <v>0.744495180656089</v>
      </c>
      <c r="BC266" s="215">
        <f>IF(AND(ISNUMBER(BC258),ISNUMBER(BC183)),IFERROR(BC258/BC183,""),"")</f>
        <v>0.815053904811991</v>
      </c>
      <c r="BD266" s="215">
        <f>IF(AND(ISNUMBER(BD258),ISNUMBER(BD183)),IFERROR(BD258/BD183,""),"")</f>
        <v>0.656639043815996</v>
      </c>
      <c r="BE266" s="215">
        <f>IF(AND(ISNUMBER(BE258),ISNUMBER(BE183)),IFERROR(BE258/BE183,""),"")</f>
        <v>0.664645438967962</v>
      </c>
      <c r="BF266" s="215">
        <f>IF(AND(ISNUMBER(BF258),ISNUMBER(BF183)),IFERROR(BF258/BF183,""),"")</f>
        <v>0.859423109053154</v>
      </c>
      <c r="BG266" s="215">
        <f>IF(AND(ISNUMBER(BG258),ISNUMBER(BG183)),IFERROR(BG258/BG183,""),"")</f>
        <v>0.744599879307081</v>
      </c>
      <c r="BH266" s="215">
        <f>IF(AND(ISNUMBER(BH258),ISNUMBER(BH183)),IFERROR(BH258/BH183,""),"")</f>
        <v>0.530206548418469</v>
      </c>
      <c r="BI266" s="215">
        <f>IF(AND(ISNUMBER(BI258),ISNUMBER(BI183)),IFERROR(BI258/BI183,""),"")</f>
        <v>0.458741484048994</v>
      </c>
      <c r="BJ266" s="215">
        <f>IF(AND(ISNUMBER(BJ258),ISNUMBER(BJ183)),IFERROR(BJ258/BJ183,""),"")</f>
        <v>0.557128158225677</v>
      </c>
      <c r="BK266" s="215">
        <f>IF(AND(ISNUMBER(BK258),ISNUMBER(BK183)),IFERROR(BK258/BK183,""),"")</f>
        <v>0.807388215711724</v>
      </c>
      <c r="BL266" s="215">
        <f>IF(AND(ISNUMBER(BL258),ISNUMBER(BL183)),IFERROR(BL258/BL183,""),"")</f>
        <v>0.591408578694029</v>
      </c>
      <c r="BM266" s="215">
        <f>IF(AND(ISNUMBER(BM258),ISNUMBER(BM183)),IFERROR(BM258/BM183,""),"")</f>
        <v>0.638429817605075</v>
      </c>
      <c r="BN266" s="215">
        <f>IF(AND(ISNUMBER(BN258),ISNUMBER(BN183)),IFERROR(BN258/BN183,""),"")</f>
        <v>0.25928232665205</v>
      </c>
      <c r="BO266" s="215">
        <f>IF(AND(ISNUMBER(BO258),ISNUMBER(BO183)),IFERROR(BO258/BO183,""),"")</f>
        <v>0.85540329791437</v>
      </c>
      <c r="BP266" s="215">
        <f>IF(AND(ISNUMBER(BP258),ISNUMBER(BP183)),IFERROR(BP258/BP183,""),"")</f>
        <v>0.900121052955539</v>
      </c>
      <c r="BQ266" s="215">
        <f>IF(AND(ISNUMBER(BQ258),ISNUMBER(BQ183)),IFERROR(BQ258/BQ183,""),"")</f>
        <v>0.666806084777189</v>
      </c>
      <c r="BR266" s="215">
        <f>IF(AND(ISNUMBER(BR258),ISNUMBER(BR183)),IFERROR(BR258/BR183,""),"")</f>
        <v>0.83476761123473</v>
      </c>
      <c r="BS266" s="215">
        <f>IF(AND(ISNUMBER(BS258),ISNUMBER(BS183)),IFERROR(BS258/BS183,""),"")</f>
        <v>0.226210912808751</v>
      </c>
      <c r="BT266" s="215">
        <f>IF(AND(ISNUMBER(BT258),ISNUMBER(BT183)),IFERROR(BT258/BT183,""),"")</f>
        <v>0.874724905874269</v>
      </c>
      <c r="BU266" s="215">
        <f>IF(AND(ISNUMBER(BU258),ISNUMBER(BU183)),IFERROR(BU258/BU183,""),"")</f>
        <v>0.727894139051243</v>
      </c>
      <c r="BV266" s="215">
        <f>IF(AND(ISNUMBER(BV258),ISNUMBER(BV183)),IFERROR(BV258/BV183,""),"")</f>
        <v>0.660896706510557</v>
      </c>
      <c r="BW266" s="215">
        <f>IF(AND(ISNUMBER(BW258),ISNUMBER(BW183)),IFERROR(BW258/BW183,""),"")</f>
        <v>0.585976337860486</v>
      </c>
      <c r="BX266" s="215">
        <f>IF(AND(ISNUMBER(BX258),ISNUMBER(BX183)),IFERROR(BX258/BX183,""),"")</f>
        <v>0.476463186351449</v>
      </c>
      <c r="BY266" s="215">
        <f>IF(AND(ISNUMBER(BY258),ISNUMBER(BY183)),IFERROR(BY258/BY183,""),"")</f>
        <v>0.859092754329192</v>
      </c>
      <c r="BZ266" s="24" t="n"/>
      <c r="CA266" s="256">
        <f>IF(AND(ISNUMBER(CA258),ISNUMBER(CA183)),IFERROR(CA258/CA183,""),"")</f>
        <v>0.648421934086081</v>
      </c>
      <c r="CB266" s="256">
        <f>IF(AND(ISNUMBER(CB258),ISNUMBER(CB183)),IFERROR(CB258/CB183,""),"")</f>
        <v>0.623679381229179</v>
      </c>
      <c r="CC266" s="256">
        <f>IF(AND(ISNUMBER(CC258),ISNUMBER(CC183)),IFERROR(CC258/CC183,""),"")</f>
        <v>0.639343579554173</v>
      </c>
      <c r="CD266" s="256">
        <f>IF(AND(ISNUMBER(CD258),ISNUMBER(CD183)),IFERROR(CD258/CD183,""),"")</f>
        <v>0.627641891456263</v>
      </c>
      <c r="CE266" s="256">
        <f>IF(AND(ISNUMBER(CE258),ISNUMBER(CE183)),IFERROR(CE258/CE183,""),"")</f>
        <v>0.626173369487812</v>
      </c>
      <c r="CF266" s="256">
        <f>IF(AND(ISNUMBER(CF258),ISNUMBER(CF183)),IFERROR(CF258/CF183,""),"")</f>
        <v>0.625425997315877</v>
      </c>
      <c r="CG266" s="153" t="n"/>
      <c r="CI266" s="37">
        <f>IFERROR(AVERAGE(CB266,CC266,CD266,CE266,CF266),"n/m")</f>
        <v>0.628452843808661</v>
      </c>
      <c r="CJ266" s="37">
        <f>IFERROR(AVERAGE(BB266,BG266,BL266,BQ266,BV266),"n/m")</f>
        <v>0.681641285988989</v>
      </c>
      <c r="CK266" s="37">
        <f>IFERROR(AVERAGE(AC266,AH266,AM266,AR266,AW266,BB266,BG266,BL266,BQ266,BV266),"n/m")</f>
        <v>0.675834322959567</v>
      </c>
      <c r="CL266" s="37">
        <f>IFERROR(AVERAGE(C266,D266,E266,F266,G266,H266,I266,N266,S266,X266,AC266,AH266,AM266,AR266,AW266,BB266,BG266,BL266,BQ266,BV266),"n/m")</f>
        <v>0.640557556873473</v>
      </c>
    </row>
    <row r="267" ht="15" customHeight="1" s="251">
      <c r="B267" s="25" t="inlineStr">
        <is>
          <t>Capex ratios</t>
        </is>
      </c>
      <c r="CG267" s="153" t="n"/>
    </row>
    <row r="268" ht="15" customHeight="1" s="251">
      <c r="B268" s="25" t="inlineStr">
        <is>
          <t xml:space="preserve">  Capital expenditures incl. capitalized software (USDm)</t>
        </is>
      </c>
      <c r="C268" s="262">
        <f>IF(ISNUMBER(C238),C238+N(C239),"")</f>
        <v>-31.409</v>
      </c>
      <c r="D268" s="262">
        <f>IF(ISNUMBER(D238),D238+N(D239),"")</f>
        <v>-22.735</v>
      </c>
      <c r="E268" s="262">
        <f>IF(ISNUMBER(E238),E238+N(E239),"")</f>
        <v>-22.78</v>
      </c>
      <c r="F268" s="262">
        <f>IF(ISNUMBER(F238),F238+N(F239),"")</f>
        <v>-13.958</v>
      </c>
      <c r="G268" s="262">
        <f>IF(ISNUMBER(G238),G238+N(G239),"")</f>
        <v>-17.453</v>
      </c>
      <c r="H268" s="262">
        <f>IF(ISNUMBER(H238),H238+N(H239),"")</f>
        <v>-14.02</v>
      </c>
      <c r="I268" s="262">
        <f>IF(ISNUMBER(I238),I238+N(I239),"")</f>
        <v>-25.483</v>
      </c>
      <c r="J268" s="262">
        <f>IF(ISNUMBER(J238),J238+N(J239),"")</f>
        <v>-9.012</v>
      </c>
      <c r="K268" s="262">
        <f>IF(ISNUMBER(K238),K238+N(K239),"")</f>
        <v>-8.111</v>
      </c>
      <c r="L268" s="262">
        <f>IF(ISNUMBER(L238),L238+N(L239),"")</f>
        <v>-3.312</v>
      </c>
      <c r="M268" s="262">
        <f>IF(ISNUMBER(M238),M238+N(M239),"")</f>
        <v>-3.712</v>
      </c>
      <c r="N268" s="262">
        <f>IF(ISNUMBER(N238),N238+N(N239),"")</f>
        <v>-24.147</v>
      </c>
      <c r="O268" s="262">
        <f>IF(ISNUMBER(O238),O238+N(O239),"")</f>
        <v>-2.154</v>
      </c>
      <c r="P268" s="262">
        <f>IF(ISNUMBER(P238),P238+N(P239),"")</f>
        <v>-2.142</v>
      </c>
      <c r="Q268" s="262">
        <f>IF(ISNUMBER(Q238),Q238+N(Q239),"")</f>
        <v>-2.792</v>
      </c>
      <c r="R268" s="262">
        <f>IF(ISNUMBER(R238),R238+N(R239),"")</f>
        <v>-5.502</v>
      </c>
      <c r="S268" s="262">
        <f>IF(ISNUMBER(S238),S238+N(S239),"")</f>
        <v>-12.59</v>
      </c>
      <c r="T268" s="262">
        <f>IF(ISNUMBER(T238),T238+N(T239),"")</f>
        <v>-5.667</v>
      </c>
      <c r="U268" s="262">
        <f>IF(ISNUMBER(U238),U238+N(U239),"")</f>
        <v>-4.584</v>
      </c>
      <c r="V268" s="262">
        <f>IF(ISNUMBER(V238),V238+N(V239),"")</f>
        <v>-8.015</v>
      </c>
      <c r="W268" s="262">
        <f>IF(ISNUMBER(W238),W238+N(W239),"")</f>
        <v>-6.733</v>
      </c>
      <c r="X268" s="262">
        <f>IF(ISNUMBER(X238),X238+N(X239),"")</f>
        <v>-24.999</v>
      </c>
      <c r="Y268" s="262">
        <f>IF(ISNUMBER(Y238),Y238+N(Y239),"")</f>
        <v>-4.294</v>
      </c>
      <c r="Z268" s="262">
        <f>IF(ISNUMBER(Z238),Z238+N(Z239),"")</f>
        <v>-3.513</v>
      </c>
      <c r="AA268" s="262">
        <f>IF(ISNUMBER(AA238),AA238+N(AA239),"")</f>
        <v>-4.734</v>
      </c>
      <c r="AB268" s="262">
        <f>IF(ISNUMBER(AB238),AB238+N(AB239),"")</f>
        <v>-9.428</v>
      </c>
      <c r="AC268" s="262">
        <f>IF(ISNUMBER(AC238),AC238+N(AC239),"")</f>
        <v>-21.969</v>
      </c>
      <c r="AD268" s="262">
        <f>IF(ISNUMBER(AD238),AD238+N(AD239),"")</f>
        <v>-4.319</v>
      </c>
      <c r="AE268" s="262">
        <f>IF(ISNUMBER(AE238),AE238+N(AE239),"")</f>
        <v>-5.285</v>
      </c>
      <c r="AF268" s="262">
        <f>IF(ISNUMBER(AF238),AF238+N(AF239),"")</f>
        <v>-5.188</v>
      </c>
      <c r="AG268" s="262">
        <f>IF(ISNUMBER(AG238),AG238+N(AG239),"")</f>
        <v>-5.036</v>
      </c>
      <c r="AH268" s="262">
        <f>IF(ISNUMBER(AH238),AH238+N(AH239),"")</f>
        <v>-19.828</v>
      </c>
      <c r="AI268" s="262">
        <f>IF(ISNUMBER(AI238),AI238+N(AI239),"")</f>
        <v>-4.044</v>
      </c>
      <c r="AJ268" s="262">
        <f>IF(ISNUMBER(AJ238),AJ238+N(AJ239),"")</f>
        <v>-7.067</v>
      </c>
      <c r="AK268" s="262">
        <f>IF(ISNUMBER(AK238),AK238+N(AK239),"")</f>
        <v>-13.109</v>
      </c>
      <c r="AL268" s="262">
        <f>IF(ISNUMBER(AL238),AL238+N(AL239),"")</f>
        <v>-7.079</v>
      </c>
      <c r="AM268" s="262">
        <f>IF(ISNUMBER(AM238),AM238+N(AM239),"")</f>
        <v>-31.299</v>
      </c>
      <c r="AN268" s="262">
        <f>IF(ISNUMBER(AN238),AN238+N(AN239),"")</f>
        <v>-6.474</v>
      </c>
      <c r="AO268" s="262">
        <f>IF(ISNUMBER(AO238),AO238+N(AO239),"")</f>
        <v>-4.17</v>
      </c>
      <c r="AP268" s="262">
        <f>IF(ISNUMBER(AP238),AP238+N(AP239),"")</f>
        <v>-7.526</v>
      </c>
      <c r="AQ268" s="262">
        <f>IF(ISNUMBER(AQ238),AQ238+N(AQ239),"")</f>
        <v>-5.811</v>
      </c>
      <c r="AR268" s="262">
        <f>IF(ISNUMBER(AR238),AR238+N(AR239),"")</f>
        <v>-23.981</v>
      </c>
      <c r="AS268" s="262">
        <f>IF(ISNUMBER(AS238),AS238+N(AS239),"")</f>
        <v>-6.5</v>
      </c>
      <c r="AT268" s="262">
        <f>IF(ISNUMBER(AT238),AT238+N(AT239),"")</f>
        <v>-6.666</v>
      </c>
      <c r="AU268" s="262">
        <f>IF(ISNUMBER(AU238),AU238+N(AU239),"")</f>
        <v>-7.907</v>
      </c>
      <c r="AV268" s="262">
        <f>IF(ISNUMBER(AV238),AV238+N(AV239),"")</f>
        <v>-0.916</v>
      </c>
      <c r="AW268" s="262">
        <f>IF(ISNUMBER(AW238),AW238+N(AW239),"")</f>
        <v>-21.989</v>
      </c>
      <c r="AX268" s="262">
        <f>IF(ISNUMBER(AX238),AX238+N(AX239),"")</f>
        <v>-3.045</v>
      </c>
      <c r="AY268" s="262">
        <f>IF(ISNUMBER(AY238),AY238+N(AY239),"")</f>
        <v>-1.175</v>
      </c>
      <c r="AZ268" s="262">
        <f>IF(ISNUMBER(AZ238),AZ238+N(AZ239),"")</f>
        <v>-1.572</v>
      </c>
      <c r="BA268" s="262">
        <f>IF(ISNUMBER(BA238),BA238+N(BA239),"")</f>
        <v>-1.777</v>
      </c>
      <c r="BB268" s="262">
        <f>IF(ISNUMBER(BB238),BB238+N(BB239),"")</f>
        <v>-7.569</v>
      </c>
      <c r="BC268" s="262">
        <f>IF(ISNUMBER(BC238),BC238+N(BC239),"")</f>
        <v>-0.895</v>
      </c>
      <c r="BD268" s="262">
        <f>IF(ISNUMBER(BD238),BD238+N(BD239),"")</f>
        <v>-2.398</v>
      </c>
      <c r="BE268" s="262">
        <f>IF(ISNUMBER(BE238),BE238+N(BE239),"")</f>
        <v>-1.939</v>
      </c>
      <c r="BF268" s="262">
        <f>IF(ISNUMBER(BF238),BF238+N(BF239),"")</f>
        <v>-0.797</v>
      </c>
      <c r="BG268" s="262">
        <f>IF(ISNUMBER(BG238),BG238+N(BG239),"")</f>
        <v>-6.029</v>
      </c>
      <c r="BH268" s="262">
        <f>IF(ISNUMBER(BH238),BH238+N(BH239),"")</f>
        <v>-0.85</v>
      </c>
      <c r="BI268" s="262">
        <f>IF(ISNUMBER(BI238),BI238+N(BI239),"")</f>
        <v>-1.527</v>
      </c>
      <c r="BJ268" s="262">
        <f>IF(ISNUMBER(BJ238),BJ238+N(BJ239),"")</f>
        <v>-0.792</v>
      </c>
      <c r="BK268" s="262">
        <f>IF(ISNUMBER(BK238),BK238+N(BK239),"")</f>
        <v>-1.068</v>
      </c>
      <c r="BL268" s="262">
        <f>IF(ISNUMBER(BL238),BL238+N(BL239),"")</f>
        <v>-4.237</v>
      </c>
      <c r="BM268" s="262">
        <f>IF(ISNUMBER(BM238),BM238+N(BM239),"")</f>
        <v>-1.361</v>
      </c>
      <c r="BN268" s="262">
        <f>IF(ISNUMBER(BN238),BN238+N(BN239),"")</f>
        <v>-9.422</v>
      </c>
      <c r="BO268" s="262">
        <f>IF(ISNUMBER(BO238),BO238+N(BO239),"")</f>
        <v>-7.645</v>
      </c>
      <c r="BP268" s="262">
        <f>IF(ISNUMBER(BP238),BP238+N(BP239),"")</f>
        <v>-7.123</v>
      </c>
      <c r="BQ268" s="262">
        <f>IF(ISNUMBER(BQ238),BQ238+N(BQ239),"")</f>
        <v>-25.551</v>
      </c>
      <c r="BR268" s="262">
        <f>IF(ISNUMBER(BR238),BR238+N(BR239),"")</f>
        <v>-7.171</v>
      </c>
      <c r="BS268" s="262">
        <f>IF(ISNUMBER(BS238),BS238+N(BS239),"")</f>
        <v>-9.427</v>
      </c>
      <c r="BT268" s="262">
        <f>IF(ISNUMBER(BT238),BT238+N(BT239),"")</f>
        <v>-9.984</v>
      </c>
      <c r="BU268" s="262">
        <f>IF(ISNUMBER(BU238),BU238+N(BU239),"")</f>
        <v>-12.825</v>
      </c>
      <c r="BV268" s="262">
        <f>IF(ISNUMBER(BV238),BV238+N(BV239),"")</f>
        <v>-39.407</v>
      </c>
      <c r="BW268" s="262">
        <f>IF(ISNUMBER(BW238),BW238+N(BW239),"")</f>
        <v>-8.706</v>
      </c>
      <c r="BX268" s="262">
        <f>IF(ISNUMBER(BX238),BX238+N(BX239),"")</f>
        <v>-9.042</v>
      </c>
      <c r="BY268" s="262">
        <f>IF(ISNUMBER(BY238),BY238+N(BY239),"")</f>
        <v>-10.098</v>
      </c>
      <c r="BZ268" s="35" t="n"/>
      <c r="CA268" s="254">
        <f>IF(ISNUMBER(CA238),CA238+N(CA239),"")</f>
        <v>-37.946</v>
      </c>
      <c r="CB268" s="254">
        <f>IF(ISNUMBER(CB238),CB238+N(CB239),"")</f>
        <v>-44.7810769984473</v>
      </c>
      <c r="CC268" s="254">
        <f>IF(ISNUMBER(CC238),CC238+N(CC239),"")</f>
        <v>-49.4113624253556</v>
      </c>
      <c r="CD268" s="254">
        <f>IF(ISNUMBER(CD238),CD238+N(CD239),"")</f>
        <v>-54.0771691303147</v>
      </c>
      <c r="CE268" s="254">
        <f>IF(ISNUMBER(CE238),CE238+N(CE239),"")</f>
        <v>-58.8351370511988</v>
      </c>
      <c r="CF268" s="254">
        <f>IF(ISNUMBER(CF238),CF238+N(CF239),"")</f>
        <v>-63.6233608791571</v>
      </c>
      <c r="CG268" s="19" t="n"/>
    </row>
    <row r="269" ht="15" customHeight="1" s="251">
      <c r="B269" s="25" t="inlineStr">
        <is>
          <t xml:space="preserve">  Purchases of PP&amp;E % of revenue</t>
        </is>
      </c>
      <c r="C269" s="215">
        <f>IF(ISNUMBER(C238),IFERROR(-C238/C127,""),"")</f>
        <v>0.0380546788390591</v>
      </c>
      <c r="D269" s="215">
        <f>IF(ISNUMBER(D238),IFERROR(-D238/D127,""),"")</f>
        <v>0.0276502123477931</v>
      </c>
      <c r="E269" s="215">
        <f>IF(ISNUMBER(E238),IFERROR(-E238/E127,""),"")</f>
        <v>0.0305836674086585</v>
      </c>
      <c r="F269" s="215">
        <f>IF(ISNUMBER(F238),IFERROR(-F238/F127,""),"")</f>
        <v>0.022129737528439</v>
      </c>
      <c r="G269" s="215">
        <f>IF(ISNUMBER(G238),IFERROR(-G238/G127,""),"")</f>
        <v>0.0288173065650887</v>
      </c>
      <c r="H269" s="215">
        <f>IF(ISNUMBER(H238),IFERROR(-H238/H127,""),"")</f>
        <v>0.0226244708988305</v>
      </c>
      <c r="I269" s="215">
        <f>IF(ISNUMBER(I238),IFERROR(-I238/I127,""),"")</f>
        <v>0.03767317196488</v>
      </c>
      <c r="J269" s="215">
        <f>IF(ISNUMBER(J238),IFERROR(-J238/J127,""),"")</f>
        <v>0.0474265866750868</v>
      </c>
      <c r="K269" s="215">
        <f>IF(ISNUMBER(K238),IFERROR(-K238/K127,""),"")</f>
        <v>0.0452307263348669</v>
      </c>
      <c r="L269" s="215">
        <f>IF(ISNUMBER(L238),IFERROR(-L238/L127,""),"")</f>
        <v>0.0180223320201119</v>
      </c>
      <c r="M269" s="215">
        <f>IF(ISNUMBER(M238),IFERROR(-M238/M127,""),"")</f>
        <v>0.0195032759408807</v>
      </c>
      <c r="N269" s="215">
        <f>IF(ISNUMBER(N238),IFERROR(-N238/N127,""),"")</f>
        <v>0.0324799177880244</v>
      </c>
      <c r="O269" s="215">
        <f>IF(ISNUMBER(O238),IFERROR(-O238/O127,""),"")</f>
        <v>0.011684739859935</v>
      </c>
      <c r="P269" s="215">
        <f>IF(ISNUMBER(P238),IFERROR(-P238/P127,""),"")</f>
        <v>0.011549535753955</v>
      </c>
      <c r="Q269" s="215">
        <f>IF(ISNUMBER(Q238),IFERROR(-Q238/Q127,""),"")</f>
        <v>0.0141288396336218</v>
      </c>
      <c r="R269" s="215">
        <f>IF(ISNUMBER(R238),IFERROR(-R238/R127,""),"")</f>
        <v>0.024831881572415</v>
      </c>
      <c r="S269" s="215">
        <f>IF(ISNUMBER(S238),IFERROR(-S238/S127,""),"")</f>
        <v>0.0159572108468475</v>
      </c>
      <c r="T269" s="215">
        <f>IF(ISNUMBER(T238),IFERROR(-T238/T127,""),"")</f>
        <v>0.0298971247691902</v>
      </c>
      <c r="U269" s="215">
        <f>IF(ISNUMBER(U238),IFERROR(-U238/U127,""),"")</f>
        <v>0.022133272817695</v>
      </c>
      <c r="V269" s="215">
        <f>IF(ISNUMBER(V238),IFERROR(-V238/V127,""),"")</f>
        <v>0.0382822425799796</v>
      </c>
      <c r="W269" s="215">
        <f>IF(ISNUMBER(W238),IFERROR(-W238/W127,""),"")</f>
        <v>0.0289272886628057</v>
      </c>
      <c r="X269" s="215">
        <f>IF(ISNUMBER(X238),IFERROR(-X238/X127,""),"")</f>
        <v>0.0298039655166247</v>
      </c>
      <c r="Y269" s="215">
        <f>IF(ISNUMBER(Y238),IFERROR(-Y238/Y127,""),"")</f>
        <v>0.0214618444990903</v>
      </c>
      <c r="Z269" s="215">
        <f>IF(ISNUMBER(Z238),IFERROR(-Z238/Z127,""),"")</f>
        <v>0.0169974549782754</v>
      </c>
      <c r="AA269" s="215">
        <f>IF(ISNUMBER(AA238),IFERROR(-AA238/AA127,""),"")</f>
        <v>0.0198259471140557</v>
      </c>
      <c r="AB269" s="215">
        <f>IF(ISNUMBER(AB238),IFERROR(-AB238/AB127,""),"")</f>
        <v>0.0399789673654929</v>
      </c>
      <c r="AC269" s="215">
        <f>IF(ISNUMBER(AC238),IFERROR(-AC238/AC127,""),"")</f>
        <v>0.0249263634672028</v>
      </c>
      <c r="AD269" s="215">
        <f>IF(ISNUMBER(AD238),IFERROR(-AD238/AD127,""),"")</f>
        <v>0.0196675774134791</v>
      </c>
      <c r="AE269" s="215">
        <f>IF(ISNUMBER(AE238),IFERROR(-AE238/AE127,""),"")</f>
        <v>0.0231414584592211</v>
      </c>
      <c r="AF269" s="215">
        <f>IF(ISNUMBER(AF238),IFERROR(-AF238/AF127,""),"")</f>
        <v>0.0224602356852796</v>
      </c>
      <c r="AG269" s="215">
        <f>IF(ISNUMBER(AG238),IFERROR(-AG238/AG127,""),"")</f>
        <v>0.0198890227286191</v>
      </c>
      <c r="AH269" s="215">
        <f>IF(ISNUMBER(AH238),IFERROR(-AH238/AH127,""),"")</f>
        <v>0.0212708210635625</v>
      </c>
      <c r="AI269" s="215">
        <f>IF(ISNUMBER(AI238),IFERROR(-AI238/AI127,""),"")</f>
        <v>0.0171850366095674</v>
      </c>
      <c r="AJ269" s="215">
        <f>IF(ISNUMBER(AJ238),IFERROR(-AJ238/AJ127,""),"")</f>
        <v>0.0274065570973171</v>
      </c>
      <c r="AK269" s="215">
        <f>IF(ISNUMBER(AK238),IFERROR(-AK238/AK127,""),"")</f>
        <v>0.0505154043274696</v>
      </c>
      <c r="AL269" s="215">
        <f>IF(ISNUMBER(AL238),IFERROR(-AL238/AL127,""),"")</f>
        <v>0.0253010282675283</v>
      </c>
      <c r="AM269" s="215">
        <f>IF(ISNUMBER(AM238),IFERROR(-AM238/AM127,""),"")</f>
        <v>0.030314535460907</v>
      </c>
      <c r="AN269" s="215">
        <f>IF(ISNUMBER(AN238),IFERROR(-AN238/AN127,""),"")</f>
        <v>0.0246858031846745</v>
      </c>
      <c r="AO269" s="215">
        <f>IF(ISNUMBER(AO238),IFERROR(-AO238/AO127,""),"")</f>
        <v>0.014987384719337</v>
      </c>
      <c r="AP269" s="215">
        <f>IF(ISNUMBER(AP238),IFERROR(-AP238/AP127,""),"")</f>
        <v>0.0239491613338467</v>
      </c>
      <c r="AQ269" s="215">
        <f>IF(ISNUMBER(AQ238),IFERROR(-AQ238/AQ127,""),"")</f>
        <v>0.0190309945504087</v>
      </c>
      <c r="AR269" s="215">
        <f>IF(ISNUMBER(AR238),IFERROR(-AR238/AR127,""),"")</f>
        <v>0.0206717967593698</v>
      </c>
      <c r="AS269" s="215">
        <f>IF(ISNUMBER(AS238),IFERROR(-AS238/AS127,""),"")</f>
        <v>0.0217752525929301</v>
      </c>
      <c r="AT269" s="215">
        <f>IF(ISNUMBER(AT238),IFERROR(-AT238/AT127,""),"")</f>
        <v>0.0216448951362304</v>
      </c>
      <c r="AU269" s="215">
        <f>IF(ISNUMBER(AU238),IFERROR(-AU238/AU127,""),"")</f>
        <v>0.0252031198702073</v>
      </c>
      <c r="AV269" s="215">
        <f>IF(ISNUMBER(AV238),IFERROR(-AV238/AV127,""),"")</f>
        <v>0.00244686875594354</v>
      </c>
      <c r="AW269" s="215">
        <f>IF(ISNUMBER(AW238),IFERROR(-AW238/AW127,""),"")</f>
        <v>0.016985667739359</v>
      </c>
      <c r="AX269" s="215">
        <f>IF(ISNUMBER(AX238),IFERROR(-AX238/AX127,""),"")</f>
        <v>0.00974668228696537</v>
      </c>
      <c r="AY269" s="215">
        <f>IF(ISNUMBER(AY238),IFERROR(-AY238/AY127,""),"")</f>
        <v>0.00354598157296725</v>
      </c>
      <c r="AZ269" s="215">
        <f>IF(ISNUMBER(AZ238),IFERROR(-AZ238/AZ127,""),"")</f>
        <v>0.0046483571073735</v>
      </c>
      <c r="BA269" s="215">
        <f>IF(ISNUMBER(BA238),IFERROR(-BA238/BA127,""),"")</f>
        <v>0.00531118397259824</v>
      </c>
      <c r="BB269" s="215">
        <f>IF(ISNUMBER(BB238),IFERROR(-BB238/BB127,""),"")</f>
        <v>0.00574917814628692</v>
      </c>
      <c r="BC269" s="215">
        <f>IF(ISNUMBER(BC238),IFERROR(-BC238/BC127,""),"")</f>
        <v>0.00277639044425349</v>
      </c>
      <c r="BD269" s="215">
        <f>IF(ISNUMBER(BD238),IFERROR(-BD238/BD127,""),"")</f>
        <v>0.00671341984070326</v>
      </c>
      <c r="BE269" s="215">
        <f>IF(ISNUMBER(BE238),IFERROR(-BE238/BE127,""),"")</f>
        <v>0.00555641523816074</v>
      </c>
      <c r="BF269" s="215">
        <f>IF(ISNUMBER(BF238),IFERROR(-BF238/BF127,""),"")</f>
        <v>0.00228531776526317</v>
      </c>
      <c r="BG269" s="215">
        <f>IF(ISNUMBER(BG238),IFERROR(-BG238/BG127,""),"")</f>
        <v>0.00437750041749258</v>
      </c>
      <c r="BH269" s="215">
        <f>IF(ISNUMBER(BH238),IFERROR(-BH238/BH127,""),"")</f>
        <v>0.0024646968422884</v>
      </c>
      <c r="BI269" s="215">
        <f>IF(ISNUMBER(BI238),IFERROR(-BI238/BI127,""),"")</f>
        <v>0.0040156101255437</v>
      </c>
      <c r="BJ269" s="215">
        <f>IF(ISNUMBER(BJ238),IFERROR(-BJ238/BJ127,""),"")</f>
        <v>0.00198651577173128</v>
      </c>
      <c r="BK269" s="215">
        <f>IF(ISNUMBER(BK238),IFERROR(-BK238/BK127,""),"")</f>
        <v>0.00274033761575232</v>
      </c>
      <c r="BL269" s="215">
        <f>IF(ISNUMBER(BL238),IFERROR(-BL238/BL127,""),"")</f>
        <v>0.0027993659967877</v>
      </c>
      <c r="BM269" s="215">
        <f>IF(ISNUMBER(BM238),IFERROR(-BM238/BM127,""),"")</f>
        <v>0.00356227703051099</v>
      </c>
      <c r="BN269" s="215">
        <f>IF(ISNUMBER(BN238),IFERROR(-BN238/BN127,""),"")</f>
        <v>0.00931746459847537</v>
      </c>
      <c r="BO269" s="215">
        <f>IF(ISNUMBER(BO238),IFERROR(-BO238/BO127,""),"")</f>
        <v>0.00385621046379472</v>
      </c>
      <c r="BP269" s="215">
        <f>IF(ISNUMBER(BP238),IFERROR(-BP238/BP127,""),"")</f>
        <v>0.00386506217373388</v>
      </c>
      <c r="BQ269" s="215">
        <f>IF(ISNUMBER(BQ238),IFERROR(-BQ238/BQ127,""),"")</f>
        <v>0.00517255633975847</v>
      </c>
      <c r="BR269" s="215">
        <f>IF(ISNUMBER(BR238),IFERROR(-BR238/BR127,""),"")</f>
        <v>0.00191150265473853</v>
      </c>
      <c r="BS269" s="215">
        <f>IF(ISNUMBER(BS238),IFERROR(-BS238/BS127,""),"")</f>
        <v>0.00424874933581962</v>
      </c>
      <c r="BT269" s="215">
        <f>IF(ISNUMBER(BT238),IFERROR(-BT238/BT127,""),"")</f>
        <v>0.00333883280668885</v>
      </c>
      <c r="BU269" s="215">
        <f>IF(ISNUMBER(BU238),IFERROR(-BU238/BU127,""),"")</f>
        <v>0.00808723589484073</v>
      </c>
      <c r="BV269" s="215">
        <f>IF(ISNUMBER(BV238),IFERROR(-BV238/BV127,""),"")</f>
        <v>0.00448146010611447</v>
      </c>
      <c r="BW269" s="215">
        <f>IF(ISNUMBER(BW238),IFERROR(-BW238/BW127,""),"")</f>
        <v>0.00044144159981561</v>
      </c>
      <c r="BX269" s="215">
        <f>IF(ISNUMBER(BX238),IFERROR(-BX238/BX127,""),"")</f>
        <v>0.000384572567831517</v>
      </c>
      <c r="BY269" s="215">
        <f>IF(ISNUMBER(BY238),IFERROR(-BY238/BY127,""),"")</f>
        <v>0.0012800583813417</v>
      </c>
      <c r="BZ269" s="24" t="n"/>
      <c r="CA269" s="256">
        <f>IF(ISNUMBER(CA238),IFERROR(-CA238/CA127,""),"")</f>
        <v>0.000772727272727273</v>
      </c>
      <c r="CB269" s="265" t="n">
        <v>0.002</v>
      </c>
      <c r="CC269" s="265" t="n">
        <v>0.002</v>
      </c>
      <c r="CD269" s="265" t="n">
        <v>0.002</v>
      </c>
      <c r="CE269" s="265" t="n">
        <v>0.002</v>
      </c>
      <c r="CF269" s="265" t="n">
        <v>0.002</v>
      </c>
      <c r="CG269" s="153" t="inlineStr">
        <is>
          <t>2027E+ input (FY2024–9M FY26 0.1–0.5%).</t>
        </is>
      </c>
      <c r="CI269" s="37">
        <f>IFERROR(AVERAGE(CB269,CC269,CD269,CE269,CF269),"n/m")</f>
        <v>0.002</v>
      </c>
      <c r="CJ269" s="37">
        <f>IFERROR(AVERAGE(BB269,BG269,BL269,BQ269,BV269),"n/m")</f>
        <v>0.00451601220128803</v>
      </c>
      <c r="CK269" s="37">
        <f>IFERROR(AVERAGE(AC269,AH269,AM269,AR269,AW269,BB269,BG269,BL269,BQ269,BV269),"n/m")</f>
        <v>0.0136749245496841</v>
      </c>
      <c r="CL269" s="37">
        <f>IFERROR(AVERAGE(C269,D269,E269,F269,G269,H269,I269,N269,S269,X269,AC269,AH269,AM269,AR269,AW269,BB269,BG269,BL269,BQ269,BV269),"n/m")</f>
        <v>0.0211261792600543</v>
      </c>
    </row>
    <row r="270" ht="15" customHeight="1" s="251">
      <c r="B270" s="25" t="inlineStr">
        <is>
          <t xml:space="preserve">  Capitalized internal-use software % of revenue</t>
        </is>
      </c>
      <c r="C270" s="215">
        <f>IF(ISNUMBER(C239),IFERROR(-C239/C127,""),"")</f>
        <v>0</v>
      </c>
      <c r="D270" s="215">
        <f>IF(ISNUMBER(D239),IFERROR(-D239/D127,""),"")</f>
        <v>0</v>
      </c>
      <c r="E270" s="215">
        <f>IF(ISNUMBER(E239),IFERROR(-E239/E127,""),"")</f>
        <v>0</v>
      </c>
      <c r="F270" s="215">
        <f>IF(ISNUMBER(F239),IFERROR(-F239/F127,""),"")</f>
        <v>0</v>
      </c>
      <c r="G270" s="215">
        <f>IF(ISNUMBER(G239),IFERROR(-G239/G127,""),"")</f>
        <v>0</v>
      </c>
      <c r="H270" s="215">
        <f>IF(ISNUMBER(H239),IFERROR(-H239/H127,""),"")</f>
        <v>0</v>
      </c>
      <c r="I270" s="215">
        <f>IF(ISNUMBER(I239),IFERROR(-I239/I127,""),"")</f>
        <v>0</v>
      </c>
      <c r="J270" s="215">
        <f>IF(ISNUMBER(J239),IFERROR(-J239/J127,""),"")</f>
        <v>0</v>
      </c>
      <c r="K270" s="215">
        <f>IF(ISNUMBER(K239),IFERROR(-K239/K127,""),"")</f>
        <v>0</v>
      </c>
      <c r="L270" s="215">
        <f>IF(ISNUMBER(L239),IFERROR(-L239/L127,""),"")</f>
        <v>0</v>
      </c>
      <c r="M270" s="215">
        <f>IF(ISNUMBER(M239),IFERROR(-M239/M127,""),"")</f>
        <v>0</v>
      </c>
      <c r="N270" s="215">
        <f>IF(ISNUMBER(N239),IFERROR(-N239/N127,""),"")</f>
        <v>0</v>
      </c>
      <c r="O270" s="215">
        <f>IF(ISNUMBER(O239),IFERROR(-O239/O127,""),"")</f>
        <v>0</v>
      </c>
      <c r="P270" s="215">
        <f>IF(ISNUMBER(P239),IFERROR(-P239/P127,""),"")</f>
        <v>0</v>
      </c>
      <c r="Q270" s="215">
        <f>IF(ISNUMBER(Q239),IFERROR(-Q239/Q127,""),"")</f>
        <v>0</v>
      </c>
      <c r="R270" s="215">
        <f>IF(ISNUMBER(R239),IFERROR(-R239/R127,""),"")</f>
        <v>0</v>
      </c>
      <c r="S270" s="215">
        <f>IF(ISNUMBER(S239),IFERROR(-S239/S127,""),"")</f>
        <v>0</v>
      </c>
      <c r="T270" s="215">
        <f>IF(ISNUMBER(T239),IFERROR(-T239/T127,""),"")</f>
        <v>0</v>
      </c>
      <c r="U270" s="215">
        <f>IF(ISNUMBER(U239),IFERROR(-U239/U127,""),"")</f>
        <v>0</v>
      </c>
      <c r="V270" s="215">
        <f>IF(ISNUMBER(V239),IFERROR(-V239/V127,""),"")</f>
        <v>0</v>
      </c>
      <c r="W270" s="215">
        <f>IF(ISNUMBER(W239),IFERROR(-W239/W127,""),"")</f>
        <v>0</v>
      </c>
      <c r="X270" s="215">
        <f>IF(ISNUMBER(X239),IFERROR(-X239/X127,""),"")</f>
        <v>0</v>
      </c>
      <c r="Y270" s="215">
        <f>IF(ISNUMBER(Y239),IFERROR(-Y239/Y127,""),"")</f>
        <v>0</v>
      </c>
      <c r="Z270" s="215">
        <f>IF(ISNUMBER(Z239),IFERROR(-Z239/Z127,""),"")</f>
        <v>0</v>
      </c>
      <c r="AA270" s="215">
        <f>IF(ISNUMBER(AA239),IFERROR(-AA239/AA127,""),"")</f>
        <v>0</v>
      </c>
      <c r="AB270" s="215">
        <f>IF(ISNUMBER(AB239),IFERROR(-AB239/AB127,""),"")</f>
        <v>0</v>
      </c>
      <c r="AC270" s="215">
        <f>IF(ISNUMBER(AC239),IFERROR(-AC239/AC127,""),"")</f>
        <v>0</v>
      </c>
      <c r="AD270" s="215">
        <f>IF(ISNUMBER(AD239),IFERROR(-AD239/AD127,""),"")</f>
        <v>0</v>
      </c>
      <c r="AE270" s="215">
        <f>IF(ISNUMBER(AE239),IFERROR(-AE239/AE127,""),"")</f>
        <v>0</v>
      </c>
      <c r="AF270" s="215">
        <f>IF(ISNUMBER(AF239),IFERROR(-AF239/AF127,""),"")</f>
        <v>0</v>
      </c>
      <c r="AG270" s="215">
        <f>IF(ISNUMBER(AG239),IFERROR(-AG239/AG127,""),"")</f>
        <v>0</v>
      </c>
      <c r="AH270" s="215">
        <f>IF(ISNUMBER(AH239),IFERROR(-AH239/AH127,""),"")</f>
        <v>0</v>
      </c>
      <c r="AI270" s="215">
        <f>IF(ISNUMBER(AI239),IFERROR(-AI239/AI127,""),"")</f>
        <v>0</v>
      </c>
      <c r="AJ270" s="215">
        <f>IF(ISNUMBER(AJ239),IFERROR(-AJ239/AJ127,""),"")</f>
        <v>0</v>
      </c>
      <c r="AK270" s="215">
        <f>IF(ISNUMBER(AK239),IFERROR(-AK239/AK127,""),"")</f>
        <v>0</v>
      </c>
      <c r="AL270" s="215">
        <f>IF(ISNUMBER(AL239),IFERROR(-AL239/AL127,""),"")</f>
        <v>0</v>
      </c>
      <c r="AM270" s="215">
        <f>IF(ISNUMBER(AM239),IFERROR(-AM239/AM127,""),"")</f>
        <v>0</v>
      </c>
      <c r="AN270" s="215">
        <f>IF(ISNUMBER(AN239),IFERROR(-AN239/AN127,""),"")</f>
        <v>0</v>
      </c>
      <c r="AO270" s="215">
        <f>IF(ISNUMBER(AO239),IFERROR(-AO239/AO127,""),"")</f>
        <v>0</v>
      </c>
      <c r="AP270" s="215">
        <f>IF(ISNUMBER(AP239),IFERROR(-AP239/AP127,""),"")</f>
        <v>0</v>
      </c>
      <c r="AQ270" s="215">
        <f>IF(ISNUMBER(AQ239),IFERROR(-AQ239/AQ127,""),"")</f>
        <v>0</v>
      </c>
      <c r="AR270" s="215">
        <f>IF(ISNUMBER(AR239),IFERROR(-AR239/AR127,""),"")</f>
        <v>0</v>
      </c>
      <c r="AS270" s="215">
        <f>IF(ISNUMBER(AS239),IFERROR(-AS239/AS127,""),"")</f>
        <v>0</v>
      </c>
      <c r="AT270" s="215">
        <f>IF(ISNUMBER(AT239),IFERROR(-AT239/AT127,""),"")</f>
        <v>0</v>
      </c>
      <c r="AU270" s="215">
        <f>IF(ISNUMBER(AU239),IFERROR(-AU239/AU127,""),"")</f>
        <v>0</v>
      </c>
      <c r="AV270" s="215">
        <f>IF(ISNUMBER(AV239),IFERROR(-AV239/AV127,""),"")</f>
        <v>0</v>
      </c>
      <c r="AW270" s="215">
        <f>IF(ISNUMBER(AW239),IFERROR(-AW239/AW127,""),"")</f>
        <v>0</v>
      </c>
      <c r="AX270" s="215">
        <f>IF(ISNUMBER(AX239),IFERROR(-AX239/AX127,""),"")</f>
        <v>0</v>
      </c>
      <c r="AY270" s="215">
        <f>IF(ISNUMBER(AY239),IFERROR(-AY239/AY127,""),"")</f>
        <v>0</v>
      </c>
      <c r="AZ270" s="215">
        <f>IF(ISNUMBER(AZ239),IFERROR(-AZ239/AZ127,""),"")</f>
        <v>0</v>
      </c>
      <c r="BA270" s="215">
        <f>IF(ISNUMBER(BA239),IFERROR(-BA239/BA127,""),"")</f>
        <v>0</v>
      </c>
      <c r="BB270" s="215">
        <f>IF(ISNUMBER(BB239),IFERROR(-BB239/BB127,""),"")</f>
        <v>0</v>
      </c>
      <c r="BC270" s="215">
        <f>IF(ISNUMBER(BC239),IFERROR(-BC239/BC127,""),"")</f>
        <v>0</v>
      </c>
      <c r="BD270" s="215">
        <f>IF(ISNUMBER(BD239),IFERROR(-BD239/BD127,""),"")</f>
        <v>0</v>
      </c>
      <c r="BE270" s="215">
        <f>IF(ISNUMBER(BE239),IFERROR(-BE239/BE127,""),"")</f>
        <v>0</v>
      </c>
      <c r="BF270" s="215">
        <f>IF(ISNUMBER(BF239),IFERROR(-BF239/BF127,""),"")</f>
        <v>0</v>
      </c>
      <c r="BG270" s="215">
        <f>IF(ISNUMBER(BG239),IFERROR(-BG239/BG127,""),"")</f>
        <v>0</v>
      </c>
      <c r="BH270" s="215">
        <f>IF(ISNUMBER(BH239),IFERROR(-BH239/BH127,""),"")</f>
        <v>0</v>
      </c>
      <c r="BI270" s="215">
        <f>IF(ISNUMBER(BI239),IFERROR(-BI239/BI127,""),"")</f>
        <v>0</v>
      </c>
      <c r="BJ270" s="215">
        <f>IF(ISNUMBER(BJ239),IFERROR(-BJ239/BJ127,""),"")</f>
        <v>0</v>
      </c>
      <c r="BK270" s="215">
        <f>IF(ISNUMBER(BK239),IFERROR(-BK239/BK127,""),"")</f>
        <v>0</v>
      </c>
      <c r="BL270" s="215">
        <f>IF(ISNUMBER(BL239),IFERROR(-BL239/BL127,""),"")</f>
        <v>0</v>
      </c>
      <c r="BM270" s="215">
        <f>IF(ISNUMBER(BM239),IFERROR(-BM239/BM127,""),"")</f>
        <v>0</v>
      </c>
      <c r="BN270" s="215">
        <f>IF(ISNUMBER(BN239),IFERROR(-BN239/BN127,""),"")</f>
        <v>0.0124017712864417</v>
      </c>
      <c r="BO270" s="215">
        <f>IF(ISNUMBER(BO239),IFERROR(-BO239/BO127,""),"")</f>
        <v>0.0132142753472711</v>
      </c>
      <c r="BP270" s="215">
        <f>IF(ISNUMBER(BP239),IFERROR(-BP239/BP127,""),"")</f>
        <v>0.0118309685352208</v>
      </c>
      <c r="BQ270" s="215">
        <f>IF(ISNUMBER(BQ239),IFERROR(-BQ239/BQ127,""),"")</f>
        <v>0.00970407434880171</v>
      </c>
      <c r="BR270" s="215">
        <f>IF(ISNUMBER(BR239),IFERROR(-BR239/BR127,""),"")</f>
        <v>0.0143874099934541</v>
      </c>
      <c r="BS270" s="215">
        <f>IF(ISNUMBER(BS239),IFERROR(-BS239/BS127,""),"")</f>
        <v>0.0146530722728503</v>
      </c>
      <c r="BT270" s="215">
        <f>IF(ISNUMBER(BT239),IFERROR(-BT239/BT127,""),"")</f>
        <v>0.0152736221022902</v>
      </c>
      <c r="BU270" s="215">
        <f>IF(ISNUMBER(BU239),IFERROR(-BU239/BU127,""),"")</f>
        <v>0.0167794148726808</v>
      </c>
      <c r="BV270" s="215">
        <f>IF(ISNUMBER(BV239),IFERROR(-BV239/BV127,""),"")</f>
        <v>0.0153124088023873</v>
      </c>
      <c r="BW270" s="215">
        <f>IF(ISNUMBER(BW239),IFERROR(-BW239/BW127,""),"")</f>
        <v>0.016563826400161</v>
      </c>
      <c r="BX270" s="215">
        <f>IF(ISNUMBER(BX239),IFERROR(-BX239/BX127,""),"")</f>
        <v>0.0126880032153737</v>
      </c>
      <c r="BY270" s="215">
        <f>IF(ISNUMBER(BY239),IFERROR(-BY239/BY127,""),"")</f>
        <v>0.013697959619572</v>
      </c>
      <c r="BZ270" s="24" t="n"/>
      <c r="CA270" s="256">
        <f>IF(ISNUMBER(CA239),IFERROR(-CA239/CA127,""),"")</f>
        <v>0.0142256916996047</v>
      </c>
      <c r="CB270" s="265" t="n">
        <v>0.014</v>
      </c>
      <c r="CC270" s="265" t="n">
        <v>0.014</v>
      </c>
      <c r="CD270" s="265" t="n">
        <v>0.014</v>
      </c>
      <c r="CE270" s="265" t="n">
        <v>0.014</v>
      </c>
      <c r="CF270" s="265" t="n">
        <v>0.014</v>
      </c>
      <c r="CG270" s="153" t="inlineStr">
        <is>
          <t>2027E+ input (FY2025 1.5%; 9M FY26 1.4%).</t>
        </is>
      </c>
      <c r="CI270" s="37">
        <f>IFERROR(AVERAGE(CB270,CC270,CD270,CE270,CF270),"n/m")</f>
        <v>0.014</v>
      </c>
      <c r="CJ270" s="37">
        <f>IFERROR(AVERAGE(BB270,BG270,BL270,BQ270,BV270),"n/m")</f>
        <v>0.0050032966302378</v>
      </c>
      <c r="CK270" s="37">
        <f>IFERROR(AVERAGE(AC270,AH270,AM270,AR270,AW270,BB270,BG270,BL270,BQ270,BV270),"n/m")</f>
        <v>0.0025016483151189</v>
      </c>
      <c r="CL270" s="37">
        <f>IFERROR(AVERAGE(C270,D270,E270,F270,G270,H270,I270,N270,S270,X270,AC270,AH270,AM270,AR270,AW270,BB270,BG270,BL270,BQ270,BV270),"n/m")</f>
        <v>0.00125082415755945</v>
      </c>
    </row>
    <row r="271" ht="15" customHeight="1" s="251">
      <c r="B271" s="25" t="inlineStr">
        <is>
          <t xml:space="preserve">  Capex incl. software / D&amp;A (x)</t>
        </is>
      </c>
      <c r="C271" s="285">
        <f>IF(ISNUMBER(C268),IFERROR(-C268/C112,""),"")</f>
        <v>0.643561110541953</v>
      </c>
      <c r="D271" s="285">
        <f>IF(ISNUMBER(D268),IFERROR(-D268/D112,""),"")</f>
        <v>0.452672029308697</v>
      </c>
      <c r="E271" s="285">
        <f>IF(ISNUMBER(E268),IFERROR(-E268/E112,""),"")</f>
        <v>0.576796475413987</v>
      </c>
      <c r="F271" s="285">
        <f>IF(ISNUMBER(F268),IFERROR(-F268/F112,""),"")</f>
        <v>0.363309820661652</v>
      </c>
      <c r="G271" s="285">
        <f>IF(ISNUMBER(G268),IFERROR(-G268/G112,""),"")</f>
        <v>0.564493175496475</v>
      </c>
      <c r="H271" s="285">
        <f>IF(ISNUMBER(H268),IFERROR(-H268/H112,""),"")</f>
        <v>0.579410670744307</v>
      </c>
      <c r="I271" s="285">
        <f>IF(ISNUMBER(I268),IFERROR(-I268/I112,""),"")</f>
        <v>1.1825606756694</v>
      </c>
      <c r="J271" s="285">
        <f>IF(ISNUMBER(J268),IFERROR(-J268/J112,""),"")</f>
        <v>1.13031481249216</v>
      </c>
      <c r="K271" s="285">
        <f>IF(ISNUMBER(K268),IFERROR(-K268/K112,""),"")</f>
        <v>0.958747044917258</v>
      </c>
      <c r="L271" s="285">
        <f>IF(ISNUMBER(L268),IFERROR(-L268/L112,""),"")</f>
        <v>0.379511859745617</v>
      </c>
      <c r="M271" s="285">
        <f>IF(ISNUMBER(M268),IFERROR(-M268/M112,""),"")</f>
        <v>0.460888999255029</v>
      </c>
      <c r="N271" s="285">
        <f>IF(ISNUMBER(N268),IFERROR(-N268/N112,""),"")</f>
        <v>0.727012705485639</v>
      </c>
      <c r="O271" s="285">
        <f>IF(ISNUMBER(O268),IFERROR(-O268/O112,""),"")</f>
        <v>0.263744336965838</v>
      </c>
      <c r="P271" s="285">
        <f>IF(ISNUMBER(P268),IFERROR(-P268/P112,""),"")</f>
        <v>0.273040152963671</v>
      </c>
      <c r="Q271" s="285">
        <f>IF(ISNUMBER(Q268),IFERROR(-Q268/Q112,""),"")</f>
        <v>0.341153470185728</v>
      </c>
      <c r="R271" s="285">
        <f>IF(ISNUMBER(R268),IFERROR(-R268/R112,""),"")</f>
        <v>0.652204836415363</v>
      </c>
      <c r="S271" s="285">
        <f>IF(ISNUMBER(S268),IFERROR(-S268/S112,""),"")</f>
        <v>0.385817602353518</v>
      </c>
      <c r="T271" s="285">
        <f>IF(ISNUMBER(T268),IFERROR(-T268/T112,""),"")</f>
        <v>0.699025533489577</v>
      </c>
      <c r="U271" s="285">
        <f>IF(ISNUMBER(U268),IFERROR(-U268/U112,""),"")</f>
        <v>0.512751677852349</v>
      </c>
      <c r="V271" s="285">
        <f>IF(ISNUMBER(V268),IFERROR(-V268/V112,""),"")</f>
        <v>0.886026973247845</v>
      </c>
      <c r="W271" s="285">
        <f>IF(ISNUMBER(W268),IFERROR(-W268/W112,""),"")</f>
        <v>0.863648024628014</v>
      </c>
      <c r="X271" s="285">
        <f>IF(ISNUMBER(X268),IFERROR(-X268/X112,""),"")</f>
        <v>0.737672991236094</v>
      </c>
      <c r="Y271" s="285">
        <f>IF(ISNUMBER(Y268),IFERROR(-Y268/Y112,""),"")</f>
        <v>0.577072974062626</v>
      </c>
      <c r="Z271" s="285">
        <f>IF(ISNUMBER(Z268),IFERROR(-Z268/Z112,""),"")</f>
        <v>0.45463957551443</v>
      </c>
      <c r="AA271" s="285">
        <f>IF(ISNUMBER(AA268),IFERROR(-AA268/AA112,""),"")</f>
        <v>0.594798341500189</v>
      </c>
      <c r="AB271" s="285">
        <f>IF(ISNUMBER(AB268),IFERROR(-AB268/AB112,""),"")</f>
        <v>1.10839407477075</v>
      </c>
      <c r="AC271" s="285">
        <f>IF(ISNUMBER(AC268),IFERROR(-AC268/AC112,""),"")</f>
        <v>0.694496253912054</v>
      </c>
      <c r="AD271" s="285">
        <f>IF(ISNUMBER(AD268),IFERROR(-AD268/AD112,""),"")</f>
        <v>0.476816074188563</v>
      </c>
      <c r="AE271" s="285">
        <f>IF(ISNUMBER(AE268),IFERROR(-AE268/AE112,""),"")</f>
        <v>0.575833514926999</v>
      </c>
      <c r="AF271" s="285">
        <f>IF(ISNUMBER(AF268),IFERROR(-AF268/AF112,""),"")</f>
        <v>0.564465237732564</v>
      </c>
      <c r="AG271" s="285">
        <f>IF(ISNUMBER(AG268),IFERROR(-AG268/AG112,""),"")</f>
        <v>0.573119380903608</v>
      </c>
      <c r="AH271" s="285">
        <f>IF(ISNUMBER(AH268),IFERROR(-AH268/AH112,""),"")</f>
        <v>0.547523057381123</v>
      </c>
      <c r="AI271" s="285">
        <f>IF(ISNUMBER(AI268),IFERROR(-AI268/AI112,""),"")</f>
        <v>0.523088863019014</v>
      </c>
      <c r="AJ271" s="285">
        <f>IF(ISNUMBER(AJ268),IFERROR(-AJ268/AJ112,""),"")</f>
        <v>0.95966865833786</v>
      </c>
      <c r="AK271" s="285">
        <f>IF(ISNUMBER(AK268),IFERROR(-AK268/AK112,""),"")</f>
        <v>1.81213713021841</v>
      </c>
      <c r="AL271" s="285">
        <f>IF(ISNUMBER(AL268),IFERROR(-AL268/AL112,""),"")</f>
        <v>0.901438940532281</v>
      </c>
      <c r="AM271" s="285">
        <f>IF(ISNUMBER(AM268),IFERROR(-AM268/AM112,""),"")</f>
        <v>1.03700881319992</v>
      </c>
      <c r="AN271" s="285">
        <f>IF(ISNUMBER(AN268),IFERROR(-AN268/AN112,""),"")</f>
        <v>0.81260198318062</v>
      </c>
      <c r="AO271" s="285">
        <f>IF(ISNUMBER(AO268),IFERROR(-AO268/AO112,""),"")</f>
        <v>0.533316280854329</v>
      </c>
      <c r="AP271" s="285">
        <f>IF(ISNUMBER(AP268),IFERROR(-AP268/AP112,""),"")</f>
        <v>0.946904881731253</v>
      </c>
      <c r="AQ271" s="285">
        <f>IF(ISNUMBER(AQ268),IFERROR(-AQ268/AQ112,""),"")</f>
        <v>0.737623762376238</v>
      </c>
      <c r="AR271" s="285">
        <f>IF(ISNUMBER(AR268),IFERROR(-AR268/AR112,""),"")</f>
        <v>0.758604327470581</v>
      </c>
      <c r="AS271" s="285">
        <f>IF(ISNUMBER(AS268),IFERROR(-AS268/AS112,""),"")</f>
        <v>0.827393075356416</v>
      </c>
      <c r="AT271" s="285">
        <f>IF(ISNUMBER(AT268),IFERROR(-AT268/AT112,""),"")</f>
        <v>0.868081781481964</v>
      </c>
      <c r="AU271" s="285">
        <f>IF(ISNUMBER(AU268),IFERROR(-AU268/AU112,""),"")</f>
        <v>0.986648365360619</v>
      </c>
      <c r="AV271" s="285">
        <f>IF(ISNUMBER(AV268),IFERROR(-AV268/AV112,""),"")</f>
        <v>0.134350249339982</v>
      </c>
      <c r="AW271" s="285">
        <f>IF(ISNUMBER(AW268),IFERROR(-AW268/AW112,""),"")</f>
        <v>0.724108407152501</v>
      </c>
      <c r="AX271" s="285">
        <f>IF(ISNUMBER(AX268),IFERROR(-AX268/AX112,""),"")</f>
        <v>0.433390264730999</v>
      </c>
      <c r="AY271" s="285">
        <f>IF(ISNUMBER(AY268),IFERROR(-AY268/AY112,""),"")</f>
        <v>0.176029962546817</v>
      </c>
      <c r="AZ271" s="285">
        <f>IF(ISNUMBER(AZ268),IFERROR(-AZ268/AZ112,""),"")</f>
        <v>0.246975648075412</v>
      </c>
      <c r="BA271" s="285">
        <f>IF(ISNUMBER(BA268),IFERROR(-BA268/BA112,""),"")</f>
        <v>0.321570756424177</v>
      </c>
      <c r="BB271" s="285">
        <f>IF(ISNUMBER(BB268),IFERROR(-BB268/BB112,""),"")</f>
        <v>0.295756486402001</v>
      </c>
      <c r="BC271" s="285">
        <f>IF(ISNUMBER(BC268),IFERROR(-BC268/BC112,""),"")</f>
        <v>0.171226324851731</v>
      </c>
      <c r="BD271" s="285">
        <f>IF(ISNUMBER(BD268),IFERROR(-BD268/BD112,""),"")</f>
        <v>0.441701970897034</v>
      </c>
      <c r="BE271" s="285">
        <f>IF(ISNUMBER(BE268),IFERROR(-BE268/BE112,""),"")</f>
        <v>0.375556846794499</v>
      </c>
      <c r="BF271" s="285">
        <f>IF(ISNUMBER(BF268),IFERROR(-BF268/BF112,""),"")</f>
        <v>0.171545415411106</v>
      </c>
      <c r="BG271" s="285">
        <f>IF(ISNUMBER(BG268),IFERROR(-BG268/BG112,""),"")</f>
        <v>0.294600537503054</v>
      </c>
      <c r="BH271" s="285">
        <f>IF(ISNUMBER(BH268),IFERROR(-BH268/BH112,""),"")</f>
        <v>0.198598130841122</v>
      </c>
      <c r="BI271" s="285">
        <f>IF(ISNUMBER(BI268),IFERROR(-BI268/BI112,""),"")</f>
        <v>0.380418535127055</v>
      </c>
      <c r="BJ271" s="285">
        <f>IF(ISNUMBER(BJ268),IFERROR(-BJ268/BJ112,""),"")</f>
        <v>0.236559139784946</v>
      </c>
      <c r="BK271" s="285">
        <f>IF(ISNUMBER(BK268),IFERROR(-BK268/BK112,""),"")</f>
        <v>0.356475300400534</v>
      </c>
      <c r="BL271" s="285">
        <f>IF(ISNUMBER(BL268),IFERROR(-BL268/BL112,""),"")</f>
        <v>0.289452110944118</v>
      </c>
      <c r="BM271" s="285">
        <f>IF(ISNUMBER(BM268),IFERROR(-BM268/BM112,""),"")</f>
        <v>0.481940509915014</v>
      </c>
      <c r="BN271" s="285">
        <f>IF(ISNUMBER(BN268),IFERROR(-BN268/BN112,""),"")</f>
        <v>2.80918306499702</v>
      </c>
      <c r="BO271" s="285">
        <f>IF(ISNUMBER(BO268),IFERROR(-BO268/BO112,""),"")</f>
        <v>1.99400104329682</v>
      </c>
      <c r="BP271" s="285">
        <f>IF(ISNUMBER(BP268),IFERROR(-BP268/BP112,""),"")</f>
        <v>1.86710353866317</v>
      </c>
      <c r="BQ271" s="285">
        <f>IF(ISNUMBER(BQ268),IFERROR(-BQ268/BQ112,""),"")</f>
        <v>1.84790627034064</v>
      </c>
      <c r="BR271" s="285">
        <f>IF(ISNUMBER(BR268),IFERROR(-BR268/BR112,""),"")</f>
        <v>2.02857142857143</v>
      </c>
      <c r="BS271" s="285">
        <f>IF(ISNUMBER(BS268),IFERROR(-BS268/BS112,""),"")</f>
        <v>2.76046852122987</v>
      </c>
      <c r="BT271" s="285">
        <f>IF(ISNUMBER(BT268),IFERROR(-BT268/BT112,""),"")</f>
        <v>2.50791258477769</v>
      </c>
      <c r="BU271" s="285">
        <f>IF(ISNUMBER(BU268),IFERROR(-BU268/BU112,""),"")</f>
        <v>3.18950509823427</v>
      </c>
      <c r="BV271" s="285">
        <f>IF(ISNUMBER(BV268),IFERROR(-BV268/BV112,""),"")</f>
        <v>2.6355671482076</v>
      </c>
      <c r="BW271" s="285">
        <f>IF(ISNUMBER(BW268),IFERROR(-BW268/BW112,""),"")</f>
        <v>2.16728902165795</v>
      </c>
      <c r="BX271" s="285">
        <f>IF(ISNUMBER(BX268),IFERROR(-BX268/BX112,""),"")</f>
        <v>2.32561728395062</v>
      </c>
      <c r="BY271" s="285">
        <f>IF(ISNUMBER(BY268),IFERROR(-BY268/BY112,""),"")</f>
        <v>2.39402560455192</v>
      </c>
      <c r="BZ271" s="35" t="n"/>
      <c r="CA271" s="286">
        <f>IF(ISNUMBER(CA268),IFERROR(-CA268/CA112,""),"")</f>
        <v>2.31054009620654</v>
      </c>
      <c r="CB271" s="286">
        <f>IF(ISNUMBER(CB268),IFERROR(-CB268/CB112,""),"")</f>
        <v>2</v>
      </c>
      <c r="CC271" s="286">
        <f>IF(ISNUMBER(CC268),IFERROR(-CC268/CC112,""),"")</f>
        <v>2</v>
      </c>
      <c r="CD271" s="286">
        <f>IF(ISNUMBER(CD268),IFERROR(-CD268/CD112,""),"")</f>
        <v>2</v>
      </c>
      <c r="CE271" s="286">
        <f>IF(ISNUMBER(CE268),IFERROR(-CE268/CE112,""),"")</f>
        <v>2</v>
      </c>
      <c r="CF271" s="286">
        <f>IF(ISNUMBER(CF268),IFERROR(-CF268/CF112,""),"")</f>
        <v>2</v>
      </c>
      <c r="CG271" s="19" t="n"/>
    </row>
    <row r="272" ht="15" customHeight="1" s="251">
      <c r="B272" s="25" t="inlineStr">
        <is>
          <t xml:space="preserve">  Taxes on net share settlement % of share-based compensation</t>
        </is>
      </c>
      <c r="C272" s="215">
        <f>IF(ISNUMBER(C247),IFERROR(-C247/C119,""),"")</f>
        <v>0</v>
      </c>
      <c r="D272" s="215">
        <f>IF(ISNUMBER(D247),IFERROR(-D247/D119,""),"")</f>
        <v>0</v>
      </c>
      <c r="E272" s="215">
        <f>IF(ISNUMBER(E247),IFERROR(-E247/E119,""),"")</f>
        <v>0</v>
      </c>
      <c r="F272" s="215">
        <f>IF(ISNUMBER(F247),IFERROR(-F247/F119,""),"")</f>
        <v>0</v>
      </c>
      <c r="G272" s="215">
        <f>IF(ISNUMBER(G247),IFERROR(-G247/G119,""),"")</f>
        <v>0</v>
      </c>
      <c r="H272" s="215">
        <f>IF(ISNUMBER(H247),IFERROR(-H247/H119,""),"")</f>
        <v>0</v>
      </c>
      <c r="I272" s="215">
        <f>IF(ISNUMBER(I247),IFERROR(-I247/I119,""),"")</f>
        <v>0</v>
      </c>
      <c r="J272" s="215">
        <f>IF(ISNUMBER(J247),IFERROR(-J247/J119,""),"")</f>
        <v>0</v>
      </c>
      <c r="K272" s="215">
        <f>IF(ISNUMBER(K247),IFERROR(-K247/K119,""),"")</f>
        <v>0</v>
      </c>
      <c r="L272" s="215">
        <f>IF(ISNUMBER(L247),IFERROR(-L247/L119,""),"")</f>
        <v>0</v>
      </c>
      <c r="M272" s="215">
        <f>IF(ISNUMBER(M247),IFERROR(-M247/M119,""),"")</f>
        <v>0</v>
      </c>
      <c r="N272" s="215">
        <f>IF(ISNUMBER(N247),IFERROR(-N247/N119,""),"")</f>
        <v>0</v>
      </c>
      <c r="O272" s="215">
        <f>IF(ISNUMBER(O247),IFERROR(-O247/O119,""),"")</f>
        <v>0</v>
      </c>
      <c r="P272" s="215">
        <f>IF(ISNUMBER(P247),IFERROR(-P247/P119,""),"")</f>
        <v>0</v>
      </c>
      <c r="Q272" s="215">
        <f>IF(ISNUMBER(Q247),IFERROR(-Q247/Q119,""),"")</f>
        <v>0</v>
      </c>
      <c r="R272" s="215">
        <f>IF(ISNUMBER(R247),IFERROR(-R247/R119,""),"")</f>
        <v>0</v>
      </c>
      <c r="S272" s="215">
        <f>IF(ISNUMBER(S247),IFERROR(-S247/S119,""),"")</f>
        <v>0</v>
      </c>
      <c r="T272" s="215">
        <f>IF(ISNUMBER(T247),IFERROR(-T247/T119,""),"")</f>
        <v>1.70650443484194</v>
      </c>
      <c r="U272" s="215">
        <f>IF(ISNUMBER(U247),IFERROR(-U247/U119,""),"")</f>
        <v>0.0834604304355194</v>
      </c>
      <c r="V272" s="215">
        <f>IF(ISNUMBER(V247),IFERROR(-V247/V119,""),"")</f>
        <v>0.173434160775933</v>
      </c>
      <c r="W272" s="215">
        <f>IF(ISNUMBER(W247),IFERROR(-W247/W119,""),"")</f>
        <v>0.10832137733142</v>
      </c>
      <c r="X272" s="215">
        <f>IF(ISNUMBER(X247),IFERROR(-X247/X119,""),"")</f>
        <v>0.429526794385098</v>
      </c>
      <c r="Y272" s="215">
        <f>IF(ISNUMBER(Y247),IFERROR(-Y247/Y119,""),"")</f>
        <v>1.66408163265306</v>
      </c>
      <c r="Z272" s="215">
        <f>IF(ISNUMBER(Z247),IFERROR(-Z247/Z119,""),"")</f>
        <v>0.104338235294118</v>
      </c>
      <c r="AA272" s="215">
        <f>IF(ISNUMBER(AA247),IFERROR(-AA247/AA119,""),"")</f>
        <v>0.198672038197553</v>
      </c>
      <c r="AB272" s="215">
        <f>IF(ISNUMBER(AB247),IFERROR(-AB247/AB119,""),"")</f>
        <v>0.10220934444042</v>
      </c>
      <c r="AC272" s="215">
        <f>IF(ISNUMBER(AC247),IFERROR(-AC247/AC119,""),"")</f>
        <v>0.539642220180511</v>
      </c>
      <c r="AD272" s="215">
        <f>IF(ISNUMBER(AD247),IFERROR(-AD247/AD119,""),"")</f>
        <v>2.45182175080928</v>
      </c>
      <c r="AE272" s="215">
        <f>IF(ISNUMBER(AE247),IFERROR(-AE247/AE119,""),"")</f>
        <v>0.0894507884719957</v>
      </c>
      <c r="AF272" s="215">
        <f>IF(ISNUMBER(AF247),IFERROR(-AF247/AF119,""),"")</f>
        <v>0.168354872511352</v>
      </c>
      <c r="AG272" s="215">
        <f>IF(ISNUMBER(AG247),IFERROR(-AG247/AG119,""),"")</f>
        <v>0.0513690880289658</v>
      </c>
      <c r="AH272" s="215">
        <f>IF(ISNUMBER(AH247),IFERROR(-AH247/AH119,""),"")</f>
        <v>0.65714939074189</v>
      </c>
      <c r="AI272" s="215">
        <f>IF(ISNUMBER(AI247),IFERROR(-AI247/AI119,""),"")</f>
        <v>2.35414900060569</v>
      </c>
      <c r="AJ272" s="215">
        <f>IF(ISNUMBER(AJ247),IFERROR(-AJ247/AJ119,""),"")</f>
        <v>0.0821768283174801</v>
      </c>
      <c r="AK272" s="215">
        <f>IF(ISNUMBER(AK247),IFERROR(-AK247/AK119,""),"")</f>
        <v>0.128369432823174</v>
      </c>
      <c r="AL272" s="215">
        <f>IF(ISNUMBER(AL247),IFERROR(-AL247/AL119,""),"")</f>
        <v>0.066045682009612</v>
      </c>
      <c r="AM272" s="215">
        <f>IF(ISNUMBER(AM247),IFERROR(-AM247/AM119,""),"")</f>
        <v>0.590865346058224</v>
      </c>
      <c r="AN272" s="215">
        <f>IF(ISNUMBER(AN247),IFERROR(-AN247/AN119,""),"")</f>
        <v>1.96700832799488</v>
      </c>
      <c r="AO272" s="215">
        <f>IF(ISNUMBER(AO247),IFERROR(-AO247/AO119,""),"")</f>
        <v>0.267698466946587</v>
      </c>
      <c r="AP272" s="215">
        <f>IF(ISNUMBER(AP247),IFERROR(-AP247/AP119,""),"")</f>
        <v>0.139729522837459</v>
      </c>
      <c r="AQ272" s="215">
        <f>IF(ISNUMBER(AQ247),IFERROR(-AQ247/AQ119,""),"")</f>
        <v>0.0849729113202167</v>
      </c>
      <c r="AR272" s="215">
        <f>IF(ISNUMBER(AR247),IFERROR(-AR247/AR119,""),"")</f>
        <v>0.638713798464561</v>
      </c>
      <c r="AS272" s="215">
        <f>IF(ISNUMBER(AS247),IFERROR(-AS247/AS119,""),"")</f>
        <v>3.71773601209765</v>
      </c>
      <c r="AT272" s="215">
        <f>IF(ISNUMBER(AT247),IFERROR(-AT247/AT119,""),"")</f>
        <v>0.480647709320695</v>
      </c>
      <c r="AU272" s="215">
        <f>IF(ISNUMBER(AU247),IFERROR(-AU247/AU119,""),"")</f>
        <v>0.137756018684872</v>
      </c>
      <c r="AV272" s="215">
        <f>IF(ISNUMBER(AV247),IFERROR(-AV247/AV119,""),"")</f>
        <v>0.111285512478418</v>
      </c>
      <c r="AW272" s="215">
        <f>IF(ISNUMBER(AW247),IFERROR(-AW247/AW119,""),"")</f>
        <v>1.0984404521728</v>
      </c>
      <c r="AX272" s="215">
        <f>IF(ISNUMBER(AX247),IFERROR(-AX247/AX119,""),"")</f>
        <v>3.40911984720675</v>
      </c>
      <c r="AY272" s="215">
        <f>IF(ISNUMBER(AY247),IFERROR(-AY247/AY119,""),"")</f>
        <v>0.0345671133801319</v>
      </c>
      <c r="AZ272" s="215">
        <f>IF(ISNUMBER(AZ247),IFERROR(-AZ247/AZ119,""),"")</f>
        <v>0.0688209095933162</v>
      </c>
      <c r="BA272" s="215">
        <f>IF(ISNUMBER(BA247),IFERROR(-BA247/BA119,""),"")</f>
        <v>0.100112842936737</v>
      </c>
      <c r="BB272" s="215">
        <f>IF(ISNUMBER(BB247),IFERROR(-BB247/BB119,""),"")</f>
        <v>0.814613585637177</v>
      </c>
      <c r="BC272" s="215">
        <f>IF(ISNUMBER(BC247),IFERROR(-BC247/BC119,""),"")</f>
        <v>1.57386705937479</v>
      </c>
      <c r="BD272" s="215">
        <f>IF(ISNUMBER(BD247),IFERROR(-BD247/BD119,""),"")</f>
        <v>0.0295317869415808</v>
      </c>
      <c r="BE272" s="215">
        <f>IF(ISNUMBER(BE247),IFERROR(-BE247/BE119,""),"")</f>
        <v>0.0412623909769169</v>
      </c>
      <c r="BF272" s="215">
        <f>IF(ISNUMBER(BF247),IFERROR(-BF247/BF119,""),"")</f>
        <v>0.0660527041942605</v>
      </c>
      <c r="BG272" s="215">
        <f>IF(ISNUMBER(BG247),IFERROR(-BG247/BG119,""),"")</f>
        <v>0.441610680074552</v>
      </c>
      <c r="BH272" s="215">
        <f>IF(ISNUMBER(BH247),IFERROR(-BH247/BH119,""),"")</f>
        <v>2.45320180459228</v>
      </c>
      <c r="BI272" s="215">
        <f>IF(ISNUMBER(BI247),IFERROR(-BI247/BI119,""),"")</f>
        <v>0.029830333049939</v>
      </c>
      <c r="BJ272" s="215">
        <f>IF(ISNUMBER(BJ247),IFERROR(-BJ247/BJ119,""),"")</f>
        <v>0.0536747992120018</v>
      </c>
      <c r="BK272" s="215">
        <f>IF(ISNUMBER(BK247),IFERROR(-BK247/BK119,""),"")</f>
        <v>0.0360735548581987</v>
      </c>
      <c r="BL272" s="215">
        <f>IF(ISNUMBER(BL247),IFERROR(-BL247/BL119,""),"")</f>
        <v>0.619094527925586</v>
      </c>
      <c r="BM272" s="215">
        <f>IF(ISNUMBER(BM247),IFERROR(-BM247/BM119,""),"")</f>
        <v>4.17783619433711</v>
      </c>
      <c r="BN272" s="215">
        <f>IF(ISNUMBER(BN247),IFERROR(-BN247/BN119,""),"")</f>
        <v>0.0528943805010156</v>
      </c>
      <c r="BO272" s="215">
        <f>IF(ISNUMBER(BO247),IFERROR(-BO247/BO119,""),"")</f>
        <v>0.0809944621185342</v>
      </c>
      <c r="BP272" s="215">
        <f>IF(ISNUMBER(BP247),IFERROR(-BP247/BP119,""),"")</f>
        <v>0.049147116202291</v>
      </c>
      <c r="BQ272" s="215">
        <f>IF(ISNUMBER(BQ247),IFERROR(-BQ247/BQ119,""),"")</f>
        <v>0.931403448898882</v>
      </c>
      <c r="BR272" s="215">
        <f>IF(ISNUMBER(BR247),IFERROR(-BR247/BR119,""),"")</f>
        <v>4.82427313425493</v>
      </c>
      <c r="BS272" s="215">
        <f>IF(ISNUMBER(BS247),IFERROR(-BS247/BS119,""),"")</f>
        <v>0.0576683291770574</v>
      </c>
      <c r="BT272" s="215">
        <f>IF(ISNUMBER(BT247),IFERROR(-BT247/BT119,""),"")</f>
        <v>0.111066062485094</v>
      </c>
      <c r="BU272" s="215">
        <f>IF(ISNUMBER(BU247),IFERROR(-BU247/BU119,""),"")</f>
        <v>0.0433923221841317</v>
      </c>
      <c r="BV272" s="215">
        <f>IF(ISNUMBER(BV247),IFERROR(-BV247/BV119,""),"")</f>
        <v>1.30590998742556</v>
      </c>
      <c r="BW272" s="215">
        <f>IF(ISNUMBER(BW247),IFERROR(-BW247/BW119,""),"")</f>
        <v>2.35783505387517</v>
      </c>
      <c r="BX272" s="215">
        <f>IF(ISNUMBER(BX247),IFERROR(-BX247/BX119,""),"")</f>
        <v>0.0306334142573383</v>
      </c>
      <c r="BY272" s="215">
        <f>IF(ISNUMBER(BY247),IFERROR(-BY247/BY119,""),"")</f>
        <v>0.105253100456708</v>
      </c>
      <c r="BZ272" s="24" t="n"/>
      <c r="CA272" s="256">
        <f>IF(ISNUMBER(CA247),IFERROR(-CA247/CA119,""),"")</f>
        <v>0.618451146215627</v>
      </c>
      <c r="CB272" s="265" t="n">
        <v>0.5</v>
      </c>
      <c r="CC272" s="265" t="n">
        <v>0.5</v>
      </c>
      <c r="CD272" s="265" t="n">
        <v>0.5</v>
      </c>
      <c r="CE272" s="265" t="n">
        <v>0.5</v>
      </c>
      <c r="CF272" s="265" t="n">
        <v>0.5</v>
      </c>
      <c r="CG272" s="153" t="inlineStr">
        <is>
          <t>FY2023 62%, FY2024 93%, FY2025 131% (share price at vesting). Input (assumption).</t>
        </is>
      </c>
    </row>
    <row r="273" ht="15" customHeight="1" s="251">
      <c r="CO273" s="11" t="n"/>
      <c r="CP273" s="12" t="n"/>
      <c r="CQ273" s="12" t="n"/>
      <c r="CR273" s="12" t="n"/>
      <c r="CS273" s="13" t="n"/>
    </row>
    <row r="274" ht="15" customHeight="1" s="251">
      <c r="B274" s="10" t="inlineStr">
        <is>
          <t>SHARE BUYBACK SCHEDULE</t>
        </is>
      </c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inlineStr">
        <is>
          <t>SHARES — 2026E = Q4 from shares outstanding at 30-Jun-2026 (incl. the ASR final delivery); 2027E+ buybacks via the leverage plug</t>
        </is>
      </c>
    </row>
    <row r="275" ht="15" customHeight="1" s="251">
      <c r="B275" s="25" t="inlineStr">
        <is>
          <t xml:space="preserve">  Avg buyback price ($)</t>
        </is>
      </c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  <c r="AA275" s="34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34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34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5" t="n"/>
      <c r="CA275" s="287">
        <f>CA389</f>
        <v>740</v>
      </c>
      <c r="CB275" s="287">
        <f>CA275*(1+CB326)</f>
        <v>799.2</v>
      </c>
      <c r="CC275" s="287">
        <f>CB275*(1+CC326)</f>
        <v>863.136</v>
      </c>
      <c r="CD275" s="287">
        <f>CC275*(1+CD326)</f>
        <v>932.18688</v>
      </c>
      <c r="CE275" s="287">
        <f>CD275*(1+CE326)</f>
        <v>1006.7618304</v>
      </c>
      <c r="CF275" s="287">
        <f>CE275*(1+CF326)</f>
        <v>1087.302776832</v>
      </c>
      <c r="CG275" s="19" t="inlineStr">
        <is>
          <t>Q4/26E at the share-price input (Q3 FY26 average repurchase price $1,148.84); 2027E+ grows at the appreciation input.</t>
        </is>
      </c>
    </row>
    <row r="276" ht="15" customHeight="1" s="251">
      <c r="B276" s="25" t="inlineStr">
        <is>
          <t xml:space="preserve">  Buyback cash deployed (USDm; 2026E = Q4)</t>
        </is>
      </c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  <c r="AA276" s="34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34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34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5" t="n"/>
      <c r="CA276" s="268">
        <f>CHOOSE(MATCH($CG$2,{"Bull","Base","Bear"},0),$CP$16,$CQ$16,$CR$16)</f>
        <v>300</v>
      </c>
      <c r="CB276" s="268">
        <f>-CB244</f>
        <v>1035.29299572822</v>
      </c>
      <c r="CC276" s="268">
        <f>-CC244</f>
        <v>1827.99013489306</v>
      </c>
      <c r="CD276" s="268">
        <f>-CD244</f>
        <v>1912.25464054385</v>
      </c>
      <c r="CE276" s="268">
        <f>-CE244</f>
        <v>1996.47631677561</v>
      </c>
      <c r="CF276" s="268">
        <f>-CF244</f>
        <v>2106.01246486777</v>
      </c>
      <c r="CG276" s="19" t="n"/>
    </row>
    <row r="277" ht="15" customHeight="1" s="251">
      <c r="B277" s="25" t="inlineStr">
        <is>
          <t xml:space="preserve">  Implied shares repurchased (m)</t>
        </is>
      </c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  <c r="AA277" s="34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34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34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5" t="n"/>
      <c r="CA277" s="287">
        <f>IFERROR(CA276/CA275,0)</f>
        <v>0.405405405405405</v>
      </c>
      <c r="CB277" s="287">
        <f>IFERROR(CB276/CB275,0)</f>
        <v>1.29541165631659</v>
      </c>
      <c r="CC277" s="287">
        <f>IFERROR(CC276/CC275,0)</f>
        <v>2.11784716996285</v>
      </c>
      <c r="CD277" s="287">
        <f>IFERROR(CD276/CD275,0)</f>
        <v>2.05136403608668</v>
      </c>
      <c r="CE277" s="287">
        <f>IFERROR(CE276/CE275,0)</f>
        <v>1.98306715301511</v>
      </c>
      <c r="CF277" s="287">
        <f>IFERROR(CF276/CF275,0)</f>
        <v>1.93691445450357</v>
      </c>
      <c r="CG277" s="19" t="n"/>
    </row>
    <row r="278" ht="15" customHeight="1" s="251">
      <c r="B278" s="25" t="inlineStr">
        <is>
          <t xml:space="preserve">  ASR final delivery (m shares; prepaid in June 2026, no cash)</t>
        </is>
      </c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  <c r="AV278" s="36" t="n"/>
      <c r="AW278" s="36" t="n"/>
      <c r="AX278" s="36" t="n"/>
      <c r="AY278" s="36" t="n"/>
      <c r="AZ278" s="36" t="n"/>
      <c r="BA278" s="36" t="n"/>
      <c r="BB278" s="36" t="n"/>
      <c r="BC278" s="36" t="n"/>
      <c r="BD278" s="36" t="n"/>
      <c r="BE278" s="36" t="n"/>
      <c r="BF278" s="36" t="n"/>
      <c r="BG278" s="36" t="n"/>
      <c r="BH278" s="36" t="n"/>
      <c r="BI278" s="36" t="n"/>
      <c r="BJ278" s="36" t="n"/>
      <c r="BK278" s="36" t="n"/>
      <c r="BL278" s="36" t="n"/>
      <c r="BM278" s="36" t="n"/>
      <c r="BN278" s="36" t="n"/>
      <c r="BO278" s="36" t="n"/>
      <c r="BP278" s="36" t="n"/>
      <c r="BQ278" s="36" t="n"/>
      <c r="BR278" s="36" t="n"/>
      <c r="BS278" s="36" t="n"/>
      <c r="BT278" s="36" t="n"/>
      <c r="BU278" s="36" t="n"/>
      <c r="BV278" s="36" t="n"/>
      <c r="BW278" s="36" t="n"/>
      <c r="BX278" s="36" t="n"/>
      <c r="BY278" s="36" t="n"/>
      <c r="BZ278" s="24" t="n"/>
      <c r="CA278" s="288" t="n">
        <v>0.264</v>
      </c>
      <c r="CB278" s="288" t="n">
        <v>0</v>
      </c>
      <c r="CC278" s="288" t="n">
        <v>0</v>
      </c>
      <c r="CD278" s="288" t="n">
        <v>0</v>
      </c>
      <c r="CE278" s="288" t="n">
        <v>0</v>
      </c>
      <c r="CF278" s="288" t="n">
        <v>0</v>
      </c>
      <c r="CG278" s="19" t="inlineStr">
        <is>
          <t>$1.5bn ASR (5-Jun-2026): 1,055,103 initial shares ≈ 80% of the expected total; the remaining ~20% (≈0.264m) is assumed delivered at settlement in Q4 FY26 at the initial reference price (assumption; final count set by the VWAP).</t>
        </is>
      </c>
    </row>
    <row r="279" ht="15" customHeight="1" s="251">
      <c r="B279" s="25" t="inlineStr">
        <is>
          <t xml:space="preserve">  Shares issued under equity plans (m)</t>
        </is>
      </c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  <c r="AV279" s="36" t="n"/>
      <c r="AW279" s="36" t="n"/>
      <c r="AX279" s="36" t="n"/>
      <c r="AY279" s="36" t="n"/>
      <c r="AZ279" s="36" t="n"/>
      <c r="BA279" s="36" t="n"/>
      <c r="BB279" s="36" t="n"/>
      <c r="BC279" s="36" t="n"/>
      <c r="BD279" s="36" t="n"/>
      <c r="BE279" s="36" t="n"/>
      <c r="BF279" s="36" t="n"/>
      <c r="BG279" s="36" t="n"/>
      <c r="BH279" s="36" t="n"/>
      <c r="BI279" s="36" t="n"/>
      <c r="BJ279" s="36" t="n"/>
      <c r="BK279" s="36" t="n"/>
      <c r="BL279" s="36" t="n"/>
      <c r="BM279" s="36" t="n"/>
      <c r="BN279" s="36" t="n"/>
      <c r="BO279" s="36" t="n"/>
      <c r="BP279" s="36" t="n"/>
      <c r="BQ279" s="36" t="n"/>
      <c r="BR279" s="36" t="n"/>
      <c r="BS279" s="36" t="n"/>
      <c r="BT279" s="36" t="n"/>
      <c r="BU279" s="36" t="n"/>
      <c r="BV279" s="36" t="n"/>
      <c r="BW279" s="36" t="n"/>
      <c r="BX279" s="36" t="n"/>
      <c r="BY279" s="36" t="n"/>
      <c r="BZ279" s="24" t="n"/>
      <c r="CA279" s="288" t="n">
        <v>0.02</v>
      </c>
      <c r="CB279" s="288" t="n">
        <v>0.15</v>
      </c>
      <c r="CC279" s="288" t="n">
        <v>0.15</v>
      </c>
      <c r="CD279" s="288" t="n">
        <v>0.15</v>
      </c>
      <c r="CE279" s="288" t="n">
        <v>0.15</v>
      </c>
      <c r="CF279" s="288" t="n">
        <v>0.15</v>
      </c>
      <c r="CG279" s="19" t="n"/>
    </row>
    <row r="280" ht="15" customHeight="1" s="251">
      <c r="B280" s="25" t="inlineStr">
        <is>
          <t xml:space="preserve">  Beginning shares outstanding (m)</t>
        </is>
      </c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  <c r="AA280" s="34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34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34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5" t="n"/>
      <c r="CA280" s="254">
        <f>BY311</f>
        <v>21.597</v>
      </c>
      <c r="CB280" s="254">
        <f>CA281</f>
        <v>20.9475945945946</v>
      </c>
      <c r="CC280" s="254">
        <f>CB281</f>
        <v>19.802182938278</v>
      </c>
      <c r="CD280" s="254">
        <f>CC281</f>
        <v>17.8343357683152</v>
      </c>
      <c r="CE280" s="254">
        <f>CD281</f>
        <v>15.9329717322285</v>
      </c>
      <c r="CF280" s="254">
        <f>CE281</f>
        <v>14.0999045792134</v>
      </c>
      <c r="CG280" s="19" t="inlineStr">
        <is>
          <t>2026E begins from shares outstanding at 30-Jun-2026 (21.597m, Q3 FY26 10-Q).</t>
        </is>
      </c>
    </row>
    <row r="281" ht="15" customHeight="1" s="251">
      <c r="B281" s="25" t="inlineStr">
        <is>
          <t xml:space="preserve">  Ending shares outstanding (m)</t>
        </is>
      </c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  <c r="AA281" s="34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34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34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5" t="n"/>
      <c r="CA281" s="254">
        <f>CA280-CA277-CA278+CA279</f>
        <v>20.9475945945946</v>
      </c>
      <c r="CB281" s="254">
        <f>CB280-CB277-CB278+CB279</f>
        <v>19.802182938278</v>
      </c>
      <c r="CC281" s="254">
        <f>CC280-CC277-CC278+CC279</f>
        <v>17.8343357683152</v>
      </c>
      <c r="CD281" s="254">
        <f>CD280-CD277-CD278+CD279</f>
        <v>15.9329717322285</v>
      </c>
      <c r="CE281" s="254">
        <f>CE280-CE277-CE278+CE279</f>
        <v>14.0999045792134</v>
      </c>
      <c r="CF281" s="254">
        <f>CF280-CF277-CF278+CF279</f>
        <v>12.3129901247098</v>
      </c>
      <c r="CG281" s="19" t="n"/>
    </row>
    <row r="282" ht="15" customHeight="1" s="251">
      <c r="B282" s="25" t="inlineStr">
        <is>
          <t xml:space="preserve">  % of shares repurchased</t>
        </is>
      </c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  <c r="AV282" s="36" t="n"/>
      <c r="AW282" s="36" t="n"/>
      <c r="AX282" s="36" t="n"/>
      <c r="AY282" s="36" t="n"/>
      <c r="AZ282" s="36" t="n"/>
      <c r="BA282" s="36" t="n"/>
      <c r="BB282" s="36" t="n"/>
      <c r="BC282" s="36" t="n"/>
      <c r="BD282" s="36" t="n"/>
      <c r="BE282" s="36" t="n"/>
      <c r="BF282" s="36" t="n"/>
      <c r="BG282" s="36" t="n"/>
      <c r="BH282" s="36" t="n"/>
      <c r="BI282" s="36" t="n"/>
      <c r="BJ282" s="36" t="n"/>
      <c r="BK282" s="36" t="n"/>
      <c r="BL282" s="36" t="n"/>
      <c r="BM282" s="36" t="n"/>
      <c r="BN282" s="36" t="n"/>
      <c r="BO282" s="36" t="n"/>
      <c r="BP282" s="36" t="n"/>
      <c r="BQ282" s="36" t="n"/>
      <c r="BR282" s="36" t="n"/>
      <c r="BS282" s="36" t="n"/>
      <c r="BT282" s="36" t="n"/>
      <c r="BU282" s="36" t="n"/>
      <c r="BV282" s="36" t="n"/>
      <c r="BW282" s="36" t="n"/>
      <c r="BX282" s="36" t="n"/>
      <c r="BY282" s="36" t="n"/>
      <c r="BZ282" s="24" t="n"/>
      <c r="CA282" s="256">
        <f>IFERROR((CA277+CA278)/CA280,0)</f>
        <v>0.0309952958931984</v>
      </c>
      <c r="CB282" s="256">
        <f>IF(AND(ISNUMBER(CB277),ISNUMBER(CB280)),IFERROR(CB277/CB280,""),"")</f>
        <v>0.0618405922678523</v>
      </c>
      <c r="CC282" s="256">
        <f>IF(AND(ISNUMBER(CC277),ISNUMBER(CC280)),IFERROR(CC277/CC280,""),"")</f>
        <v>0.106950187086143</v>
      </c>
      <c r="CD282" s="256">
        <f>IF(AND(ISNUMBER(CD277),ISNUMBER(CD280)),IFERROR(CD277/CD280,""),"")</f>
        <v>0.115023293423194</v>
      </c>
      <c r="CE282" s="256">
        <f>IF(AND(ISNUMBER(CE277),ISNUMBER(CE280)),IFERROR(CE277/CE280,""),"")</f>
        <v>0.124463106214132</v>
      </c>
      <c r="CF282" s="256">
        <f>IF(AND(ISNUMBER(CF277),ISNUMBER(CF280)),IFERROR(CF277/CF280,""),"")</f>
        <v>0.137370749115497</v>
      </c>
      <c r="CG282" s="153" t="n"/>
    </row>
    <row r="283" ht="15" customHeight="1" s="251">
      <c r="B283" s="156" t="inlineStr">
        <is>
          <t xml:space="preserve">  Memo: cumulative shares repurchased since Q4/26 (m)</t>
        </is>
      </c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  <c r="AA283" s="34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34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34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153" t="n"/>
      <c r="CA283" s="274">
        <f>CA277+CA278</f>
        <v>0.669405405405406</v>
      </c>
      <c r="CB283" s="274">
        <f>CA283+CB277</f>
        <v>1.964817061722</v>
      </c>
      <c r="CC283" s="274">
        <f>CB283+CC277</f>
        <v>4.08266423168485</v>
      </c>
      <c r="CD283" s="274">
        <f>CC283+CD277</f>
        <v>6.13402826777153</v>
      </c>
      <c r="CE283" s="274">
        <f>CD283+CE277</f>
        <v>8.11709542078664</v>
      </c>
      <c r="CF283" s="274">
        <f>CE283+CF277</f>
        <v>10.0540098752902</v>
      </c>
      <c r="CG283" s="153" t="n"/>
    </row>
    <row r="284" ht="15" customHeight="1" s="251">
      <c r="CO284" s="11" t="n"/>
      <c r="CP284" s="12" t="n"/>
      <c r="CQ284" s="12" t="n"/>
      <c r="CR284" s="12" t="n"/>
      <c r="CS284" s="13" t="n"/>
    </row>
    <row r="285" ht="15" customHeight="1" s="251">
      <c r="B285" s="10" t="inlineStr">
        <is>
          <t>CONDENSED CONSOLIDATED BALANCE SHEET (as in the releases)</t>
        </is>
      </c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  <c r="AU285" s="10" t="n"/>
      <c r="AV285" s="10" t="n"/>
      <c r="AW285" s="10" t="n"/>
      <c r="AX285" s="10" t="n"/>
      <c r="AY285" s="10" t="n"/>
      <c r="AZ285" s="10" t="n"/>
      <c r="BA285" s="10" t="n"/>
      <c r="BB285" s="10" t="n"/>
      <c r="BC285" s="10" t="n"/>
      <c r="BD285" s="10" t="n"/>
      <c r="BE285" s="10" t="n"/>
      <c r="BF285" s="10" t="n"/>
      <c r="BG285" s="10" t="n"/>
      <c r="BH285" s="10" t="n"/>
      <c r="BI285" s="10" t="n"/>
      <c r="BJ285" s="10" t="n"/>
      <c r="BK285" s="10" t="n"/>
      <c r="BL285" s="10" t="n"/>
      <c r="BM285" s="10" t="n"/>
      <c r="BN285" s="10" t="n"/>
      <c r="BO285" s="10" t="n"/>
      <c r="BP285" s="10" t="n"/>
      <c r="BQ285" s="10" t="n"/>
      <c r="BR285" s="10" t="n"/>
      <c r="BS285" s="10" t="n"/>
      <c r="BT285" s="10" t="n"/>
      <c r="BU285" s="10" t="n"/>
      <c r="BV285" s="10" t="n"/>
      <c r="BW285" s="10" t="n"/>
      <c r="BX285" s="10" t="n"/>
      <c r="BY285" s="10" t="n"/>
      <c r="BZ285" s="10" t="n"/>
      <c r="CA285" s="10" t="n"/>
      <c r="CB285" s="10" t="n"/>
      <c r="CC285" s="10" t="n"/>
      <c r="CD285" s="10" t="n"/>
      <c r="CE285" s="10" t="n"/>
      <c r="CF285" s="10" t="n"/>
      <c r="CG285" s="10" t="inlineStr">
        <is>
          <t>BS FORECAST — 2026E rolled forward from the 30-Jun-2026 balance sheet + Q4 flows; 2027E+ from prior year end</t>
        </is>
      </c>
    </row>
    <row r="286" ht="15" customHeight="1" s="251">
      <c r="B286" s="25" t="inlineStr">
        <is>
          <t>ASSETS</t>
        </is>
      </c>
      <c r="CG286" s="153" t="n"/>
    </row>
    <row r="287" ht="15" customHeight="1" s="251">
      <c r="B287" s="25" t="inlineStr">
        <is>
          <t xml:space="preserve">  Cash and cash equivalents</t>
        </is>
      </c>
      <c r="C287" s="253" t="n">
        <v>75.154</v>
      </c>
      <c r="D287" s="253" t="n">
        <v>95.28400000000001</v>
      </c>
      <c r="E287" s="253" t="n">
        <v>129.678</v>
      </c>
      <c r="F287" s="253" t="n">
        <v>178.157</v>
      </c>
      <c r="G287" s="253" t="n">
        <v>146.199</v>
      </c>
      <c r="H287" s="253" t="n">
        <v>135.752</v>
      </c>
      <c r="I287" s="253" t="n">
        <v>71.60899999999999</v>
      </c>
      <c r="J287" s="253" t="n">
        <v>90.839</v>
      </c>
      <c r="K287" s="253" t="n">
        <v>131.15</v>
      </c>
      <c r="L287" s="253" t="n">
        <v>93.01900000000001</v>
      </c>
      <c r="M287" s="253" t="n">
        <v>83.178</v>
      </c>
      <c r="N287" s="253" t="n">
        <v>83.178</v>
      </c>
      <c r="O287" s="253" t="n">
        <v>95.937</v>
      </c>
      <c r="P287" s="253" t="n">
        <v>108.176</v>
      </c>
      <c r="Q287" s="253" t="n">
        <v>93.10899999999999</v>
      </c>
      <c r="R287" s="253" t="n">
        <v>105.075</v>
      </c>
      <c r="S287" s="253" t="n">
        <v>105.075</v>
      </c>
      <c r="T287" s="253" t="n">
        <v>94.651</v>
      </c>
      <c r="U287" s="253" t="n">
        <v>86.84099999999999</v>
      </c>
      <c r="V287" s="253" t="n">
        <v>84.358</v>
      </c>
      <c r="W287" s="253" t="n">
        <v>86.12</v>
      </c>
      <c r="X287" s="253" t="n">
        <v>86.12</v>
      </c>
      <c r="Y287" s="253" t="n">
        <v>90.70999999999999</v>
      </c>
      <c r="Z287" s="253" t="n">
        <v>85.374</v>
      </c>
      <c r="AA287" s="253" t="n">
        <v>118.155</v>
      </c>
      <c r="AB287" s="253" t="n">
        <v>75.926</v>
      </c>
      <c r="AC287" s="253" t="n">
        <v>75.926</v>
      </c>
      <c r="AD287" s="253" t="n">
        <v>88.101</v>
      </c>
      <c r="AE287" s="253" t="n">
        <v>115.848</v>
      </c>
      <c r="AF287" s="253" t="n">
        <v>130.667</v>
      </c>
      <c r="AG287" s="253" t="n">
        <v>105.618</v>
      </c>
      <c r="AH287" s="253" t="n">
        <v>105.618</v>
      </c>
      <c r="AI287" s="253" t="n">
        <v>94.21299999999999</v>
      </c>
      <c r="AJ287" s="253" t="n">
        <v>107.868</v>
      </c>
      <c r="AK287" s="253" t="n">
        <v>119.929</v>
      </c>
      <c r="AL287" s="253" t="n">
        <v>90.023</v>
      </c>
      <c r="AM287" s="253" t="n">
        <v>90.023</v>
      </c>
      <c r="AN287" s="253" t="n">
        <v>79.896</v>
      </c>
      <c r="AO287" s="253" t="n">
        <v>76.88500000000001</v>
      </c>
      <c r="AP287" s="253" t="n">
        <v>78.80800000000001</v>
      </c>
      <c r="AQ287" s="253" t="n">
        <v>106.426</v>
      </c>
      <c r="AR287" s="253" t="n">
        <v>106.426</v>
      </c>
      <c r="AS287" s="253" t="n">
        <v>111.216</v>
      </c>
      <c r="AT287" s="253" t="n">
        <v>108.966</v>
      </c>
      <c r="AU287" s="253" t="n">
        <v>125.673</v>
      </c>
      <c r="AV287" s="253" t="n">
        <v>157.394</v>
      </c>
      <c r="AW287" s="253" t="n">
        <v>157.394</v>
      </c>
      <c r="AX287" s="253" t="n">
        <v>144.662</v>
      </c>
      <c r="AY287" s="253" t="n">
        <v>197.836</v>
      </c>
      <c r="AZ287" s="253" t="n">
        <v>237.612</v>
      </c>
      <c r="BA287" s="253" t="n">
        <v>195.354</v>
      </c>
      <c r="BB287" s="253" t="n">
        <v>195.354</v>
      </c>
      <c r="BC287" s="253" t="n">
        <v>162.157</v>
      </c>
      <c r="BD287" s="253" t="n">
        <v>174.219</v>
      </c>
      <c r="BE287" s="253" t="n">
        <v>155.062</v>
      </c>
      <c r="BF287" s="253" t="n">
        <v>133.202</v>
      </c>
      <c r="BG287" s="253" t="n">
        <v>133.202</v>
      </c>
      <c r="BH287" s="253" t="n">
        <v>139.856</v>
      </c>
      <c r="BI287" s="253" t="n">
        <v>137.771</v>
      </c>
      <c r="BJ287" s="253" t="n">
        <v>163.022</v>
      </c>
      <c r="BK287" s="253" t="n">
        <v>136.778</v>
      </c>
      <c r="BL287" s="253" t="n">
        <v>136.778</v>
      </c>
      <c r="BM287" s="253" t="n">
        <v>160.421</v>
      </c>
      <c r="BN287" s="253" t="n">
        <v>135.667</v>
      </c>
      <c r="BO287" s="253" t="n">
        <v>156.043</v>
      </c>
      <c r="BP287" s="253" t="n">
        <v>150.667</v>
      </c>
      <c r="BQ287" s="253" t="n">
        <v>150.667</v>
      </c>
      <c r="BR287" s="253" t="n">
        <v>184.254</v>
      </c>
      <c r="BS287" s="253" t="n">
        <v>146.641</v>
      </c>
      <c r="BT287" s="253" t="n">
        <v>189.049</v>
      </c>
      <c r="BU287" s="253" t="n">
        <v>134.136</v>
      </c>
      <c r="BV287" s="253" t="n">
        <v>134.136</v>
      </c>
      <c r="BW287" s="253" t="n">
        <v>162.034</v>
      </c>
      <c r="BX287" s="253" t="n">
        <v>219.419</v>
      </c>
      <c r="BY287" s="253" t="n">
        <v>248.444</v>
      </c>
      <c r="BZ287" s="35" t="n"/>
      <c r="CA287" s="254">
        <f>CA254</f>
        <v>150</v>
      </c>
      <c r="CB287" s="254">
        <f>CB254</f>
        <v>150</v>
      </c>
      <c r="CC287" s="254">
        <f>CC254</f>
        <v>150</v>
      </c>
      <c r="CD287" s="254">
        <f>CD254</f>
        <v>150</v>
      </c>
      <c r="CE287" s="254">
        <f>CE254</f>
        <v>150</v>
      </c>
      <c r="CF287" s="254">
        <f>CF254</f>
        <v>150</v>
      </c>
      <c r="CG287" s="19" t="n"/>
    </row>
    <row r="288" ht="15" customHeight="1" s="251">
      <c r="B288" s="25" t="inlineStr">
        <is>
          <t xml:space="preserve">  Marketable securities (current and noncurrent)</t>
        </is>
      </c>
      <c r="C288" s="253" t="n">
        <v>0</v>
      </c>
      <c r="D288" s="253" t="n">
        <v>0</v>
      </c>
      <c r="E288" s="253" t="n">
        <v>0</v>
      </c>
      <c r="F288" s="253" t="n">
        <v>0</v>
      </c>
      <c r="G288" s="253" t="n">
        <v>0</v>
      </c>
      <c r="H288" s="253" t="n">
        <v>0</v>
      </c>
      <c r="I288" s="253" t="n">
        <v>0</v>
      </c>
      <c r="J288" s="253" t="n">
        <v>16.529</v>
      </c>
      <c r="K288" s="253" t="n">
        <v>17.525</v>
      </c>
      <c r="L288" s="253" t="n">
        <v>17.817</v>
      </c>
      <c r="M288" s="253" t="n">
        <v>18.14</v>
      </c>
      <c r="N288" s="253" t="n">
        <v>18.14</v>
      </c>
      <c r="O288" s="253" t="n">
        <v>18.709</v>
      </c>
      <c r="P288" s="253" t="n">
        <v>19.333</v>
      </c>
      <c r="Q288" s="253" t="n">
        <v>19.722</v>
      </c>
      <c r="R288" s="253" t="n">
        <v>19.784</v>
      </c>
      <c r="S288" s="253" t="n">
        <v>19.784</v>
      </c>
      <c r="T288" s="253" t="n">
        <v>20.488</v>
      </c>
      <c r="U288" s="253" t="n">
        <v>20.664</v>
      </c>
      <c r="V288" s="253" t="n">
        <v>20.865</v>
      </c>
      <c r="W288" s="253" t="n">
        <v>20.525</v>
      </c>
      <c r="X288" s="253" t="n">
        <v>20.525</v>
      </c>
      <c r="Y288" s="253" t="n">
        <v>20.62</v>
      </c>
      <c r="Z288" s="253" t="n">
        <v>21.309</v>
      </c>
      <c r="AA288" s="253" t="n">
        <v>21.565</v>
      </c>
      <c r="AB288" s="253" t="n">
        <v>21.936</v>
      </c>
      <c r="AC288" s="253" t="n">
        <v>21.936</v>
      </c>
      <c r="AD288" s="253" t="n">
        <v>23.182</v>
      </c>
      <c r="AE288" s="253" t="n">
        <v>23.144</v>
      </c>
      <c r="AF288" s="253" t="n">
        <v>24.746</v>
      </c>
      <c r="AG288" s="253" t="n">
        <v>25.515</v>
      </c>
      <c r="AH288" s="253" t="n">
        <v>25.515</v>
      </c>
      <c r="AI288" s="253" t="n">
        <v>27.55</v>
      </c>
      <c r="AJ288" s="253" t="n">
        <v>27.912</v>
      </c>
      <c r="AK288" s="253" t="n">
        <v>28.641</v>
      </c>
      <c r="AL288" s="253" t="n">
        <v>19.756</v>
      </c>
      <c r="AM288" s="253" t="n">
        <v>19.756</v>
      </c>
      <c r="AN288" s="253" t="n">
        <v>18.889</v>
      </c>
      <c r="AO288" s="253" t="n">
        <v>20.59</v>
      </c>
      <c r="AP288" s="253" t="n">
        <v>21.726</v>
      </c>
      <c r="AQ288" s="253" t="n">
        <v>21.865</v>
      </c>
      <c r="AR288" s="253" t="n">
        <v>21.865</v>
      </c>
      <c r="AS288" s="253" t="n">
        <v>25.388</v>
      </c>
      <c r="AT288" s="253" t="n">
        <v>21.138</v>
      </c>
      <c r="AU288" s="253" t="n">
        <v>25.136</v>
      </c>
      <c r="AV288" s="253" t="n">
        <v>26.573</v>
      </c>
      <c r="AW288" s="253" t="n">
        <v>26.573</v>
      </c>
      <c r="AX288" s="253" t="n">
        <v>29.782</v>
      </c>
      <c r="AY288" s="253" t="n">
        <v>31.777</v>
      </c>
      <c r="AZ288" s="253" t="n">
        <v>34.394</v>
      </c>
      <c r="BA288" s="253" t="n">
        <v>33.196</v>
      </c>
      <c r="BB288" s="253" t="n">
        <v>33.196</v>
      </c>
      <c r="BC288" s="253" t="n">
        <v>35.242</v>
      </c>
      <c r="BD288" s="253" t="n">
        <v>32.592</v>
      </c>
      <c r="BE288" s="253" t="n">
        <v>26.56</v>
      </c>
      <c r="BF288" s="253" t="n">
        <v>25.65</v>
      </c>
      <c r="BG288" s="253" t="n">
        <v>25.65</v>
      </c>
      <c r="BH288" s="253" t="n">
        <v>27.538</v>
      </c>
      <c r="BI288" s="253" t="n">
        <v>30.812</v>
      </c>
      <c r="BJ288" s="253" t="n">
        <v>33.3</v>
      </c>
      <c r="BK288" s="253" t="n">
        <v>34.237</v>
      </c>
      <c r="BL288" s="253" t="n">
        <v>34.237</v>
      </c>
      <c r="BM288" s="253" t="n">
        <v>38.213</v>
      </c>
      <c r="BN288" s="253" t="n">
        <v>42.659</v>
      </c>
      <c r="BO288" s="253" t="n">
        <v>44.034</v>
      </c>
      <c r="BP288" s="253" t="n">
        <v>45.289</v>
      </c>
      <c r="BQ288" s="253" t="n">
        <v>45.289</v>
      </c>
      <c r="BR288" s="253" t="n">
        <v>45.925</v>
      </c>
      <c r="BS288" s="253" t="n">
        <v>45.4</v>
      </c>
      <c r="BT288" s="253" t="n">
        <v>50.726</v>
      </c>
      <c r="BU288" s="253" t="n">
        <v>54.625</v>
      </c>
      <c r="BV288" s="253" t="n">
        <v>54.625</v>
      </c>
      <c r="BW288" s="253" t="n">
        <v>55.866</v>
      </c>
      <c r="BX288" s="253" t="n">
        <v>53.046</v>
      </c>
      <c r="BY288" s="253" t="n">
        <v>56.093</v>
      </c>
      <c r="BZ288" s="35" t="n"/>
      <c r="CA288" s="254">
        <f>BY288</f>
        <v>56.093</v>
      </c>
      <c r="CB288" s="254">
        <f>CA288</f>
        <v>56.093</v>
      </c>
      <c r="CC288" s="254">
        <f>CB288</f>
        <v>56.093</v>
      </c>
      <c r="CD288" s="254">
        <f>CC288</f>
        <v>56.093</v>
      </c>
      <c r="CE288" s="254">
        <f>CD288</f>
        <v>56.093</v>
      </c>
      <c r="CF288" s="254">
        <f>CE288</f>
        <v>56.093</v>
      </c>
      <c r="CG288" s="19" t="n"/>
    </row>
    <row r="289" ht="15" customHeight="1" s="251">
      <c r="B289" s="25" t="inlineStr">
        <is>
          <t xml:space="preserve">  Accounts receivable, net</t>
        </is>
      </c>
      <c r="C289" s="253" t="n">
        <v>165.806</v>
      </c>
      <c r="D289" s="253" t="n">
        <v>177.402</v>
      </c>
      <c r="E289" s="253" t="n">
        <v>141.571</v>
      </c>
      <c r="F289" s="253" t="n">
        <v>101.742</v>
      </c>
      <c r="G289" s="253" t="n">
        <v>113.187</v>
      </c>
      <c r="H289" s="253" t="n">
        <v>104.974</v>
      </c>
      <c r="I289" s="253" t="n">
        <v>142.595</v>
      </c>
      <c r="J289" s="253" t="n">
        <v>138.159</v>
      </c>
      <c r="K289" s="253" t="n">
        <v>132.906</v>
      </c>
      <c r="L289" s="253" t="n">
        <v>132.717</v>
      </c>
      <c r="M289" s="253" t="n">
        <v>143.733</v>
      </c>
      <c r="N289" s="253" t="n">
        <v>143.733</v>
      </c>
      <c r="O289" s="253" t="n">
        <v>141.112</v>
      </c>
      <c r="P289" s="253" t="n">
        <v>140.368</v>
      </c>
      <c r="Q289" s="253" t="n">
        <v>155.495</v>
      </c>
      <c r="R289" s="253" t="n">
        <v>155.295</v>
      </c>
      <c r="S289" s="253" t="n">
        <v>155.295</v>
      </c>
      <c r="T289" s="253" t="n">
        <v>147.123</v>
      </c>
      <c r="U289" s="253" t="n">
        <v>169.932</v>
      </c>
      <c r="V289" s="253" t="n">
        <v>147.304</v>
      </c>
      <c r="W289" s="253" t="n">
        <v>158.773</v>
      </c>
      <c r="X289" s="253" t="n">
        <v>158.773</v>
      </c>
      <c r="Y289" s="253" t="n">
        <v>139.078</v>
      </c>
      <c r="Z289" s="253" t="n">
        <v>155.207</v>
      </c>
      <c r="AA289" s="253" t="n">
        <v>155.196</v>
      </c>
      <c r="AB289" s="253" t="n">
        <v>167.786</v>
      </c>
      <c r="AC289" s="253" t="n">
        <v>167.786</v>
      </c>
      <c r="AD289" s="253" t="n">
        <v>155.714</v>
      </c>
      <c r="AE289" s="253" t="n">
        <v>141.394</v>
      </c>
      <c r="AF289" s="253" t="n">
        <v>140.265</v>
      </c>
      <c r="AG289" s="253" t="n">
        <v>168.586</v>
      </c>
      <c r="AH289" s="253" t="n">
        <v>168.586</v>
      </c>
      <c r="AI289" s="253" t="n">
        <v>164.66</v>
      </c>
      <c r="AJ289" s="253" t="n">
        <v>188.538</v>
      </c>
      <c r="AK289" s="253" t="n">
        <v>182.419</v>
      </c>
      <c r="AL289" s="253" t="n">
        <v>208.865</v>
      </c>
      <c r="AM289" s="253" t="n">
        <v>208.865</v>
      </c>
      <c r="AN289" s="253" t="n">
        <v>247.566</v>
      </c>
      <c r="AO289" s="253" t="n">
        <v>271.632</v>
      </c>
      <c r="AP289" s="253" t="n">
        <v>318.044</v>
      </c>
      <c r="AQ289" s="253" t="n">
        <v>297.427</v>
      </c>
      <c r="AR289" s="253" t="n">
        <v>297.427</v>
      </c>
      <c r="AS289" s="253" t="n">
        <v>281.64</v>
      </c>
      <c r="AT289" s="253" t="n">
        <v>307.307</v>
      </c>
      <c r="AU289" s="253" t="n">
        <v>303.558</v>
      </c>
      <c r="AV289" s="253" t="n">
        <v>334.18</v>
      </c>
      <c r="AW289" s="253" t="n">
        <v>334.18</v>
      </c>
      <c r="AX289" s="253" t="n">
        <v>310.626</v>
      </c>
      <c r="AY289" s="253" t="n">
        <v>264.804</v>
      </c>
      <c r="AZ289" s="253" t="n">
        <v>280.598</v>
      </c>
      <c r="BA289" s="253" t="n">
        <v>312.107</v>
      </c>
      <c r="BB289" s="253" t="n">
        <v>312.107</v>
      </c>
      <c r="BC289" s="253" t="n">
        <v>260.161</v>
      </c>
      <c r="BD289" s="253" t="n">
        <v>273.356</v>
      </c>
      <c r="BE289" s="253" t="n">
        <v>286.341</v>
      </c>
      <c r="BF289" s="253" t="n">
        <v>322.41</v>
      </c>
      <c r="BG289" s="253" t="n">
        <v>322.41</v>
      </c>
      <c r="BH289" s="253" t="n">
        <v>308.234</v>
      </c>
      <c r="BI289" s="253" t="n">
        <v>338.239</v>
      </c>
      <c r="BJ289" s="253" t="n">
        <v>384.024</v>
      </c>
      <c r="BK289" s="253" t="n">
        <v>387.947</v>
      </c>
      <c r="BL289" s="253" t="n">
        <v>387.947</v>
      </c>
      <c r="BM289" s="253" t="n">
        <v>367.478</v>
      </c>
      <c r="BN289" s="253" t="n">
        <v>469.025</v>
      </c>
      <c r="BO289" s="253" t="n">
        <v>437.637</v>
      </c>
      <c r="BP289" s="253" t="n">
        <v>426.642</v>
      </c>
      <c r="BQ289" s="253" t="n">
        <v>426.642</v>
      </c>
      <c r="BR289" s="253" t="n">
        <v>350.924</v>
      </c>
      <c r="BS289" s="253" t="n">
        <v>492.542</v>
      </c>
      <c r="BT289" s="253" t="n">
        <v>454.106</v>
      </c>
      <c r="BU289" s="253" t="n">
        <v>529.148</v>
      </c>
      <c r="BV289" s="253" t="n">
        <v>529.148</v>
      </c>
      <c r="BW289" s="253" t="n">
        <v>495.117</v>
      </c>
      <c r="BX289" s="253" t="n">
        <v>619.957</v>
      </c>
      <c r="BY289" s="253" t="n">
        <v>592.53</v>
      </c>
      <c r="BZ289" s="35" t="n"/>
      <c r="CA289" s="254">
        <f>CA314*CA315/365</f>
        <v>672.356164383562</v>
      </c>
      <c r="CB289" s="254">
        <f>CB314*CB315/365</f>
        <v>743.795285761881</v>
      </c>
      <c r="CC289" s="254">
        <f>CC314*CC315/365</f>
        <v>820.702423845804</v>
      </c>
      <c r="CD289" s="254">
        <f>CD314*CD315/365</f>
        <v>898.199555760363</v>
      </c>
      <c r="CE289" s="254">
        <f>CE314*CE315/365</f>
        <v>977.227447596966</v>
      </c>
      <c r="CF289" s="254">
        <f>CF314*CF315/365</f>
        <v>1056.75787761614</v>
      </c>
      <c r="CG289" s="19" t="n"/>
    </row>
    <row r="290" ht="15" customHeight="1" s="251">
      <c r="B290" s="25" t="inlineStr">
        <is>
          <t xml:space="preserve">  Prepaid expenses &amp; other current assets (derived)</t>
        </is>
      </c>
      <c r="C290" s="253" t="n">
        <v>172.35</v>
      </c>
      <c r="D290" s="253" t="n">
        <v>150.065</v>
      </c>
      <c r="E290" s="253" t="n">
        <v>80.453</v>
      </c>
      <c r="F290" s="253" t="n">
        <v>162.659</v>
      </c>
      <c r="G290" s="253" t="n">
        <v>87.789</v>
      </c>
      <c r="H290" s="253" t="n">
        <v>123.755</v>
      </c>
      <c r="I290" s="253" t="n">
        <v>45.121</v>
      </c>
      <c r="J290" s="253" t="n">
        <v>22.376</v>
      </c>
      <c r="K290" s="253" t="n">
        <v>21.174</v>
      </c>
      <c r="L290" s="253" t="n">
        <v>21.026</v>
      </c>
      <c r="M290" s="253" t="n">
        <v>22.277</v>
      </c>
      <c r="N290" s="253" t="n">
        <v>22.277</v>
      </c>
      <c r="O290" s="253" t="n">
        <v>20.639</v>
      </c>
      <c r="P290" s="253" t="n">
        <v>21.082</v>
      </c>
      <c r="Q290" s="253" t="n">
        <v>24.691</v>
      </c>
      <c r="R290" s="253" t="n">
        <v>28.157</v>
      </c>
      <c r="S290" s="253" t="n">
        <v>28.157</v>
      </c>
      <c r="T290" s="253" t="n">
        <v>38.096</v>
      </c>
      <c r="U290" s="253" t="n">
        <v>44.982</v>
      </c>
      <c r="V290" s="253" t="n">
        <v>37.428</v>
      </c>
      <c r="W290" s="253" t="n">
        <v>41.709</v>
      </c>
      <c r="X290" s="253" t="n">
        <v>41.709</v>
      </c>
      <c r="Y290" s="253" t="n">
        <v>57.757</v>
      </c>
      <c r="Z290" s="253" t="n">
        <v>36.005</v>
      </c>
      <c r="AA290" s="253" t="n">
        <v>22.443</v>
      </c>
      <c r="AB290" s="253" t="n">
        <v>23.926</v>
      </c>
      <c r="AC290" s="253" t="n">
        <v>23.926</v>
      </c>
      <c r="AD290" s="253" t="n">
        <v>40.929</v>
      </c>
      <c r="AE290" s="253" t="n">
        <v>51.987</v>
      </c>
      <c r="AF290" s="253" t="n">
        <v>51.033</v>
      </c>
      <c r="AG290" s="253" t="n">
        <v>36.727</v>
      </c>
      <c r="AH290" s="253" t="n">
        <v>36.727</v>
      </c>
      <c r="AI290" s="253" t="n">
        <v>40.263</v>
      </c>
      <c r="AJ290" s="253" t="n">
        <v>36.813</v>
      </c>
      <c r="AK290" s="253" t="n">
        <v>32.944</v>
      </c>
      <c r="AL290" s="253" t="n">
        <v>39.624</v>
      </c>
      <c r="AM290" s="253" t="n">
        <v>39.624</v>
      </c>
      <c r="AN290" s="253" t="n">
        <v>48.38</v>
      </c>
      <c r="AO290" s="253" t="n">
        <v>48.483</v>
      </c>
      <c r="AP290" s="253" t="n">
        <v>38.212</v>
      </c>
      <c r="AQ290" s="253" t="n">
        <v>51.853</v>
      </c>
      <c r="AR290" s="253" t="n">
        <v>51.853</v>
      </c>
      <c r="AS290" s="253" t="n">
        <v>68.13800000000001</v>
      </c>
      <c r="AT290" s="253" t="n">
        <v>67.398</v>
      </c>
      <c r="AU290" s="253" t="n">
        <v>53.78</v>
      </c>
      <c r="AV290" s="253" t="n">
        <v>42.504</v>
      </c>
      <c r="AW290" s="253" t="n">
        <v>42.504</v>
      </c>
      <c r="AX290" s="253" t="n">
        <v>53.153</v>
      </c>
      <c r="AY290" s="253" t="n">
        <v>89.178</v>
      </c>
      <c r="AZ290" s="253" t="n">
        <v>38.67</v>
      </c>
      <c r="BA290" s="253" t="n">
        <v>43.513</v>
      </c>
      <c r="BB290" s="253" t="n">
        <v>43.513</v>
      </c>
      <c r="BC290" s="253" t="n">
        <v>39.678</v>
      </c>
      <c r="BD290" s="253" t="n">
        <v>34.634</v>
      </c>
      <c r="BE290" s="253" t="n">
        <v>31.854</v>
      </c>
      <c r="BF290" s="253" t="n">
        <v>29.103</v>
      </c>
      <c r="BG290" s="253" t="n">
        <v>29.103</v>
      </c>
      <c r="BH290" s="253" t="n">
        <v>35.732</v>
      </c>
      <c r="BI290" s="253" t="n">
        <v>45.316</v>
      </c>
      <c r="BJ290" s="253" t="n">
        <v>27.965</v>
      </c>
      <c r="BK290" s="253" t="n">
        <v>31.723</v>
      </c>
      <c r="BL290" s="253" t="n">
        <v>31.723</v>
      </c>
      <c r="BM290" s="253" t="n">
        <v>37.364</v>
      </c>
      <c r="BN290" s="253" t="n">
        <v>36.78</v>
      </c>
      <c r="BO290" s="253" t="n">
        <v>37.455</v>
      </c>
      <c r="BP290" s="253" t="n">
        <v>40.104</v>
      </c>
      <c r="BQ290" s="253" t="n">
        <v>40.104</v>
      </c>
      <c r="BR290" s="253" t="n">
        <v>60.658</v>
      </c>
      <c r="BS290" s="253" t="n">
        <v>85.727</v>
      </c>
      <c r="BT290" s="253" t="n">
        <v>66.68899999999999</v>
      </c>
      <c r="BU290" s="253" t="n">
        <v>41.881</v>
      </c>
      <c r="BV290" s="253" t="n">
        <v>41.881</v>
      </c>
      <c r="BW290" s="253" t="n">
        <v>41.656</v>
      </c>
      <c r="BX290" s="253" t="n">
        <v>61.397</v>
      </c>
      <c r="BY290" s="253" t="n">
        <v>40.589</v>
      </c>
      <c r="BZ290" s="35" t="n"/>
      <c r="CA290" s="254">
        <f>BY290</f>
        <v>40.589</v>
      </c>
      <c r="CB290" s="254">
        <f>CA290</f>
        <v>40.589</v>
      </c>
      <c r="CC290" s="254">
        <f>CB290</f>
        <v>40.589</v>
      </c>
      <c r="CD290" s="254">
        <f>CC290</f>
        <v>40.589</v>
      </c>
      <c r="CE290" s="254">
        <f>CD290</f>
        <v>40.589</v>
      </c>
      <c r="CF290" s="254">
        <f>CE290</f>
        <v>40.589</v>
      </c>
      <c r="CG290" s="19" t="n"/>
    </row>
    <row r="291" ht="15" customHeight="1" s="251">
      <c r="B291" s="25" t="inlineStr">
        <is>
          <t xml:space="preserve">  Property and equipment, net (incl. capitalized internal-use software)</t>
        </is>
      </c>
      <c r="C291" s="253" t="n">
        <v>56.611</v>
      </c>
      <c r="D291" s="253" t="n">
        <v>52.157</v>
      </c>
      <c r="E291" s="253" t="n">
        <v>46.36</v>
      </c>
      <c r="F291" s="253" t="n">
        <v>34.34</v>
      </c>
      <c r="G291" s="253" t="n">
        <v>30.975</v>
      </c>
      <c r="H291" s="253" t="n">
        <v>33.017</v>
      </c>
      <c r="I291" s="253" t="n">
        <v>41.08</v>
      </c>
      <c r="J291" s="253" t="n">
        <v>45.788</v>
      </c>
      <c r="K291" s="253" t="n">
        <v>48.63</v>
      </c>
      <c r="L291" s="253" t="n">
        <v>47.14</v>
      </c>
      <c r="M291" s="253" t="n">
        <v>45.155</v>
      </c>
      <c r="N291" s="253" t="n">
        <v>45.155</v>
      </c>
      <c r="O291" s="253" t="n">
        <v>41.997</v>
      </c>
      <c r="P291" s="253" t="n">
        <v>39.232</v>
      </c>
      <c r="Q291" s="253" t="n">
        <v>37.28</v>
      </c>
      <c r="R291" s="253" t="n">
        <v>36.677</v>
      </c>
      <c r="S291" s="253" t="n">
        <v>36.677</v>
      </c>
      <c r="T291" s="253" t="n">
        <v>36.791</v>
      </c>
      <c r="U291" s="253" t="n">
        <v>40.011</v>
      </c>
      <c r="V291" s="253" t="n">
        <v>38.706</v>
      </c>
      <c r="W291" s="253" t="n">
        <v>38.208</v>
      </c>
      <c r="X291" s="253" t="n">
        <v>38.208</v>
      </c>
      <c r="Y291" s="253" t="n">
        <v>38.422</v>
      </c>
      <c r="Z291" s="253" t="n">
        <v>38.589</v>
      </c>
      <c r="AA291" s="253" t="n">
        <v>41.106</v>
      </c>
      <c r="AB291" s="253" t="n">
        <v>45.122</v>
      </c>
      <c r="AC291" s="253" t="n">
        <v>45.122</v>
      </c>
      <c r="AD291" s="253" t="n">
        <v>43.959</v>
      </c>
      <c r="AE291" s="253" t="n">
        <v>42.728</v>
      </c>
      <c r="AF291" s="253" t="n">
        <v>42.143</v>
      </c>
      <c r="AG291" s="253" t="n">
        <v>40.703</v>
      </c>
      <c r="AH291" s="253" t="n">
        <v>40.703</v>
      </c>
      <c r="AI291" s="253" t="n">
        <v>38.808</v>
      </c>
      <c r="AJ291" s="253" t="n">
        <v>45.111</v>
      </c>
      <c r="AK291" s="253" t="n">
        <v>51.517</v>
      </c>
      <c r="AL291" s="253" t="n">
        <v>48.837</v>
      </c>
      <c r="AM291" s="253" t="n">
        <v>48.837</v>
      </c>
      <c r="AN291" s="253" t="n">
        <v>46.864</v>
      </c>
      <c r="AO291" s="253" t="n">
        <v>44.76</v>
      </c>
      <c r="AP291" s="253" t="n">
        <v>52.9</v>
      </c>
      <c r="AQ291" s="253" t="n">
        <v>53.027</v>
      </c>
      <c r="AR291" s="253" t="n">
        <v>53.027</v>
      </c>
      <c r="AS291" s="253" t="n">
        <v>56.156</v>
      </c>
      <c r="AT291" s="253" t="n">
        <v>59.491</v>
      </c>
      <c r="AU291" s="253" t="n">
        <v>60.336</v>
      </c>
      <c r="AV291" s="253" t="n">
        <v>46.419</v>
      </c>
      <c r="AW291" s="253" t="n">
        <v>46.419</v>
      </c>
      <c r="AX291" s="253" t="n">
        <v>39.011</v>
      </c>
      <c r="AY291" s="253" t="n">
        <v>34.897</v>
      </c>
      <c r="AZ291" s="253" t="n">
        <v>31.565</v>
      </c>
      <c r="BA291" s="253" t="n">
        <v>27.913</v>
      </c>
      <c r="BB291" s="253" t="n">
        <v>27.913</v>
      </c>
      <c r="BC291" s="253" t="n">
        <v>24.597</v>
      </c>
      <c r="BD291" s="253" t="n">
        <v>22.897</v>
      </c>
      <c r="BE291" s="253" t="n">
        <v>20.449</v>
      </c>
      <c r="BF291" s="253" t="n">
        <v>17.58</v>
      </c>
      <c r="BG291" s="253" t="n">
        <v>17.58</v>
      </c>
      <c r="BH291" s="253" t="n">
        <v>14.976</v>
      </c>
      <c r="BI291" s="253" t="n">
        <v>13.664</v>
      </c>
      <c r="BJ291" s="253" t="n">
        <v>11.799</v>
      </c>
      <c r="BK291" s="253" t="n">
        <v>10.966</v>
      </c>
      <c r="BL291" s="253" t="n">
        <v>10.966</v>
      </c>
      <c r="BM291" s="253" t="n">
        <v>10.406</v>
      </c>
      <c r="BN291" s="253" t="n">
        <v>27.224</v>
      </c>
      <c r="BO291" s="253" t="n">
        <v>34.128</v>
      </c>
      <c r="BP291" s="253" t="n">
        <v>38.465</v>
      </c>
      <c r="BQ291" s="253" t="n">
        <v>38.465</v>
      </c>
      <c r="BR291" s="253" t="n">
        <v>43.018</v>
      </c>
      <c r="BS291" s="253" t="n">
        <v>50.552</v>
      </c>
      <c r="BT291" s="253" t="n">
        <v>60.348</v>
      </c>
      <c r="BU291" s="253" t="n">
        <v>67.71299999999999</v>
      </c>
      <c r="BV291" s="253" t="n">
        <v>67.71299999999999</v>
      </c>
      <c r="BW291" s="253" t="n">
        <v>73.711</v>
      </c>
      <c r="BX291" s="253" t="n">
        <v>79.623</v>
      </c>
      <c r="BY291" s="253" t="n">
        <v>90.988</v>
      </c>
      <c r="BZ291" s="35" t="n"/>
      <c r="CA291" s="254">
        <f>BY291-(CA238-SUM(BW238:BY238))-(CA239-SUM(BW239:BY239))-BZ114</f>
        <v>96.788</v>
      </c>
      <c r="CB291" s="254">
        <f>CA291-CB238-CB239-CB114+CB72*CB80</f>
        <v>119.178538499224</v>
      </c>
      <c r="CC291" s="254">
        <f>CB291-CC238-CC239-CC114+CC72*CC80</f>
        <v>143.884219711901</v>
      </c>
      <c r="CD291" s="254">
        <f>CC291-CD238-CD239-CD114+CD72*CD80</f>
        <v>170.922804277059</v>
      </c>
      <c r="CE291" s="254">
        <f>CD291-CE238-CE239-CE114+CE72*CE80</f>
        <v>200.340372802658</v>
      </c>
      <c r="CF291" s="254">
        <f>CE291-CF238-CF239-CF114+CF72*CF80</f>
        <v>232.152053242237</v>
      </c>
      <c r="CG291" s="19" t="inlineStr">
        <is>
          <t>Roll-forward: prior − capex − capitalized software (negative cash flows) − depreciation &amp; software amortization + acquired PP&amp;E.</t>
        </is>
      </c>
    </row>
    <row r="292" ht="15" customHeight="1" s="251">
      <c r="B292" s="25" t="inlineStr">
        <is>
          <t xml:space="preserve">  Goodwill &amp; intangible assets, net</t>
        </is>
      </c>
      <c r="C292" s="253" t="n">
        <v>786.062</v>
      </c>
      <c r="D292" s="253" t="n">
        <v>755.845</v>
      </c>
      <c r="E292" s="253" t="n">
        <v>738.55</v>
      </c>
      <c r="F292" s="253" t="n">
        <v>705.895</v>
      </c>
      <c r="G292" s="253" t="n">
        <v>693.197</v>
      </c>
      <c r="H292" s="253" t="n">
        <v>684.186</v>
      </c>
      <c r="I292" s="253" t="n">
        <v>809.803</v>
      </c>
      <c r="J292" s="253" t="n">
        <v>835.263</v>
      </c>
      <c r="K292" s="253" t="n">
        <v>821.021</v>
      </c>
      <c r="L292" s="253" t="n">
        <v>824.96</v>
      </c>
      <c r="M292" s="253" t="n">
        <v>831.292</v>
      </c>
      <c r="N292" s="253" t="n">
        <v>831.292</v>
      </c>
      <c r="O292" s="253" t="n">
        <v>831.886</v>
      </c>
      <c r="P292" s="253" t="n">
        <v>830.539</v>
      </c>
      <c r="Q292" s="253" t="n">
        <v>839.2619999999999</v>
      </c>
      <c r="R292" s="253" t="n">
        <v>827.842</v>
      </c>
      <c r="S292" s="253" t="n">
        <v>827.842</v>
      </c>
      <c r="T292" s="253" t="n">
        <v>818.325</v>
      </c>
      <c r="U292" s="253" t="n">
        <v>862.699</v>
      </c>
      <c r="V292" s="253" t="n">
        <v>870.221</v>
      </c>
      <c r="W292" s="253" t="n">
        <v>862.071</v>
      </c>
      <c r="X292" s="253" t="n">
        <v>862.071</v>
      </c>
      <c r="Y292" s="253" t="n">
        <v>853.081</v>
      </c>
      <c r="Z292" s="253" t="n">
        <v>847.872</v>
      </c>
      <c r="AA292" s="253" t="n">
        <v>839.414</v>
      </c>
      <c r="AB292" s="253" t="n">
        <v>832.034</v>
      </c>
      <c r="AC292" s="253" t="n">
        <v>832.034</v>
      </c>
      <c r="AD292" s="253" t="n">
        <v>818.9299999999999</v>
      </c>
      <c r="AE292" s="253" t="n">
        <v>818.731</v>
      </c>
      <c r="AF292" s="253" t="n">
        <v>823.373</v>
      </c>
      <c r="AG292" s="253" t="n">
        <v>825.599</v>
      </c>
      <c r="AH292" s="253" t="n">
        <v>825.599</v>
      </c>
      <c r="AI292" s="253" t="n">
        <v>825.846</v>
      </c>
      <c r="AJ292" s="253" t="n">
        <v>831.258</v>
      </c>
      <c r="AK292" s="253" t="n">
        <v>818.12</v>
      </c>
      <c r="AL292" s="253" t="n">
        <v>815.426</v>
      </c>
      <c r="AM292" s="253" t="n">
        <v>815.426</v>
      </c>
      <c r="AN292" s="253" t="n">
        <v>811.703</v>
      </c>
      <c r="AO292" s="253" t="n">
        <v>812.1180000000001</v>
      </c>
      <c r="AP292" s="253" t="n">
        <v>807.446</v>
      </c>
      <c r="AQ292" s="253" t="n">
        <v>817.681</v>
      </c>
      <c r="AR292" s="253" t="n">
        <v>817.681</v>
      </c>
      <c r="AS292" s="253" t="n">
        <v>825.3339999999999</v>
      </c>
      <c r="AT292" s="253" t="n">
        <v>815.827</v>
      </c>
      <c r="AU292" s="253" t="n">
        <v>814.647</v>
      </c>
      <c r="AV292" s="253" t="n">
        <v>821.6</v>
      </c>
      <c r="AW292" s="253" t="n">
        <v>821.6</v>
      </c>
      <c r="AX292" s="253" t="n">
        <v>826.144</v>
      </c>
      <c r="AY292" s="253" t="n">
        <v>796.5599999999999</v>
      </c>
      <c r="AZ292" s="253" t="n">
        <v>797.87</v>
      </c>
      <c r="BA292" s="253" t="n">
        <v>792.284</v>
      </c>
      <c r="BB292" s="253" t="n">
        <v>792.284</v>
      </c>
      <c r="BC292" s="253" t="n">
        <v>790.817</v>
      </c>
      <c r="BD292" s="253" t="n">
        <v>786.751</v>
      </c>
      <c r="BE292" s="253" t="n">
        <v>775.1319999999999</v>
      </c>
      <c r="BF292" s="253" t="n">
        <v>763.0839999999999</v>
      </c>
      <c r="BG292" s="253" t="n">
        <v>763.0839999999999</v>
      </c>
      <c r="BH292" s="253" t="n">
        <v>773.197</v>
      </c>
      <c r="BI292" s="253" t="n">
        <v>775.797</v>
      </c>
      <c r="BJ292" s="253" t="n">
        <v>777.812</v>
      </c>
      <c r="BK292" s="253" t="n">
        <v>774.244</v>
      </c>
      <c r="BL292" s="253" t="n">
        <v>774.244</v>
      </c>
      <c r="BM292" s="253" t="n">
        <v>777.837</v>
      </c>
      <c r="BN292" s="253" t="n">
        <v>776.7430000000001</v>
      </c>
      <c r="BO292" s="253" t="n">
        <v>776.806</v>
      </c>
      <c r="BP292" s="253" t="n">
        <v>782.752</v>
      </c>
      <c r="BQ292" s="253" t="n">
        <v>782.752</v>
      </c>
      <c r="BR292" s="253" t="n">
        <v>775.551</v>
      </c>
      <c r="BS292" s="253" t="n">
        <v>779.279</v>
      </c>
      <c r="BT292" s="253" t="n">
        <v>785.448</v>
      </c>
      <c r="BU292" s="253" t="n">
        <v>783.34</v>
      </c>
      <c r="BV292" s="253" t="n">
        <v>783.34</v>
      </c>
      <c r="BW292" s="253" t="n">
        <v>783.52</v>
      </c>
      <c r="BX292" s="253" t="n">
        <v>781.39</v>
      </c>
      <c r="BY292" s="253" t="n">
        <v>791.8150000000001</v>
      </c>
      <c r="BZ292" s="35" t="n"/>
      <c r="CA292" s="254">
        <f>BY292-BZ121</f>
        <v>791.815</v>
      </c>
      <c r="CB292" s="254">
        <f>CA292-CB121+CB72*(1-CB80)</f>
        <v>791.815</v>
      </c>
      <c r="CC292" s="254">
        <f>CB292-CC121+CC72*(1-CC80)</f>
        <v>791.815</v>
      </c>
      <c r="CD292" s="254">
        <f>CC292-CD121+CD72*(1-CD80)</f>
        <v>791.815</v>
      </c>
      <c r="CE292" s="254">
        <f>CD292-CE121+CE72*(1-CE80)</f>
        <v>791.815</v>
      </c>
      <c r="CF292" s="254">
        <f>CE292-CF121+CF72*(1-CF80)</f>
        <v>791.815</v>
      </c>
      <c r="CG292" s="19" t="inlineStr">
        <is>
          <t>Roll-forward: prior − amortization + acquisition spend (excl. PP&amp;E) from the M&amp;A lever.</t>
        </is>
      </c>
    </row>
    <row r="293" ht="15" customHeight="1" s="251">
      <c r="B293" s="25" t="inlineStr">
        <is>
          <t xml:space="preserve">  Operating lease right-of-use assets, deferred taxes &amp; other assets (derived)</t>
        </is>
      </c>
      <c r="C293" s="253" t="n">
        <v>65.22199999999999</v>
      </c>
      <c r="D293" s="253" t="n">
        <v>45.018</v>
      </c>
      <c r="E293" s="253" t="n">
        <v>138.641</v>
      </c>
      <c r="F293" s="253" t="n">
        <v>121.095</v>
      </c>
      <c r="G293" s="253" t="n">
        <v>52.369</v>
      </c>
      <c r="H293" s="253" t="n">
        <v>47.784</v>
      </c>
      <c r="I293" s="253" t="n">
        <v>48.403</v>
      </c>
      <c r="J293" s="253" t="n">
        <v>27.16</v>
      </c>
      <c r="K293" s="253" t="n">
        <v>25.935</v>
      </c>
      <c r="L293" s="253" t="n">
        <v>27.464</v>
      </c>
      <c r="M293" s="253" t="n">
        <v>17.772</v>
      </c>
      <c r="N293" s="253" t="n">
        <v>17.772</v>
      </c>
      <c r="O293" s="253" t="n">
        <v>15.996</v>
      </c>
      <c r="P293" s="253" t="n">
        <v>18.523</v>
      </c>
      <c r="Q293" s="253" t="n">
        <v>16.188</v>
      </c>
      <c r="R293" s="253" t="n">
        <v>19.468</v>
      </c>
      <c r="S293" s="253" t="n">
        <v>19.468</v>
      </c>
      <c r="T293" s="253" t="n">
        <v>12.448</v>
      </c>
      <c r="U293" s="253" t="n">
        <v>11.522</v>
      </c>
      <c r="V293" s="253" t="n">
        <v>17.245</v>
      </c>
      <c r="W293" s="253" t="n">
        <v>22.757</v>
      </c>
      <c r="X293" s="253" t="n">
        <v>22.757</v>
      </c>
      <c r="Y293" s="253" t="n">
        <v>15.582</v>
      </c>
      <c r="Z293" s="253" t="n">
        <v>30.585</v>
      </c>
      <c r="AA293" s="253" t="n">
        <v>28.833</v>
      </c>
      <c r="AB293" s="253" t="n">
        <v>54.322</v>
      </c>
      <c r="AC293" s="253" t="n">
        <v>54.322</v>
      </c>
      <c r="AD293" s="253" t="n">
        <v>53.583</v>
      </c>
      <c r="AE293" s="253" t="n">
        <v>53.236</v>
      </c>
      <c r="AF293" s="253" t="n">
        <v>46.127</v>
      </c>
      <c r="AG293" s="253" t="n">
        <v>52.872</v>
      </c>
      <c r="AH293" s="253" t="n">
        <v>52.872</v>
      </c>
      <c r="AI293" s="253" t="n">
        <v>49.505</v>
      </c>
      <c r="AJ293" s="253" t="n">
        <v>53.395</v>
      </c>
      <c r="AK293" s="253" t="n">
        <v>53.5</v>
      </c>
      <c r="AL293" s="253" t="n">
        <v>32.548</v>
      </c>
      <c r="AM293" s="253" t="n">
        <v>32.548</v>
      </c>
      <c r="AN293" s="253" t="n">
        <v>52.328</v>
      </c>
      <c r="AO293" s="253" t="n">
        <v>53.643</v>
      </c>
      <c r="AP293" s="253" t="n">
        <v>56.662</v>
      </c>
      <c r="AQ293" s="253" t="n">
        <v>85.169</v>
      </c>
      <c r="AR293" s="253" t="n">
        <v>85.169</v>
      </c>
      <c r="AS293" s="253" t="n">
        <v>177.166</v>
      </c>
      <c r="AT293" s="253" t="n">
        <v>172.005</v>
      </c>
      <c r="AU293" s="253" t="n">
        <v>180.99</v>
      </c>
      <c r="AV293" s="253" t="n">
        <v>177.57</v>
      </c>
      <c r="AW293" s="253" t="n">
        <v>177.57</v>
      </c>
      <c r="AX293" s="253" t="n">
        <v>173.485</v>
      </c>
      <c r="AY293" s="253" t="n">
        <v>164.556</v>
      </c>
      <c r="AZ293" s="253" t="n">
        <v>168.446</v>
      </c>
      <c r="BA293" s="253" t="n">
        <v>163.409</v>
      </c>
      <c r="BB293" s="253" t="n">
        <v>163.409</v>
      </c>
      <c r="BC293" s="253" t="n">
        <v>150.658</v>
      </c>
      <c r="BD293" s="253" t="n">
        <v>162.036</v>
      </c>
      <c r="BE293" s="253" t="n">
        <v>161.438</v>
      </c>
      <c r="BF293" s="253" t="n">
        <v>151.005</v>
      </c>
      <c r="BG293" s="253" t="n">
        <v>151.005</v>
      </c>
      <c r="BH293" s="253" t="n">
        <v>159.16</v>
      </c>
      <c r="BI293" s="253" t="n">
        <v>160.832</v>
      </c>
      <c r="BJ293" s="253" t="n">
        <v>186.647</v>
      </c>
      <c r="BK293" s="253" t="n">
        <v>199.386</v>
      </c>
      <c r="BL293" s="253" t="n">
        <v>199.386</v>
      </c>
      <c r="BM293" s="253" t="n">
        <v>201.799</v>
      </c>
      <c r="BN293" s="253" t="n">
        <v>215.019</v>
      </c>
      <c r="BO293" s="253" t="n">
        <v>222.728</v>
      </c>
      <c r="BP293" s="253" t="n">
        <v>233.965</v>
      </c>
      <c r="BQ293" s="253" t="n">
        <v>233.965</v>
      </c>
      <c r="BR293" s="253" t="n">
        <v>246.278</v>
      </c>
      <c r="BS293" s="253" t="n">
        <v>235.612</v>
      </c>
      <c r="BT293" s="253" t="n">
        <v>255.657</v>
      </c>
      <c r="BU293" s="253" t="n">
        <v>257.29</v>
      </c>
      <c r="BV293" s="253" t="n">
        <v>257.29</v>
      </c>
      <c r="BW293" s="253" t="n">
        <v>242.256</v>
      </c>
      <c r="BX293" s="253" t="n">
        <v>233.417</v>
      </c>
      <c r="BY293" s="253" t="n">
        <v>216.914</v>
      </c>
      <c r="BZ293" s="35" t="n"/>
      <c r="CA293" s="254">
        <f>BY293</f>
        <v>216.914</v>
      </c>
      <c r="CB293" s="254">
        <f>CA293</f>
        <v>216.914</v>
      </c>
      <c r="CC293" s="254">
        <f>CB293</f>
        <v>216.914</v>
      </c>
      <c r="CD293" s="254">
        <f>CC293</f>
        <v>216.914</v>
      </c>
      <c r="CE293" s="254">
        <f>CD293</f>
        <v>216.914</v>
      </c>
      <c r="CF293" s="254">
        <f>CE293</f>
        <v>216.914</v>
      </c>
      <c r="CG293" s="19" t="n"/>
    </row>
    <row r="294" ht="15" customHeight="1" s="251">
      <c r="B294" s="55" t="inlineStr">
        <is>
          <t>TOTAL ASSETS</t>
        </is>
      </c>
      <c r="C294" s="273">
        <f>IF(ISNUMBER(C287),SUM(C287:C293),"")</f>
        <v>1321.205</v>
      </c>
      <c r="D294" s="273">
        <f>IF(ISNUMBER(D287),SUM(D287:D293),"")</f>
        <v>1275.771</v>
      </c>
      <c r="E294" s="273">
        <f>IF(ISNUMBER(E287),SUM(E287:E293),"")</f>
        <v>1275.253</v>
      </c>
      <c r="F294" s="273">
        <f>IF(ISNUMBER(F287),SUM(F287:F293),"")</f>
        <v>1303.888</v>
      </c>
      <c r="G294" s="273">
        <f>IF(ISNUMBER(G287),SUM(G287:G293),"")</f>
        <v>1123.716</v>
      </c>
      <c r="H294" s="273">
        <f>IF(ISNUMBER(H287),SUM(H287:H293),"")</f>
        <v>1129.468</v>
      </c>
      <c r="I294" s="273">
        <f>IF(ISNUMBER(I287),SUM(I287:I293),"")</f>
        <v>1158.611</v>
      </c>
      <c r="J294" s="273">
        <f>IF(ISNUMBER(J287),SUM(J287:J293),"")</f>
        <v>1176.114</v>
      </c>
      <c r="K294" s="273">
        <f>IF(ISNUMBER(K287),SUM(K287:K293),"")</f>
        <v>1198.341</v>
      </c>
      <c r="L294" s="273">
        <f>IF(ISNUMBER(L287),SUM(L287:L293),"")</f>
        <v>1164.143</v>
      </c>
      <c r="M294" s="273">
        <f>IF(ISNUMBER(M287),SUM(M287:M293),"")</f>
        <v>1161.547</v>
      </c>
      <c r="N294" s="273">
        <f>IF(ISNUMBER(N287),SUM(N287:N293),"")</f>
        <v>1161.547</v>
      </c>
      <c r="O294" s="273">
        <f>IF(ISNUMBER(O287),SUM(O287:O293),"")</f>
        <v>1166.276</v>
      </c>
      <c r="P294" s="273">
        <f>IF(ISNUMBER(P287),SUM(P287:P293),"")</f>
        <v>1177.253</v>
      </c>
      <c r="Q294" s="273">
        <f>IF(ISNUMBER(Q287),SUM(Q287:Q293),"")</f>
        <v>1185.747</v>
      </c>
      <c r="R294" s="273">
        <f>IF(ISNUMBER(R287),SUM(R287:R293),"")</f>
        <v>1192.298</v>
      </c>
      <c r="S294" s="273">
        <f>IF(ISNUMBER(S287),SUM(S287:S293),"")</f>
        <v>1192.298</v>
      </c>
      <c r="T294" s="273">
        <f>IF(ISNUMBER(T287),SUM(T287:T293),"")</f>
        <v>1167.922</v>
      </c>
      <c r="U294" s="273">
        <f>IF(ISNUMBER(U287),SUM(U287:U293),"")</f>
        <v>1236.651</v>
      </c>
      <c r="V294" s="273">
        <f>IF(ISNUMBER(V287),SUM(V287:V293),"")</f>
        <v>1216.127</v>
      </c>
      <c r="W294" s="273">
        <f>IF(ISNUMBER(W287),SUM(W287:W293),"")</f>
        <v>1230.163</v>
      </c>
      <c r="X294" s="273">
        <f>IF(ISNUMBER(X287),SUM(X287:X293),"")</f>
        <v>1230.163</v>
      </c>
      <c r="Y294" s="273">
        <f>IF(ISNUMBER(Y287),SUM(Y287:Y293),"")</f>
        <v>1215.25</v>
      </c>
      <c r="Z294" s="273">
        <f>IF(ISNUMBER(Z287),SUM(Z287:Z293),"")</f>
        <v>1214.941</v>
      </c>
      <c r="AA294" s="273">
        <f>IF(ISNUMBER(AA287),SUM(AA287:AA293),"")</f>
        <v>1226.712</v>
      </c>
      <c r="AB294" s="273">
        <f>IF(ISNUMBER(AB287),SUM(AB287:AB293),"")</f>
        <v>1221.052</v>
      </c>
      <c r="AC294" s="273">
        <f>IF(ISNUMBER(AC287),SUM(AC287:AC293),"")</f>
        <v>1221.052</v>
      </c>
      <c r="AD294" s="273">
        <f>IF(ISNUMBER(AD287),SUM(AD287:AD293),"")</f>
        <v>1224.398</v>
      </c>
      <c r="AE294" s="273">
        <f>IF(ISNUMBER(AE287),SUM(AE287:AE293),"")</f>
        <v>1247.068</v>
      </c>
      <c r="AF294" s="273">
        <f>IF(ISNUMBER(AF287),SUM(AF287:AF293),"")</f>
        <v>1258.354</v>
      </c>
      <c r="AG294" s="273">
        <f>IF(ISNUMBER(AG287),SUM(AG287:AG293),"")</f>
        <v>1255.62</v>
      </c>
      <c r="AH294" s="273">
        <f>IF(ISNUMBER(AH287),SUM(AH287:AH293),"")</f>
        <v>1255.62</v>
      </c>
      <c r="AI294" s="273">
        <f>IF(ISNUMBER(AI287),SUM(AI287:AI293),"")</f>
        <v>1240.845</v>
      </c>
      <c r="AJ294" s="273">
        <f>IF(ISNUMBER(AJ287),SUM(AJ287:AJ293),"")</f>
        <v>1290.895</v>
      </c>
      <c r="AK294" s="273">
        <f>IF(ISNUMBER(AK287),SUM(AK287:AK293),"")</f>
        <v>1287.07</v>
      </c>
      <c r="AL294" s="273">
        <f>IF(ISNUMBER(AL287),SUM(AL287:AL293),"")</f>
        <v>1255.079</v>
      </c>
      <c r="AM294" s="273">
        <f>IF(ISNUMBER(AM287),SUM(AM287:AM293),"")</f>
        <v>1255.079</v>
      </c>
      <c r="AN294" s="273">
        <f>IF(ISNUMBER(AN287),SUM(AN287:AN293),"")</f>
        <v>1305.626</v>
      </c>
      <c r="AO294" s="273">
        <f>IF(ISNUMBER(AO287),SUM(AO287:AO293),"")</f>
        <v>1328.111</v>
      </c>
      <c r="AP294" s="273">
        <f>IF(ISNUMBER(AP287),SUM(AP287:AP293),"")</f>
        <v>1373.798</v>
      </c>
      <c r="AQ294" s="273">
        <f>IF(ISNUMBER(AQ287),SUM(AQ287:AQ293),"")</f>
        <v>1433.448</v>
      </c>
      <c r="AR294" s="273">
        <f>IF(ISNUMBER(AR287),SUM(AR287:AR293),"")</f>
        <v>1433.448</v>
      </c>
      <c r="AS294" s="273">
        <f>IF(ISNUMBER(AS287),SUM(AS287:AS293),"")</f>
        <v>1545.038</v>
      </c>
      <c r="AT294" s="273">
        <f>IF(ISNUMBER(AT287),SUM(AT287:AT293),"")</f>
        <v>1552.132</v>
      </c>
      <c r="AU294" s="273">
        <f>IF(ISNUMBER(AU287),SUM(AU287:AU293),"")</f>
        <v>1564.12</v>
      </c>
      <c r="AV294" s="273">
        <f>IF(ISNUMBER(AV287),SUM(AV287:AV293),"")</f>
        <v>1606.24</v>
      </c>
      <c r="AW294" s="273">
        <f>IF(ISNUMBER(AW287),SUM(AW287:AW293),"")</f>
        <v>1606.24</v>
      </c>
      <c r="AX294" s="273">
        <f>IF(ISNUMBER(AX287),SUM(AX287:AX293),"")</f>
        <v>1576.863</v>
      </c>
      <c r="AY294" s="273">
        <f>IF(ISNUMBER(AY287),SUM(AY287:AY293),"")</f>
        <v>1579.608</v>
      </c>
      <c r="AZ294" s="273">
        <f>IF(ISNUMBER(AZ287),SUM(AZ287:AZ293),"")</f>
        <v>1589.155</v>
      </c>
      <c r="BA294" s="273">
        <f>IF(ISNUMBER(BA287),SUM(BA287:BA293),"")</f>
        <v>1567.776</v>
      </c>
      <c r="BB294" s="273">
        <f>IF(ISNUMBER(BB287),SUM(BB287:BB293),"")</f>
        <v>1567.776</v>
      </c>
      <c r="BC294" s="273">
        <f>IF(ISNUMBER(BC287),SUM(BC287:BC293),"")</f>
        <v>1463.31</v>
      </c>
      <c r="BD294" s="273">
        <f>IF(ISNUMBER(BD287),SUM(BD287:BD293),"")</f>
        <v>1486.485</v>
      </c>
      <c r="BE294" s="273">
        <f>IF(ISNUMBER(BE287),SUM(BE287:BE293),"")</f>
        <v>1456.836</v>
      </c>
      <c r="BF294" s="273">
        <f>IF(ISNUMBER(BF287),SUM(BF287:BF293),"")</f>
        <v>1442.034</v>
      </c>
      <c r="BG294" s="273">
        <f>IF(ISNUMBER(BG287),SUM(BG287:BG293),"")</f>
        <v>1442.034</v>
      </c>
      <c r="BH294" s="273">
        <f>IF(ISNUMBER(BH287),SUM(BH287:BH293),"")</f>
        <v>1458.693</v>
      </c>
      <c r="BI294" s="273">
        <f>IF(ISNUMBER(BI287),SUM(BI287:BI293),"")</f>
        <v>1502.431</v>
      </c>
      <c r="BJ294" s="273">
        <f>IF(ISNUMBER(BJ287),SUM(BJ287:BJ293),"")</f>
        <v>1584.569</v>
      </c>
      <c r="BK294" s="273">
        <f>IF(ISNUMBER(BK287),SUM(BK287:BK293),"")</f>
        <v>1575.281</v>
      </c>
      <c r="BL294" s="273">
        <f>IF(ISNUMBER(BL287),SUM(BL287:BL293),"")</f>
        <v>1575.281</v>
      </c>
      <c r="BM294" s="273">
        <f>IF(ISNUMBER(BM287),SUM(BM287:BM293),"")</f>
        <v>1593.518</v>
      </c>
      <c r="BN294" s="273">
        <f>IF(ISNUMBER(BN287),SUM(BN287:BN293),"")</f>
        <v>1703.117</v>
      </c>
      <c r="BO294" s="273">
        <f>IF(ISNUMBER(BO287),SUM(BO287:BO293),"")</f>
        <v>1708.831</v>
      </c>
      <c r="BP294" s="273">
        <f>IF(ISNUMBER(BP287),SUM(BP287:BP293),"")</f>
        <v>1717.884</v>
      </c>
      <c r="BQ294" s="273">
        <f>IF(ISNUMBER(BQ287),SUM(BQ287:BQ293),"")</f>
        <v>1717.884</v>
      </c>
      <c r="BR294" s="273">
        <f>IF(ISNUMBER(BR287),SUM(BR287:BR293),"")</f>
        <v>1706.608</v>
      </c>
      <c r="BS294" s="273">
        <f>IF(ISNUMBER(BS287),SUM(BS287:BS293),"")</f>
        <v>1835.753</v>
      </c>
      <c r="BT294" s="273">
        <f>IF(ISNUMBER(BT287),SUM(BT287:BT293),"")</f>
        <v>1862.023</v>
      </c>
      <c r="BU294" s="273">
        <f>IF(ISNUMBER(BU287),SUM(BU287:BU293),"")</f>
        <v>1868.133</v>
      </c>
      <c r="BV294" s="273">
        <f>IF(ISNUMBER(BV287),SUM(BV287:BV293),"")</f>
        <v>1868.133</v>
      </c>
      <c r="BW294" s="273">
        <f>IF(ISNUMBER(BW287),SUM(BW287:BW293),"")</f>
        <v>1854.16</v>
      </c>
      <c r="BX294" s="273">
        <f>IF(ISNUMBER(BX287),SUM(BX287:BX293),"")</f>
        <v>2048.249</v>
      </c>
      <c r="BY294" s="273">
        <f>IF(ISNUMBER(BY287),SUM(BY287:BY293),"")</f>
        <v>2037.373</v>
      </c>
      <c r="BZ294" s="56" t="n"/>
      <c r="CA294" s="273">
        <f>IF(ISNUMBER(CA287),SUM(CA287:CA293),"")</f>
        <v>2024.55516438356</v>
      </c>
      <c r="CB294" s="273">
        <f>IF(ISNUMBER(CB287),SUM(CB287:CB293),"")</f>
        <v>2118.3848242611</v>
      </c>
      <c r="CC294" s="273">
        <f>IF(ISNUMBER(CC287),SUM(CC287:CC293),"")</f>
        <v>2219.99764355771</v>
      </c>
      <c r="CD294" s="273">
        <f>IF(ISNUMBER(CD287),SUM(CD287:CD293),"")</f>
        <v>2324.53336003742</v>
      </c>
      <c r="CE294" s="273">
        <f>IF(ISNUMBER(CE287),SUM(CE287:CE293),"")</f>
        <v>2432.97882039962</v>
      </c>
      <c r="CF294" s="273">
        <f>IF(ISNUMBER(CF287),SUM(CF287:CF293),"")</f>
        <v>2544.32093085837</v>
      </c>
      <c r="CG294" s="153" t="n"/>
      <c r="CI294" s="20">
        <f>IFERROR((CF294/CA294)^(1/5)-1,"n/m")</f>
        <v>0.0467632216842915</v>
      </c>
      <c r="CJ294" s="20">
        <f>IFERROR((BV294/AW294)^(1/5)-1,"n/m")</f>
        <v>0.0306696107020101</v>
      </c>
      <c r="CK294" s="20">
        <f>IFERROR((BV294/X294)^(1/10)-1,"n/m")</f>
        <v>0.0426643222683927</v>
      </c>
      <c r="CL294" s="20">
        <f>IFERROR((BV294/C294)^(1/19)-1,"n/m")</f>
        <v>0.0183985388912973</v>
      </c>
    </row>
    <row r="295" ht="15" customHeight="1" s="251">
      <c r="B295" s="25" t="inlineStr">
        <is>
          <t>LIABILITIES AND STOCKHOLDERS' EQUITY (DEFICIT)</t>
        </is>
      </c>
      <c r="CG295" s="153" t="n"/>
    </row>
    <row r="296" ht="15" customHeight="1" s="251">
      <c r="B296" s="25" t="inlineStr">
        <is>
          <t xml:space="preserve">  Accounts payable and other accrued liabilities</t>
        </is>
      </c>
      <c r="C296" s="253" t="n">
        <v>53.809</v>
      </c>
      <c r="D296" s="253" t="n">
        <v>48.187</v>
      </c>
      <c r="E296" s="253" t="n">
        <v>54.837</v>
      </c>
      <c r="F296" s="253" t="n">
        <v>46.776</v>
      </c>
      <c r="G296" s="253" t="n">
        <v>37.497</v>
      </c>
      <c r="H296" s="253" t="n">
        <v>58.17</v>
      </c>
      <c r="I296" s="253" t="n">
        <v>62.603</v>
      </c>
      <c r="J296" s="253" t="n">
        <v>62.378</v>
      </c>
      <c r="K296" s="253" t="n">
        <v>53.885</v>
      </c>
      <c r="L296" s="253" t="n">
        <v>54.779</v>
      </c>
      <c r="M296" s="253" t="n">
        <v>54.418</v>
      </c>
      <c r="N296" s="253" t="n">
        <v>54.418</v>
      </c>
      <c r="O296" s="253" t="n">
        <v>53.795</v>
      </c>
      <c r="P296" s="253" t="n">
        <v>50.866</v>
      </c>
      <c r="Q296" s="253" t="n">
        <v>62.519</v>
      </c>
      <c r="R296" s="253" t="n">
        <v>58.235</v>
      </c>
      <c r="S296" s="253" t="n">
        <v>58.235</v>
      </c>
      <c r="T296" s="253" t="n">
        <v>47.311</v>
      </c>
      <c r="U296" s="253" t="n">
        <v>69.173</v>
      </c>
      <c r="V296" s="253" t="n">
        <v>56.009</v>
      </c>
      <c r="W296" s="253" t="n">
        <v>50.81</v>
      </c>
      <c r="X296" s="253" t="n">
        <v>50.81</v>
      </c>
      <c r="Y296" s="253" t="n">
        <v>50.365</v>
      </c>
      <c r="Z296" s="253" t="n">
        <v>47.328</v>
      </c>
      <c r="AA296" s="253" t="n">
        <v>57.639</v>
      </c>
      <c r="AB296" s="253" t="n">
        <v>50.732</v>
      </c>
      <c r="AC296" s="253" t="n">
        <v>50.732</v>
      </c>
      <c r="AD296" s="253" t="n">
        <v>48.744</v>
      </c>
      <c r="AE296" s="253" t="n">
        <v>44.219</v>
      </c>
      <c r="AF296" s="253" t="n">
        <v>47.381</v>
      </c>
      <c r="AG296" s="253" t="n">
        <v>51.614</v>
      </c>
      <c r="AH296" s="253" t="n">
        <v>51.614</v>
      </c>
      <c r="AI296" s="253" t="n">
        <v>44.506</v>
      </c>
      <c r="AJ296" s="253" t="n">
        <v>55.234</v>
      </c>
      <c r="AK296" s="253" t="n">
        <v>59.408</v>
      </c>
      <c r="AL296" s="253" t="n">
        <v>50.708</v>
      </c>
      <c r="AM296" s="253" t="n">
        <v>50.708</v>
      </c>
      <c r="AN296" s="253" t="n">
        <v>46.466</v>
      </c>
      <c r="AO296" s="253" t="n">
        <v>44.996</v>
      </c>
      <c r="AP296" s="253" t="n">
        <v>47.9</v>
      </c>
      <c r="AQ296" s="253" t="n">
        <v>55.572</v>
      </c>
      <c r="AR296" s="253" t="n">
        <v>55.572</v>
      </c>
      <c r="AS296" s="253" t="n">
        <v>75.58499999999999</v>
      </c>
      <c r="AT296" s="253" t="n">
        <v>87.911</v>
      </c>
      <c r="AU296" s="253" t="n">
        <v>70.68000000000001</v>
      </c>
      <c r="AV296" s="253" t="n">
        <v>86.40000000000001</v>
      </c>
      <c r="AW296" s="253" t="n">
        <v>86.40000000000001</v>
      </c>
      <c r="AX296" s="253" t="n">
        <v>71.003</v>
      </c>
      <c r="AY296" s="253" t="n">
        <v>79.82899999999999</v>
      </c>
      <c r="AZ296" s="253" t="n">
        <v>102.649</v>
      </c>
      <c r="BA296" s="253" t="n">
        <v>100.284</v>
      </c>
      <c r="BB296" s="253" t="n">
        <v>100.284</v>
      </c>
      <c r="BC296" s="253" t="n">
        <v>95.48999999999999</v>
      </c>
      <c r="BD296" s="253" t="n">
        <v>88.456</v>
      </c>
      <c r="BE296" s="253" t="n">
        <v>75.175</v>
      </c>
      <c r="BF296" s="253" t="n">
        <v>83.521</v>
      </c>
      <c r="BG296" s="253" t="n">
        <v>83.521</v>
      </c>
      <c r="BH296" s="253" t="n">
        <v>68.21599999999999</v>
      </c>
      <c r="BI296" s="253" t="n">
        <v>82.06699999999999</v>
      </c>
      <c r="BJ296" s="253" t="n">
        <v>67.101</v>
      </c>
      <c r="BK296" s="253" t="n">
        <v>78.48699999999999</v>
      </c>
      <c r="BL296" s="253" t="n">
        <v>78.48699999999999</v>
      </c>
      <c r="BM296" s="253" t="n">
        <v>65.071</v>
      </c>
      <c r="BN296" s="253" t="n">
        <v>87.771</v>
      </c>
      <c r="BO296" s="253" t="n">
        <v>80.226</v>
      </c>
      <c r="BP296" s="253" t="n">
        <v>102.285</v>
      </c>
      <c r="BQ296" s="253" t="n">
        <v>102.285</v>
      </c>
      <c r="BR296" s="253" t="n">
        <v>73.852</v>
      </c>
      <c r="BS296" s="253" t="n">
        <v>79.95099999999999</v>
      </c>
      <c r="BT296" s="253" t="n">
        <v>103.649</v>
      </c>
      <c r="BU296" s="253" t="n">
        <v>146.933</v>
      </c>
      <c r="BV296" s="253" t="n">
        <v>146.933</v>
      </c>
      <c r="BW296" s="253" t="n">
        <v>102.141</v>
      </c>
      <c r="BX296" s="253" t="n">
        <v>134.868</v>
      </c>
      <c r="BY296" s="253" t="n">
        <v>128.904</v>
      </c>
      <c r="BZ296" s="35" t="n"/>
      <c r="CA296" s="254">
        <f>CA314*CA316</f>
        <v>187.22</v>
      </c>
      <c r="CB296" s="254">
        <f>CB314*CB316</f>
        <v>207.112481117819</v>
      </c>
      <c r="CC296" s="254">
        <f>CC314*CC316</f>
        <v>228.52755121727</v>
      </c>
      <c r="CD296" s="254">
        <f>CD314*CD316</f>
        <v>250.106907227705</v>
      </c>
      <c r="CE296" s="254">
        <f>CE314*CE316</f>
        <v>272.112508861794</v>
      </c>
      <c r="CF296" s="254">
        <f>CF314*CF316</f>
        <v>294.258044066101</v>
      </c>
      <c r="CG296" s="19" t="n"/>
    </row>
    <row r="297" ht="15" customHeight="1" s="251">
      <c r="B297" s="25" t="inlineStr">
        <is>
          <t xml:space="preserve">  Accrued compensation and employee benefits</t>
        </is>
      </c>
      <c r="C297" s="253" t="n">
        <v>34.936</v>
      </c>
      <c r="D297" s="253" t="n">
        <v>44.202</v>
      </c>
      <c r="E297" s="253" t="n">
        <v>29.551</v>
      </c>
      <c r="F297" s="253" t="n">
        <v>28.139</v>
      </c>
      <c r="G297" s="253" t="n">
        <v>33.697</v>
      </c>
      <c r="H297" s="253" t="n">
        <v>36.47</v>
      </c>
      <c r="I297" s="253" t="n">
        <v>50.043</v>
      </c>
      <c r="J297" s="253" t="n">
        <v>30.17</v>
      </c>
      <c r="K297" s="253" t="n">
        <v>36.585</v>
      </c>
      <c r="L297" s="253" t="n">
        <v>37.944</v>
      </c>
      <c r="M297" s="253" t="n">
        <v>39.281</v>
      </c>
      <c r="N297" s="253" t="n">
        <v>39.281</v>
      </c>
      <c r="O297" s="253" t="n">
        <v>28.457</v>
      </c>
      <c r="P297" s="253" t="n">
        <v>36.709</v>
      </c>
      <c r="Q297" s="253" t="n">
        <v>42.634</v>
      </c>
      <c r="R297" s="253" t="n">
        <v>56.65</v>
      </c>
      <c r="S297" s="253" t="n">
        <v>56.65</v>
      </c>
      <c r="T297" s="253" t="n">
        <v>30.081</v>
      </c>
      <c r="U297" s="253" t="n">
        <v>37.301</v>
      </c>
      <c r="V297" s="253" t="n">
        <v>36.648</v>
      </c>
      <c r="W297" s="253" t="n">
        <v>54.368</v>
      </c>
      <c r="X297" s="253" t="n">
        <v>54.368</v>
      </c>
      <c r="Y297" s="253" t="n">
        <v>37.837</v>
      </c>
      <c r="Z297" s="253" t="n">
        <v>44.429</v>
      </c>
      <c r="AA297" s="253" t="n">
        <v>56.72</v>
      </c>
      <c r="AB297" s="253" t="n">
        <v>71.21599999999999</v>
      </c>
      <c r="AC297" s="253" t="n">
        <v>71.21599999999999</v>
      </c>
      <c r="AD297" s="253" t="n">
        <v>41.506</v>
      </c>
      <c r="AE297" s="253" t="n">
        <v>48.154</v>
      </c>
      <c r="AF297" s="253" t="n">
        <v>62.616</v>
      </c>
      <c r="AG297" s="253" t="n">
        <v>77.61</v>
      </c>
      <c r="AH297" s="253" t="n">
        <v>77.61</v>
      </c>
      <c r="AI297" s="253" t="n">
        <v>49.031</v>
      </c>
      <c r="AJ297" s="253" t="n">
        <v>57.294</v>
      </c>
      <c r="AK297" s="253" t="n">
        <v>75.218</v>
      </c>
      <c r="AL297" s="253" t="n">
        <v>84.292</v>
      </c>
      <c r="AM297" s="253" t="n">
        <v>84.292</v>
      </c>
      <c r="AN297" s="253" t="n">
        <v>55.354</v>
      </c>
      <c r="AO297" s="253" t="n">
        <v>67.349</v>
      </c>
      <c r="AP297" s="253" t="n">
        <v>88.54300000000001</v>
      </c>
      <c r="AQ297" s="253" t="n">
        <v>106.24</v>
      </c>
      <c r="AR297" s="253" t="n">
        <v>106.24</v>
      </c>
      <c r="AS297" s="253" t="n">
        <v>71.78</v>
      </c>
      <c r="AT297" s="253" t="n">
        <v>68.50700000000001</v>
      </c>
      <c r="AU297" s="253" t="n">
        <v>95.67400000000001</v>
      </c>
      <c r="AV297" s="253" t="n">
        <v>117.952</v>
      </c>
      <c r="AW297" s="253" t="n">
        <v>117.952</v>
      </c>
      <c r="AX297" s="253" t="n">
        <v>73.23099999999999</v>
      </c>
      <c r="AY297" s="253" t="n">
        <v>71.34699999999999</v>
      </c>
      <c r="AZ297" s="253" t="n">
        <v>92.363</v>
      </c>
      <c r="BA297" s="253" t="n">
        <v>103.506</v>
      </c>
      <c r="BB297" s="253" t="n">
        <v>103.506</v>
      </c>
      <c r="BC297" s="253" t="n">
        <v>62.926</v>
      </c>
      <c r="BD297" s="253" t="n">
        <v>61.825</v>
      </c>
      <c r="BE297" s="253" t="n">
        <v>80.194</v>
      </c>
      <c r="BF297" s="253" t="n">
        <v>97.893</v>
      </c>
      <c r="BG297" s="253" t="n">
        <v>97.893</v>
      </c>
      <c r="BH297" s="253" t="n">
        <v>59.876</v>
      </c>
      <c r="BI297" s="253" t="n">
        <v>65.863</v>
      </c>
      <c r="BJ297" s="253" t="n">
        <v>83.54600000000001</v>
      </c>
      <c r="BK297" s="253" t="n">
        <v>102.471</v>
      </c>
      <c r="BL297" s="253" t="n">
        <v>102.471</v>
      </c>
      <c r="BM297" s="253" t="n">
        <v>68.21599999999999</v>
      </c>
      <c r="BN297" s="253" t="n">
        <v>68.80500000000001</v>
      </c>
      <c r="BO297" s="253" t="n">
        <v>92.73099999999999</v>
      </c>
      <c r="BP297" s="253" t="n">
        <v>106.103</v>
      </c>
      <c r="BQ297" s="253" t="n">
        <v>106.103</v>
      </c>
      <c r="BR297" s="253" t="n">
        <v>77.10899999999999</v>
      </c>
      <c r="BS297" s="253" t="n">
        <v>76.511</v>
      </c>
      <c r="BT297" s="253" t="n">
        <v>95.901</v>
      </c>
      <c r="BU297" s="253" t="n">
        <v>115.369</v>
      </c>
      <c r="BV297" s="253" t="n">
        <v>115.369</v>
      </c>
      <c r="BW297" s="253" t="n">
        <v>76.809</v>
      </c>
      <c r="BX297" s="253" t="n">
        <v>87.259</v>
      </c>
      <c r="BY297" s="253" t="n">
        <v>110.863</v>
      </c>
      <c r="BZ297" s="35" t="n"/>
      <c r="CA297" s="254">
        <f>CA314*CA317</f>
        <v>146.74</v>
      </c>
      <c r="CB297" s="254">
        <f>CB314*CB317</f>
        <v>162.331404119371</v>
      </c>
      <c r="CC297" s="254">
        <f>CC314*CC317</f>
        <v>179.116188791914</v>
      </c>
      <c r="CD297" s="254">
        <f>CD314*CD317</f>
        <v>196.029738097391</v>
      </c>
      <c r="CE297" s="254">
        <f>CE314*CE317</f>
        <v>213.277371810596</v>
      </c>
      <c r="CF297" s="254">
        <f>CF314*CF317</f>
        <v>230.634683186944</v>
      </c>
      <c r="CG297" s="19" t="n"/>
    </row>
    <row r="298" ht="15" customHeight="1" s="251">
      <c r="B298" s="25" t="inlineStr">
        <is>
          <t xml:space="preserve">  Deferred revenue</t>
        </is>
      </c>
      <c r="C298" s="253" t="n">
        <v>48.284</v>
      </c>
      <c r="D298" s="253" t="n">
        <v>42.572</v>
      </c>
      <c r="E298" s="253" t="n">
        <v>38.243</v>
      </c>
      <c r="F298" s="253" t="n">
        <v>39.673</v>
      </c>
      <c r="G298" s="253" t="n">
        <v>42.953</v>
      </c>
      <c r="H298" s="253" t="n">
        <v>41.768</v>
      </c>
      <c r="I298" s="253" t="n">
        <v>47.959</v>
      </c>
      <c r="J298" s="253" t="n">
        <v>47.455</v>
      </c>
      <c r="K298" s="253" t="n">
        <v>51.803</v>
      </c>
      <c r="L298" s="253" t="n">
        <v>50.522</v>
      </c>
      <c r="M298" s="253" t="n">
        <v>49.181</v>
      </c>
      <c r="N298" s="253" t="n">
        <v>49.181</v>
      </c>
      <c r="O298" s="253" t="n">
        <v>48.388</v>
      </c>
      <c r="P298" s="253" t="n">
        <v>55.586</v>
      </c>
      <c r="Q298" s="253" t="n">
        <v>53.849</v>
      </c>
      <c r="R298" s="253" t="n">
        <v>56.519</v>
      </c>
      <c r="S298" s="253" t="n">
        <v>56.519</v>
      </c>
      <c r="T298" s="253" t="n">
        <v>57.331</v>
      </c>
      <c r="U298" s="253" t="n">
        <v>67.60899999999999</v>
      </c>
      <c r="V298" s="253" t="n">
        <v>54.26</v>
      </c>
      <c r="W298" s="253" t="n">
        <v>46.697</v>
      </c>
      <c r="X298" s="253" t="n">
        <v>46.697</v>
      </c>
      <c r="Y298" s="253" t="n">
        <v>51.888</v>
      </c>
      <c r="Z298" s="253" t="n">
        <v>54.574</v>
      </c>
      <c r="AA298" s="253" t="n">
        <v>50.884</v>
      </c>
      <c r="AB298" s="253" t="n">
        <v>47.129</v>
      </c>
      <c r="AC298" s="253" t="n">
        <v>47.129</v>
      </c>
      <c r="AD298" s="253" t="n">
        <v>57.465</v>
      </c>
      <c r="AE298" s="253" t="n">
        <v>64.90600000000001</v>
      </c>
      <c r="AF298" s="253" t="n">
        <v>65.02800000000001</v>
      </c>
      <c r="AG298" s="253" t="n">
        <v>55.431</v>
      </c>
      <c r="AH298" s="253" t="n">
        <v>55.431</v>
      </c>
      <c r="AI298" s="253" t="n">
        <v>58.743</v>
      </c>
      <c r="AJ298" s="253" t="n">
        <v>65.018</v>
      </c>
      <c r="AK298" s="253" t="n">
        <v>60.587</v>
      </c>
      <c r="AL298" s="253" t="n">
        <v>52.215</v>
      </c>
      <c r="AM298" s="253" t="n">
        <v>52.215</v>
      </c>
      <c r="AN298" s="253" t="n">
        <v>103.527</v>
      </c>
      <c r="AO298" s="253" t="n">
        <v>106.275</v>
      </c>
      <c r="AP298" s="253" t="n">
        <v>103.27</v>
      </c>
      <c r="AQ298" s="253" t="n">
        <v>111.016</v>
      </c>
      <c r="AR298" s="253" t="n">
        <v>111.016</v>
      </c>
      <c r="AS298" s="253" t="n">
        <v>114.667</v>
      </c>
      <c r="AT298" s="253" t="n">
        <v>114.406</v>
      </c>
      <c r="AU298" s="253" t="n">
        <v>105.833</v>
      </c>
      <c r="AV298" s="253" t="n">
        <v>115.159</v>
      </c>
      <c r="AW298" s="253" t="n">
        <v>115.159</v>
      </c>
      <c r="AX298" s="253" t="n">
        <v>115.808</v>
      </c>
      <c r="AY298" s="253" t="n">
        <v>100.396</v>
      </c>
      <c r="AZ298" s="253" t="n">
        <v>99.75700000000001</v>
      </c>
      <c r="BA298" s="253" t="n">
        <v>105.417</v>
      </c>
      <c r="BB298" s="253" t="n">
        <v>105.417</v>
      </c>
      <c r="BC298" s="253" t="n">
        <v>98.381</v>
      </c>
      <c r="BD298" s="253" t="n">
        <v>102.481</v>
      </c>
      <c r="BE298" s="253" t="n">
        <v>98.486</v>
      </c>
      <c r="BF298" s="253" t="n">
        <v>120.045</v>
      </c>
      <c r="BG298" s="253" t="n">
        <v>120.045</v>
      </c>
      <c r="BH298" s="253" t="n">
        <v>126.896</v>
      </c>
      <c r="BI298" s="253" t="n">
        <v>118.348</v>
      </c>
      <c r="BJ298" s="253" t="n">
        <v>127.299</v>
      </c>
      <c r="BK298" s="253" t="n">
        <v>136.73</v>
      </c>
      <c r="BL298" s="253" t="n">
        <v>136.73</v>
      </c>
      <c r="BM298" s="253" t="n">
        <v>146.822</v>
      </c>
      <c r="BN298" s="253" t="n">
        <v>143.544</v>
      </c>
      <c r="BO298" s="253" t="n">
        <v>149.259</v>
      </c>
      <c r="BP298" s="253" t="n">
        <v>156.897</v>
      </c>
      <c r="BQ298" s="253" t="n">
        <v>156.897</v>
      </c>
      <c r="BR298" s="253" t="n">
        <v>165.359</v>
      </c>
      <c r="BS298" s="253" t="n">
        <v>171.78</v>
      </c>
      <c r="BT298" s="253" t="n">
        <v>171.713</v>
      </c>
      <c r="BU298" s="253" t="n">
        <v>187.372</v>
      </c>
      <c r="BV298" s="253" t="n">
        <v>187.372</v>
      </c>
      <c r="BW298" s="253" t="n">
        <v>173.371</v>
      </c>
      <c r="BX298" s="253" t="n">
        <v>183.163</v>
      </c>
      <c r="BY298" s="253" t="n">
        <v>205.424</v>
      </c>
      <c r="BZ298" s="35" t="n"/>
      <c r="CA298" s="254">
        <f>CA314*CA318</f>
        <v>237.82</v>
      </c>
      <c r="CB298" s="254">
        <f>CB314*CB318</f>
        <v>263.088827365878</v>
      </c>
      <c r="CC298" s="254">
        <f>CC314*CC318</f>
        <v>290.291754248964</v>
      </c>
      <c r="CD298" s="254">
        <f>CD314*CD318</f>
        <v>317.703368640599</v>
      </c>
      <c r="CE298" s="254">
        <f>CE314*CE318</f>
        <v>345.656430175793</v>
      </c>
      <c r="CF298" s="254">
        <f>CF314*CF318</f>
        <v>373.787245165048</v>
      </c>
      <c r="CG298" s="19" t="n"/>
    </row>
    <row r="299" ht="15" customHeight="1" s="251">
      <c r="B299" s="25" t="inlineStr">
        <is>
          <t xml:space="preserve">  Current maturities on debt (incl. senior convertible notes FY2006–07)</t>
        </is>
      </c>
      <c r="C299" s="253" t="n">
        <v>590.4589999999999</v>
      </c>
      <c r="D299" s="253" t="n">
        <v>530.066</v>
      </c>
      <c r="E299" s="253" t="n">
        <v>129.15</v>
      </c>
      <c r="F299" s="253" t="n">
        <v>201.044</v>
      </c>
      <c r="G299" s="253" t="n">
        <v>80.982</v>
      </c>
      <c r="H299" s="253" t="n">
        <v>117.996</v>
      </c>
      <c r="I299" s="253" t="n">
        <v>76.425</v>
      </c>
      <c r="J299" s="253" t="n">
        <v>49</v>
      </c>
      <c r="K299" s="253" t="n">
        <v>49</v>
      </c>
      <c r="L299" s="253" t="n">
        <v>38</v>
      </c>
      <c r="M299" s="253" t="n">
        <v>23</v>
      </c>
      <c r="N299" s="253" t="n">
        <v>23</v>
      </c>
      <c r="O299" s="253" t="n">
        <v>31</v>
      </c>
      <c r="P299" s="253" t="n">
        <v>36</v>
      </c>
      <c r="Q299" s="253" t="n">
        <v>154</v>
      </c>
      <c r="R299" s="253" t="n">
        <v>170</v>
      </c>
      <c r="S299" s="253" t="n">
        <v>170</v>
      </c>
      <c r="T299" s="253" t="n">
        <v>231</v>
      </c>
      <c r="U299" s="253" t="n">
        <v>82</v>
      </c>
      <c r="V299" s="253" t="n">
        <v>72</v>
      </c>
      <c r="W299" s="253" t="n">
        <v>92</v>
      </c>
      <c r="X299" s="253" t="n">
        <v>92</v>
      </c>
      <c r="Y299" s="253" t="n">
        <v>103</v>
      </c>
      <c r="Z299" s="253" t="n">
        <v>95</v>
      </c>
      <c r="AA299" s="253" t="n">
        <v>85</v>
      </c>
      <c r="AB299" s="253" t="n">
        <v>77</v>
      </c>
      <c r="AC299" s="253" t="n">
        <v>77</v>
      </c>
      <c r="AD299" s="253" t="n">
        <v>102</v>
      </c>
      <c r="AE299" s="253" t="n">
        <v>107</v>
      </c>
      <c r="AF299" s="253" t="n">
        <v>224</v>
      </c>
      <c r="AG299" s="253" t="n">
        <v>142</v>
      </c>
      <c r="AH299" s="253" t="n">
        <v>142</v>
      </c>
      <c r="AI299" s="253" t="n">
        <v>201</v>
      </c>
      <c r="AJ299" s="253" t="n">
        <v>191</v>
      </c>
      <c r="AK299" s="253" t="n">
        <v>202</v>
      </c>
      <c r="AL299" s="253" t="n">
        <v>235</v>
      </c>
      <c r="AM299" s="253" t="n">
        <v>235</v>
      </c>
      <c r="AN299" s="253" t="n">
        <v>228</v>
      </c>
      <c r="AO299" s="253" t="n">
        <v>218</v>
      </c>
      <c r="AP299" s="253" t="n">
        <v>218</v>
      </c>
      <c r="AQ299" s="253" t="n">
        <v>218</v>
      </c>
      <c r="AR299" s="253" t="n">
        <v>218</v>
      </c>
      <c r="AS299" s="253" t="n">
        <v>180</v>
      </c>
      <c r="AT299" s="253" t="n">
        <v>209</v>
      </c>
      <c r="AU299" s="253" t="n">
        <v>188</v>
      </c>
      <c r="AV299" s="253" t="n">
        <v>95</v>
      </c>
      <c r="AW299" s="253" t="n">
        <v>95</v>
      </c>
      <c r="AX299" s="253" t="n">
        <v>131</v>
      </c>
      <c r="AY299" s="253" t="n">
        <v>225</v>
      </c>
      <c r="AZ299" s="253" t="n">
        <v>250</v>
      </c>
      <c r="BA299" s="253" t="n">
        <v>250</v>
      </c>
      <c r="BB299" s="253" t="n">
        <v>250</v>
      </c>
      <c r="BC299" s="253" t="n">
        <v>65</v>
      </c>
      <c r="BD299" s="253" t="n">
        <v>130</v>
      </c>
      <c r="BE299" s="253" t="n">
        <v>130</v>
      </c>
      <c r="BF299" s="253" t="n">
        <v>30</v>
      </c>
      <c r="BG299" s="253" t="n">
        <v>30</v>
      </c>
      <c r="BH299" s="253" t="n">
        <v>100</v>
      </c>
      <c r="BI299" s="253" t="n">
        <v>107</v>
      </c>
      <c r="BJ299" s="253" t="n">
        <v>115</v>
      </c>
      <c r="BK299" s="253" t="n">
        <v>50</v>
      </c>
      <c r="BL299" s="253" t="n">
        <v>50</v>
      </c>
      <c r="BM299" s="253" t="n">
        <v>153</v>
      </c>
      <c r="BN299" s="253" t="n">
        <v>15</v>
      </c>
      <c r="BO299" s="253" t="n">
        <v>15</v>
      </c>
      <c r="BP299" s="253" t="n">
        <v>15</v>
      </c>
      <c r="BQ299" s="253" t="n">
        <v>15</v>
      </c>
      <c r="BR299" s="253" t="n">
        <v>15</v>
      </c>
      <c r="BS299" s="253" t="n">
        <v>15</v>
      </c>
      <c r="BT299" s="253" t="n">
        <v>399.345</v>
      </c>
      <c r="BU299" s="253" t="n">
        <v>399.541</v>
      </c>
      <c r="BV299" s="253" t="n">
        <v>399.541</v>
      </c>
      <c r="BW299" s="253" t="n">
        <v>399.738</v>
      </c>
      <c r="BX299" s="253" t="n">
        <v>0</v>
      </c>
      <c r="BY299" s="253" t="n">
        <v>300</v>
      </c>
      <c r="BZ299" s="35" t="n"/>
      <c r="CA299" s="254">
        <f>CA334</f>
        <v>337.5</v>
      </c>
      <c r="CB299" s="254">
        <f>CB334</f>
        <v>1987.5</v>
      </c>
      <c r="CC299" s="254">
        <f>CC334</f>
        <v>0</v>
      </c>
      <c r="CD299" s="254">
        <f>CD334</f>
        <v>0</v>
      </c>
      <c r="CE299" s="254">
        <f>CE334</f>
        <v>0</v>
      </c>
      <c r="CF299" s="254">
        <f>CF334</f>
        <v>0</v>
      </c>
      <c r="CG299" s="19" t="inlineStr">
        <is>
          <t>Term-loan installments and notes due in the following fiscal year (revolver borrowings are classified as long-term).</t>
        </is>
      </c>
    </row>
    <row r="300" ht="15" customHeight="1" s="251">
      <c r="B300" s="25" t="inlineStr">
        <is>
          <t xml:space="preserve">  Other current liabilities (derived)</t>
        </is>
      </c>
      <c r="C300" s="253" t="n">
        <v>-190.459</v>
      </c>
      <c r="D300" s="253" t="n">
        <v>-139.103</v>
      </c>
      <c r="E300" s="253" t="n">
        <v>-129.15</v>
      </c>
      <c r="F300" s="253" t="n">
        <v>-201.044</v>
      </c>
      <c r="G300" s="253" t="n">
        <v>-72.982</v>
      </c>
      <c r="H300" s="253" t="n">
        <v>-107.906</v>
      </c>
      <c r="I300" s="253" t="n">
        <v>-27.425</v>
      </c>
      <c r="J300" s="253" t="n">
        <v>0</v>
      </c>
      <c r="K300" s="253" t="n">
        <v>0</v>
      </c>
      <c r="L300" s="253" t="n">
        <v>0</v>
      </c>
      <c r="M300" s="253" t="n">
        <v>0</v>
      </c>
      <c r="N300" s="253" t="n">
        <v>0</v>
      </c>
      <c r="O300" s="253" t="n">
        <v>0</v>
      </c>
      <c r="P300" s="253" t="n">
        <v>0</v>
      </c>
      <c r="Q300" s="253" t="n">
        <v>0</v>
      </c>
      <c r="R300" s="253" t="n">
        <v>0</v>
      </c>
      <c r="S300" s="253" t="n">
        <v>0</v>
      </c>
      <c r="T300" s="253" t="n">
        <v>0</v>
      </c>
      <c r="U300" s="253" t="n">
        <v>0</v>
      </c>
      <c r="V300" s="253" t="n">
        <v>0</v>
      </c>
      <c r="W300" s="253" t="n">
        <v>0</v>
      </c>
      <c r="X300" s="253" t="n">
        <v>0</v>
      </c>
      <c r="Y300" s="253" t="n">
        <v>0</v>
      </c>
      <c r="Z300" s="253" t="n">
        <v>0</v>
      </c>
      <c r="AA300" s="253" t="n">
        <v>0</v>
      </c>
      <c r="AB300" s="253" t="n">
        <v>0</v>
      </c>
      <c r="AC300" s="253" t="n">
        <v>0</v>
      </c>
      <c r="AD300" s="253" t="n">
        <v>0</v>
      </c>
      <c r="AE300" s="253" t="n">
        <v>0</v>
      </c>
      <c r="AF300" s="253" t="n">
        <v>0</v>
      </c>
      <c r="AG300" s="253" t="n">
        <v>0</v>
      </c>
      <c r="AH300" s="253" t="n">
        <v>0</v>
      </c>
      <c r="AI300" s="253" t="n">
        <v>0</v>
      </c>
      <c r="AJ300" s="253" t="n">
        <v>0</v>
      </c>
      <c r="AK300" s="253" t="n">
        <v>0</v>
      </c>
      <c r="AL300" s="253" t="n">
        <v>0</v>
      </c>
      <c r="AM300" s="253" t="n">
        <v>0</v>
      </c>
      <c r="AN300" s="253" t="n">
        <v>0</v>
      </c>
      <c r="AO300" s="253" t="n">
        <v>0</v>
      </c>
      <c r="AP300" s="253" t="n">
        <v>0</v>
      </c>
      <c r="AQ300" s="253" t="n">
        <v>0</v>
      </c>
      <c r="AR300" s="253" t="n">
        <v>0</v>
      </c>
      <c r="AS300" s="253" t="n">
        <v>0</v>
      </c>
      <c r="AT300" s="253" t="n">
        <v>0</v>
      </c>
      <c r="AU300" s="253" t="n">
        <v>0</v>
      </c>
      <c r="AV300" s="253" t="n">
        <v>0</v>
      </c>
      <c r="AW300" s="253" t="n">
        <v>0</v>
      </c>
      <c r="AX300" s="253" t="n">
        <v>0</v>
      </c>
      <c r="AY300" s="253" t="n">
        <v>23.989</v>
      </c>
      <c r="AZ300" s="253" t="n">
        <v>0</v>
      </c>
      <c r="BA300" s="253" t="n">
        <v>0</v>
      </c>
      <c r="BB300" s="253" t="n">
        <v>0</v>
      </c>
      <c r="BC300" s="253" t="n">
        <v>0</v>
      </c>
      <c r="BD300" s="253" t="n">
        <v>0</v>
      </c>
      <c r="BE300" s="253" t="n">
        <v>0</v>
      </c>
      <c r="BF300" s="253" t="n">
        <v>0</v>
      </c>
      <c r="BG300" s="253" t="n">
        <v>0</v>
      </c>
      <c r="BH300" s="253" t="n">
        <v>0</v>
      </c>
      <c r="BI300" s="253" t="n">
        <v>0</v>
      </c>
      <c r="BJ300" s="253" t="n">
        <v>0</v>
      </c>
      <c r="BK300" s="253" t="n">
        <v>0</v>
      </c>
      <c r="BL300" s="253" t="n">
        <v>0</v>
      </c>
      <c r="BM300" s="253" t="n">
        <v>0</v>
      </c>
      <c r="BN300" s="253" t="n">
        <v>0</v>
      </c>
      <c r="BO300" s="253" t="n">
        <v>0</v>
      </c>
      <c r="BP300" s="253" t="n">
        <v>0</v>
      </c>
      <c r="BQ300" s="253" t="n">
        <v>0</v>
      </c>
      <c r="BR300" s="253" t="n">
        <v>0</v>
      </c>
      <c r="BS300" s="253" t="n">
        <v>0</v>
      </c>
      <c r="BT300" s="253" t="n">
        <v>0</v>
      </c>
      <c r="BU300" s="253" t="n">
        <v>0</v>
      </c>
      <c r="BV300" s="253" t="n">
        <v>0</v>
      </c>
      <c r="BW300" s="253" t="n">
        <v>0</v>
      </c>
      <c r="BX300" s="253" t="n">
        <v>0</v>
      </c>
      <c r="BY300" s="253" t="n">
        <v>0</v>
      </c>
      <c r="BZ300" s="35" t="n"/>
      <c r="CA300" s="254">
        <f>BY300</f>
        <v>0</v>
      </c>
      <c r="CB300" s="254">
        <f>CA300</f>
        <v>0</v>
      </c>
      <c r="CC300" s="254">
        <f>CB300</f>
        <v>0</v>
      </c>
      <c r="CD300" s="254">
        <f>CC300</f>
        <v>0</v>
      </c>
      <c r="CE300" s="254">
        <f>CD300</f>
        <v>0</v>
      </c>
      <c r="CF300" s="254">
        <f>CE300</f>
        <v>0</v>
      </c>
      <c r="CG300" s="19" t="n"/>
    </row>
    <row r="301" ht="15" customHeight="1" s="251">
      <c r="B301" s="16" t="inlineStr">
        <is>
          <t>Total current liabilities</t>
        </is>
      </c>
      <c r="C301" s="259">
        <f>IF(ISNUMBER(C296),SUM(C296:C300),"")</f>
        <v>537.029</v>
      </c>
      <c r="D301" s="259">
        <f>IF(ISNUMBER(D296),SUM(D296:D300),"")</f>
        <v>525.924</v>
      </c>
      <c r="E301" s="259">
        <f>IF(ISNUMBER(E296),SUM(E296:E300),"")</f>
        <v>122.631</v>
      </c>
      <c r="F301" s="259">
        <f>IF(ISNUMBER(F296),SUM(F296:F300),"")</f>
        <v>114.588</v>
      </c>
      <c r="G301" s="259">
        <f>IF(ISNUMBER(G296),SUM(G296:G300),"")</f>
        <v>122.147</v>
      </c>
      <c r="H301" s="259">
        <f>IF(ISNUMBER(H296),SUM(H296:H300),"")</f>
        <v>146.498</v>
      </c>
      <c r="I301" s="259">
        <f>IF(ISNUMBER(I296),SUM(I296:I300),"")</f>
        <v>209.605</v>
      </c>
      <c r="J301" s="259">
        <f>IF(ISNUMBER(J296),SUM(J296:J300),"")</f>
        <v>189.003</v>
      </c>
      <c r="K301" s="259">
        <f>IF(ISNUMBER(K296),SUM(K296:K300),"")</f>
        <v>191.273</v>
      </c>
      <c r="L301" s="259">
        <f>IF(ISNUMBER(L296),SUM(L296:L300),"")</f>
        <v>181.245</v>
      </c>
      <c r="M301" s="259">
        <f>IF(ISNUMBER(M296),SUM(M296:M300),"")</f>
        <v>165.88</v>
      </c>
      <c r="N301" s="259">
        <f>IF(ISNUMBER(N296),SUM(N296:N300),"")</f>
        <v>165.88</v>
      </c>
      <c r="O301" s="259">
        <f>IF(ISNUMBER(O296),SUM(O296:O300),"")</f>
        <v>161.64</v>
      </c>
      <c r="P301" s="259">
        <f>IF(ISNUMBER(P296),SUM(P296:P300),"")</f>
        <v>179.161</v>
      </c>
      <c r="Q301" s="259">
        <f>IF(ISNUMBER(Q296),SUM(Q296:Q300),"")</f>
        <v>313.002</v>
      </c>
      <c r="R301" s="259">
        <f>IF(ISNUMBER(R296),SUM(R296:R300),"")</f>
        <v>341.404</v>
      </c>
      <c r="S301" s="259">
        <f>IF(ISNUMBER(S296),SUM(S296:S300),"")</f>
        <v>341.404</v>
      </c>
      <c r="T301" s="259">
        <f>IF(ISNUMBER(T296),SUM(T296:T300),"")</f>
        <v>365.723</v>
      </c>
      <c r="U301" s="259">
        <f>IF(ISNUMBER(U296),SUM(U296:U300),"")</f>
        <v>256.083</v>
      </c>
      <c r="V301" s="259">
        <f>IF(ISNUMBER(V296),SUM(V296:V300),"")</f>
        <v>218.917</v>
      </c>
      <c r="W301" s="259">
        <f>IF(ISNUMBER(W296),SUM(W296:W300),"")</f>
        <v>243.875</v>
      </c>
      <c r="X301" s="259">
        <f>IF(ISNUMBER(X296),SUM(X296:X300),"")</f>
        <v>243.875</v>
      </c>
      <c r="Y301" s="259">
        <f>IF(ISNUMBER(Y296),SUM(Y296:Y300),"")</f>
        <v>243.09</v>
      </c>
      <c r="Z301" s="259">
        <f>IF(ISNUMBER(Z296),SUM(Z296:Z300),"")</f>
        <v>241.331</v>
      </c>
      <c r="AA301" s="259">
        <f>IF(ISNUMBER(AA296),SUM(AA296:AA300),"")</f>
        <v>250.243</v>
      </c>
      <c r="AB301" s="259">
        <f>IF(ISNUMBER(AB296),SUM(AB296:AB300),"")</f>
        <v>246.077</v>
      </c>
      <c r="AC301" s="259">
        <f>IF(ISNUMBER(AC296),SUM(AC296:AC300),"")</f>
        <v>246.077</v>
      </c>
      <c r="AD301" s="259">
        <f>IF(ISNUMBER(AD296),SUM(AD296:AD300),"")</f>
        <v>249.715</v>
      </c>
      <c r="AE301" s="259">
        <f>IF(ISNUMBER(AE296),SUM(AE296:AE300),"")</f>
        <v>264.279</v>
      </c>
      <c r="AF301" s="259">
        <f>IF(ISNUMBER(AF296),SUM(AF296:AF300),"")</f>
        <v>399.025</v>
      </c>
      <c r="AG301" s="259">
        <f>IF(ISNUMBER(AG296),SUM(AG296:AG300),"")</f>
        <v>326.655</v>
      </c>
      <c r="AH301" s="259">
        <f>IF(ISNUMBER(AH296),SUM(AH296:AH300),"")</f>
        <v>326.655</v>
      </c>
      <c r="AI301" s="259">
        <f>IF(ISNUMBER(AI296),SUM(AI296:AI300),"")</f>
        <v>353.28</v>
      </c>
      <c r="AJ301" s="259">
        <f>IF(ISNUMBER(AJ296),SUM(AJ296:AJ300),"")</f>
        <v>368.546</v>
      </c>
      <c r="AK301" s="259">
        <f>IF(ISNUMBER(AK296),SUM(AK296:AK300),"")</f>
        <v>397.213</v>
      </c>
      <c r="AL301" s="259">
        <f>IF(ISNUMBER(AL296),SUM(AL296:AL300),"")</f>
        <v>422.215</v>
      </c>
      <c r="AM301" s="259">
        <f>IF(ISNUMBER(AM296),SUM(AM296:AM300),"")</f>
        <v>422.215</v>
      </c>
      <c r="AN301" s="259">
        <f>IF(ISNUMBER(AN296),SUM(AN296:AN300),"")</f>
        <v>433.347</v>
      </c>
      <c r="AO301" s="259">
        <f>IF(ISNUMBER(AO296),SUM(AO296:AO300),"")</f>
        <v>436.62</v>
      </c>
      <c r="AP301" s="259">
        <f>IF(ISNUMBER(AP296),SUM(AP296:AP300),"")</f>
        <v>457.713</v>
      </c>
      <c r="AQ301" s="259">
        <f>IF(ISNUMBER(AQ296),SUM(AQ296:AQ300),"")</f>
        <v>490.828</v>
      </c>
      <c r="AR301" s="259">
        <f>IF(ISNUMBER(AR296),SUM(AR296:AR300),"")</f>
        <v>490.828</v>
      </c>
      <c r="AS301" s="259">
        <f>IF(ISNUMBER(AS296),SUM(AS296:AS300),"")</f>
        <v>442.032</v>
      </c>
      <c r="AT301" s="259">
        <f>IF(ISNUMBER(AT296),SUM(AT296:AT300),"")</f>
        <v>479.824</v>
      </c>
      <c r="AU301" s="259">
        <f>IF(ISNUMBER(AU296),SUM(AU296:AU300),"")</f>
        <v>460.187</v>
      </c>
      <c r="AV301" s="259">
        <f>IF(ISNUMBER(AV296),SUM(AV296:AV300),"")</f>
        <v>414.511</v>
      </c>
      <c r="AW301" s="259">
        <f>IF(ISNUMBER(AW296),SUM(AW296:AW300),"")</f>
        <v>414.511</v>
      </c>
      <c r="AX301" s="259">
        <f>IF(ISNUMBER(AX296),SUM(AX296:AX300),"")</f>
        <v>391.042</v>
      </c>
      <c r="AY301" s="259">
        <f>IF(ISNUMBER(AY296),SUM(AY296:AY300),"")</f>
        <v>500.561</v>
      </c>
      <c r="AZ301" s="259">
        <f>IF(ISNUMBER(AZ296),SUM(AZ296:AZ300),"")</f>
        <v>544.769</v>
      </c>
      <c r="BA301" s="259">
        <f>IF(ISNUMBER(BA296),SUM(BA296:BA300),"")</f>
        <v>559.207</v>
      </c>
      <c r="BB301" s="259">
        <f>IF(ISNUMBER(BB296),SUM(BB296:BB300),"")</f>
        <v>559.207</v>
      </c>
      <c r="BC301" s="259">
        <f>IF(ISNUMBER(BC296),SUM(BC296:BC300),"")</f>
        <v>321.797</v>
      </c>
      <c r="BD301" s="259">
        <f>IF(ISNUMBER(BD296),SUM(BD296:BD300),"")</f>
        <v>382.762</v>
      </c>
      <c r="BE301" s="259">
        <f>IF(ISNUMBER(BE296),SUM(BE296:BE300),"")</f>
        <v>383.855</v>
      </c>
      <c r="BF301" s="259">
        <f>IF(ISNUMBER(BF296),SUM(BF296:BF300),"")</f>
        <v>331.459</v>
      </c>
      <c r="BG301" s="259">
        <f>IF(ISNUMBER(BG296),SUM(BG296:BG300),"")</f>
        <v>331.459</v>
      </c>
      <c r="BH301" s="259">
        <f>IF(ISNUMBER(BH296),SUM(BH296:BH300),"")</f>
        <v>354.988</v>
      </c>
      <c r="BI301" s="259">
        <f>IF(ISNUMBER(BI296),SUM(BI296:BI300),"")</f>
        <v>373.278</v>
      </c>
      <c r="BJ301" s="259">
        <f>IF(ISNUMBER(BJ296),SUM(BJ296:BJ300),"")</f>
        <v>392.946</v>
      </c>
      <c r="BK301" s="259">
        <f>IF(ISNUMBER(BK296),SUM(BK296:BK300),"")</f>
        <v>367.688</v>
      </c>
      <c r="BL301" s="259">
        <f>IF(ISNUMBER(BL296),SUM(BL296:BL300),"")</f>
        <v>367.688</v>
      </c>
      <c r="BM301" s="259">
        <f>IF(ISNUMBER(BM296),SUM(BM296:BM300),"")</f>
        <v>433.109</v>
      </c>
      <c r="BN301" s="259">
        <f>IF(ISNUMBER(BN296),SUM(BN296:BN300),"")</f>
        <v>315.12</v>
      </c>
      <c r="BO301" s="259">
        <f>IF(ISNUMBER(BO296),SUM(BO296:BO300),"")</f>
        <v>337.216</v>
      </c>
      <c r="BP301" s="259">
        <f>IF(ISNUMBER(BP296),SUM(BP296:BP300),"")</f>
        <v>380.285</v>
      </c>
      <c r="BQ301" s="259">
        <f>IF(ISNUMBER(BQ296),SUM(BQ296:BQ300),"")</f>
        <v>380.285</v>
      </c>
      <c r="BR301" s="259">
        <f>IF(ISNUMBER(BR296),SUM(BR296:BR300),"")</f>
        <v>331.32</v>
      </c>
      <c r="BS301" s="259">
        <f>IF(ISNUMBER(BS296),SUM(BS296:BS300),"")</f>
        <v>343.242</v>
      </c>
      <c r="BT301" s="259">
        <f>IF(ISNUMBER(BT296),SUM(BT296:BT300),"")</f>
        <v>770.608</v>
      </c>
      <c r="BU301" s="259">
        <f>IF(ISNUMBER(BU296),SUM(BU296:BU300),"")</f>
        <v>849.215</v>
      </c>
      <c r="BV301" s="259">
        <f>IF(ISNUMBER(BV296),SUM(BV296:BV300),"")</f>
        <v>849.215</v>
      </c>
      <c r="BW301" s="259">
        <f>IF(ISNUMBER(BW296),SUM(BW296:BW300),"")</f>
        <v>752.059</v>
      </c>
      <c r="BX301" s="259">
        <f>IF(ISNUMBER(BX296),SUM(BX296:BX300),"")</f>
        <v>405.29</v>
      </c>
      <c r="BY301" s="259">
        <f>IF(ISNUMBER(BY296),SUM(BY296:BY300),"")</f>
        <v>745.191</v>
      </c>
      <c r="BZ301" s="32" t="n"/>
      <c r="CA301" s="260">
        <f>IF(ISNUMBER(CA296),SUM(CA296:CA300),"")</f>
        <v>909.28</v>
      </c>
      <c r="CB301" s="260">
        <f>IF(ISNUMBER(CB296),SUM(CB296:CB300),"")</f>
        <v>2620.03271260307</v>
      </c>
      <c r="CC301" s="260">
        <f>IF(ISNUMBER(CC296),SUM(CC296:CC300),"")</f>
        <v>697.935494258148</v>
      </c>
      <c r="CD301" s="260">
        <f>IF(ISNUMBER(CD296),SUM(CD296:CD300),"")</f>
        <v>763.840013965694</v>
      </c>
      <c r="CE301" s="260">
        <f>IF(ISNUMBER(CE296),SUM(CE296:CE300),"")</f>
        <v>831.046310848183</v>
      </c>
      <c r="CF301" s="260">
        <f>IF(ISNUMBER(CF296),SUM(CF296:CF300),"")</f>
        <v>898.679972418094</v>
      </c>
      <c r="CG301" s="153" t="n"/>
    </row>
    <row r="302" ht="15" customHeight="1" s="251">
      <c r="B302" s="25" t="inlineStr">
        <is>
          <t xml:space="preserve">  Long-term debt (revolver, term loan, senior notes; net of issuance costs)</t>
        </is>
      </c>
      <c r="C302" s="253" t="n">
        <v>0</v>
      </c>
      <c r="D302" s="253" t="n">
        <v>170</v>
      </c>
      <c r="E302" s="253" t="n">
        <v>570</v>
      </c>
      <c r="F302" s="253" t="n">
        <v>570</v>
      </c>
      <c r="G302" s="253" t="n">
        <v>512</v>
      </c>
      <c r="H302" s="253" t="n">
        <v>504</v>
      </c>
      <c r="I302" s="253" t="n">
        <v>455</v>
      </c>
      <c r="J302" s="253" t="n">
        <v>455</v>
      </c>
      <c r="K302" s="253" t="n">
        <v>455</v>
      </c>
      <c r="L302" s="253" t="n">
        <v>447</v>
      </c>
      <c r="M302" s="253" t="n">
        <v>447</v>
      </c>
      <c r="N302" s="253" t="n">
        <v>447</v>
      </c>
      <c r="O302" s="253" t="n">
        <v>447</v>
      </c>
      <c r="P302" s="253" t="n">
        <v>447</v>
      </c>
      <c r="Q302" s="253" t="n">
        <v>376</v>
      </c>
      <c r="R302" s="253" t="n">
        <v>376</v>
      </c>
      <c r="S302" s="253" t="n">
        <v>376</v>
      </c>
      <c r="T302" s="253" t="n">
        <v>376</v>
      </c>
      <c r="U302" s="253" t="n">
        <v>576</v>
      </c>
      <c r="V302" s="253" t="n">
        <v>576</v>
      </c>
      <c r="W302" s="253" t="n">
        <v>516</v>
      </c>
      <c r="X302" s="253" t="n">
        <v>516</v>
      </c>
      <c r="Y302" s="253" t="n">
        <v>516</v>
      </c>
      <c r="Z302" s="253" t="n">
        <v>516</v>
      </c>
      <c r="AA302" s="253" t="n">
        <v>516</v>
      </c>
      <c r="AB302" s="253" t="n">
        <v>494</v>
      </c>
      <c r="AC302" s="253" t="n">
        <v>494</v>
      </c>
      <c r="AD302" s="253" t="n">
        <v>518.672</v>
      </c>
      <c r="AE302" s="253" t="n">
        <v>518.72</v>
      </c>
      <c r="AF302" s="253" t="n">
        <v>387.767</v>
      </c>
      <c r="AG302" s="253" t="n">
        <v>462.801</v>
      </c>
      <c r="AH302" s="253" t="n">
        <v>462.801</v>
      </c>
      <c r="AI302" s="253" t="n">
        <v>462.834</v>
      </c>
      <c r="AJ302" s="253" t="n">
        <v>512.8680000000001</v>
      </c>
      <c r="AK302" s="253" t="n">
        <v>556.713</v>
      </c>
      <c r="AL302" s="253" t="n">
        <v>528.944</v>
      </c>
      <c r="AM302" s="253" t="n">
        <v>528.944</v>
      </c>
      <c r="AN302" s="253" t="n">
        <v>604.157</v>
      </c>
      <c r="AO302" s="253" t="n">
        <v>604.369</v>
      </c>
      <c r="AP302" s="253" t="n">
        <v>604.582</v>
      </c>
      <c r="AQ302" s="253" t="n">
        <v>606.79</v>
      </c>
      <c r="AR302" s="253" t="n">
        <v>606.79</v>
      </c>
      <c r="AS302" s="253" t="n">
        <v>738.259</v>
      </c>
      <c r="AT302" s="253" t="n">
        <v>738.6319999999999</v>
      </c>
      <c r="AU302" s="253" t="n">
        <v>739.039</v>
      </c>
      <c r="AV302" s="253" t="n">
        <v>739.4349999999999</v>
      </c>
      <c r="AW302" s="253" t="n">
        <v>739.4349999999999</v>
      </c>
      <c r="AX302" s="253" t="n">
        <v>739.831</v>
      </c>
      <c r="AY302" s="253" t="n">
        <v>740.226</v>
      </c>
      <c r="AZ302" s="253" t="n">
        <v>806.622</v>
      </c>
      <c r="BA302" s="253" t="n">
        <v>1009.018</v>
      </c>
      <c r="BB302" s="253" t="n">
        <v>1009.018</v>
      </c>
      <c r="BC302" s="253" t="n">
        <v>1568.292</v>
      </c>
      <c r="BD302" s="253" t="n">
        <v>1664.674</v>
      </c>
      <c r="BE302" s="253" t="n">
        <v>1826.671</v>
      </c>
      <c r="BF302" s="253" t="n">
        <v>1823.669</v>
      </c>
      <c r="BG302" s="253" t="n">
        <v>1823.669</v>
      </c>
      <c r="BH302" s="253" t="n">
        <v>1820.666</v>
      </c>
      <c r="BI302" s="253" t="n">
        <v>1817.663</v>
      </c>
      <c r="BJ302" s="253" t="n">
        <v>1814.66</v>
      </c>
      <c r="BK302" s="253" t="n">
        <v>1811.658</v>
      </c>
      <c r="BL302" s="253" t="n">
        <v>1811.658</v>
      </c>
      <c r="BM302" s="253" t="n">
        <v>1808.655</v>
      </c>
      <c r="BN302" s="253" t="n">
        <v>2028.652</v>
      </c>
      <c r="BO302" s="253" t="n">
        <v>2104.943</v>
      </c>
      <c r="BP302" s="253" t="n">
        <v>2194.021</v>
      </c>
      <c r="BQ302" s="253" t="n">
        <v>2194.021</v>
      </c>
      <c r="BR302" s="253" t="n">
        <v>2406.1</v>
      </c>
      <c r="BS302" s="253" t="n">
        <v>2513.179</v>
      </c>
      <c r="BT302" s="253" t="n">
        <v>2380.209</v>
      </c>
      <c r="BU302" s="253" t="n">
        <v>2656.15</v>
      </c>
      <c r="BV302" s="253" t="n">
        <v>2656.15</v>
      </c>
      <c r="BW302" s="253" t="n">
        <v>2797.091</v>
      </c>
      <c r="BX302" s="253" t="n">
        <v>3639.063</v>
      </c>
      <c r="BY302" s="253" t="n">
        <v>5282.389</v>
      </c>
      <c r="BZ302" s="35" t="n"/>
      <c r="CA302" s="254">
        <f>CA328-CA299</f>
        <v>5191.10325580248</v>
      </c>
      <c r="CB302" s="254">
        <f>CB328-CB299</f>
        <v>3535.20519162973</v>
      </c>
      <c r="CC302" s="254">
        <f>CC328-CC299</f>
        <v>6156.7460513353</v>
      </c>
      <c r="CD302" s="254">
        <f>CD328-CD299</f>
        <v>6778.83043221606</v>
      </c>
      <c r="CE302" s="254">
        <f>CE328-CE299</f>
        <v>7374.71176985424</v>
      </c>
      <c r="CF302" s="254">
        <f>CF328-CF299</f>
        <v>7968.84126474711</v>
      </c>
      <c r="CG302" s="19" t="n"/>
    </row>
    <row r="303" ht="15" customHeight="1" s="251">
      <c r="B303" s="25" t="inlineStr">
        <is>
          <t xml:space="preserve">  Operating lease liabilities &amp; other liabilities (derived)</t>
        </is>
      </c>
      <c r="C303" s="253" t="n">
        <v>14.148</v>
      </c>
      <c r="D303" s="253" t="n">
        <v>13.533</v>
      </c>
      <c r="E303" s="253" t="n">
        <v>20.681</v>
      </c>
      <c r="F303" s="253" t="n">
        <v>19.031</v>
      </c>
      <c r="G303" s="253" t="n">
        <v>14.655</v>
      </c>
      <c r="H303" s="253" t="n">
        <v>13.476</v>
      </c>
      <c r="I303" s="253" t="n">
        <v>19.6</v>
      </c>
      <c r="J303" s="253" t="n">
        <v>23.383</v>
      </c>
      <c r="K303" s="253" t="n">
        <v>21.843</v>
      </c>
      <c r="L303" s="253" t="n">
        <v>20.661</v>
      </c>
      <c r="M303" s="253" t="n">
        <v>17.99</v>
      </c>
      <c r="N303" s="253" t="n">
        <v>17.99</v>
      </c>
      <c r="O303" s="253" t="n">
        <v>18.213</v>
      </c>
      <c r="P303" s="253" t="n">
        <v>17.511</v>
      </c>
      <c r="Q303" s="253" t="n">
        <v>17.571</v>
      </c>
      <c r="R303" s="253" t="n">
        <v>20.28</v>
      </c>
      <c r="S303" s="253" t="n">
        <v>20.28</v>
      </c>
      <c r="T303" s="253" t="n">
        <v>22.978</v>
      </c>
      <c r="U303" s="253" t="n">
        <v>23.406</v>
      </c>
      <c r="V303" s="253" t="n">
        <v>24.548</v>
      </c>
      <c r="W303" s="253" t="n">
        <v>33.29</v>
      </c>
      <c r="X303" s="253" t="n">
        <v>33.29</v>
      </c>
      <c r="Y303" s="253" t="n">
        <v>33.992</v>
      </c>
      <c r="Z303" s="253" t="n">
        <v>32.23</v>
      </c>
      <c r="AA303" s="253" t="n">
        <v>32.428</v>
      </c>
      <c r="AB303" s="253" t="n">
        <v>34.147</v>
      </c>
      <c r="AC303" s="253" t="n">
        <v>34.147</v>
      </c>
      <c r="AD303" s="253" t="n">
        <v>34.105</v>
      </c>
      <c r="AE303" s="253" t="n">
        <v>36.968</v>
      </c>
      <c r="AF303" s="253" t="n">
        <v>38.807</v>
      </c>
      <c r="AG303" s="253" t="n">
        <v>39.627</v>
      </c>
      <c r="AH303" s="253" t="n">
        <v>39.627</v>
      </c>
      <c r="AI303" s="253" t="n">
        <v>39.089</v>
      </c>
      <c r="AJ303" s="253" t="n">
        <v>38.778</v>
      </c>
      <c r="AK303" s="253" t="n">
        <v>38.5</v>
      </c>
      <c r="AL303" s="253" t="n">
        <v>40.183</v>
      </c>
      <c r="AM303" s="253" t="n">
        <v>40.183</v>
      </c>
      <c r="AN303" s="253" t="n">
        <v>40.227</v>
      </c>
      <c r="AO303" s="253" t="n">
        <v>39.644</v>
      </c>
      <c r="AP303" s="253" t="n">
        <v>43.186</v>
      </c>
      <c r="AQ303" s="253" t="n">
        <v>46.063</v>
      </c>
      <c r="AR303" s="253" t="n">
        <v>46.063</v>
      </c>
      <c r="AS303" s="253" t="n">
        <v>123.786</v>
      </c>
      <c r="AT303" s="253" t="n">
        <v>119.525</v>
      </c>
      <c r="AU303" s="253" t="n">
        <v>117.608</v>
      </c>
      <c r="AV303" s="253" t="n">
        <v>121.212</v>
      </c>
      <c r="AW303" s="253" t="n">
        <v>121.212</v>
      </c>
      <c r="AX303" s="253" t="n">
        <v>121.869</v>
      </c>
      <c r="AY303" s="253" t="n">
        <v>115.518</v>
      </c>
      <c r="AZ303" s="253" t="n">
        <v>112.926</v>
      </c>
      <c r="BA303" s="253" t="n">
        <v>110.493</v>
      </c>
      <c r="BB303" s="253" t="n">
        <v>110.493</v>
      </c>
      <c r="BC303" s="253" t="n">
        <v>111.52</v>
      </c>
      <c r="BD303" s="253" t="n">
        <v>102.465</v>
      </c>
      <c r="BE303" s="253" t="n">
        <v>93.782</v>
      </c>
      <c r="BF303" s="253" t="n">
        <v>88.85299999999999</v>
      </c>
      <c r="BG303" s="253" t="n">
        <v>88.85299999999999</v>
      </c>
      <c r="BH303" s="253" t="n">
        <v>85.134</v>
      </c>
      <c r="BI303" s="253" t="n">
        <v>82.283</v>
      </c>
      <c r="BJ303" s="253" t="n">
        <v>80.93899999999999</v>
      </c>
      <c r="BK303" s="253" t="n">
        <v>83.925</v>
      </c>
      <c r="BL303" s="253" t="n">
        <v>83.925</v>
      </c>
      <c r="BM303" s="253" t="n">
        <v>77.51900000000001</v>
      </c>
      <c r="BN303" s="253" t="n">
        <v>95.005</v>
      </c>
      <c r="BO303" s="253" t="n">
        <v>95.97799999999999</v>
      </c>
      <c r="BP303" s="253" t="n">
        <v>106.257</v>
      </c>
      <c r="BQ303" s="253" t="n">
        <v>106.257</v>
      </c>
      <c r="BR303" s="253" t="n">
        <v>107.352</v>
      </c>
      <c r="BS303" s="253" t="n">
        <v>103.384</v>
      </c>
      <c r="BT303" s="253" t="n">
        <v>108.652</v>
      </c>
      <c r="BU303" s="253" t="n">
        <v>108.552</v>
      </c>
      <c r="BV303" s="253" t="n">
        <v>108.552</v>
      </c>
      <c r="BW303" s="253" t="n">
        <v>113.144</v>
      </c>
      <c r="BX303" s="253" t="n">
        <v>105.546</v>
      </c>
      <c r="BY303" s="253" t="n">
        <v>106.928</v>
      </c>
      <c r="BZ303" s="35" t="n"/>
      <c r="CA303" s="254">
        <f>BY303</f>
        <v>106.928</v>
      </c>
      <c r="CB303" s="254">
        <f>CA303</f>
        <v>106.928</v>
      </c>
      <c r="CC303" s="254">
        <f>CB303</f>
        <v>106.928</v>
      </c>
      <c r="CD303" s="254">
        <f>CC303</f>
        <v>106.928</v>
      </c>
      <c r="CE303" s="254">
        <f>CD303</f>
        <v>106.928</v>
      </c>
      <c r="CF303" s="254">
        <f>CE303</f>
        <v>106.928</v>
      </c>
      <c r="CG303" s="19" t="n"/>
    </row>
    <row r="304" ht="15" customHeight="1" s="251">
      <c r="B304" s="16" t="inlineStr">
        <is>
          <t>Total liabilities</t>
        </is>
      </c>
      <c r="C304" s="259">
        <f>IF(ISNUMBER(C296),C301+SUM(C302:C303),"")</f>
        <v>551.177</v>
      </c>
      <c r="D304" s="259">
        <f>IF(ISNUMBER(D296),D301+SUM(D302:D303),"")</f>
        <v>709.457</v>
      </c>
      <c r="E304" s="259">
        <f>IF(ISNUMBER(E296),E301+SUM(E302:E303),"")</f>
        <v>713.312</v>
      </c>
      <c r="F304" s="259">
        <f>IF(ISNUMBER(F296),F301+SUM(F302:F303),"")</f>
        <v>703.619</v>
      </c>
      <c r="G304" s="259">
        <f>IF(ISNUMBER(G296),G301+SUM(G302:G303),"")</f>
        <v>648.802</v>
      </c>
      <c r="H304" s="259">
        <f>IF(ISNUMBER(H296),H301+SUM(H302:H303),"")</f>
        <v>663.974</v>
      </c>
      <c r="I304" s="259">
        <f>IF(ISNUMBER(I296),I301+SUM(I302:I303),"")</f>
        <v>684.205</v>
      </c>
      <c r="J304" s="259">
        <f>IF(ISNUMBER(J296),J301+SUM(J302:J303),"")</f>
        <v>667.386</v>
      </c>
      <c r="K304" s="259">
        <f>IF(ISNUMBER(K296),K301+SUM(K302:K303),"")</f>
        <v>668.116</v>
      </c>
      <c r="L304" s="259">
        <f>IF(ISNUMBER(L296),L301+SUM(L302:L303),"")</f>
        <v>648.906</v>
      </c>
      <c r="M304" s="259">
        <f>IF(ISNUMBER(M296),M301+SUM(M302:M303),"")</f>
        <v>630.87</v>
      </c>
      <c r="N304" s="259">
        <f>IF(ISNUMBER(N296),N301+SUM(N302:N303),"")</f>
        <v>630.87</v>
      </c>
      <c r="O304" s="259">
        <f>IF(ISNUMBER(O296),O301+SUM(O302:O303),"")</f>
        <v>626.853</v>
      </c>
      <c r="P304" s="259">
        <f>IF(ISNUMBER(P296),P301+SUM(P302:P303),"")</f>
        <v>643.672</v>
      </c>
      <c r="Q304" s="259">
        <f>IF(ISNUMBER(Q296),Q301+SUM(Q302:Q303),"")</f>
        <v>706.573</v>
      </c>
      <c r="R304" s="259">
        <f>IF(ISNUMBER(R296),R301+SUM(R302:R303),"")</f>
        <v>737.684</v>
      </c>
      <c r="S304" s="259">
        <f>IF(ISNUMBER(S296),S301+SUM(S302:S303),"")</f>
        <v>737.684</v>
      </c>
      <c r="T304" s="259">
        <f>IF(ISNUMBER(T296),T301+SUM(T302:T303),"")</f>
        <v>764.701</v>
      </c>
      <c r="U304" s="259">
        <f>IF(ISNUMBER(U296),U301+SUM(U302:U303),"")</f>
        <v>855.489</v>
      </c>
      <c r="V304" s="259">
        <f>IF(ISNUMBER(V296),V301+SUM(V302:V303),"")</f>
        <v>819.465</v>
      </c>
      <c r="W304" s="259">
        <f>IF(ISNUMBER(W296),W301+SUM(W302:W303),"")</f>
        <v>793.165</v>
      </c>
      <c r="X304" s="259">
        <f>IF(ISNUMBER(X296),X301+SUM(X302:X303),"")</f>
        <v>793.165</v>
      </c>
      <c r="Y304" s="259">
        <f>IF(ISNUMBER(Y296),Y301+SUM(Y302:Y303),"")</f>
        <v>793.082</v>
      </c>
      <c r="Z304" s="259">
        <f>IF(ISNUMBER(Z296),Z301+SUM(Z302:Z303),"")</f>
        <v>789.561</v>
      </c>
      <c r="AA304" s="259">
        <f>IF(ISNUMBER(AA296),AA301+SUM(AA302:AA303),"")</f>
        <v>798.671</v>
      </c>
      <c r="AB304" s="259">
        <f>IF(ISNUMBER(AB296),AB301+SUM(AB302:AB303),"")</f>
        <v>774.224</v>
      </c>
      <c r="AC304" s="259">
        <f>IF(ISNUMBER(AC296),AC301+SUM(AC302:AC303),"")</f>
        <v>774.224</v>
      </c>
      <c r="AD304" s="259">
        <f>IF(ISNUMBER(AD296),AD301+SUM(AD302:AD303),"")</f>
        <v>802.492</v>
      </c>
      <c r="AE304" s="259">
        <f>IF(ISNUMBER(AE296),AE301+SUM(AE302:AE303),"")</f>
        <v>819.967</v>
      </c>
      <c r="AF304" s="259">
        <f>IF(ISNUMBER(AF296),AF301+SUM(AF302:AF303),"")</f>
        <v>825.599</v>
      </c>
      <c r="AG304" s="259">
        <f>IF(ISNUMBER(AG296),AG301+SUM(AG302:AG303),"")</f>
        <v>829.083</v>
      </c>
      <c r="AH304" s="259">
        <f>IF(ISNUMBER(AH296),AH301+SUM(AH302:AH303),"")</f>
        <v>829.083</v>
      </c>
      <c r="AI304" s="259">
        <f>IF(ISNUMBER(AI296),AI301+SUM(AI302:AI303),"")</f>
        <v>855.203</v>
      </c>
      <c r="AJ304" s="259">
        <f>IF(ISNUMBER(AJ296),AJ301+SUM(AJ302:AJ303),"")</f>
        <v>920.192</v>
      </c>
      <c r="AK304" s="259">
        <f>IF(ISNUMBER(AK296),AK301+SUM(AK302:AK303),"")</f>
        <v>992.426</v>
      </c>
      <c r="AL304" s="259">
        <f>IF(ISNUMBER(AL296),AL301+SUM(AL302:AL303),"")</f>
        <v>991.342</v>
      </c>
      <c r="AM304" s="259">
        <f>IF(ISNUMBER(AM296),AM301+SUM(AM302:AM303),"")</f>
        <v>991.342</v>
      </c>
      <c r="AN304" s="259">
        <f>IF(ISNUMBER(AN296),AN301+SUM(AN302:AN303),"")</f>
        <v>1077.731</v>
      </c>
      <c r="AO304" s="259">
        <f>IF(ISNUMBER(AO296),AO301+SUM(AO302:AO303),"")</f>
        <v>1080.633</v>
      </c>
      <c r="AP304" s="259">
        <f>IF(ISNUMBER(AP296),AP301+SUM(AP302:AP303),"")</f>
        <v>1105.481</v>
      </c>
      <c r="AQ304" s="259">
        <f>IF(ISNUMBER(AQ296),AQ301+SUM(AQ302:AQ303),"")</f>
        <v>1143.681</v>
      </c>
      <c r="AR304" s="259">
        <f>IF(ISNUMBER(AR296),AR301+SUM(AR302:AR303),"")</f>
        <v>1143.681</v>
      </c>
      <c r="AS304" s="259">
        <f>IF(ISNUMBER(AS296),AS301+SUM(AS302:AS303),"")</f>
        <v>1304.077</v>
      </c>
      <c r="AT304" s="259">
        <f>IF(ISNUMBER(AT296),AT301+SUM(AT302:AT303),"")</f>
        <v>1337.981</v>
      </c>
      <c r="AU304" s="259">
        <f>IF(ISNUMBER(AU296),AU301+SUM(AU302:AU303),"")</f>
        <v>1316.834</v>
      </c>
      <c r="AV304" s="259">
        <f>IF(ISNUMBER(AV296),AV301+SUM(AV302:AV303),"")</f>
        <v>1275.158</v>
      </c>
      <c r="AW304" s="259">
        <f>IF(ISNUMBER(AW296),AW301+SUM(AW302:AW303),"")</f>
        <v>1275.158</v>
      </c>
      <c r="AX304" s="259">
        <f>IF(ISNUMBER(AX296),AX301+SUM(AX302:AX303),"")</f>
        <v>1252.742</v>
      </c>
      <c r="AY304" s="259">
        <f>IF(ISNUMBER(AY296),AY301+SUM(AY302:AY303),"")</f>
        <v>1356.305</v>
      </c>
      <c r="AZ304" s="259">
        <f>IF(ISNUMBER(AZ296),AZ301+SUM(AZ302:AZ303),"")</f>
        <v>1464.317</v>
      </c>
      <c r="BA304" s="259">
        <f>IF(ISNUMBER(BA296),BA301+SUM(BA302:BA303),"")</f>
        <v>1678.718</v>
      </c>
      <c r="BB304" s="259">
        <f>IF(ISNUMBER(BB296),BB301+SUM(BB302:BB303),"")</f>
        <v>1678.718</v>
      </c>
      <c r="BC304" s="259">
        <f>IF(ISNUMBER(BC296),BC301+SUM(BC302:BC303),"")</f>
        <v>2001.609</v>
      </c>
      <c r="BD304" s="259">
        <f>IF(ISNUMBER(BD296),BD301+SUM(BD302:BD303),"")</f>
        <v>2149.901</v>
      </c>
      <c r="BE304" s="259">
        <f>IF(ISNUMBER(BE296),BE301+SUM(BE302:BE303),"")</f>
        <v>2304.308</v>
      </c>
      <c r="BF304" s="259">
        <f>IF(ISNUMBER(BF296),BF301+SUM(BF302:BF303),"")</f>
        <v>2243.981</v>
      </c>
      <c r="BG304" s="259">
        <f>IF(ISNUMBER(BG296),BG301+SUM(BG302:BG303),"")</f>
        <v>2243.981</v>
      </c>
      <c r="BH304" s="259">
        <f>IF(ISNUMBER(BH296),BH301+SUM(BH302:BH303),"")</f>
        <v>2260.788</v>
      </c>
      <c r="BI304" s="259">
        <f>IF(ISNUMBER(BI296),BI301+SUM(BI302:BI303),"")</f>
        <v>2273.224</v>
      </c>
      <c r="BJ304" s="259">
        <f>IF(ISNUMBER(BJ296),BJ301+SUM(BJ302:BJ303),"")</f>
        <v>2288.545</v>
      </c>
      <c r="BK304" s="259">
        <f>IF(ISNUMBER(BK296),BK301+SUM(BK302:BK303),"")</f>
        <v>2263.271</v>
      </c>
      <c r="BL304" s="259">
        <f>IF(ISNUMBER(BL296),BL301+SUM(BL302:BL303),"")</f>
        <v>2263.271</v>
      </c>
      <c r="BM304" s="259">
        <f>IF(ISNUMBER(BM296),BM301+SUM(BM302:BM303),"")</f>
        <v>2319.283</v>
      </c>
      <c r="BN304" s="259">
        <f>IF(ISNUMBER(BN296),BN301+SUM(BN302:BN303),"")</f>
        <v>2438.777</v>
      </c>
      <c r="BO304" s="259">
        <f>IF(ISNUMBER(BO296),BO301+SUM(BO302:BO303),"")</f>
        <v>2538.137</v>
      </c>
      <c r="BP304" s="259">
        <f>IF(ISNUMBER(BP296),BP301+SUM(BP302:BP303),"")</f>
        <v>2680.563</v>
      </c>
      <c r="BQ304" s="259">
        <f>IF(ISNUMBER(BQ296),BQ301+SUM(BQ302:BQ303),"")</f>
        <v>2680.563</v>
      </c>
      <c r="BR304" s="259">
        <f>IF(ISNUMBER(BR296),BR301+SUM(BR302:BR303),"")</f>
        <v>2844.772</v>
      </c>
      <c r="BS304" s="259">
        <f>IF(ISNUMBER(BS296),BS301+SUM(BS302:BS303),"")</f>
        <v>2959.805</v>
      </c>
      <c r="BT304" s="259">
        <f>IF(ISNUMBER(BT296),BT301+SUM(BT302:BT303),"")</f>
        <v>3259.469</v>
      </c>
      <c r="BU304" s="259">
        <f>IF(ISNUMBER(BU296),BU301+SUM(BU302:BU303),"")</f>
        <v>3613.917</v>
      </c>
      <c r="BV304" s="259">
        <f>IF(ISNUMBER(BV296),BV301+SUM(BV302:BV303),"")</f>
        <v>3613.917</v>
      </c>
      <c r="BW304" s="259">
        <f>IF(ISNUMBER(BW296),BW301+SUM(BW302:BW303),"")</f>
        <v>3662.294</v>
      </c>
      <c r="BX304" s="259">
        <f>IF(ISNUMBER(BX296),BX301+SUM(BX302:BX303),"")</f>
        <v>4149.899</v>
      </c>
      <c r="BY304" s="259">
        <f>IF(ISNUMBER(BY296),BY301+SUM(BY302:BY303),"")</f>
        <v>6134.508</v>
      </c>
      <c r="BZ304" s="32" t="n"/>
      <c r="CA304" s="260">
        <f>IF(ISNUMBER(CA296),CA301+SUM(CA302:CA303),"")</f>
        <v>6207.31125580248</v>
      </c>
      <c r="CB304" s="260">
        <f>IF(ISNUMBER(CB296),CB301+SUM(CB302:CB303),"")</f>
        <v>6262.1659042328</v>
      </c>
      <c r="CC304" s="260">
        <f>IF(ISNUMBER(CC296),CC301+SUM(CC302:CC303),"")</f>
        <v>6961.60954559345</v>
      </c>
      <c r="CD304" s="260">
        <f>IF(ISNUMBER(CD296),CD301+SUM(CD302:CD303),"")</f>
        <v>7649.59844618175</v>
      </c>
      <c r="CE304" s="260">
        <f>IF(ISNUMBER(CE296),CE301+SUM(CE302:CE303),"")</f>
        <v>8312.68608070242</v>
      </c>
      <c r="CF304" s="260">
        <f>IF(ISNUMBER(CF296),CF301+SUM(CF302:CF303),"")</f>
        <v>8974.4492371652</v>
      </c>
      <c r="CG304" s="153" t="n"/>
    </row>
    <row r="305" ht="15" customHeight="1" s="251">
      <c r="B305" s="25" t="inlineStr">
        <is>
          <t xml:space="preserve">  Stockholders' equity (deficit)</t>
        </is>
      </c>
      <c r="C305" s="253" t="n">
        <v>770.028</v>
      </c>
      <c r="D305" s="253" t="n">
        <v>566.314</v>
      </c>
      <c r="E305" s="253" t="n">
        <v>561.941</v>
      </c>
      <c r="F305" s="253" t="n">
        <v>600.269</v>
      </c>
      <c r="G305" s="253" t="n">
        <v>474.914</v>
      </c>
      <c r="H305" s="253" t="n">
        <v>465.494</v>
      </c>
      <c r="I305" s="253" t="n">
        <v>474.406</v>
      </c>
      <c r="J305" s="253" t="n">
        <v>508.728</v>
      </c>
      <c r="K305" s="253" t="n">
        <v>530.225</v>
      </c>
      <c r="L305" s="253" t="n">
        <v>515.237</v>
      </c>
      <c r="M305" s="253" t="n">
        <v>530.677</v>
      </c>
      <c r="N305" s="253" t="n">
        <v>530.677</v>
      </c>
      <c r="O305" s="253" t="n">
        <v>539.423</v>
      </c>
      <c r="P305" s="253" t="n">
        <v>533.581</v>
      </c>
      <c r="Q305" s="253" t="n">
        <v>479.174</v>
      </c>
      <c r="R305" s="253" t="n">
        <v>454.614</v>
      </c>
      <c r="S305" s="253" t="n">
        <v>454.614</v>
      </c>
      <c r="T305" s="253" t="n">
        <v>403.221</v>
      </c>
      <c r="U305" s="253" t="n">
        <v>381.162</v>
      </c>
      <c r="V305" s="253" t="n">
        <v>396.662</v>
      </c>
      <c r="W305" s="253" t="n">
        <v>436.998</v>
      </c>
      <c r="X305" s="253" t="n">
        <v>436.998</v>
      </c>
      <c r="Y305" s="253" t="n">
        <v>422.168</v>
      </c>
      <c r="Z305" s="253" t="n">
        <v>425.38</v>
      </c>
      <c r="AA305" s="253" t="n">
        <v>428.041</v>
      </c>
      <c r="AB305" s="253" t="n">
        <v>446.828</v>
      </c>
      <c r="AC305" s="253" t="n">
        <v>446.828</v>
      </c>
      <c r="AD305" s="253" t="n">
        <v>421.906</v>
      </c>
      <c r="AE305" s="253" t="n">
        <v>427.101</v>
      </c>
      <c r="AF305" s="253" t="n">
        <v>432.755</v>
      </c>
      <c r="AG305" s="253" t="n">
        <v>426.537</v>
      </c>
      <c r="AH305" s="253" t="n">
        <v>426.537</v>
      </c>
      <c r="AI305" s="253" t="n">
        <v>385.642</v>
      </c>
      <c r="AJ305" s="253" t="n">
        <v>370.703</v>
      </c>
      <c r="AK305" s="253" t="n">
        <v>294.644</v>
      </c>
      <c r="AL305" s="253" t="n">
        <v>263.737</v>
      </c>
      <c r="AM305" s="253" t="n">
        <v>263.737</v>
      </c>
      <c r="AN305" s="253" t="n">
        <v>227.895</v>
      </c>
      <c r="AO305" s="253" t="n">
        <v>247.478</v>
      </c>
      <c r="AP305" s="253" t="n">
        <v>268.317</v>
      </c>
      <c r="AQ305" s="253" t="n">
        <v>289.767</v>
      </c>
      <c r="AR305" s="253" t="n">
        <v>289.767</v>
      </c>
      <c r="AS305" s="253" t="n">
        <v>240.961</v>
      </c>
      <c r="AT305" s="253" t="n">
        <v>214.151</v>
      </c>
      <c r="AU305" s="253" t="n">
        <v>247.286</v>
      </c>
      <c r="AV305" s="253" t="n">
        <v>331.082</v>
      </c>
      <c r="AW305" s="253" t="n">
        <v>331.082</v>
      </c>
      <c r="AX305" s="253" t="n">
        <v>324.121</v>
      </c>
      <c r="AY305" s="253" t="n">
        <v>223.303</v>
      </c>
      <c r="AZ305" s="253" t="n">
        <v>124.838</v>
      </c>
      <c r="BA305" s="253" t="n">
        <v>-110.942</v>
      </c>
      <c r="BB305" s="253" t="n">
        <v>-110.942</v>
      </c>
      <c r="BC305" s="253" t="n">
        <v>-538.299</v>
      </c>
      <c r="BD305" s="253" t="n">
        <v>-663.4160000000001</v>
      </c>
      <c r="BE305" s="253" t="n">
        <v>-847.472</v>
      </c>
      <c r="BF305" s="253" t="n">
        <v>-801.947</v>
      </c>
      <c r="BG305" s="253" t="n">
        <v>-801.947</v>
      </c>
      <c r="BH305" s="253" t="n">
        <v>-802.095</v>
      </c>
      <c r="BI305" s="253" t="n">
        <v>-770.793</v>
      </c>
      <c r="BJ305" s="253" t="n">
        <v>-703.976</v>
      </c>
      <c r="BK305" s="253" t="n">
        <v>-687.99</v>
      </c>
      <c r="BL305" s="253" t="n">
        <v>-687.99</v>
      </c>
      <c r="BM305" s="253" t="n">
        <v>-725.765</v>
      </c>
      <c r="BN305" s="253" t="n">
        <v>-735.66</v>
      </c>
      <c r="BO305" s="253" t="n">
        <v>-829.306</v>
      </c>
      <c r="BP305" s="253" t="n">
        <v>-962.679</v>
      </c>
      <c r="BQ305" s="253" t="n">
        <v>-962.679</v>
      </c>
      <c r="BR305" s="253" t="n">
        <v>-1138.164</v>
      </c>
      <c r="BS305" s="253" t="n">
        <v>-1124.052</v>
      </c>
      <c r="BT305" s="253" t="n">
        <v>-1397.446</v>
      </c>
      <c r="BU305" s="253" t="n">
        <v>-1745.784</v>
      </c>
      <c r="BV305" s="253" t="n">
        <v>-1745.784</v>
      </c>
      <c r="BW305" s="253" t="n">
        <v>-1808.134</v>
      </c>
      <c r="BX305" s="253" t="n">
        <v>-2101.65</v>
      </c>
      <c r="BY305" s="253" t="n">
        <v>-4097.135</v>
      </c>
      <c r="BZ305" s="35" t="n"/>
      <c r="CA305" s="254">
        <f>BY305+BZ146+BZ119+(CA244-SUM(BW244:BY244))+(CA245-SUM(BW245:BY245))+(CA246-SUM(BW246:BY246))+(CA247-SUM(BW247:BY247))</f>
        <v>-4182.75609141892</v>
      </c>
      <c r="CB305" s="254">
        <f>CA305+CB146+CB235+CB244+CB245+CB246+CB247</f>
        <v>-4143.7810799717</v>
      </c>
      <c r="CC305" s="254">
        <f>CB305+CC146+CC235+CC244+CC245+CC246+CC247</f>
        <v>-4741.61190203575</v>
      </c>
      <c r="CD305" s="254">
        <f>CC305+CD146+CD235+CD244+CD245+CD246+CD247</f>
        <v>-5325.06508614433</v>
      </c>
      <c r="CE305" s="254">
        <f>CD305+CE146+CE235+CE244+CE245+CE246+CE247</f>
        <v>-5879.7072603028</v>
      </c>
      <c r="CF305" s="254">
        <f>CE305+CF146+CF235+CF244+CF245+CF246+CF247</f>
        <v>-6430.12830630683</v>
      </c>
      <c r="CG305" s="19" t="inlineStr">
        <is>
          <t>+ net income + share-based compensation − repurchases − dividends + stock-plan proceeds − withholding taxes (OCI / FX translation held flat; the ASR settlement is a reclassification within equity).</t>
        </is>
      </c>
    </row>
    <row r="306" ht="15" customHeight="1" s="251">
      <c r="B306" s="55" t="inlineStr">
        <is>
          <t>TOTAL LIABILITIES AND STOCKHOLDERS' EQUITY (DEFICIT)</t>
        </is>
      </c>
      <c r="C306" s="273">
        <f>IF(ISNUMBER(C304),C304+C305,"")</f>
        <v>1321.205</v>
      </c>
      <c r="D306" s="273">
        <f>IF(ISNUMBER(D304),D304+D305,"")</f>
        <v>1275.771</v>
      </c>
      <c r="E306" s="273">
        <f>IF(ISNUMBER(E304),E304+E305,"")</f>
        <v>1275.253</v>
      </c>
      <c r="F306" s="273">
        <f>IF(ISNUMBER(F304),F304+F305,"")</f>
        <v>1303.888</v>
      </c>
      <c r="G306" s="273">
        <f>IF(ISNUMBER(G304),G304+G305,"")</f>
        <v>1123.716</v>
      </c>
      <c r="H306" s="273">
        <f>IF(ISNUMBER(H304),H304+H305,"")</f>
        <v>1129.468</v>
      </c>
      <c r="I306" s="273">
        <f>IF(ISNUMBER(I304),I304+I305,"")</f>
        <v>1158.611</v>
      </c>
      <c r="J306" s="273">
        <f>IF(ISNUMBER(J304),J304+J305,"")</f>
        <v>1176.114</v>
      </c>
      <c r="K306" s="273">
        <f>IF(ISNUMBER(K304),K304+K305,"")</f>
        <v>1198.341</v>
      </c>
      <c r="L306" s="273">
        <f>IF(ISNUMBER(L304),L304+L305,"")</f>
        <v>1164.143</v>
      </c>
      <c r="M306" s="273">
        <f>IF(ISNUMBER(M304),M304+M305,"")</f>
        <v>1161.547</v>
      </c>
      <c r="N306" s="273">
        <f>IF(ISNUMBER(N304),N304+N305,"")</f>
        <v>1161.547</v>
      </c>
      <c r="O306" s="273">
        <f>IF(ISNUMBER(O304),O304+O305,"")</f>
        <v>1166.276</v>
      </c>
      <c r="P306" s="273">
        <f>IF(ISNUMBER(P304),P304+P305,"")</f>
        <v>1177.253</v>
      </c>
      <c r="Q306" s="273">
        <f>IF(ISNUMBER(Q304),Q304+Q305,"")</f>
        <v>1185.747</v>
      </c>
      <c r="R306" s="273">
        <f>IF(ISNUMBER(R304),R304+R305,"")</f>
        <v>1192.298</v>
      </c>
      <c r="S306" s="273">
        <f>IF(ISNUMBER(S304),S304+S305,"")</f>
        <v>1192.298</v>
      </c>
      <c r="T306" s="273">
        <f>IF(ISNUMBER(T304),T304+T305,"")</f>
        <v>1167.922</v>
      </c>
      <c r="U306" s="273">
        <f>IF(ISNUMBER(U304),U304+U305,"")</f>
        <v>1236.651</v>
      </c>
      <c r="V306" s="273">
        <f>IF(ISNUMBER(V304),V304+V305,"")</f>
        <v>1216.127</v>
      </c>
      <c r="W306" s="273">
        <f>IF(ISNUMBER(W304),W304+W305,"")</f>
        <v>1230.163</v>
      </c>
      <c r="X306" s="273">
        <f>IF(ISNUMBER(X304),X304+X305,"")</f>
        <v>1230.163</v>
      </c>
      <c r="Y306" s="273">
        <f>IF(ISNUMBER(Y304),Y304+Y305,"")</f>
        <v>1215.25</v>
      </c>
      <c r="Z306" s="273">
        <f>IF(ISNUMBER(Z304),Z304+Z305,"")</f>
        <v>1214.941</v>
      </c>
      <c r="AA306" s="273">
        <f>IF(ISNUMBER(AA304),AA304+AA305,"")</f>
        <v>1226.712</v>
      </c>
      <c r="AB306" s="273">
        <f>IF(ISNUMBER(AB304),AB304+AB305,"")</f>
        <v>1221.052</v>
      </c>
      <c r="AC306" s="273">
        <f>IF(ISNUMBER(AC304),AC304+AC305,"")</f>
        <v>1221.052</v>
      </c>
      <c r="AD306" s="273">
        <f>IF(ISNUMBER(AD304),AD304+AD305,"")</f>
        <v>1224.398</v>
      </c>
      <c r="AE306" s="273">
        <f>IF(ISNUMBER(AE304),AE304+AE305,"")</f>
        <v>1247.068</v>
      </c>
      <c r="AF306" s="273">
        <f>IF(ISNUMBER(AF304),AF304+AF305,"")</f>
        <v>1258.354</v>
      </c>
      <c r="AG306" s="273">
        <f>IF(ISNUMBER(AG304),AG304+AG305,"")</f>
        <v>1255.62</v>
      </c>
      <c r="AH306" s="273">
        <f>IF(ISNUMBER(AH304),AH304+AH305,"")</f>
        <v>1255.62</v>
      </c>
      <c r="AI306" s="273">
        <f>IF(ISNUMBER(AI304),AI304+AI305,"")</f>
        <v>1240.845</v>
      </c>
      <c r="AJ306" s="273">
        <f>IF(ISNUMBER(AJ304),AJ304+AJ305,"")</f>
        <v>1290.895</v>
      </c>
      <c r="AK306" s="273">
        <f>IF(ISNUMBER(AK304),AK304+AK305,"")</f>
        <v>1287.07</v>
      </c>
      <c r="AL306" s="273">
        <f>IF(ISNUMBER(AL304),AL304+AL305,"")</f>
        <v>1255.079</v>
      </c>
      <c r="AM306" s="273">
        <f>IF(ISNUMBER(AM304),AM304+AM305,"")</f>
        <v>1255.079</v>
      </c>
      <c r="AN306" s="273">
        <f>IF(ISNUMBER(AN304),AN304+AN305,"")</f>
        <v>1305.626</v>
      </c>
      <c r="AO306" s="273">
        <f>IF(ISNUMBER(AO304),AO304+AO305,"")</f>
        <v>1328.111</v>
      </c>
      <c r="AP306" s="273">
        <f>IF(ISNUMBER(AP304),AP304+AP305,"")</f>
        <v>1373.798</v>
      </c>
      <c r="AQ306" s="273">
        <f>IF(ISNUMBER(AQ304),AQ304+AQ305,"")</f>
        <v>1433.448</v>
      </c>
      <c r="AR306" s="273">
        <f>IF(ISNUMBER(AR304),AR304+AR305,"")</f>
        <v>1433.448</v>
      </c>
      <c r="AS306" s="273">
        <f>IF(ISNUMBER(AS304),AS304+AS305,"")</f>
        <v>1545.038</v>
      </c>
      <c r="AT306" s="273">
        <f>IF(ISNUMBER(AT304),AT304+AT305,"")</f>
        <v>1552.132</v>
      </c>
      <c r="AU306" s="273">
        <f>IF(ISNUMBER(AU304),AU304+AU305,"")</f>
        <v>1564.12</v>
      </c>
      <c r="AV306" s="273">
        <f>IF(ISNUMBER(AV304),AV304+AV305,"")</f>
        <v>1606.24</v>
      </c>
      <c r="AW306" s="273">
        <f>IF(ISNUMBER(AW304),AW304+AW305,"")</f>
        <v>1606.24</v>
      </c>
      <c r="AX306" s="273">
        <f>IF(ISNUMBER(AX304),AX304+AX305,"")</f>
        <v>1576.863</v>
      </c>
      <c r="AY306" s="273">
        <f>IF(ISNUMBER(AY304),AY304+AY305,"")</f>
        <v>1579.608</v>
      </c>
      <c r="AZ306" s="273">
        <f>IF(ISNUMBER(AZ304),AZ304+AZ305,"")</f>
        <v>1589.155</v>
      </c>
      <c r="BA306" s="273">
        <f>IF(ISNUMBER(BA304),BA304+BA305,"")</f>
        <v>1567.776</v>
      </c>
      <c r="BB306" s="273">
        <f>IF(ISNUMBER(BB304),BB304+BB305,"")</f>
        <v>1567.776</v>
      </c>
      <c r="BC306" s="273">
        <f>IF(ISNUMBER(BC304),BC304+BC305,"")</f>
        <v>1463.31</v>
      </c>
      <c r="BD306" s="273">
        <f>IF(ISNUMBER(BD304),BD304+BD305,"")</f>
        <v>1486.485</v>
      </c>
      <c r="BE306" s="273">
        <f>IF(ISNUMBER(BE304),BE304+BE305,"")</f>
        <v>1456.836</v>
      </c>
      <c r="BF306" s="273">
        <f>IF(ISNUMBER(BF304),BF304+BF305,"")</f>
        <v>1442.034</v>
      </c>
      <c r="BG306" s="273">
        <f>IF(ISNUMBER(BG304),BG304+BG305,"")</f>
        <v>1442.034</v>
      </c>
      <c r="BH306" s="273">
        <f>IF(ISNUMBER(BH304),BH304+BH305,"")</f>
        <v>1458.693</v>
      </c>
      <c r="BI306" s="273">
        <f>IF(ISNUMBER(BI304),BI304+BI305,"")</f>
        <v>1502.431</v>
      </c>
      <c r="BJ306" s="273">
        <f>IF(ISNUMBER(BJ304),BJ304+BJ305,"")</f>
        <v>1584.569</v>
      </c>
      <c r="BK306" s="273">
        <f>IF(ISNUMBER(BK304),BK304+BK305,"")</f>
        <v>1575.281</v>
      </c>
      <c r="BL306" s="273">
        <f>IF(ISNUMBER(BL304),BL304+BL305,"")</f>
        <v>1575.281</v>
      </c>
      <c r="BM306" s="273">
        <f>IF(ISNUMBER(BM304),BM304+BM305,"")</f>
        <v>1593.518</v>
      </c>
      <c r="BN306" s="273">
        <f>IF(ISNUMBER(BN304),BN304+BN305,"")</f>
        <v>1703.117</v>
      </c>
      <c r="BO306" s="273">
        <f>IF(ISNUMBER(BO304),BO304+BO305,"")</f>
        <v>1708.831</v>
      </c>
      <c r="BP306" s="273">
        <f>IF(ISNUMBER(BP304),BP304+BP305,"")</f>
        <v>1717.884</v>
      </c>
      <c r="BQ306" s="273">
        <f>IF(ISNUMBER(BQ304),BQ304+BQ305,"")</f>
        <v>1717.884</v>
      </c>
      <c r="BR306" s="273">
        <f>IF(ISNUMBER(BR304),BR304+BR305,"")</f>
        <v>1706.608</v>
      </c>
      <c r="BS306" s="273">
        <f>IF(ISNUMBER(BS304),BS304+BS305,"")</f>
        <v>1835.753</v>
      </c>
      <c r="BT306" s="273">
        <f>IF(ISNUMBER(BT304),BT304+BT305,"")</f>
        <v>1862.023</v>
      </c>
      <c r="BU306" s="273">
        <f>IF(ISNUMBER(BU304),BU304+BU305,"")</f>
        <v>1868.133</v>
      </c>
      <c r="BV306" s="273">
        <f>IF(ISNUMBER(BV304),BV304+BV305,"")</f>
        <v>1868.133</v>
      </c>
      <c r="BW306" s="273">
        <f>IF(ISNUMBER(BW304),BW304+BW305,"")</f>
        <v>1854.16</v>
      </c>
      <c r="BX306" s="273">
        <f>IF(ISNUMBER(BX304),BX304+BX305,"")</f>
        <v>2048.249</v>
      </c>
      <c r="BY306" s="273">
        <f>IF(ISNUMBER(BY304),BY304+BY305,"")</f>
        <v>2037.373</v>
      </c>
      <c r="BZ306" s="56" t="n"/>
      <c r="CA306" s="273">
        <f>IF(ISNUMBER(CA304),CA304+CA305,"")</f>
        <v>2024.55516438356</v>
      </c>
      <c r="CB306" s="273">
        <f>IF(ISNUMBER(CB304),CB304+CB305,"")</f>
        <v>2118.3848242611</v>
      </c>
      <c r="CC306" s="273">
        <f>IF(ISNUMBER(CC304),CC304+CC305,"")</f>
        <v>2219.99764355771</v>
      </c>
      <c r="CD306" s="273">
        <f>IF(ISNUMBER(CD304),CD304+CD305,"")</f>
        <v>2324.53336003742</v>
      </c>
      <c r="CE306" s="273">
        <f>IF(ISNUMBER(CE304),CE304+CE305,"")</f>
        <v>2432.97882039963</v>
      </c>
      <c r="CF306" s="273">
        <f>IF(ISNUMBER(CF304),CF304+CF305,"")</f>
        <v>2544.32093085837</v>
      </c>
      <c r="CG306" s="153" t="n"/>
    </row>
    <row r="307" ht="15" customHeight="1" s="251">
      <c r="B307" s="57" t="inlineStr">
        <is>
          <t>BS tie-out check (TA − TL&amp;E)</t>
        </is>
      </c>
      <c r="C307" s="262">
        <f>IF(ISNUMBER(C294),IF(ABS(C294-C306)&lt;=0.15,0,ROUND(C294-C306,1)),"")</f>
        <v>0</v>
      </c>
      <c r="D307" s="262">
        <f>IF(ISNUMBER(D294),IF(ABS(D294-D306)&lt;=0.15,0,ROUND(D294-D306,1)),"")</f>
        <v>0</v>
      </c>
      <c r="E307" s="262">
        <f>IF(ISNUMBER(E294),IF(ABS(E294-E306)&lt;=0.15,0,ROUND(E294-E306,1)),"")</f>
        <v>0</v>
      </c>
      <c r="F307" s="262">
        <f>IF(ISNUMBER(F294),IF(ABS(F294-F306)&lt;=0.15,0,ROUND(F294-F306,1)),"")</f>
        <v>0</v>
      </c>
      <c r="G307" s="262">
        <f>IF(ISNUMBER(G294),IF(ABS(G294-G306)&lt;=0.15,0,ROUND(G294-G306,1)),"")</f>
        <v>0</v>
      </c>
      <c r="H307" s="262">
        <f>IF(ISNUMBER(H294),IF(ABS(H294-H306)&lt;=0.15,0,ROUND(H294-H306,1)),"")</f>
        <v>0</v>
      </c>
      <c r="I307" s="262">
        <f>IF(ISNUMBER(I294),IF(ABS(I294-I306)&lt;=0.15,0,ROUND(I294-I306,1)),"")</f>
        <v>0</v>
      </c>
      <c r="J307" s="262">
        <f>IF(ISNUMBER(J294),IF(ABS(J294-J306)&lt;=0.15,0,ROUND(J294-J306,1)),"")</f>
        <v>0</v>
      </c>
      <c r="K307" s="262">
        <f>IF(ISNUMBER(K294),IF(ABS(K294-K306)&lt;=0.15,0,ROUND(K294-K306,1)),"")</f>
        <v>0</v>
      </c>
      <c r="L307" s="262">
        <f>IF(ISNUMBER(L294),IF(ABS(L294-L306)&lt;=0.15,0,ROUND(L294-L306,1)),"")</f>
        <v>0</v>
      </c>
      <c r="M307" s="262">
        <f>IF(ISNUMBER(M294),IF(ABS(M294-M306)&lt;=0.15,0,ROUND(M294-M306,1)),"")</f>
        <v>0</v>
      </c>
      <c r="N307" s="262">
        <f>IF(ISNUMBER(N294),IF(ABS(N294-N306)&lt;=0.15,0,ROUND(N294-N306,1)),"")</f>
        <v>0</v>
      </c>
      <c r="O307" s="262">
        <f>IF(ISNUMBER(O294),IF(ABS(O294-O306)&lt;=0.15,0,ROUND(O294-O306,1)),"")</f>
        <v>0</v>
      </c>
      <c r="P307" s="262">
        <f>IF(ISNUMBER(P294),IF(ABS(P294-P306)&lt;=0.15,0,ROUND(P294-P306,1)),"")</f>
        <v>0</v>
      </c>
      <c r="Q307" s="262">
        <f>IF(ISNUMBER(Q294),IF(ABS(Q294-Q306)&lt;=0.15,0,ROUND(Q294-Q306,1)),"")</f>
        <v>0</v>
      </c>
      <c r="R307" s="262">
        <f>IF(ISNUMBER(R294),IF(ABS(R294-R306)&lt;=0.15,0,ROUND(R294-R306,1)),"")</f>
        <v>0</v>
      </c>
      <c r="S307" s="262">
        <f>IF(ISNUMBER(S294),IF(ABS(S294-S306)&lt;=0.15,0,ROUND(S294-S306,1)),"")</f>
        <v>0</v>
      </c>
      <c r="T307" s="262">
        <f>IF(ISNUMBER(T294),IF(ABS(T294-T306)&lt;=0.15,0,ROUND(T294-T306,1)),"")</f>
        <v>0</v>
      </c>
      <c r="U307" s="262">
        <f>IF(ISNUMBER(U294),IF(ABS(U294-U306)&lt;=0.15,0,ROUND(U294-U306,1)),"")</f>
        <v>0</v>
      </c>
      <c r="V307" s="262">
        <f>IF(ISNUMBER(V294),IF(ABS(V294-V306)&lt;=0.15,0,ROUND(V294-V306,1)),"")</f>
        <v>0</v>
      </c>
      <c r="W307" s="262">
        <f>IF(ISNUMBER(W294),IF(ABS(W294-W306)&lt;=0.15,0,ROUND(W294-W306,1)),"")</f>
        <v>0</v>
      </c>
      <c r="X307" s="262">
        <f>IF(ISNUMBER(X294),IF(ABS(X294-X306)&lt;=0.15,0,ROUND(X294-X306,1)),"")</f>
        <v>0</v>
      </c>
      <c r="Y307" s="262">
        <f>IF(ISNUMBER(Y294),IF(ABS(Y294-Y306)&lt;=0.15,0,ROUND(Y294-Y306,1)),"")</f>
        <v>0</v>
      </c>
      <c r="Z307" s="262">
        <f>IF(ISNUMBER(Z294),IF(ABS(Z294-Z306)&lt;=0.15,0,ROUND(Z294-Z306,1)),"")</f>
        <v>0</v>
      </c>
      <c r="AA307" s="262">
        <f>IF(ISNUMBER(AA294),IF(ABS(AA294-AA306)&lt;=0.15,0,ROUND(AA294-AA306,1)),"")</f>
        <v>0</v>
      </c>
      <c r="AB307" s="262">
        <f>IF(ISNUMBER(AB294),IF(ABS(AB294-AB306)&lt;=0.15,0,ROUND(AB294-AB306,1)),"")</f>
        <v>0</v>
      </c>
      <c r="AC307" s="262">
        <f>IF(ISNUMBER(AC294),IF(ABS(AC294-AC306)&lt;=0.15,0,ROUND(AC294-AC306,1)),"")</f>
        <v>0</v>
      </c>
      <c r="AD307" s="262">
        <f>IF(ISNUMBER(AD294),IF(ABS(AD294-AD306)&lt;=0.15,0,ROUND(AD294-AD306,1)),"")</f>
        <v>0</v>
      </c>
      <c r="AE307" s="262">
        <f>IF(ISNUMBER(AE294),IF(ABS(AE294-AE306)&lt;=0.15,0,ROUND(AE294-AE306,1)),"")</f>
        <v>0</v>
      </c>
      <c r="AF307" s="262">
        <f>IF(ISNUMBER(AF294),IF(ABS(AF294-AF306)&lt;=0.15,0,ROUND(AF294-AF306,1)),"")</f>
        <v>0</v>
      </c>
      <c r="AG307" s="262">
        <f>IF(ISNUMBER(AG294),IF(ABS(AG294-AG306)&lt;=0.15,0,ROUND(AG294-AG306,1)),"")</f>
        <v>0</v>
      </c>
      <c r="AH307" s="262">
        <f>IF(ISNUMBER(AH294),IF(ABS(AH294-AH306)&lt;=0.15,0,ROUND(AH294-AH306,1)),"")</f>
        <v>0</v>
      </c>
      <c r="AI307" s="262">
        <f>IF(ISNUMBER(AI294),IF(ABS(AI294-AI306)&lt;=0.15,0,ROUND(AI294-AI306,1)),"")</f>
        <v>0</v>
      </c>
      <c r="AJ307" s="262">
        <f>IF(ISNUMBER(AJ294),IF(ABS(AJ294-AJ306)&lt;=0.15,0,ROUND(AJ294-AJ306,1)),"")</f>
        <v>0</v>
      </c>
      <c r="AK307" s="262">
        <f>IF(ISNUMBER(AK294),IF(ABS(AK294-AK306)&lt;=0.15,0,ROUND(AK294-AK306,1)),"")</f>
        <v>0</v>
      </c>
      <c r="AL307" s="262">
        <f>IF(ISNUMBER(AL294),IF(ABS(AL294-AL306)&lt;=0.15,0,ROUND(AL294-AL306,1)),"")</f>
        <v>0</v>
      </c>
      <c r="AM307" s="262">
        <f>IF(ISNUMBER(AM294),IF(ABS(AM294-AM306)&lt;=0.15,0,ROUND(AM294-AM306,1)),"")</f>
        <v>0</v>
      </c>
      <c r="AN307" s="262">
        <f>IF(ISNUMBER(AN294),IF(ABS(AN294-AN306)&lt;=0.15,0,ROUND(AN294-AN306,1)),"")</f>
        <v>0</v>
      </c>
      <c r="AO307" s="262">
        <f>IF(ISNUMBER(AO294),IF(ABS(AO294-AO306)&lt;=0.15,0,ROUND(AO294-AO306,1)),"")</f>
        <v>0</v>
      </c>
      <c r="AP307" s="262">
        <f>IF(ISNUMBER(AP294),IF(ABS(AP294-AP306)&lt;=0.15,0,ROUND(AP294-AP306,1)),"")</f>
        <v>0</v>
      </c>
      <c r="AQ307" s="262">
        <f>IF(ISNUMBER(AQ294),IF(ABS(AQ294-AQ306)&lt;=0.15,0,ROUND(AQ294-AQ306,1)),"")</f>
        <v>0</v>
      </c>
      <c r="AR307" s="262">
        <f>IF(ISNUMBER(AR294),IF(ABS(AR294-AR306)&lt;=0.15,0,ROUND(AR294-AR306,1)),"")</f>
        <v>0</v>
      </c>
      <c r="AS307" s="262">
        <f>IF(ISNUMBER(AS294),IF(ABS(AS294-AS306)&lt;=0.15,0,ROUND(AS294-AS306,1)),"")</f>
        <v>0</v>
      </c>
      <c r="AT307" s="262">
        <f>IF(ISNUMBER(AT294),IF(ABS(AT294-AT306)&lt;=0.15,0,ROUND(AT294-AT306,1)),"")</f>
        <v>0</v>
      </c>
      <c r="AU307" s="262">
        <f>IF(ISNUMBER(AU294),IF(ABS(AU294-AU306)&lt;=0.15,0,ROUND(AU294-AU306,1)),"")</f>
        <v>0</v>
      </c>
      <c r="AV307" s="262">
        <f>IF(ISNUMBER(AV294),IF(ABS(AV294-AV306)&lt;=0.15,0,ROUND(AV294-AV306,1)),"")</f>
        <v>0</v>
      </c>
      <c r="AW307" s="262">
        <f>IF(ISNUMBER(AW294),IF(ABS(AW294-AW306)&lt;=0.15,0,ROUND(AW294-AW306,1)),"")</f>
        <v>0</v>
      </c>
      <c r="AX307" s="262">
        <f>IF(ISNUMBER(AX294),IF(ABS(AX294-AX306)&lt;=0.15,0,ROUND(AX294-AX306,1)),"")</f>
        <v>0</v>
      </c>
      <c r="AY307" s="262">
        <f>IF(ISNUMBER(AY294),IF(ABS(AY294-AY306)&lt;=0.15,0,ROUND(AY294-AY306,1)),"")</f>
        <v>0</v>
      </c>
      <c r="AZ307" s="262">
        <f>IF(ISNUMBER(AZ294),IF(ABS(AZ294-AZ306)&lt;=0.15,0,ROUND(AZ294-AZ306,1)),"")</f>
        <v>0</v>
      </c>
      <c r="BA307" s="262">
        <f>IF(ISNUMBER(BA294),IF(ABS(BA294-BA306)&lt;=0.15,0,ROUND(BA294-BA306,1)),"")</f>
        <v>0</v>
      </c>
      <c r="BB307" s="262">
        <f>IF(ISNUMBER(BB294),IF(ABS(BB294-BB306)&lt;=0.15,0,ROUND(BB294-BB306,1)),"")</f>
        <v>0</v>
      </c>
      <c r="BC307" s="262">
        <f>IF(ISNUMBER(BC294),IF(ABS(BC294-BC306)&lt;=0.15,0,ROUND(BC294-BC306,1)),"")</f>
        <v>0</v>
      </c>
      <c r="BD307" s="262">
        <f>IF(ISNUMBER(BD294),IF(ABS(BD294-BD306)&lt;=0.15,0,ROUND(BD294-BD306,1)),"")</f>
        <v>0</v>
      </c>
      <c r="BE307" s="262">
        <f>IF(ISNUMBER(BE294),IF(ABS(BE294-BE306)&lt;=0.15,0,ROUND(BE294-BE306,1)),"")</f>
        <v>0</v>
      </c>
      <c r="BF307" s="262">
        <f>IF(ISNUMBER(BF294),IF(ABS(BF294-BF306)&lt;=0.15,0,ROUND(BF294-BF306,1)),"")</f>
        <v>0</v>
      </c>
      <c r="BG307" s="262">
        <f>IF(ISNUMBER(BG294),IF(ABS(BG294-BG306)&lt;=0.15,0,ROUND(BG294-BG306,1)),"")</f>
        <v>0</v>
      </c>
      <c r="BH307" s="262">
        <f>IF(ISNUMBER(BH294),IF(ABS(BH294-BH306)&lt;=0.15,0,ROUND(BH294-BH306,1)),"")</f>
        <v>0</v>
      </c>
      <c r="BI307" s="262">
        <f>IF(ISNUMBER(BI294),IF(ABS(BI294-BI306)&lt;=0.15,0,ROUND(BI294-BI306,1)),"")</f>
        <v>0</v>
      </c>
      <c r="BJ307" s="262">
        <f>IF(ISNUMBER(BJ294),IF(ABS(BJ294-BJ306)&lt;=0.15,0,ROUND(BJ294-BJ306,1)),"")</f>
        <v>0</v>
      </c>
      <c r="BK307" s="262">
        <f>IF(ISNUMBER(BK294),IF(ABS(BK294-BK306)&lt;=0.15,0,ROUND(BK294-BK306,1)),"")</f>
        <v>0</v>
      </c>
      <c r="BL307" s="262">
        <f>IF(ISNUMBER(BL294),IF(ABS(BL294-BL306)&lt;=0.15,0,ROUND(BL294-BL306,1)),"")</f>
        <v>0</v>
      </c>
      <c r="BM307" s="262">
        <f>IF(ISNUMBER(BM294),IF(ABS(BM294-BM306)&lt;=0.15,0,ROUND(BM294-BM306,1)),"")</f>
        <v>0</v>
      </c>
      <c r="BN307" s="262">
        <f>IF(ISNUMBER(BN294),IF(ABS(BN294-BN306)&lt;=0.15,0,ROUND(BN294-BN306,1)),"")</f>
        <v>0</v>
      </c>
      <c r="BO307" s="262">
        <f>IF(ISNUMBER(BO294),IF(ABS(BO294-BO306)&lt;=0.15,0,ROUND(BO294-BO306,1)),"")</f>
        <v>0</v>
      </c>
      <c r="BP307" s="262">
        <f>IF(ISNUMBER(BP294),IF(ABS(BP294-BP306)&lt;=0.15,0,ROUND(BP294-BP306,1)),"")</f>
        <v>0</v>
      </c>
      <c r="BQ307" s="262">
        <f>IF(ISNUMBER(BQ294),IF(ABS(BQ294-BQ306)&lt;=0.15,0,ROUND(BQ294-BQ306,1)),"")</f>
        <v>0</v>
      </c>
      <c r="BR307" s="262">
        <f>IF(ISNUMBER(BR294),IF(ABS(BR294-BR306)&lt;=0.15,0,ROUND(BR294-BR306,1)),"")</f>
        <v>0</v>
      </c>
      <c r="BS307" s="262">
        <f>IF(ISNUMBER(BS294),IF(ABS(BS294-BS306)&lt;=0.15,0,ROUND(BS294-BS306,1)),"")</f>
        <v>0</v>
      </c>
      <c r="BT307" s="262">
        <f>IF(ISNUMBER(BT294),IF(ABS(BT294-BT306)&lt;=0.15,0,ROUND(BT294-BT306,1)),"")</f>
        <v>0</v>
      </c>
      <c r="BU307" s="262">
        <f>IF(ISNUMBER(BU294),IF(ABS(BU294-BU306)&lt;=0.15,0,ROUND(BU294-BU306,1)),"")</f>
        <v>0</v>
      </c>
      <c r="BV307" s="262">
        <f>IF(ISNUMBER(BV294),IF(ABS(BV294-BV306)&lt;=0.15,0,ROUND(BV294-BV306,1)),"")</f>
        <v>0</v>
      </c>
      <c r="BW307" s="262">
        <f>IF(ISNUMBER(BW294),IF(ABS(BW294-BW306)&lt;=0.15,0,ROUND(BW294-BW306,1)),"")</f>
        <v>0</v>
      </c>
      <c r="BX307" s="262">
        <f>IF(ISNUMBER(BX294),IF(ABS(BX294-BX306)&lt;=0.15,0,ROUND(BX294-BX306,1)),"")</f>
        <v>0</v>
      </c>
      <c r="BY307" s="262">
        <f>IF(ISNUMBER(BY294),IF(ABS(BY294-BY306)&lt;=0.15,0,ROUND(BY294-BY306,1)),"")</f>
        <v>0</v>
      </c>
      <c r="BZ307" s="153" t="n"/>
      <c r="CA307" s="274">
        <f>IF(ISNUMBER(CA294),IF(ABS(CA294-CA306)&lt;=0.15,0,ROUND(CA294-CA306,1)),"")</f>
        <v>0</v>
      </c>
      <c r="CB307" s="274">
        <f>IF(ISNUMBER(CB294),IF(ABS(CB294-CB306)&lt;=0.15,0,ROUND(CB294-CB306,1)),"")</f>
        <v>0</v>
      </c>
      <c r="CC307" s="274">
        <f>IF(ISNUMBER(CC294),IF(ABS(CC294-CC306)&lt;=0.15,0,ROUND(CC294-CC306,1)),"")</f>
        <v>0</v>
      </c>
      <c r="CD307" s="274">
        <f>IF(ISNUMBER(CD294),IF(ABS(CD294-CD306)&lt;=0.15,0,ROUND(CD294-CD306,1)),"")</f>
        <v>0</v>
      </c>
      <c r="CE307" s="274">
        <f>IF(ISNUMBER(CE294),IF(ABS(CE294-CE306)&lt;=0.15,0,ROUND(CE294-CE306,1)),"")</f>
        <v>0</v>
      </c>
      <c r="CF307" s="274">
        <f>IF(ISNUMBER(CF294),IF(ABS(CF294-CF306)&lt;=0.15,0,ROUND(CF294-CF306,1)),"")</f>
        <v>0</v>
      </c>
      <c r="CG307" s="153" t="n"/>
    </row>
    <row r="308" ht="15" customHeight="1" s="251">
      <c r="B308" s="57" t="inlineStr">
        <is>
          <t xml:space="preserve">  Check: model total assets vs reported (should be 0)</t>
        </is>
      </c>
      <c r="C308" s="262">
        <f>IF(AND(ISNUMBER(C294),ISNUMBER(C309)),IF(ABS(C294-C309)&lt;=0.15,0,ROUND(C294-C309,1)),"")</f>
        <v>0</v>
      </c>
      <c r="D308" s="262">
        <f>IF(AND(ISNUMBER(D294),ISNUMBER(D309)),IF(ABS(D294-D309)&lt;=0.15,0,ROUND(D294-D309,1)),"")</f>
        <v>0</v>
      </c>
      <c r="E308" s="262">
        <f>IF(AND(ISNUMBER(E294),ISNUMBER(E309)),IF(ABS(E294-E309)&lt;=0.15,0,ROUND(E294-E309,1)),"")</f>
        <v>0</v>
      </c>
      <c r="F308" s="262">
        <f>IF(AND(ISNUMBER(F294),ISNUMBER(F309)),IF(ABS(F294-F309)&lt;=0.15,0,ROUND(F294-F309,1)),"")</f>
        <v>0</v>
      </c>
      <c r="G308" s="262">
        <f>IF(AND(ISNUMBER(G294),ISNUMBER(G309)),IF(ABS(G294-G309)&lt;=0.15,0,ROUND(G294-G309,1)),"")</f>
        <v>0</v>
      </c>
      <c r="H308" s="262">
        <f>IF(AND(ISNUMBER(H294),ISNUMBER(H309)),IF(ABS(H294-H309)&lt;=0.15,0,ROUND(H294-H309,1)),"")</f>
        <v>0</v>
      </c>
      <c r="I308" s="262">
        <f>IF(AND(ISNUMBER(I294),ISNUMBER(I309)),IF(ABS(I294-I309)&lt;=0.15,0,ROUND(I294-I309,1)),"")</f>
        <v>0</v>
      </c>
      <c r="J308" s="262">
        <f>IF(AND(ISNUMBER(J294),ISNUMBER(J309)),IF(ABS(J294-J309)&lt;=0.15,0,ROUND(J294-J309,1)),"")</f>
        <v>0</v>
      </c>
      <c r="K308" s="262">
        <f>IF(AND(ISNUMBER(K294),ISNUMBER(K309)),IF(ABS(K294-K309)&lt;=0.15,0,ROUND(K294-K309,1)),"")</f>
        <v>0</v>
      </c>
      <c r="L308" s="262">
        <f>IF(AND(ISNUMBER(L294),ISNUMBER(L309)),IF(ABS(L294-L309)&lt;=0.15,0,ROUND(L294-L309,1)),"")</f>
        <v>0</v>
      </c>
      <c r="M308" s="262">
        <f>IF(AND(ISNUMBER(M294),ISNUMBER(M309)),IF(ABS(M294-M309)&lt;=0.15,0,ROUND(M294-M309,1)),"")</f>
        <v>0</v>
      </c>
      <c r="N308" s="262">
        <f>IF(AND(ISNUMBER(N294),ISNUMBER(N309)),IF(ABS(N294-N309)&lt;=0.15,0,ROUND(N294-N309,1)),"")</f>
        <v>0</v>
      </c>
      <c r="O308" s="262">
        <f>IF(AND(ISNUMBER(O294),ISNUMBER(O309)),IF(ABS(O294-O309)&lt;=0.15,0,ROUND(O294-O309,1)),"")</f>
        <v>0</v>
      </c>
      <c r="P308" s="262">
        <f>IF(AND(ISNUMBER(P294),ISNUMBER(P309)),IF(ABS(P294-P309)&lt;=0.15,0,ROUND(P294-P309,1)),"")</f>
        <v>0</v>
      </c>
      <c r="Q308" s="262">
        <f>IF(AND(ISNUMBER(Q294),ISNUMBER(Q309)),IF(ABS(Q294-Q309)&lt;=0.15,0,ROUND(Q294-Q309,1)),"")</f>
        <v>0</v>
      </c>
      <c r="R308" s="262">
        <f>IF(AND(ISNUMBER(R294),ISNUMBER(R309)),IF(ABS(R294-R309)&lt;=0.15,0,ROUND(R294-R309,1)),"")</f>
        <v>0</v>
      </c>
      <c r="S308" s="262">
        <f>IF(AND(ISNUMBER(S294),ISNUMBER(S309)),IF(ABS(S294-S309)&lt;=0.15,0,ROUND(S294-S309,1)),"")</f>
        <v>0</v>
      </c>
      <c r="T308" s="262">
        <f>IF(AND(ISNUMBER(T294),ISNUMBER(T309)),IF(ABS(T294-T309)&lt;=0.15,0,ROUND(T294-T309,1)),"")</f>
        <v>0</v>
      </c>
      <c r="U308" s="262">
        <f>IF(AND(ISNUMBER(U294),ISNUMBER(U309)),IF(ABS(U294-U309)&lt;=0.15,0,ROUND(U294-U309,1)),"")</f>
        <v>0</v>
      </c>
      <c r="V308" s="262">
        <f>IF(AND(ISNUMBER(V294),ISNUMBER(V309)),IF(ABS(V294-V309)&lt;=0.15,0,ROUND(V294-V309,1)),"")</f>
        <v>0</v>
      </c>
      <c r="W308" s="262">
        <f>IF(AND(ISNUMBER(W294),ISNUMBER(W309)),IF(ABS(W294-W309)&lt;=0.15,0,ROUND(W294-W309,1)),"")</f>
        <v>0</v>
      </c>
      <c r="X308" s="262">
        <f>IF(AND(ISNUMBER(X294),ISNUMBER(X309)),IF(ABS(X294-X309)&lt;=0.15,0,ROUND(X294-X309,1)),"")</f>
        <v>0</v>
      </c>
      <c r="Y308" s="262">
        <f>IF(AND(ISNUMBER(Y294),ISNUMBER(Y309)),IF(ABS(Y294-Y309)&lt;=0.15,0,ROUND(Y294-Y309,1)),"")</f>
        <v>0</v>
      </c>
      <c r="Z308" s="262">
        <f>IF(AND(ISNUMBER(Z294),ISNUMBER(Z309)),IF(ABS(Z294-Z309)&lt;=0.15,0,ROUND(Z294-Z309,1)),"")</f>
        <v>0</v>
      </c>
      <c r="AA308" s="262">
        <f>IF(AND(ISNUMBER(AA294),ISNUMBER(AA309)),IF(ABS(AA294-AA309)&lt;=0.15,0,ROUND(AA294-AA309,1)),"")</f>
        <v>0</v>
      </c>
      <c r="AB308" s="262">
        <f>IF(AND(ISNUMBER(AB294),ISNUMBER(AB309)),IF(ABS(AB294-AB309)&lt;=0.15,0,ROUND(AB294-AB309,1)),"")</f>
        <v>0</v>
      </c>
      <c r="AC308" s="262">
        <f>IF(AND(ISNUMBER(AC294),ISNUMBER(AC309)),IF(ABS(AC294-AC309)&lt;=0.15,0,ROUND(AC294-AC309,1)),"")</f>
        <v>0</v>
      </c>
      <c r="AD308" s="262">
        <f>IF(AND(ISNUMBER(AD294),ISNUMBER(AD309)),IF(ABS(AD294-AD309)&lt;=0.15,0,ROUND(AD294-AD309,1)),"")</f>
        <v>0</v>
      </c>
      <c r="AE308" s="262">
        <f>IF(AND(ISNUMBER(AE294),ISNUMBER(AE309)),IF(ABS(AE294-AE309)&lt;=0.15,0,ROUND(AE294-AE309,1)),"")</f>
        <v>0</v>
      </c>
      <c r="AF308" s="262">
        <f>IF(AND(ISNUMBER(AF294),ISNUMBER(AF309)),IF(ABS(AF294-AF309)&lt;=0.15,0,ROUND(AF294-AF309,1)),"")</f>
        <v>0</v>
      </c>
      <c r="AG308" s="262">
        <f>IF(AND(ISNUMBER(AG294),ISNUMBER(AG309)),IF(ABS(AG294-AG309)&lt;=0.15,0,ROUND(AG294-AG309,1)),"")</f>
        <v>0</v>
      </c>
      <c r="AH308" s="262">
        <f>IF(AND(ISNUMBER(AH294),ISNUMBER(AH309)),IF(ABS(AH294-AH309)&lt;=0.15,0,ROUND(AH294-AH309,1)),"")</f>
        <v>0</v>
      </c>
      <c r="AI308" s="262">
        <f>IF(AND(ISNUMBER(AI294),ISNUMBER(AI309)),IF(ABS(AI294-AI309)&lt;=0.15,0,ROUND(AI294-AI309,1)),"")</f>
        <v>0</v>
      </c>
      <c r="AJ308" s="262">
        <f>IF(AND(ISNUMBER(AJ294),ISNUMBER(AJ309)),IF(ABS(AJ294-AJ309)&lt;=0.15,0,ROUND(AJ294-AJ309,1)),"")</f>
        <v>0</v>
      </c>
      <c r="AK308" s="262">
        <f>IF(AND(ISNUMBER(AK294),ISNUMBER(AK309)),IF(ABS(AK294-AK309)&lt;=0.15,0,ROUND(AK294-AK309,1)),"")</f>
        <v>0</v>
      </c>
      <c r="AL308" s="262">
        <f>IF(AND(ISNUMBER(AL294),ISNUMBER(AL309)),IF(ABS(AL294-AL309)&lt;=0.15,0,ROUND(AL294-AL309,1)),"")</f>
        <v>0</v>
      </c>
      <c r="AM308" s="262">
        <f>IF(AND(ISNUMBER(AM294),ISNUMBER(AM309)),IF(ABS(AM294-AM309)&lt;=0.15,0,ROUND(AM294-AM309,1)),"")</f>
        <v>0</v>
      </c>
      <c r="AN308" s="262">
        <f>IF(AND(ISNUMBER(AN294),ISNUMBER(AN309)),IF(ABS(AN294-AN309)&lt;=0.15,0,ROUND(AN294-AN309,1)),"")</f>
        <v>0</v>
      </c>
      <c r="AO308" s="262">
        <f>IF(AND(ISNUMBER(AO294),ISNUMBER(AO309)),IF(ABS(AO294-AO309)&lt;=0.15,0,ROUND(AO294-AO309,1)),"")</f>
        <v>0</v>
      </c>
      <c r="AP308" s="262">
        <f>IF(AND(ISNUMBER(AP294),ISNUMBER(AP309)),IF(ABS(AP294-AP309)&lt;=0.15,0,ROUND(AP294-AP309,1)),"")</f>
        <v>0</v>
      </c>
      <c r="AQ308" s="262">
        <f>IF(AND(ISNUMBER(AQ294),ISNUMBER(AQ309)),IF(ABS(AQ294-AQ309)&lt;=0.15,0,ROUND(AQ294-AQ309,1)),"")</f>
        <v>0</v>
      </c>
      <c r="AR308" s="262">
        <f>IF(AND(ISNUMBER(AR294),ISNUMBER(AR309)),IF(ABS(AR294-AR309)&lt;=0.15,0,ROUND(AR294-AR309,1)),"")</f>
        <v>0</v>
      </c>
      <c r="AS308" s="262">
        <f>IF(AND(ISNUMBER(AS294),ISNUMBER(AS309)),IF(ABS(AS294-AS309)&lt;=0.15,0,ROUND(AS294-AS309,1)),"")</f>
        <v>0</v>
      </c>
      <c r="AT308" s="262">
        <f>IF(AND(ISNUMBER(AT294),ISNUMBER(AT309)),IF(ABS(AT294-AT309)&lt;=0.15,0,ROUND(AT294-AT309,1)),"")</f>
        <v>0</v>
      </c>
      <c r="AU308" s="262">
        <f>IF(AND(ISNUMBER(AU294),ISNUMBER(AU309)),IF(ABS(AU294-AU309)&lt;=0.15,0,ROUND(AU294-AU309,1)),"")</f>
        <v>0</v>
      </c>
      <c r="AV308" s="262">
        <f>IF(AND(ISNUMBER(AV294),ISNUMBER(AV309)),IF(ABS(AV294-AV309)&lt;=0.15,0,ROUND(AV294-AV309,1)),"")</f>
        <v>0</v>
      </c>
      <c r="AW308" s="262">
        <f>IF(AND(ISNUMBER(AW294),ISNUMBER(AW309)),IF(ABS(AW294-AW309)&lt;=0.15,0,ROUND(AW294-AW309,1)),"")</f>
        <v>0</v>
      </c>
      <c r="AX308" s="262">
        <f>IF(AND(ISNUMBER(AX294),ISNUMBER(AX309)),IF(ABS(AX294-AX309)&lt;=0.15,0,ROUND(AX294-AX309,1)),"")</f>
        <v>0</v>
      </c>
      <c r="AY308" s="262">
        <f>IF(AND(ISNUMBER(AY294),ISNUMBER(AY309)),IF(ABS(AY294-AY309)&lt;=0.15,0,ROUND(AY294-AY309,1)),"")</f>
        <v>0</v>
      </c>
      <c r="AZ308" s="262">
        <f>IF(AND(ISNUMBER(AZ294),ISNUMBER(AZ309)),IF(ABS(AZ294-AZ309)&lt;=0.15,0,ROUND(AZ294-AZ309,1)),"")</f>
        <v>0</v>
      </c>
      <c r="BA308" s="262">
        <f>IF(AND(ISNUMBER(BA294),ISNUMBER(BA309)),IF(ABS(BA294-BA309)&lt;=0.15,0,ROUND(BA294-BA309,1)),"")</f>
        <v>0</v>
      </c>
      <c r="BB308" s="262">
        <f>IF(AND(ISNUMBER(BB294),ISNUMBER(BB309)),IF(ABS(BB294-BB309)&lt;=0.15,0,ROUND(BB294-BB309,1)),"")</f>
        <v>0</v>
      </c>
      <c r="BC308" s="262">
        <f>IF(AND(ISNUMBER(BC294),ISNUMBER(BC309)),IF(ABS(BC294-BC309)&lt;=0.15,0,ROUND(BC294-BC309,1)),"")</f>
        <v>0</v>
      </c>
      <c r="BD308" s="262">
        <f>IF(AND(ISNUMBER(BD294),ISNUMBER(BD309)),IF(ABS(BD294-BD309)&lt;=0.15,0,ROUND(BD294-BD309,1)),"")</f>
        <v>0</v>
      </c>
      <c r="BE308" s="262">
        <f>IF(AND(ISNUMBER(BE294),ISNUMBER(BE309)),IF(ABS(BE294-BE309)&lt;=0.15,0,ROUND(BE294-BE309,1)),"")</f>
        <v>0</v>
      </c>
      <c r="BF308" s="262">
        <f>IF(AND(ISNUMBER(BF294),ISNUMBER(BF309)),IF(ABS(BF294-BF309)&lt;=0.15,0,ROUND(BF294-BF309,1)),"")</f>
        <v>0</v>
      </c>
      <c r="BG308" s="262">
        <f>IF(AND(ISNUMBER(BG294),ISNUMBER(BG309)),IF(ABS(BG294-BG309)&lt;=0.15,0,ROUND(BG294-BG309,1)),"")</f>
        <v>0</v>
      </c>
      <c r="BH308" s="262">
        <f>IF(AND(ISNUMBER(BH294),ISNUMBER(BH309)),IF(ABS(BH294-BH309)&lt;=0.15,0,ROUND(BH294-BH309,1)),"")</f>
        <v>0</v>
      </c>
      <c r="BI308" s="262">
        <f>IF(AND(ISNUMBER(BI294),ISNUMBER(BI309)),IF(ABS(BI294-BI309)&lt;=0.15,0,ROUND(BI294-BI309,1)),"")</f>
        <v>0</v>
      </c>
      <c r="BJ308" s="262">
        <f>IF(AND(ISNUMBER(BJ294),ISNUMBER(BJ309)),IF(ABS(BJ294-BJ309)&lt;=0.15,0,ROUND(BJ294-BJ309,1)),"")</f>
        <v>0</v>
      </c>
      <c r="BK308" s="262">
        <f>IF(AND(ISNUMBER(BK294),ISNUMBER(BK309)),IF(ABS(BK294-BK309)&lt;=0.15,0,ROUND(BK294-BK309,1)),"")</f>
        <v>0</v>
      </c>
      <c r="BL308" s="262">
        <f>IF(AND(ISNUMBER(BL294),ISNUMBER(BL309)),IF(ABS(BL294-BL309)&lt;=0.15,0,ROUND(BL294-BL309,1)),"")</f>
        <v>0</v>
      </c>
      <c r="BM308" s="262">
        <f>IF(AND(ISNUMBER(BM294),ISNUMBER(BM309)),IF(ABS(BM294-BM309)&lt;=0.15,0,ROUND(BM294-BM309,1)),"")</f>
        <v>0</v>
      </c>
      <c r="BN308" s="262">
        <f>IF(AND(ISNUMBER(BN294),ISNUMBER(BN309)),IF(ABS(BN294-BN309)&lt;=0.15,0,ROUND(BN294-BN309,1)),"")</f>
        <v>0</v>
      </c>
      <c r="BO308" s="262">
        <f>IF(AND(ISNUMBER(BO294),ISNUMBER(BO309)),IF(ABS(BO294-BO309)&lt;=0.15,0,ROUND(BO294-BO309,1)),"")</f>
        <v>0</v>
      </c>
      <c r="BP308" s="262">
        <f>IF(AND(ISNUMBER(BP294),ISNUMBER(BP309)),IF(ABS(BP294-BP309)&lt;=0.15,0,ROUND(BP294-BP309,1)),"")</f>
        <v>0</v>
      </c>
      <c r="BQ308" s="262">
        <f>IF(AND(ISNUMBER(BQ294),ISNUMBER(BQ309)),IF(ABS(BQ294-BQ309)&lt;=0.15,0,ROUND(BQ294-BQ309,1)),"")</f>
        <v>0</v>
      </c>
      <c r="BR308" s="262">
        <f>IF(AND(ISNUMBER(BR294),ISNUMBER(BR309)),IF(ABS(BR294-BR309)&lt;=0.15,0,ROUND(BR294-BR309,1)),"")</f>
        <v>0</v>
      </c>
      <c r="BS308" s="262">
        <f>IF(AND(ISNUMBER(BS294),ISNUMBER(BS309)),IF(ABS(BS294-BS309)&lt;=0.15,0,ROUND(BS294-BS309,1)),"")</f>
        <v>0</v>
      </c>
      <c r="BT308" s="262">
        <f>IF(AND(ISNUMBER(BT294),ISNUMBER(BT309)),IF(ABS(BT294-BT309)&lt;=0.15,0,ROUND(BT294-BT309,1)),"")</f>
        <v>0</v>
      </c>
      <c r="BU308" s="262">
        <f>IF(AND(ISNUMBER(BU294),ISNUMBER(BU309)),IF(ABS(BU294-BU309)&lt;=0.15,0,ROUND(BU294-BU309,1)),"")</f>
        <v>0</v>
      </c>
      <c r="BV308" s="262">
        <f>IF(AND(ISNUMBER(BV294),ISNUMBER(BV309)),IF(ABS(BV294-BV309)&lt;=0.15,0,ROUND(BV294-BV309,1)),"")</f>
        <v>0</v>
      </c>
      <c r="BW308" s="262">
        <f>IF(AND(ISNUMBER(BW294),ISNUMBER(BW309)),IF(ABS(BW294-BW309)&lt;=0.15,0,ROUND(BW294-BW309,1)),"")</f>
        <v>0</v>
      </c>
      <c r="BX308" s="262">
        <f>IF(AND(ISNUMBER(BX294),ISNUMBER(BX309)),IF(ABS(BX294-BX309)&lt;=0.15,0,ROUND(BX294-BX309,1)),"")</f>
        <v>0</v>
      </c>
      <c r="BY308" s="262">
        <f>IF(AND(ISNUMBER(BY294),ISNUMBER(BY309)),IF(ABS(BY294-BY309)&lt;=0.15,0,ROUND(BY294-BY309,1)),"")</f>
        <v>0</v>
      </c>
      <c r="BZ308" s="153" t="n"/>
      <c r="CA308" s="153" t="n"/>
      <c r="CB308" s="153" t="n"/>
      <c r="CC308" s="153" t="n"/>
      <c r="CD308" s="153" t="n"/>
      <c r="CE308" s="153" t="n"/>
      <c r="CF308" s="153" t="n"/>
      <c r="CG308" s="153" t="n"/>
    </row>
    <row r="309" ht="15" customHeight="1" s="251">
      <c r="B309" s="156" t="inlineStr">
        <is>
          <t xml:space="preserve">  Memo: total assets as reported</t>
        </is>
      </c>
      <c r="C309" s="253" t="n">
        <v>1321.205</v>
      </c>
      <c r="D309" s="253" t="n">
        <v>1275.771</v>
      </c>
      <c r="E309" s="253" t="n">
        <v>1275.253</v>
      </c>
      <c r="F309" s="253" t="n">
        <v>1303.888</v>
      </c>
      <c r="G309" s="253" t="n">
        <v>1123.716</v>
      </c>
      <c r="H309" s="253" t="n">
        <v>1129.468</v>
      </c>
      <c r="I309" s="253" t="n">
        <v>1158.611</v>
      </c>
      <c r="J309" s="253" t="n">
        <v>1176.114</v>
      </c>
      <c r="K309" s="253" t="n">
        <v>1198.341</v>
      </c>
      <c r="L309" s="253" t="n">
        <v>1164.143</v>
      </c>
      <c r="M309" s="253" t="n">
        <v>1161.547</v>
      </c>
      <c r="N309" s="253" t="n">
        <v>1161.547</v>
      </c>
      <c r="O309" s="253" t="n">
        <v>1166.276</v>
      </c>
      <c r="P309" s="253" t="n">
        <v>1177.253</v>
      </c>
      <c r="Q309" s="253" t="n">
        <v>1185.747</v>
      </c>
      <c r="R309" s="253" t="n">
        <v>1192.298</v>
      </c>
      <c r="S309" s="253" t="n">
        <v>1192.298</v>
      </c>
      <c r="T309" s="253" t="n">
        <v>1167.922</v>
      </c>
      <c r="U309" s="253" t="n">
        <v>1236.651</v>
      </c>
      <c r="V309" s="253" t="n">
        <v>1216.127</v>
      </c>
      <c r="W309" s="253" t="n">
        <v>1230.163</v>
      </c>
      <c r="X309" s="253" t="n">
        <v>1230.163</v>
      </c>
      <c r="Y309" s="253" t="n">
        <v>1215.25</v>
      </c>
      <c r="Z309" s="253" t="n">
        <v>1214.941</v>
      </c>
      <c r="AA309" s="253" t="n">
        <v>1226.712</v>
      </c>
      <c r="AB309" s="253" t="n">
        <v>1221.052</v>
      </c>
      <c r="AC309" s="253" t="n">
        <v>1221.052</v>
      </c>
      <c r="AD309" s="253" t="n">
        <v>1224.398</v>
      </c>
      <c r="AE309" s="253" t="n">
        <v>1247.068</v>
      </c>
      <c r="AF309" s="253" t="n">
        <v>1258.354</v>
      </c>
      <c r="AG309" s="253" t="n">
        <v>1255.62</v>
      </c>
      <c r="AH309" s="253" t="n">
        <v>1255.62</v>
      </c>
      <c r="AI309" s="253" t="n">
        <v>1240.845</v>
      </c>
      <c r="AJ309" s="253" t="n">
        <v>1290.895</v>
      </c>
      <c r="AK309" s="253" t="n">
        <v>1287.07</v>
      </c>
      <c r="AL309" s="253" t="n">
        <v>1255.079</v>
      </c>
      <c r="AM309" s="253" t="n">
        <v>1255.079</v>
      </c>
      <c r="AN309" s="253" t="n">
        <v>1305.626</v>
      </c>
      <c r="AO309" s="253" t="n">
        <v>1328.111</v>
      </c>
      <c r="AP309" s="253" t="n">
        <v>1373.798</v>
      </c>
      <c r="AQ309" s="253" t="n">
        <v>1433.448</v>
      </c>
      <c r="AR309" s="253" t="n">
        <v>1433.448</v>
      </c>
      <c r="AS309" s="253" t="n">
        <v>1545.038</v>
      </c>
      <c r="AT309" s="253" t="n">
        <v>1552.132</v>
      </c>
      <c r="AU309" s="253" t="n">
        <v>1564.12</v>
      </c>
      <c r="AV309" s="253" t="n">
        <v>1606.24</v>
      </c>
      <c r="AW309" s="253" t="n">
        <v>1606.24</v>
      </c>
      <c r="AX309" s="253" t="n">
        <v>1576.863</v>
      </c>
      <c r="AY309" s="253" t="n">
        <v>1579.608</v>
      </c>
      <c r="AZ309" s="253" t="n">
        <v>1589.155</v>
      </c>
      <c r="BA309" s="253" t="n">
        <v>1567.776</v>
      </c>
      <c r="BB309" s="253" t="n">
        <v>1567.776</v>
      </c>
      <c r="BC309" s="253" t="n">
        <v>1463.31</v>
      </c>
      <c r="BD309" s="253" t="n">
        <v>1486.485</v>
      </c>
      <c r="BE309" s="253" t="n">
        <v>1456.836</v>
      </c>
      <c r="BF309" s="253" t="n">
        <v>1442.034</v>
      </c>
      <c r="BG309" s="253" t="n">
        <v>1442.034</v>
      </c>
      <c r="BH309" s="253" t="n">
        <v>1458.693</v>
      </c>
      <c r="BI309" s="253" t="n">
        <v>1502.431</v>
      </c>
      <c r="BJ309" s="253" t="n">
        <v>1584.569</v>
      </c>
      <c r="BK309" s="253" t="n">
        <v>1575.281</v>
      </c>
      <c r="BL309" s="253" t="n">
        <v>1575.281</v>
      </c>
      <c r="BM309" s="253" t="n">
        <v>1593.518</v>
      </c>
      <c r="BN309" s="253" t="n">
        <v>1703.117</v>
      </c>
      <c r="BO309" s="253" t="n">
        <v>1708.831</v>
      </c>
      <c r="BP309" s="253" t="n">
        <v>1717.884</v>
      </c>
      <c r="BQ309" s="253" t="n">
        <v>1717.884</v>
      </c>
      <c r="BR309" s="253" t="n">
        <v>1706.608</v>
      </c>
      <c r="BS309" s="253" t="n">
        <v>1835.753</v>
      </c>
      <c r="BT309" s="253" t="n">
        <v>1862.023</v>
      </c>
      <c r="BU309" s="253" t="n">
        <v>1868.133</v>
      </c>
      <c r="BV309" s="253" t="n">
        <v>1868.133</v>
      </c>
      <c r="BW309" s="253" t="n">
        <v>1854.16</v>
      </c>
      <c r="BX309" s="253" t="n">
        <v>2048.249</v>
      </c>
      <c r="BY309" s="253" t="n">
        <v>2037.373</v>
      </c>
      <c r="BZ309" s="153" t="n"/>
      <c r="CA309" s="153" t="n"/>
      <c r="CB309" s="153" t="n"/>
      <c r="CC309" s="153" t="n"/>
      <c r="CD309" s="153" t="n"/>
      <c r="CE309" s="153" t="n"/>
      <c r="CF309" s="153" t="n"/>
      <c r="CG309" s="153" t="n"/>
    </row>
    <row r="310" ht="15" customHeight="1" s="251">
      <c r="B310" s="57" t="inlineStr">
        <is>
          <t xml:space="preserve">  Check: BS cash vs cash-flow ending cash (should be 0)</t>
        </is>
      </c>
      <c r="C310" s="262">
        <f>IF(AND(ISNUMBER(C287),ISNUMBER(C254)),IF(ABS(C287-C254)&lt;=0.15,0,ROUND(C287-C254,1)),"")</f>
        <v>0</v>
      </c>
      <c r="D310" s="262">
        <f>IF(AND(ISNUMBER(D287),ISNUMBER(D254)),IF(ABS(D287-D254)&lt;=0.15,0,ROUND(D287-D254,1)),"")</f>
        <v>0</v>
      </c>
      <c r="E310" s="262">
        <f>IF(AND(ISNUMBER(E287),ISNUMBER(E254)),IF(ABS(E287-E254)&lt;=0.15,0,ROUND(E287-E254,1)),"")</f>
        <v>0</v>
      </c>
      <c r="F310" s="262">
        <f>IF(AND(ISNUMBER(F287),ISNUMBER(F254)),IF(ABS(F287-F254)&lt;=0.15,0,ROUND(F287-F254,1)),"")</f>
        <v>0</v>
      </c>
      <c r="G310" s="262">
        <f>IF(AND(ISNUMBER(G287),ISNUMBER(G254)),IF(ABS(G287-G254)&lt;=0.15,0,ROUND(G287-G254,1)),"")</f>
        <v>0</v>
      </c>
      <c r="H310" s="262">
        <f>IF(AND(ISNUMBER(H287),ISNUMBER(H254)),IF(ABS(H287-H254)&lt;=0.15,0,ROUND(H287-H254,1)),"")</f>
        <v>0</v>
      </c>
      <c r="I310" s="262">
        <f>IF(AND(ISNUMBER(I287),ISNUMBER(I254)),IF(ABS(I287-I254)&lt;=0.15,0,ROUND(I287-I254,1)),"")</f>
        <v>0</v>
      </c>
      <c r="J310" s="262">
        <f>IF(AND(ISNUMBER(J287),ISNUMBER(J254)),IF(ABS(J287-J254)&lt;=0.15,0,ROUND(J287-J254,1)),"")</f>
        <v>0</v>
      </c>
      <c r="K310" s="262">
        <f>IF(AND(ISNUMBER(K287),ISNUMBER(K254)),IF(ABS(K287-K254)&lt;=0.15,0,ROUND(K287-K254,1)),"")</f>
        <v>0</v>
      </c>
      <c r="L310" s="262">
        <f>IF(AND(ISNUMBER(L287),ISNUMBER(L254)),IF(ABS(L287-L254)&lt;=0.15,0,ROUND(L287-L254,1)),"")</f>
        <v>0</v>
      </c>
      <c r="M310" s="262">
        <f>IF(AND(ISNUMBER(M287),ISNUMBER(M254)),IF(ABS(M287-M254)&lt;=0.15,0,ROUND(M287-M254,1)),"")</f>
        <v>0</v>
      </c>
      <c r="N310" s="262">
        <f>IF(AND(ISNUMBER(N287),ISNUMBER(N254)),IF(ABS(N287-N254)&lt;=0.15,0,ROUND(N287-N254,1)),"")</f>
        <v>0</v>
      </c>
      <c r="O310" s="262">
        <f>IF(AND(ISNUMBER(O287),ISNUMBER(O254)),IF(ABS(O287-O254)&lt;=0.15,0,ROUND(O287-O254,1)),"")</f>
        <v>0</v>
      </c>
      <c r="P310" s="262">
        <f>IF(AND(ISNUMBER(P287),ISNUMBER(P254)),IF(ABS(P287-P254)&lt;=0.15,0,ROUND(P287-P254,1)),"")</f>
        <v>0</v>
      </c>
      <c r="Q310" s="262">
        <f>IF(AND(ISNUMBER(Q287),ISNUMBER(Q254)),IF(ABS(Q287-Q254)&lt;=0.15,0,ROUND(Q287-Q254,1)),"")</f>
        <v>0</v>
      </c>
      <c r="R310" s="262">
        <f>IF(AND(ISNUMBER(R287),ISNUMBER(R254)),IF(ABS(R287-R254)&lt;=0.15,0,ROUND(R287-R254,1)),"")</f>
        <v>0</v>
      </c>
      <c r="S310" s="262">
        <f>IF(AND(ISNUMBER(S287),ISNUMBER(S254)),IF(ABS(S287-S254)&lt;=0.15,0,ROUND(S287-S254,1)),"")</f>
        <v>0</v>
      </c>
      <c r="T310" s="262">
        <f>IF(AND(ISNUMBER(T287),ISNUMBER(T254)),IF(ABS(T287-T254)&lt;=0.15,0,ROUND(T287-T254,1)),"")</f>
        <v>0</v>
      </c>
      <c r="U310" s="262">
        <f>IF(AND(ISNUMBER(U287),ISNUMBER(U254)),IF(ABS(U287-U254)&lt;=0.15,0,ROUND(U287-U254,1)),"")</f>
        <v>0</v>
      </c>
      <c r="V310" s="262">
        <f>IF(AND(ISNUMBER(V287),ISNUMBER(V254)),IF(ABS(V287-V254)&lt;=0.15,0,ROUND(V287-V254,1)),"")</f>
        <v>0</v>
      </c>
      <c r="W310" s="262">
        <f>IF(AND(ISNUMBER(W287),ISNUMBER(W254)),IF(ABS(W287-W254)&lt;=0.15,0,ROUND(W287-W254,1)),"")</f>
        <v>0</v>
      </c>
      <c r="X310" s="262">
        <f>IF(AND(ISNUMBER(X287),ISNUMBER(X254)),IF(ABS(X287-X254)&lt;=0.15,0,ROUND(X287-X254,1)),"")</f>
        <v>0</v>
      </c>
      <c r="Y310" s="262">
        <f>IF(AND(ISNUMBER(Y287),ISNUMBER(Y254)),IF(ABS(Y287-Y254)&lt;=0.15,0,ROUND(Y287-Y254,1)),"")</f>
        <v>0</v>
      </c>
      <c r="Z310" s="262">
        <f>IF(AND(ISNUMBER(Z287),ISNUMBER(Z254)),IF(ABS(Z287-Z254)&lt;=0.15,0,ROUND(Z287-Z254,1)),"")</f>
        <v>0</v>
      </c>
      <c r="AA310" s="262">
        <f>IF(AND(ISNUMBER(AA287),ISNUMBER(AA254)),IF(ABS(AA287-AA254)&lt;=0.15,0,ROUND(AA287-AA254,1)),"")</f>
        <v>0</v>
      </c>
      <c r="AB310" s="262">
        <f>IF(AND(ISNUMBER(AB287),ISNUMBER(AB254)),IF(ABS(AB287-AB254)&lt;=0.15,0,ROUND(AB287-AB254,1)),"")</f>
        <v>0</v>
      </c>
      <c r="AC310" s="262">
        <f>IF(AND(ISNUMBER(AC287),ISNUMBER(AC254)),IF(ABS(AC287-AC254)&lt;=0.15,0,ROUND(AC287-AC254,1)),"")</f>
        <v>0</v>
      </c>
      <c r="AD310" s="262">
        <f>IF(AND(ISNUMBER(AD287),ISNUMBER(AD254)),IF(ABS(AD287-AD254)&lt;=0.15,0,ROUND(AD287-AD254,1)),"")</f>
        <v>0</v>
      </c>
      <c r="AE310" s="262">
        <f>IF(AND(ISNUMBER(AE287),ISNUMBER(AE254)),IF(ABS(AE287-AE254)&lt;=0.15,0,ROUND(AE287-AE254,1)),"")</f>
        <v>0</v>
      </c>
      <c r="AF310" s="262">
        <f>IF(AND(ISNUMBER(AF287),ISNUMBER(AF254)),IF(ABS(AF287-AF254)&lt;=0.15,0,ROUND(AF287-AF254,1)),"")</f>
        <v>0</v>
      </c>
      <c r="AG310" s="262">
        <f>IF(AND(ISNUMBER(AG287),ISNUMBER(AG254)),IF(ABS(AG287-AG254)&lt;=0.15,0,ROUND(AG287-AG254,1)),"")</f>
        <v>0</v>
      </c>
      <c r="AH310" s="262">
        <f>IF(AND(ISNUMBER(AH287),ISNUMBER(AH254)),IF(ABS(AH287-AH254)&lt;=0.15,0,ROUND(AH287-AH254,1)),"")</f>
        <v>0</v>
      </c>
      <c r="AI310" s="262">
        <f>IF(AND(ISNUMBER(AI287),ISNUMBER(AI254)),IF(ABS(AI287-AI254)&lt;=0.15,0,ROUND(AI287-AI254,1)),"")</f>
        <v>0</v>
      </c>
      <c r="AJ310" s="262">
        <f>IF(AND(ISNUMBER(AJ287),ISNUMBER(AJ254)),IF(ABS(AJ287-AJ254)&lt;=0.15,0,ROUND(AJ287-AJ254,1)),"")</f>
        <v>0</v>
      </c>
      <c r="AK310" s="262">
        <f>IF(AND(ISNUMBER(AK287),ISNUMBER(AK254)),IF(ABS(AK287-AK254)&lt;=0.15,0,ROUND(AK287-AK254,1)),"")</f>
        <v>0</v>
      </c>
      <c r="AL310" s="262">
        <f>IF(AND(ISNUMBER(AL287),ISNUMBER(AL254)),IF(ABS(AL287-AL254)&lt;=0.15,0,ROUND(AL287-AL254,1)),"")</f>
        <v>0</v>
      </c>
      <c r="AM310" s="262">
        <f>IF(AND(ISNUMBER(AM287),ISNUMBER(AM254)),IF(ABS(AM287-AM254)&lt;=0.15,0,ROUND(AM287-AM254,1)),"")</f>
        <v>0</v>
      </c>
      <c r="AN310" s="262">
        <f>IF(AND(ISNUMBER(AN287),ISNUMBER(AN254)),IF(ABS(AN287-AN254)&lt;=0.15,0,ROUND(AN287-AN254,1)),"")</f>
        <v>0</v>
      </c>
      <c r="AO310" s="262">
        <f>IF(AND(ISNUMBER(AO287),ISNUMBER(AO254)),IF(ABS(AO287-AO254)&lt;=0.15,0,ROUND(AO287-AO254,1)),"")</f>
        <v>0</v>
      </c>
      <c r="AP310" s="262">
        <f>IF(AND(ISNUMBER(AP287),ISNUMBER(AP254)),IF(ABS(AP287-AP254)&lt;=0.15,0,ROUND(AP287-AP254,1)),"")</f>
        <v>0</v>
      </c>
      <c r="AQ310" s="262">
        <f>IF(AND(ISNUMBER(AQ287),ISNUMBER(AQ254)),IF(ABS(AQ287-AQ254)&lt;=0.15,0,ROUND(AQ287-AQ254,1)),"")</f>
        <v>0</v>
      </c>
      <c r="AR310" s="262">
        <f>IF(AND(ISNUMBER(AR287),ISNUMBER(AR254)),IF(ABS(AR287-AR254)&lt;=0.15,0,ROUND(AR287-AR254,1)),"")</f>
        <v>0</v>
      </c>
      <c r="AS310" s="262">
        <f>IF(AND(ISNUMBER(AS287),ISNUMBER(AS254)),IF(ABS(AS287-AS254)&lt;=0.15,0,ROUND(AS287-AS254,1)),"")</f>
        <v>0</v>
      </c>
      <c r="AT310" s="262">
        <f>IF(AND(ISNUMBER(AT287),ISNUMBER(AT254)),IF(ABS(AT287-AT254)&lt;=0.15,0,ROUND(AT287-AT254,1)),"")</f>
        <v>0</v>
      </c>
      <c r="AU310" s="262">
        <f>IF(AND(ISNUMBER(AU287),ISNUMBER(AU254)),IF(ABS(AU287-AU254)&lt;=0.15,0,ROUND(AU287-AU254,1)),"")</f>
        <v>0</v>
      </c>
      <c r="AV310" s="262">
        <f>IF(AND(ISNUMBER(AV287),ISNUMBER(AV254)),IF(ABS(AV287-AV254)&lt;=0.15,0,ROUND(AV287-AV254,1)),"")</f>
        <v>0</v>
      </c>
      <c r="AW310" s="262">
        <f>IF(AND(ISNUMBER(AW287),ISNUMBER(AW254)),IF(ABS(AW287-AW254)&lt;=0.15,0,ROUND(AW287-AW254,1)),"")</f>
        <v>0</v>
      </c>
      <c r="AX310" s="262">
        <f>IF(AND(ISNUMBER(AX287),ISNUMBER(AX254)),IF(ABS(AX287-AX254)&lt;=0.15,0,ROUND(AX287-AX254,1)),"")</f>
        <v>0</v>
      </c>
      <c r="AY310" s="262">
        <f>IF(AND(ISNUMBER(AY287),ISNUMBER(AY254)),IF(ABS(AY287-AY254)&lt;=0.15,0,ROUND(AY287-AY254,1)),"")</f>
        <v>0</v>
      </c>
      <c r="AZ310" s="262">
        <f>IF(AND(ISNUMBER(AZ287),ISNUMBER(AZ254)),IF(ABS(AZ287-AZ254)&lt;=0.15,0,ROUND(AZ287-AZ254,1)),"")</f>
        <v>0</v>
      </c>
      <c r="BA310" s="262">
        <f>IF(AND(ISNUMBER(BA287),ISNUMBER(BA254)),IF(ABS(BA287-BA254)&lt;=0.15,0,ROUND(BA287-BA254,1)),"")</f>
        <v>0</v>
      </c>
      <c r="BB310" s="262">
        <f>IF(AND(ISNUMBER(BB287),ISNUMBER(BB254)),IF(ABS(BB287-BB254)&lt;=0.15,0,ROUND(BB287-BB254,1)),"")</f>
        <v>0</v>
      </c>
      <c r="BC310" s="262">
        <f>IF(AND(ISNUMBER(BC287),ISNUMBER(BC254)),IF(ABS(BC287-BC254)&lt;=0.15,0,ROUND(BC287-BC254,1)),"")</f>
        <v>0</v>
      </c>
      <c r="BD310" s="262">
        <f>IF(AND(ISNUMBER(BD287),ISNUMBER(BD254)),IF(ABS(BD287-BD254)&lt;=0.15,0,ROUND(BD287-BD254,1)),"")</f>
        <v>0</v>
      </c>
      <c r="BE310" s="262">
        <f>IF(AND(ISNUMBER(BE287),ISNUMBER(BE254)),IF(ABS(BE287-BE254)&lt;=0.15,0,ROUND(BE287-BE254,1)),"")</f>
        <v>0</v>
      </c>
      <c r="BF310" s="262">
        <f>IF(AND(ISNUMBER(BF287),ISNUMBER(BF254)),IF(ABS(BF287-BF254)&lt;=0.15,0,ROUND(BF287-BF254,1)),"")</f>
        <v>0</v>
      </c>
      <c r="BG310" s="262">
        <f>IF(AND(ISNUMBER(BG287),ISNUMBER(BG254)),IF(ABS(BG287-BG254)&lt;=0.15,0,ROUND(BG287-BG254,1)),"")</f>
        <v>0</v>
      </c>
      <c r="BH310" s="262">
        <f>IF(AND(ISNUMBER(BH287),ISNUMBER(BH254)),IF(ABS(BH287-BH254)&lt;=0.15,0,ROUND(BH287-BH254,1)),"")</f>
        <v>0</v>
      </c>
      <c r="BI310" s="262">
        <f>IF(AND(ISNUMBER(BI287),ISNUMBER(BI254)),IF(ABS(BI287-BI254)&lt;=0.15,0,ROUND(BI287-BI254,1)),"")</f>
        <v>0</v>
      </c>
      <c r="BJ310" s="262">
        <f>IF(AND(ISNUMBER(BJ287),ISNUMBER(BJ254)),IF(ABS(BJ287-BJ254)&lt;=0.15,0,ROUND(BJ287-BJ254,1)),"")</f>
        <v>0</v>
      </c>
      <c r="BK310" s="262">
        <f>IF(AND(ISNUMBER(BK287),ISNUMBER(BK254)),IF(ABS(BK287-BK254)&lt;=0.15,0,ROUND(BK287-BK254,1)),"")</f>
        <v>0</v>
      </c>
      <c r="BL310" s="262">
        <f>IF(AND(ISNUMBER(BL287),ISNUMBER(BL254)),IF(ABS(BL287-BL254)&lt;=0.15,0,ROUND(BL287-BL254,1)),"")</f>
        <v>0</v>
      </c>
      <c r="BM310" s="262">
        <f>IF(AND(ISNUMBER(BM287),ISNUMBER(BM254)),IF(ABS(BM287-BM254)&lt;=0.15,0,ROUND(BM287-BM254,1)),"")</f>
        <v>0</v>
      </c>
      <c r="BN310" s="262">
        <f>IF(AND(ISNUMBER(BN287),ISNUMBER(BN254)),IF(ABS(BN287-BN254)&lt;=0.15,0,ROUND(BN287-BN254,1)),"")</f>
        <v>0</v>
      </c>
      <c r="BO310" s="262">
        <f>IF(AND(ISNUMBER(BO287),ISNUMBER(BO254)),IF(ABS(BO287-BO254)&lt;=0.15,0,ROUND(BO287-BO254,1)),"")</f>
        <v>0</v>
      </c>
      <c r="BP310" s="262">
        <f>IF(AND(ISNUMBER(BP287),ISNUMBER(BP254)),IF(ABS(BP287-BP254)&lt;=0.15,0,ROUND(BP287-BP254,1)),"")</f>
        <v>0</v>
      </c>
      <c r="BQ310" s="262">
        <f>IF(AND(ISNUMBER(BQ287),ISNUMBER(BQ254)),IF(ABS(BQ287-BQ254)&lt;=0.15,0,ROUND(BQ287-BQ254,1)),"")</f>
        <v>0</v>
      </c>
      <c r="BR310" s="262">
        <f>IF(AND(ISNUMBER(BR287),ISNUMBER(BR254)),IF(ABS(BR287-BR254)&lt;=0.15,0,ROUND(BR287-BR254,1)),"")</f>
        <v>0</v>
      </c>
      <c r="BS310" s="262">
        <f>IF(AND(ISNUMBER(BS287),ISNUMBER(BS254)),IF(ABS(BS287-BS254)&lt;=0.15,0,ROUND(BS287-BS254,1)),"")</f>
        <v>0</v>
      </c>
      <c r="BT310" s="262">
        <f>IF(AND(ISNUMBER(BT287),ISNUMBER(BT254)),IF(ABS(BT287-BT254)&lt;=0.15,0,ROUND(BT287-BT254,1)),"")</f>
        <v>0</v>
      </c>
      <c r="BU310" s="262">
        <f>IF(AND(ISNUMBER(BU287),ISNUMBER(BU254)),IF(ABS(BU287-BU254)&lt;=0.15,0,ROUND(BU287-BU254,1)),"")</f>
        <v>0</v>
      </c>
      <c r="BV310" s="262">
        <f>IF(AND(ISNUMBER(BV287),ISNUMBER(BV254)),IF(ABS(BV287-BV254)&lt;=0.15,0,ROUND(BV287-BV254,1)),"")</f>
        <v>0</v>
      </c>
      <c r="BW310" s="262">
        <f>IF(AND(ISNUMBER(BW287),ISNUMBER(BW254)),IF(ABS(BW287-BW254)&lt;=0.15,0,ROUND(BW287-BW254,1)),"")</f>
        <v>0</v>
      </c>
      <c r="BX310" s="262">
        <f>IF(AND(ISNUMBER(BX287),ISNUMBER(BX254)),IF(ABS(BX287-BX254)&lt;=0.15,0,ROUND(BX287-BX254,1)),"")</f>
        <v>0</v>
      </c>
      <c r="BY310" s="262">
        <f>IF(AND(ISNUMBER(BY287),ISNUMBER(BY254)),IF(ABS(BY287-BY254)&lt;=0.15,0,ROUND(BY287-BY254,1)),"")</f>
        <v>0</v>
      </c>
      <c r="BZ310" s="153" t="n"/>
      <c r="CA310" s="274">
        <f>IF(AND(ISNUMBER(CA287),ISNUMBER(CA254)),IF(ABS(CA287-CA254)&lt;=0.15,0,ROUND(CA287-CA254,1)),"")</f>
        <v>0</v>
      </c>
      <c r="CB310" s="274">
        <f>IF(AND(ISNUMBER(CB287),ISNUMBER(CB254)),IF(ABS(CB287-CB254)&lt;=0.15,0,ROUND(CB287-CB254,1)),"")</f>
        <v>0</v>
      </c>
      <c r="CC310" s="274">
        <f>IF(AND(ISNUMBER(CC287),ISNUMBER(CC254)),IF(ABS(CC287-CC254)&lt;=0.15,0,ROUND(CC287-CC254,1)),"")</f>
        <v>0</v>
      </c>
      <c r="CD310" s="274">
        <f>IF(AND(ISNUMBER(CD287),ISNUMBER(CD254)),IF(ABS(CD287-CD254)&lt;=0.15,0,ROUND(CD287-CD254,1)),"")</f>
        <v>0</v>
      </c>
      <c r="CE310" s="274">
        <f>IF(AND(ISNUMBER(CE287),ISNUMBER(CE254)),IF(ABS(CE287-CE254)&lt;=0.15,0,ROUND(CE287-CE254,1)),"")</f>
        <v>0</v>
      </c>
      <c r="CF310" s="274">
        <f>IF(AND(ISNUMBER(CF287),ISNUMBER(CF254)),IF(ABS(CF287-CF254)&lt;=0.15,0,ROUND(CF287-CF254,1)),"")</f>
        <v>0</v>
      </c>
      <c r="CG310" s="153" t="n"/>
    </row>
    <row r="311" ht="15" customHeight="1" s="251">
      <c r="B311" s="156" t="inlineStr">
        <is>
          <t xml:space="preserve">  Memo: shares outstanding at period end (m; XBRL, as first filed)</t>
        </is>
      </c>
      <c r="C311" s="34" t="n"/>
      <c r="D311" s="34" t="n"/>
      <c r="E311" s="34" t="n"/>
      <c r="F311" s="253" t="n">
        <v>48.156</v>
      </c>
      <c r="G311" s="253" t="n">
        <v>39.882</v>
      </c>
      <c r="H311" s="253" t="n">
        <v>37.084</v>
      </c>
      <c r="I311" s="253" t="n">
        <v>34.839</v>
      </c>
      <c r="J311" s="253" t="n">
        <v>35.478</v>
      </c>
      <c r="K311" s="253" t="n">
        <v>35.855</v>
      </c>
      <c r="L311" s="253" t="n">
        <v>35.178</v>
      </c>
      <c r="M311" s="253" t="n">
        <v>34.786</v>
      </c>
      <c r="N311" s="253" t="n">
        <v>34.786</v>
      </c>
      <c r="O311" s="253" t="n">
        <v>34.909</v>
      </c>
      <c r="P311" s="253" t="n">
        <v>34.257</v>
      </c>
      <c r="Q311" s="253" t="n">
        <v>32.855</v>
      </c>
      <c r="R311" s="253" t="n">
        <v>32.047</v>
      </c>
      <c r="S311" s="253" t="n">
        <v>32.047</v>
      </c>
      <c r="T311" s="253" t="n">
        <v>31.724</v>
      </c>
      <c r="U311" s="253" t="n">
        <v>31.368</v>
      </c>
      <c r="V311" s="253" t="n">
        <v>31.137</v>
      </c>
      <c r="W311" s="253" t="n">
        <v>31.29</v>
      </c>
      <c r="X311" s="253" t="n">
        <v>31.29</v>
      </c>
      <c r="Y311" s="253" t="n">
        <v>31.372</v>
      </c>
      <c r="Z311" s="253" t="n">
        <v>31.159</v>
      </c>
      <c r="AA311" s="253" t="n">
        <v>30.952</v>
      </c>
      <c r="AB311" s="253" t="n">
        <v>30.935</v>
      </c>
      <c r="AC311" s="253" t="n">
        <v>30.935</v>
      </c>
      <c r="AD311" s="253" t="n">
        <v>31.157</v>
      </c>
      <c r="AE311" s="253" t="n">
        <v>30.962</v>
      </c>
      <c r="AF311" s="253" t="n">
        <v>30.72</v>
      </c>
      <c r="AG311" s="253" t="n">
        <v>30.243</v>
      </c>
      <c r="AH311" s="253" t="n">
        <v>30.243</v>
      </c>
      <c r="AI311" s="253" t="n">
        <v>30.246</v>
      </c>
      <c r="AJ311" s="253" t="n">
        <v>29.835</v>
      </c>
      <c r="AK311" s="253" t="n">
        <v>29.317</v>
      </c>
      <c r="AL311" s="253" t="n">
        <v>29.015</v>
      </c>
      <c r="AM311" s="253" t="n">
        <v>29.015</v>
      </c>
      <c r="AN311" s="253" t="n">
        <v>29.056</v>
      </c>
      <c r="AO311" s="253" t="n">
        <v>29.056</v>
      </c>
      <c r="AP311" s="253" t="n">
        <v>28.931</v>
      </c>
      <c r="AQ311" s="253" t="n">
        <v>28.944</v>
      </c>
      <c r="AR311" s="253" t="n">
        <v>28.944</v>
      </c>
      <c r="AS311" s="253" t="n">
        <v>29.186</v>
      </c>
      <c r="AT311" s="253" t="n">
        <v>29.082</v>
      </c>
      <c r="AU311" s="253" t="n">
        <v>28.999</v>
      </c>
      <c r="AV311" s="253" t="n">
        <v>29.096</v>
      </c>
      <c r="AW311" s="253" t="n">
        <v>29.096</v>
      </c>
      <c r="AX311" s="253" t="n">
        <v>29.236</v>
      </c>
      <c r="AY311" s="253" t="n">
        <v>28.829</v>
      </c>
      <c r="AZ311" s="253" t="n">
        <v>28.386</v>
      </c>
      <c r="BA311" s="253" t="n">
        <v>27.568</v>
      </c>
      <c r="BB311" s="253" t="n">
        <v>27.568</v>
      </c>
      <c r="BC311" s="253" t="n">
        <v>26.509</v>
      </c>
      <c r="BD311" s="253" t="n">
        <v>25.982</v>
      </c>
      <c r="BE311" s="253" t="n">
        <v>25.252</v>
      </c>
      <c r="BF311" s="253" t="n">
        <v>25.154</v>
      </c>
      <c r="BG311" s="253" t="n">
        <v>25.154</v>
      </c>
      <c r="BH311" s="253" t="n">
        <v>25.155</v>
      </c>
      <c r="BI311" s="253" t="n">
        <v>25.016</v>
      </c>
      <c r="BJ311" s="253" t="n">
        <v>24.892</v>
      </c>
      <c r="BK311" s="253" t="n">
        <v>24.77</v>
      </c>
      <c r="BL311" s="253" t="n">
        <v>24.77</v>
      </c>
      <c r="BM311" s="253" t="n">
        <v>24.879</v>
      </c>
      <c r="BN311" s="253" t="n">
        <v>24.753</v>
      </c>
      <c r="BO311" s="253" t="n">
        <v>24.564</v>
      </c>
      <c r="BP311" s="253" t="n">
        <v>24.392</v>
      </c>
      <c r="BQ311" s="253" t="n">
        <v>24.392</v>
      </c>
      <c r="BR311" s="253" t="n">
        <v>24.443</v>
      </c>
      <c r="BS311" s="253" t="n">
        <v>24.352</v>
      </c>
      <c r="BT311" s="253" t="n">
        <v>24.096</v>
      </c>
      <c r="BU311" s="253" t="n">
        <v>23.764</v>
      </c>
      <c r="BV311" s="253" t="n">
        <v>23.764</v>
      </c>
      <c r="BW311" s="253" t="n">
        <v>23.763</v>
      </c>
      <c r="BX311" s="253" t="n">
        <v>23.295</v>
      </c>
      <c r="BY311" s="253" t="n">
        <v>21.597</v>
      </c>
      <c r="BZ311" s="153" t="n"/>
      <c r="CA311" s="274">
        <f>CA281</f>
        <v>20.9475945945946</v>
      </c>
      <c r="CB311" s="274">
        <f>CB281</f>
        <v>19.802182938278</v>
      </c>
      <c r="CC311" s="274">
        <f>CC281</f>
        <v>17.8343357683152</v>
      </c>
      <c r="CD311" s="274">
        <f>CD281</f>
        <v>15.9329717322285</v>
      </c>
      <c r="CE311" s="274">
        <f>CE281</f>
        <v>14.0999045792134</v>
      </c>
      <c r="CF311" s="274">
        <f>CF281</f>
        <v>12.3129901247098</v>
      </c>
      <c r="CG311" s="153" t="n"/>
    </row>
    <row r="312" ht="15" customHeight="1" s="251">
      <c r="CO312" s="11" t="n"/>
      <c r="CP312" s="12" t="n"/>
      <c r="CQ312" s="12" t="n"/>
      <c r="CR312" s="12" t="n"/>
      <c r="CS312" s="13" t="n"/>
    </row>
    <row r="313" ht="15" customHeight="1" s="251">
      <c r="B313" s="10" t="inlineStr">
        <is>
          <t>WORKING CAPITAL &amp; CASH CONVERSION</t>
        </is>
      </c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0" t="n"/>
      <c r="BC313" s="10" t="n"/>
      <c r="BD313" s="10" t="n"/>
      <c r="BE313" s="10" t="n"/>
      <c r="BF313" s="10" t="n"/>
      <c r="BG313" s="10" t="n"/>
      <c r="BH313" s="10" t="n"/>
      <c r="BI313" s="10" t="n"/>
      <c r="BJ313" s="10" t="n"/>
      <c r="BK313" s="10" t="n"/>
      <c r="BL313" s="10" t="n"/>
      <c r="BM313" s="10" t="n"/>
      <c r="BN313" s="10" t="n"/>
      <c r="BO313" s="10" t="n"/>
      <c r="BP313" s="10" t="n"/>
      <c r="BQ313" s="10" t="n"/>
      <c r="BR313" s="10" t="n"/>
      <c r="BS313" s="10" t="n"/>
      <c r="BT313" s="10" t="n"/>
      <c r="BU313" s="10" t="n"/>
      <c r="BV313" s="10" t="n"/>
      <c r="BW313" s="10" t="n"/>
      <c r="BX313" s="10" t="n"/>
      <c r="BY313" s="10" t="n"/>
      <c r="BZ313" s="10" t="n"/>
      <c r="CA313" s="10" t="n"/>
      <c r="CB313" s="10" t="n"/>
      <c r="CC313" s="10" t="n"/>
      <c r="CD313" s="10" t="n"/>
      <c r="CE313" s="10" t="n"/>
      <c r="CF313" s="10" t="n"/>
      <c r="CG313" s="10" t="inlineStr">
        <is>
          <t>WORKING CAPITAL — forecast drivers (blue = input; set at fiscal year-end levels)</t>
        </is>
      </c>
    </row>
    <row r="314" ht="15" customHeight="1" s="251">
      <c r="B314" s="25" t="inlineStr">
        <is>
          <t xml:space="preserve">  Revenue — annualised (quarters × 4)</t>
        </is>
      </c>
      <c r="C314" s="262">
        <f>IF(ISNUMBER(C127),C127*1,"")</f>
        <v>825.365</v>
      </c>
      <c r="D314" s="262">
        <f>IF(ISNUMBER(D127),D127*1,"")</f>
        <v>822.236</v>
      </c>
      <c r="E314" s="262">
        <f>IF(ISNUMBER(E127),E127*1,"")</f>
        <v>744.842</v>
      </c>
      <c r="F314" s="262">
        <f>IF(ISNUMBER(F127),F127*1,"")</f>
        <v>630.735</v>
      </c>
      <c r="G314" s="262">
        <f>IF(ISNUMBER(G127),G127*1,"")</f>
        <v>605.643</v>
      </c>
      <c r="H314" s="262">
        <f>IF(ISNUMBER(H127),H127*1,"")</f>
        <v>619.683</v>
      </c>
      <c r="I314" s="262">
        <f>IF(ISNUMBER(I127),I127*1,"")</f>
        <v>676.423</v>
      </c>
      <c r="J314" s="262">
        <f>IF(ISNUMBER(J127),J127*4,"")</f>
        <v>760.08</v>
      </c>
      <c r="K314" s="262">
        <f>IF(ISNUMBER(K127),K127*4,"")</f>
        <v>717.3</v>
      </c>
      <c r="L314" s="262">
        <f>IF(ISNUMBER(L127),L127*4,"")</f>
        <v>735.088</v>
      </c>
      <c r="M314" s="262">
        <f>IF(ISNUMBER(M127),M127*4,"")</f>
        <v>761.308</v>
      </c>
      <c r="N314" s="262">
        <f>IF(ISNUMBER(N127),N127*1,"")</f>
        <v>743.444</v>
      </c>
      <c r="O314" s="262">
        <f>IF(ISNUMBER(O127),O127*4,"")</f>
        <v>737.372</v>
      </c>
      <c r="P314" s="262">
        <f>IF(ISNUMBER(P127),P127*4,"")</f>
        <v>741.848</v>
      </c>
      <c r="Q314" s="262">
        <f>IF(ISNUMBER(Q127),Q127*4,"")</f>
        <v>790.44</v>
      </c>
      <c r="R314" s="262">
        <f>IF(ISNUMBER(R127),R127*4,"")</f>
        <v>886.28</v>
      </c>
      <c r="S314" s="262">
        <f>IF(ISNUMBER(S127),S127*1,"")</f>
        <v>788.985</v>
      </c>
      <c r="T314" s="262">
        <f>IF(ISNUMBER(T127),T127*4,"")</f>
        <v>758.2</v>
      </c>
      <c r="U314" s="262">
        <f>IF(ISNUMBER(U127),U127*4,"")</f>
        <v>828.436</v>
      </c>
      <c r="V314" s="262">
        <f>IF(ISNUMBER(V127),V127*4,"")</f>
        <v>837.464</v>
      </c>
      <c r="W314" s="262">
        <f>IF(ISNUMBER(W127),W127*4,"")</f>
        <v>931.024</v>
      </c>
      <c r="X314" s="262">
        <f>IF(ISNUMBER(X127),X127*1,"")</f>
        <v>838.781</v>
      </c>
      <c r="Y314" s="262">
        <f>IF(ISNUMBER(Y127),Y127*4,"")</f>
        <v>800.304</v>
      </c>
      <c r="Z314" s="262">
        <f>IF(ISNUMBER(Z127),Z127*4,"")</f>
        <v>826.712</v>
      </c>
      <c r="AA314" s="262">
        <f>IF(ISNUMBER(AA127),AA127*4,"")</f>
        <v>955.112</v>
      </c>
      <c r="AB314" s="262">
        <f>IF(ISNUMBER(AB127),AB127*4,"")</f>
        <v>943.296</v>
      </c>
      <c r="AC314" s="262">
        <f>IF(ISNUMBER(AC127),AC127*1,"")</f>
        <v>881.356</v>
      </c>
      <c r="AD314" s="262">
        <f>IF(ISNUMBER(AD127),AD127*4,"")</f>
        <v>878.4</v>
      </c>
      <c r="AE314" s="262">
        <f>IF(ISNUMBER(AE127),AE127*4,"")</f>
        <v>913.512</v>
      </c>
      <c r="AF314" s="262">
        <f>IF(ISNUMBER(AF127),AF127*4,"")</f>
        <v>923.944</v>
      </c>
      <c r="AG314" s="262">
        <f>IF(ISNUMBER(AG127),AG127*4,"")</f>
        <v>1012.82</v>
      </c>
      <c r="AH314" s="262">
        <f>IF(ISNUMBER(AH127),AH127*1,"")</f>
        <v>932.169</v>
      </c>
      <c r="AI314" s="262">
        <f>IF(ISNUMBER(AI127),AI127*4,"")</f>
        <v>941.284</v>
      </c>
      <c r="AJ314" s="262">
        <f>IF(ISNUMBER(AJ127),AJ127*4,"")</f>
        <v>1031.432</v>
      </c>
      <c r="AK314" s="262">
        <f>IF(ISNUMBER(AK127),AK127*4,"")</f>
        <v>1038.02</v>
      </c>
      <c r="AL314" s="262">
        <f>IF(ISNUMBER(AL127),AL127*4,"")</f>
        <v>1119.164</v>
      </c>
      <c r="AM314" s="262">
        <f>IF(ISNUMBER(AM127),AM127*1,"")</f>
        <v>1032.475</v>
      </c>
      <c r="AN314" s="262">
        <f>IF(ISNUMBER(AN127),AN127*4,"")</f>
        <v>1049.024</v>
      </c>
      <c r="AO314" s="262">
        <f>IF(ISNUMBER(AO127),AO127*4,"")</f>
        <v>1112.936</v>
      </c>
      <c r="AP314" s="262">
        <f>IF(ISNUMBER(AP127),AP127*4,"")</f>
        <v>1256.996</v>
      </c>
      <c r="AQ314" s="262">
        <f>IF(ISNUMBER(AQ127),AQ127*4,"")</f>
        <v>1221.376</v>
      </c>
      <c r="AR314" s="262">
        <f>IF(ISNUMBER(AR127),AR127*1,"")</f>
        <v>1160.083</v>
      </c>
      <c r="AS314" s="262">
        <f>IF(ISNUMBER(AS127),AS127*4,"")</f>
        <v>1194.016</v>
      </c>
      <c r="AT314" s="262">
        <f>IF(ISNUMBER(AT127),AT127*4,"")</f>
        <v>1231.884</v>
      </c>
      <c r="AU314" s="262">
        <f>IF(ISNUMBER(AU127),AU127*4,"")</f>
        <v>1254.924</v>
      </c>
      <c r="AV314" s="262">
        <f>IF(ISNUMBER(AV127),AV127*4,"")</f>
        <v>1497.424</v>
      </c>
      <c r="AW314" s="262">
        <f>IF(ISNUMBER(AW127),AW127*1,"")</f>
        <v>1294.562</v>
      </c>
      <c r="AX314" s="262">
        <f>IF(ISNUMBER(AX127),AX127*4,"")</f>
        <v>1249.656</v>
      </c>
      <c r="AY314" s="262">
        <f>IF(ISNUMBER(AY127),AY127*4,"")</f>
        <v>1325.444</v>
      </c>
      <c r="AZ314" s="262">
        <f>IF(ISNUMBER(AZ127),AZ127*4,"")</f>
        <v>1352.736</v>
      </c>
      <c r="BA314" s="262">
        <f>IF(ISNUMBER(BA127),BA127*4,"")</f>
        <v>1338.308</v>
      </c>
      <c r="BB314" s="262">
        <f>IF(ISNUMBER(BB127),BB127*1,"")</f>
        <v>1316.536</v>
      </c>
      <c r="BC314" s="262">
        <f>IF(ISNUMBER(BC127),BC127*4,"")</f>
        <v>1289.444</v>
      </c>
      <c r="BD314" s="262">
        <f>IF(ISNUMBER(BD127),BD127*4,"")</f>
        <v>1428.78</v>
      </c>
      <c r="BE314" s="262">
        <f>IF(ISNUMBER(BE127),BE127*4,"")</f>
        <v>1395.864</v>
      </c>
      <c r="BF314" s="262">
        <f>IF(ISNUMBER(BF127),BF127*4,"")</f>
        <v>1394.992</v>
      </c>
      <c r="BG314" s="262">
        <f>IF(ISNUMBER(BG127),BG127*1,"")</f>
        <v>1377.27</v>
      </c>
      <c r="BH314" s="262">
        <f>IF(ISNUMBER(BH127),BH127*4,"")</f>
        <v>1379.48</v>
      </c>
      <c r="BI314" s="262">
        <f>IF(ISNUMBER(BI127),BI127*4,"")</f>
        <v>1521.064</v>
      </c>
      <c r="BJ314" s="262">
        <f>IF(ISNUMBER(BJ127),BJ127*4,"")</f>
        <v>1594.752</v>
      </c>
      <c r="BK314" s="262">
        <f>IF(ISNUMBER(BK127),BK127*4,"")</f>
        <v>1558.932</v>
      </c>
      <c r="BL314" s="262">
        <f>IF(ISNUMBER(BL127),BL127*1,"")</f>
        <v>1513.557</v>
      </c>
      <c r="BM314" s="262">
        <f>IF(ISNUMBER(BM127),BM127*4,"")</f>
        <v>1528.236</v>
      </c>
      <c r="BN314" s="262">
        <f>IF(ISNUMBER(BN127),BN127*4,"")</f>
        <v>1735.236</v>
      </c>
      <c r="BO314" s="262">
        <f>IF(ISNUMBER(BO127),BO127*4,"")</f>
        <v>1791.396</v>
      </c>
      <c r="BP314" s="262">
        <f>IF(ISNUMBER(BP127),BP127*4,"")</f>
        <v>1815.236</v>
      </c>
      <c r="BQ314" s="262">
        <f>IF(ISNUMBER(BQ127),BQ127*1,"")</f>
        <v>1717.526</v>
      </c>
      <c r="BR314" s="262">
        <f>IF(ISNUMBER(BR127),BR127*4,"")</f>
        <v>1759.872</v>
      </c>
      <c r="BS314" s="262">
        <f>IF(ISNUMBER(BS127),BS127*4,"")</f>
        <v>1994.94</v>
      </c>
      <c r="BT314" s="262">
        <f>IF(ISNUMBER(BT127),BT127*4,"")</f>
        <v>2145.66</v>
      </c>
      <c r="BU314" s="262">
        <f>IF(ISNUMBER(BU127),BU127*4,"")</f>
        <v>2063.004</v>
      </c>
      <c r="BV314" s="262">
        <f>IF(ISNUMBER(BV127),BV127*1,"")</f>
        <v>1990.869</v>
      </c>
      <c r="BW314" s="262">
        <f>IF(ISNUMBER(BW127),BW127*4,"")</f>
        <v>2047.836</v>
      </c>
      <c r="BX314" s="262">
        <f>IF(ISNUMBER(BX127),BX127*4,"")</f>
        <v>2766.708</v>
      </c>
      <c r="BY314" s="262">
        <f>IF(ISNUMBER(BY127),BY127*4,"")</f>
        <v>2696.752</v>
      </c>
      <c r="BZ314" s="35" t="n"/>
      <c r="CA314" s="254">
        <f>IF(ISNUMBER(CA127),CA127*1,"")</f>
        <v>2530</v>
      </c>
      <c r="CB314" s="254">
        <f>IF(ISNUMBER(CB127),CB127*1,"")</f>
        <v>2798.81731240295</v>
      </c>
      <c r="CC314" s="254">
        <f>IF(ISNUMBER(CC127),CC127*1,"")</f>
        <v>3088.21015158473</v>
      </c>
      <c r="CD314" s="254">
        <f>IF(ISNUMBER(CD127),CD127*1,"")</f>
        <v>3379.82307064467</v>
      </c>
      <c r="CE314" s="254">
        <f>IF(ISNUMBER(CE127),CE127*1,"")</f>
        <v>3677.19606569992</v>
      </c>
      <c r="CF314" s="254">
        <f>IF(ISNUMBER(CF127),CF127*1,"")</f>
        <v>3976.46005494732</v>
      </c>
      <c r="CG314" s="19" t="n"/>
    </row>
    <row r="315" ht="15" customHeight="1" s="251">
      <c r="B315" s="25" t="inlineStr">
        <is>
          <t xml:space="preserve">  DSO — receivables / revenue × 365</t>
        </is>
      </c>
      <c r="C315" s="289">
        <f>IFERROR(C289/C314*365,"")</f>
        <v>73.3241535563054</v>
      </c>
      <c r="D315" s="289">
        <f>IFERROR(D289/D314*365,"")</f>
        <v>78.7507844463147</v>
      </c>
      <c r="E315" s="289">
        <f>IFERROR(E289/E314*365,"")</f>
        <v>69.3750016782083</v>
      </c>
      <c r="F315" s="289">
        <f>IFERROR(F289/F314*365,"")</f>
        <v>58.8770719874432</v>
      </c>
      <c r="G315" s="289">
        <f>IFERROR(G289/G314*365,"")</f>
        <v>68.2138735195486</v>
      </c>
      <c r="H315" s="289">
        <f>IFERROR(H289/H314*365,"")</f>
        <v>61.830823178948</v>
      </c>
      <c r="I315" s="289">
        <f>IFERROR(I289/I314*365,"")</f>
        <v>76.9447150673469</v>
      </c>
      <c r="J315" s="289">
        <f>IFERROR(J289/J314*365,"")</f>
        <v>66.345693874329</v>
      </c>
      <c r="K315" s="289">
        <f>IFERROR(K289/K314*365,"")</f>
        <v>67.6295692179005</v>
      </c>
      <c r="L315" s="289">
        <f>IFERROR(L289/L314*365,"")</f>
        <v>65.8991916614065</v>
      </c>
      <c r="M315" s="289">
        <f>IFERROR(M289/M314*365,"")</f>
        <v>68.9110649040861</v>
      </c>
      <c r="N315" s="289">
        <f>IFERROR(N289/N314*365,"")</f>
        <v>70.5669088727598</v>
      </c>
      <c r="O315" s="289">
        <f>IFERROR(O289/O314*365,"")</f>
        <v>69.8506045795067</v>
      </c>
      <c r="P315" s="289">
        <f>IFERROR(P289/P314*365,"")</f>
        <v>69.0630964833767</v>
      </c>
      <c r="Q315" s="289">
        <f>IFERROR(Q289/Q314*365,"")</f>
        <v>71.8026352411315</v>
      </c>
      <c r="R315" s="289">
        <f>IFERROR(R289/R314*365,"")</f>
        <v>63.9557194114727</v>
      </c>
      <c r="S315" s="289">
        <f>IFERROR(S289/S314*365,"")</f>
        <v>71.8425255232989</v>
      </c>
      <c r="T315" s="289">
        <f>IFERROR(T289/T314*365,"")</f>
        <v>70.8255011870219</v>
      </c>
      <c r="U315" s="289">
        <f>IFERROR(U289/U314*365,"")</f>
        <v>74.8702132693413</v>
      </c>
      <c r="V315" s="289">
        <f>IFERROR(V289/V314*365,"")</f>
        <v>64.2009208754048</v>
      </c>
      <c r="W315" s="289">
        <f>IFERROR(W289/W314*365,"")</f>
        <v>62.2455973207995</v>
      </c>
      <c r="X315" s="289">
        <f>IFERROR(X289/X314*365,"")</f>
        <v>69.0909128842928</v>
      </c>
      <c r="Y315" s="289">
        <f>IFERROR(Y289/Y314*365,"")</f>
        <v>63.4302340110758</v>
      </c>
      <c r="Z315" s="289">
        <f>IFERROR(Z289/Z314*365,"")</f>
        <v>68.5251393471971</v>
      </c>
      <c r="AA315" s="289">
        <f>IFERROR(AA289/AA314*365,"")</f>
        <v>59.3087931048924</v>
      </c>
      <c r="AB315" s="289">
        <f>IFERROR(AB289/AB314*365,"")</f>
        <v>64.9233008514825</v>
      </c>
      <c r="AC315" s="289">
        <f>IFERROR(AC289/AC314*365,"")</f>
        <v>69.4859852318473</v>
      </c>
      <c r="AD315" s="289">
        <f>IFERROR(AD289/AD314*365,"")</f>
        <v>64.7035632969035</v>
      </c>
      <c r="AE315" s="289">
        <f>IFERROR(AE289/AE314*365,"")</f>
        <v>56.4949447845239</v>
      </c>
      <c r="AF315" s="289">
        <f>IFERROR(AF289/AF314*365,"")</f>
        <v>55.4110692855844</v>
      </c>
      <c r="AG315" s="289">
        <f>IFERROR(AG289/AG314*365,"")</f>
        <v>60.7550107620308</v>
      </c>
      <c r="AH315" s="289">
        <f>IFERROR(AH289/AH314*365,"")</f>
        <v>66.0115172248809</v>
      </c>
      <c r="AI315" s="289">
        <f>IFERROR(AI289/AI314*365,"")</f>
        <v>63.8499113976228</v>
      </c>
      <c r="AJ315" s="289">
        <f>IFERROR(AJ289/AJ314*365,"")</f>
        <v>66.7192505177268</v>
      </c>
      <c r="AK315" s="289">
        <f>IFERROR(AK289/AK314*365,"")</f>
        <v>64.1441735226682</v>
      </c>
      <c r="AL315" s="289">
        <f>IFERROR(AL289/AL314*365,"")</f>
        <v>68.118457169816</v>
      </c>
      <c r="AM315" s="289">
        <f>IFERROR(AM289/AM314*365,"")</f>
        <v>73.8378411099542</v>
      </c>
      <c r="AN315" s="289">
        <f>IFERROR(AN289/AN314*365,"")</f>
        <v>86.1387251387957</v>
      </c>
      <c r="AO315" s="289">
        <f>IFERROR(AO289/AO314*365,"")</f>
        <v>89.0847991259156</v>
      </c>
      <c r="AP315" s="289">
        <f>IFERROR(AP289/AP314*365,"")</f>
        <v>92.3519724804216</v>
      </c>
      <c r="AQ315" s="289">
        <f>IFERROR(AQ289/AQ314*365,"")</f>
        <v>88.8840578167575</v>
      </c>
      <c r="AR315" s="289">
        <f>IFERROR(AR289/AR314*365,"")</f>
        <v>93.5802481374178</v>
      </c>
      <c r="AS315" s="289">
        <f>IFERROR(AS289/AS314*365,"")</f>
        <v>86.0948261999839</v>
      </c>
      <c r="AT315" s="289">
        <f>IFERROR(AT289/AT314*365,"")</f>
        <v>91.053260696624</v>
      </c>
      <c r="AU315" s="289">
        <f>IFERROR(AU289/AU314*365,"")</f>
        <v>88.2911395431118</v>
      </c>
      <c r="AV315" s="289">
        <f>IFERROR(AV289/AV314*365,"")</f>
        <v>81.4570221927791</v>
      </c>
      <c r="AW315" s="289">
        <f>IFERROR(AW289/AW314*365,"")</f>
        <v>94.2215977295796</v>
      </c>
      <c r="AX315" s="289">
        <f>IFERROR(AX289/AX314*365,"")</f>
        <v>90.727760279629</v>
      </c>
      <c r="AY315" s="289">
        <f>IFERROR(AY289/AY314*365,"")</f>
        <v>72.9215719411759</v>
      </c>
      <c r="AZ315" s="289">
        <f>IFERROR(AZ289/AZ314*365,"")</f>
        <v>75.7119423154259</v>
      </c>
      <c r="BA315" s="289">
        <f>IFERROR(BA289/BA314*365,"")</f>
        <v>85.1217021791695</v>
      </c>
      <c r="BB315" s="289">
        <f>IFERROR(BB289/BB314*365,"")</f>
        <v>86.5293884861485</v>
      </c>
      <c r="BC315" s="289">
        <f>IFERROR(BC289/BC314*365,"")</f>
        <v>73.643186520702</v>
      </c>
      <c r="BD315" s="289">
        <f>IFERROR(BD289/BD314*365,"")</f>
        <v>69.8322624896765</v>
      </c>
      <c r="BE315" s="289">
        <f>IFERROR(BE289/BE314*365,"")</f>
        <v>74.8743896253503</v>
      </c>
      <c r="BF315" s="289">
        <f>IFERROR(BF289/BF314*365,"")</f>
        <v>84.3586558202484</v>
      </c>
      <c r="BG315" s="289">
        <f>IFERROR(BG289/BG314*365,"")</f>
        <v>85.4441394933455</v>
      </c>
      <c r="BH315" s="289">
        <f>IFERROR(BH289/BH314*365,"")</f>
        <v>81.5563908139299</v>
      </c>
      <c r="BI315" s="289">
        <f>IFERROR(BI289/BI314*365,"")</f>
        <v>81.1650495968611</v>
      </c>
      <c r="BJ315" s="289">
        <f>IFERROR(BJ289/BJ314*365,"")</f>
        <v>87.8937665542981</v>
      </c>
      <c r="BK315" s="289">
        <f>IFERROR(BK289/BK314*365,"")</f>
        <v>90.8318355130307</v>
      </c>
      <c r="BL315" s="289">
        <f>IFERROR(BL289/BL314*365,"")</f>
        <v>93.5548875926047</v>
      </c>
      <c r="BM315" s="289">
        <f>IFERROR(BM289/BM314*365,"")</f>
        <v>87.767511038871</v>
      </c>
      <c r="BN315" s="289">
        <f>IFERROR(BN289/BN314*365,"")</f>
        <v>98.6575457171244</v>
      </c>
      <c r="BO315" s="289">
        <f>IFERROR(BO289/BO314*365,"")</f>
        <v>89.1692875277158</v>
      </c>
      <c r="BP315" s="289">
        <f>IFERROR(BP289/BP314*365,"")</f>
        <v>85.7873742036848</v>
      </c>
      <c r="BQ315" s="289">
        <f>IFERROR(BQ289/BQ314*365,"")</f>
        <v>90.6678152179356</v>
      </c>
      <c r="BR315" s="289">
        <f>IFERROR(BR289/BR314*365,"")</f>
        <v>72.7821455196742</v>
      </c>
      <c r="BS315" s="289">
        <f>IFERROR(BS289/BS314*365,"")</f>
        <v>90.1169107842842</v>
      </c>
      <c r="BT315" s="289">
        <f>IFERROR(BT289/BT314*365,"")</f>
        <v>77.248347827708</v>
      </c>
      <c r="BU315" s="289">
        <f>IFERROR(BU289/BU314*365,"")</f>
        <v>93.6202838191298</v>
      </c>
      <c r="BV315" s="289">
        <f>IFERROR(BV289/BV314*365,"")</f>
        <v>97.0124202044434</v>
      </c>
      <c r="BW315" s="289">
        <f>IFERROR(BW289/BW314*365,"")</f>
        <v>88.2481336396079</v>
      </c>
      <c r="BX315" s="289">
        <f>IFERROR(BX289/BX314*365,"")</f>
        <v>81.7882859340415</v>
      </c>
      <c r="BY315" s="289">
        <f>IFERROR(BY289/BY314*365,"")</f>
        <v>80.1977527039935</v>
      </c>
      <c r="BZ315" s="35" t="n"/>
      <c r="CA315" s="290" t="n">
        <v>97</v>
      </c>
      <c r="CB315" s="290" t="n">
        <v>97</v>
      </c>
      <c r="CC315" s="290" t="n">
        <v>97</v>
      </c>
      <c r="CD315" s="290" t="n">
        <v>97</v>
      </c>
      <c r="CE315" s="290" t="n">
        <v>97</v>
      </c>
      <c r="CF315" s="290" t="n">
        <v>97</v>
      </c>
      <c r="CG315" s="19" t="n"/>
    </row>
    <row r="316" ht="15" customHeight="1" s="251">
      <c r="B316" s="25" t="inlineStr">
        <is>
          <t xml:space="preserve">  Payables &amp; other accrued % of revenue</t>
        </is>
      </c>
      <c r="C316" s="215">
        <f>IFERROR(C296/C314,"")</f>
        <v>0.0651941868143185</v>
      </c>
      <c r="D316" s="215">
        <f>IFERROR(D296/D314,"")</f>
        <v>0.0586048287839501</v>
      </c>
      <c r="E316" s="215">
        <f>IFERROR(E296/E314,"")</f>
        <v>0.0736223252716684</v>
      </c>
      <c r="F316" s="215">
        <f>IFERROR(F296/F314,"")</f>
        <v>0.074161097766891</v>
      </c>
      <c r="G316" s="215">
        <f>IFERROR(G296/G314,"")</f>
        <v>0.0619127109534825</v>
      </c>
      <c r="H316" s="215">
        <f>IFERROR(H296/H314,"")</f>
        <v>0.0938705757621235</v>
      </c>
      <c r="I316" s="215">
        <f>IFERROR(I296/I314,"")</f>
        <v>0.092550075914036</v>
      </c>
      <c r="J316" s="215">
        <f>IFERROR(J296/J314,"")</f>
        <v>0.0820676770866225</v>
      </c>
      <c r="K316" s="215">
        <f>IFERROR(K296/K314,"")</f>
        <v>0.0751219852223616</v>
      </c>
      <c r="L316" s="215">
        <f>IFERROR(L296/L314,"")</f>
        <v>0.0745203295387763</v>
      </c>
      <c r="M316" s="215">
        <f>IFERROR(M296/M314,"")</f>
        <v>0.0714796114056335</v>
      </c>
      <c r="N316" s="215">
        <f>IFERROR(N296/N314,"")</f>
        <v>0.0731971742323564</v>
      </c>
      <c r="O316" s="215">
        <f>IFERROR(O296/O314,"")</f>
        <v>0.0729550349077535</v>
      </c>
      <c r="P316" s="215">
        <f>IFERROR(P296/P314,"")</f>
        <v>0.0685666066363999</v>
      </c>
      <c r="Q316" s="215">
        <f>IFERROR(Q296/Q314,"")</f>
        <v>0.0790939223723496</v>
      </c>
      <c r="R316" s="215">
        <f>IFERROR(R296/R314,"")</f>
        <v>0.0657072257074514</v>
      </c>
      <c r="S316" s="215">
        <f>IFERROR(S296/S314,"")</f>
        <v>0.0738100217367884</v>
      </c>
      <c r="T316" s="215">
        <f>IFERROR(T296/T314,"")</f>
        <v>0.0623991031390135</v>
      </c>
      <c r="U316" s="215">
        <f>IFERROR(U296/U314,"")</f>
        <v>0.0834983028260481</v>
      </c>
      <c r="V316" s="215">
        <f>IFERROR(V296/V314,"")</f>
        <v>0.0668792927218364</v>
      </c>
      <c r="W316" s="215">
        <f>IFERROR(W296/W314,"")</f>
        <v>0.0545743181701009</v>
      </c>
      <c r="X316" s="215">
        <f>IFERROR(X296/X314,"")</f>
        <v>0.0605760025560903</v>
      </c>
      <c r="Y316" s="215">
        <f>IFERROR(Y296/Y314,"")</f>
        <v>0.0629323357124293</v>
      </c>
      <c r="Z316" s="215">
        <f>IFERROR(Z296/Z314,"")</f>
        <v>0.0572484734708097</v>
      </c>
      <c r="AA316" s="215">
        <f>IFERROR(AA296/AA314,"")</f>
        <v>0.0603478963723626</v>
      </c>
      <c r="AB316" s="215">
        <f>IFERROR(AB296/AB314,"")</f>
        <v>0.0537816337607707</v>
      </c>
      <c r="AC316" s="215">
        <f>IFERROR(AC296/AC314,"")</f>
        <v>0.0575613032645151</v>
      </c>
      <c r="AD316" s="215">
        <f>IFERROR(AD296/AD314,"")</f>
        <v>0.0554918032786885</v>
      </c>
      <c r="AE316" s="215">
        <f>IFERROR(AE296/AE314,"")</f>
        <v>0.0484054943996357</v>
      </c>
      <c r="AF316" s="215">
        <f>IFERROR(AF296/AF314,"")</f>
        <v>0.0512812464824708</v>
      </c>
      <c r="AG316" s="215">
        <f>IFERROR(AG296/AG314,"")</f>
        <v>0.0509606840307261</v>
      </c>
      <c r="AH316" s="215">
        <f>IFERROR(AH296/AH314,"")</f>
        <v>0.0553697880963645</v>
      </c>
      <c r="AI316" s="215">
        <f>IFERROR(AI296/AI314,"")</f>
        <v>0.0472822230060216</v>
      </c>
      <c r="AJ316" s="215">
        <f>IFERROR(AJ296/AJ314,"")</f>
        <v>0.0535507915209146</v>
      </c>
      <c r="AK316" s="215">
        <f>IFERROR(AK296/AK314,"")</f>
        <v>0.0572320379183445</v>
      </c>
      <c r="AL316" s="215">
        <f>IFERROR(AL296/AL314,"")</f>
        <v>0.0453088197976347</v>
      </c>
      <c r="AM316" s="215">
        <f>IFERROR(AM296/AM314,"")</f>
        <v>0.0491130535848326</v>
      </c>
      <c r="AN316" s="215">
        <f>IFERROR(AN296/AN314,"")</f>
        <v>0.0442945061314136</v>
      </c>
      <c r="AO316" s="215">
        <f>IFERROR(AO296/AO314,"")</f>
        <v>0.0404299977716598</v>
      </c>
      <c r="AP316" s="215">
        <f>IFERROR(AP296/AP314,"")</f>
        <v>0.0381067242855188</v>
      </c>
      <c r="AQ316" s="215">
        <f>IFERROR(AQ296/AQ314,"")</f>
        <v>0.0454995022007965</v>
      </c>
      <c r="AR316" s="215">
        <f>IFERROR(AR296/AR314,"")</f>
        <v>0.0479034689759267</v>
      </c>
      <c r="AS316" s="215">
        <f>IFERROR(AS296/AS314,"")</f>
        <v>0.0633031718167931</v>
      </c>
      <c r="AT316" s="215">
        <f>IFERROR(AT296/AT314,"")</f>
        <v>0.0713630504170847</v>
      </c>
      <c r="AU316" s="215">
        <f>IFERROR(AU296/AU314,"")</f>
        <v>0.0563221358424893</v>
      </c>
      <c r="AV316" s="215">
        <f>IFERROR(AV296/AV314,"")</f>
        <v>0.057699088568101</v>
      </c>
      <c r="AW316" s="215">
        <f>IFERROR(AW296/AW314,"")</f>
        <v>0.0667407200273143</v>
      </c>
      <c r="AX316" s="215">
        <f>IFERROR(AX296/AX314,"")</f>
        <v>0.0568180363235963</v>
      </c>
      <c r="AY316" s="215">
        <f>IFERROR(AY296/AY314,"")</f>
        <v>0.0602281197847665</v>
      </c>
      <c r="AZ316" s="215">
        <f>IFERROR(AZ296/AZ314,"")</f>
        <v>0.0758825077472618</v>
      </c>
      <c r="BA316" s="215">
        <f>IFERROR(BA296/BA314,"")</f>
        <v>0.0749334233973047</v>
      </c>
      <c r="BB316" s="215">
        <f>IFERROR(BB296/BB314,"")</f>
        <v>0.0761726227007845</v>
      </c>
      <c r="BC316" s="215">
        <f>IFERROR(BC296/BC314,"")</f>
        <v>0.0740551741680911</v>
      </c>
      <c r="BD316" s="215">
        <f>IFERROR(BD296/BD314,"")</f>
        <v>0.061910161116477</v>
      </c>
      <c r="BE316" s="215">
        <f>IFERROR(BE296/BE314,"")</f>
        <v>0.0538555332038078</v>
      </c>
      <c r="BF316" s="215">
        <f>IFERROR(BF296/BF314,"")</f>
        <v>0.0598720279399452</v>
      </c>
      <c r="BG316" s="215">
        <f>IFERROR(BG296/BG314,"")</f>
        <v>0.0606424303150435</v>
      </c>
      <c r="BH316" s="215">
        <f>IFERROR(BH296/BH314,"")</f>
        <v>0.0494505175863369</v>
      </c>
      <c r="BI316" s="215">
        <f>IFERROR(BI296/BI314,"")</f>
        <v>0.0539536797925662</v>
      </c>
      <c r="BJ316" s="215">
        <f>IFERROR(BJ296/BJ314,"")</f>
        <v>0.0420761347218878</v>
      </c>
      <c r="BK316" s="215">
        <f>IFERROR(BK296/BK314,"")</f>
        <v>0.0503466475766743</v>
      </c>
      <c r="BL316" s="215">
        <f>IFERROR(BL296/BL314,"")</f>
        <v>0.051855992209081</v>
      </c>
      <c r="BM316" s="215">
        <f>IFERROR(BM296/BM314,"")</f>
        <v>0.0425791566224065</v>
      </c>
      <c r="BN316" s="215">
        <f>IFERROR(BN296/BN314,"")</f>
        <v>0.0505815923597712</v>
      </c>
      <c r="BO316" s="215">
        <f>IFERROR(BO296/BO314,"")</f>
        <v>0.0447840678442957</v>
      </c>
      <c r="BP316" s="215">
        <f>IFERROR(BP296/BP314,"")</f>
        <v>0.0563480451026754</v>
      </c>
      <c r="BQ316" s="215">
        <f>IFERROR(BQ296/BQ314,"")</f>
        <v>0.0595536836123587</v>
      </c>
      <c r="BR316" s="215">
        <f>IFERROR(BR296/BR314,"")</f>
        <v>0.0419644155938614</v>
      </c>
      <c r="BS316" s="215">
        <f>IFERROR(BS296/BS314,"")</f>
        <v>0.0400768945431943</v>
      </c>
      <c r="BT316" s="215">
        <f>IFERROR(BT296/BT314,"")</f>
        <v>0.0483063486293262</v>
      </c>
      <c r="BU316" s="215">
        <f>IFERROR(BU296/BU314,"")</f>
        <v>0.0712228381525193</v>
      </c>
      <c r="BV316" s="215">
        <f>IFERROR(BV296/BV314,"")</f>
        <v>0.0738034496493742</v>
      </c>
      <c r="BW316" s="215">
        <f>IFERROR(BW296/BW314,"")</f>
        <v>0.0498775292552724</v>
      </c>
      <c r="BX316" s="215">
        <f>IFERROR(BX296/BX314,"")</f>
        <v>0.0487467416149445</v>
      </c>
      <c r="BY316" s="215">
        <f>IFERROR(BY296/BY314,"")</f>
        <v>0.0477997235192558</v>
      </c>
      <c r="BZ316" s="24" t="n"/>
      <c r="CA316" s="265" t="n">
        <v>0.074</v>
      </c>
      <c r="CB316" s="265" t="n">
        <v>0.074</v>
      </c>
      <c r="CC316" s="265" t="n">
        <v>0.074</v>
      </c>
      <c r="CD316" s="265" t="n">
        <v>0.074</v>
      </c>
      <c r="CE316" s="265" t="n">
        <v>0.074</v>
      </c>
      <c r="CF316" s="265" t="n">
        <v>0.074</v>
      </c>
      <c r="CG316" s="153" t="n"/>
    </row>
    <row r="317" ht="15" customHeight="1" s="251">
      <c r="B317" s="25" t="inlineStr">
        <is>
          <t xml:space="preserve">  Accrued compensation % of revenue</t>
        </is>
      </c>
      <c r="C317" s="215">
        <f>IFERROR(C297/C314,"")</f>
        <v>0.042327939759985</v>
      </c>
      <c r="D317" s="215">
        <f>IFERROR(D297/D314,"")</f>
        <v>0.0537582883746272</v>
      </c>
      <c r="E317" s="215">
        <f>IFERROR(E297/E314,"")</f>
        <v>0.0396741859347352</v>
      </c>
      <c r="F317" s="215">
        <f>IFERROR(F297/F314,"")</f>
        <v>0.0446130308291121</v>
      </c>
      <c r="G317" s="215">
        <f>IFERROR(G297/G314,"")</f>
        <v>0.0556383876309971</v>
      </c>
      <c r="H317" s="215">
        <f>IFERROR(H297/H314,"")</f>
        <v>0.0588526714465299</v>
      </c>
      <c r="I317" s="215">
        <f>IFERROR(I297/I314,"")</f>
        <v>0.0739818131553776</v>
      </c>
      <c r="J317" s="215">
        <f>IFERROR(J297/J314,"")</f>
        <v>0.0396931901905063</v>
      </c>
      <c r="K317" s="215">
        <f>IFERROR(K297/K314,"")</f>
        <v>0.0510037641154329</v>
      </c>
      <c r="L317" s="215">
        <f>IFERROR(L297/L314,"")</f>
        <v>0.0516183096445596</v>
      </c>
      <c r="M317" s="215">
        <f>IFERROR(M297/M314,"")</f>
        <v>0.0515967256353539</v>
      </c>
      <c r="N317" s="215">
        <f>IFERROR(N297/N314,"")</f>
        <v>0.0528365283733543</v>
      </c>
      <c r="O317" s="215">
        <f>IFERROR(O297/O314,"")</f>
        <v>0.0385924607931953</v>
      </c>
      <c r="P317" s="215">
        <f>IFERROR(P297/P314,"")</f>
        <v>0.0494831825387411</v>
      </c>
      <c r="Q317" s="215">
        <f>IFERROR(Q297/Q314,"")</f>
        <v>0.0539370477202571</v>
      </c>
      <c r="R317" s="215">
        <f>IFERROR(R297/R314,"")</f>
        <v>0.0639188518301214</v>
      </c>
      <c r="S317" s="215">
        <f>IFERROR(S297/S314,"")</f>
        <v>0.071801111554719</v>
      </c>
      <c r="T317" s="215">
        <f>IFERROR(T297/T314,"")</f>
        <v>0.0396742284357689</v>
      </c>
      <c r="U317" s="215">
        <f>IFERROR(U297/U314,"")</f>
        <v>0.0450258076664945</v>
      </c>
      <c r="V317" s="215">
        <f>IFERROR(V297/V314,"")</f>
        <v>0.0437606870265468</v>
      </c>
      <c r="W317" s="215">
        <f>IFERROR(W297/W314,"")</f>
        <v>0.0583959167540257</v>
      </c>
      <c r="X317" s="215">
        <f>IFERROR(X297/X314,"")</f>
        <v>0.0648178726032183</v>
      </c>
      <c r="Y317" s="215">
        <f>IFERROR(Y297/Y314,"")</f>
        <v>0.0472782842519843</v>
      </c>
      <c r="Z317" s="215">
        <f>IFERROR(Z297/Z314,"")</f>
        <v>0.0537418109329488</v>
      </c>
      <c r="AA317" s="215">
        <f>IFERROR(AA297/AA314,"")</f>
        <v>0.0593857055507626</v>
      </c>
      <c r="AB317" s="215">
        <f>IFERROR(AB297/AB314,"")</f>
        <v>0.0754969807992401</v>
      </c>
      <c r="AC317" s="215">
        <f>IFERROR(AC297/AC314,"")</f>
        <v>0.0808027630151721</v>
      </c>
      <c r="AD317" s="215">
        <f>IFERROR(AD297/AD314,"")</f>
        <v>0.0472518214936248</v>
      </c>
      <c r="AE317" s="215">
        <f>IFERROR(AE297/AE314,"")</f>
        <v>0.0527130459151057</v>
      </c>
      <c r="AF317" s="215">
        <f>IFERROR(AF297/AF314,"")</f>
        <v>0.0677703410596313</v>
      </c>
      <c r="AG317" s="215">
        <f>IFERROR(AG297/AG314,"")</f>
        <v>0.0766276337355108</v>
      </c>
      <c r="AH317" s="215">
        <f>IFERROR(AH297/AH314,"")</f>
        <v>0.0832574350788323</v>
      </c>
      <c r="AI317" s="215">
        <f>IFERROR(AI297/AI314,"")</f>
        <v>0.0520894862761929</v>
      </c>
      <c r="AJ317" s="215">
        <f>IFERROR(AJ297/AJ314,"")</f>
        <v>0.0555480147988428</v>
      </c>
      <c r="AK317" s="215">
        <f>IFERROR(AK297/AK314,"")</f>
        <v>0.0724629583245024</v>
      </c>
      <c r="AL317" s="215">
        <f>IFERROR(AL297/AL314,"")</f>
        <v>0.0753169329964152</v>
      </c>
      <c r="AM317" s="215">
        <f>IFERROR(AM297/AM314,"")</f>
        <v>0.0816407176929224</v>
      </c>
      <c r="AN317" s="215">
        <f>IFERROR(AN297/AN314,"")</f>
        <v>0.0527671435543896</v>
      </c>
      <c r="AO317" s="215">
        <f>IFERROR(AO297/AO314,"")</f>
        <v>0.0605147106392461</v>
      </c>
      <c r="AP317" s="215">
        <f>IFERROR(AP297/AP314,"")</f>
        <v>0.0704401605096595</v>
      </c>
      <c r="AQ317" s="215">
        <f>IFERROR(AQ297/AQ314,"")</f>
        <v>0.0869838608258227</v>
      </c>
      <c r="AR317" s="215">
        <f>IFERROR(AR297/AR314,"")</f>
        <v>0.0915796542143967</v>
      </c>
      <c r="AS317" s="215">
        <f>IFERROR(AS297/AS314,"")</f>
        <v>0.0601164473507893</v>
      </c>
      <c r="AT317" s="215">
        <f>IFERROR(AT297/AT314,"")</f>
        <v>0.0556115673228973</v>
      </c>
      <c r="AU317" s="215">
        <f>IFERROR(AU297/AU314,"")</f>
        <v>0.0762388798046734</v>
      </c>
      <c r="AV317" s="215">
        <f>IFERROR(AV297/AV314,"")</f>
        <v>0.0787699409118593</v>
      </c>
      <c r="AW317" s="215">
        <f>IFERROR(AW297/AW314,"")</f>
        <v>0.0911134422298816</v>
      </c>
      <c r="AX317" s="215">
        <f>IFERROR(AX297/AX314,"")</f>
        <v>0.0586009269751035</v>
      </c>
      <c r="AY317" s="215">
        <f>IFERROR(AY297/AY314,"")</f>
        <v>0.0538287547418073</v>
      </c>
      <c r="AZ317" s="215">
        <f>IFERROR(AZ297/AZ314,"")</f>
        <v>0.0682786589548885</v>
      </c>
      <c r="BA317" s="215">
        <f>IFERROR(BA297/BA314,"")</f>
        <v>0.0773409409493181</v>
      </c>
      <c r="BB317" s="215">
        <f>IFERROR(BB297/BB314,"")</f>
        <v>0.0786199541827948</v>
      </c>
      <c r="BC317" s="215">
        <f>IFERROR(BC297/BC314,"")</f>
        <v>0.048800878518183</v>
      </c>
      <c r="BD317" s="215">
        <f>IFERROR(BD297/BD314,"")</f>
        <v>0.0432711824073685</v>
      </c>
      <c r="BE317" s="215">
        <f>IFERROR(BE297/BE314,"")</f>
        <v>0.0574511556999822</v>
      </c>
      <c r="BF317" s="215">
        <f>IFERROR(BF297/BF314,"")</f>
        <v>0.0701745959833462</v>
      </c>
      <c r="BG317" s="215">
        <f>IFERROR(BG297/BG314,"")</f>
        <v>0.0710775664902307</v>
      </c>
      <c r="BH317" s="215">
        <f>IFERROR(BH297/BH314,"")</f>
        <v>0.0434047612143706</v>
      </c>
      <c r="BI317" s="215">
        <f>IFERROR(BI297/BI314,"")</f>
        <v>0.0433006106251939</v>
      </c>
      <c r="BJ317" s="215">
        <f>IFERROR(BJ297/BJ314,"")</f>
        <v>0.0523880829119512</v>
      </c>
      <c r="BK317" s="215">
        <f>IFERROR(BK297/BK314,"")</f>
        <v>0.0657315392845871</v>
      </c>
      <c r="BL317" s="215">
        <f>IFERROR(BL297/BL314,"")</f>
        <v>0.0677021083447799</v>
      </c>
      <c r="BM317" s="215">
        <f>IFERROR(BM297/BM314,"")</f>
        <v>0.0446370848481517</v>
      </c>
      <c r="BN317" s="215">
        <f>IFERROR(BN297/BN314,"")</f>
        <v>0.0396516669778635</v>
      </c>
      <c r="BO317" s="215">
        <f>IFERROR(BO297/BO314,"")</f>
        <v>0.0517646572840399</v>
      </c>
      <c r="BP317" s="215">
        <f>IFERROR(BP297/BP314,"")</f>
        <v>0.0584513528819393</v>
      </c>
      <c r="BQ317" s="215">
        <f>IFERROR(BQ297/BQ314,"")</f>
        <v>0.0617766485048843</v>
      </c>
      <c r="BR317" s="215">
        <f>IFERROR(BR297/BR314,"")</f>
        <v>0.0438151183722453</v>
      </c>
      <c r="BS317" s="215">
        <f>IFERROR(BS297/BS314,"")</f>
        <v>0.0383525319057215</v>
      </c>
      <c r="BT317" s="215">
        <f>IFERROR(BT297/BT314,"")</f>
        <v>0.0446953384972456</v>
      </c>
      <c r="BU317" s="215">
        <f>IFERROR(BU297/BU314,"")</f>
        <v>0.055922819344994</v>
      </c>
      <c r="BV317" s="215">
        <f>IFERROR(BV297/BV314,"")</f>
        <v>0.0579490664629365</v>
      </c>
      <c r="BW317" s="215">
        <f>IFERROR(BW297/BW314,"")</f>
        <v>0.0375073980533597</v>
      </c>
      <c r="BX317" s="215">
        <f>IFERROR(BX297/BX314,"")</f>
        <v>0.0315389264064007</v>
      </c>
      <c r="BY317" s="215">
        <f>IFERROR(BY297/BY314,"")</f>
        <v>0.0411098239660154</v>
      </c>
      <c r="BZ317" s="24" t="n"/>
      <c r="CA317" s="265" t="n">
        <v>0.058</v>
      </c>
      <c r="CB317" s="265" t="n">
        <v>0.058</v>
      </c>
      <c r="CC317" s="265" t="n">
        <v>0.058</v>
      </c>
      <c r="CD317" s="265" t="n">
        <v>0.058</v>
      </c>
      <c r="CE317" s="265" t="n">
        <v>0.058</v>
      </c>
      <c r="CF317" s="265" t="n">
        <v>0.058</v>
      </c>
      <c r="CG317" s="153" t="n"/>
    </row>
    <row r="318" ht="15" customHeight="1" s="251">
      <c r="B318" s="25" t="inlineStr">
        <is>
          <t xml:space="preserve">  Deferred revenue % of revenue</t>
        </is>
      </c>
      <c r="C318" s="215">
        <f>IFERROR(C298/C314,"")</f>
        <v>0.0585001787088137</v>
      </c>
      <c r="D318" s="215">
        <f>IFERROR(D298/D314,"")</f>
        <v>0.0517758891607762</v>
      </c>
      <c r="E318" s="215">
        <f>IFERROR(E298/E314,"")</f>
        <v>0.0513437749213927</v>
      </c>
      <c r="F318" s="215">
        <f>IFERROR(F298/F314,"")</f>
        <v>0.0628996329678867</v>
      </c>
      <c r="G318" s="215">
        <f>IFERROR(G298/G314,"")</f>
        <v>0.0709213183343983</v>
      </c>
      <c r="H318" s="215">
        <f>IFERROR(H298/H314,"")</f>
        <v>0.0674022040301251</v>
      </c>
      <c r="I318" s="215">
        <f>IFERROR(I298/I314,"")</f>
        <v>0.0709009007677149</v>
      </c>
      <c r="J318" s="215">
        <f>IFERROR(J298/J314,"")</f>
        <v>0.0624342174507946</v>
      </c>
      <c r="K318" s="215">
        <f>IFERROR(K298/K314,"")</f>
        <v>0.0722194339885682</v>
      </c>
      <c r="L318" s="215">
        <f>IFERROR(L298/L314,"")</f>
        <v>0.0687291861654659</v>
      </c>
      <c r="M318" s="215">
        <f>IFERROR(M298/M314,"")</f>
        <v>0.064600660967703</v>
      </c>
      <c r="N318" s="215">
        <f>IFERROR(N298/N314,"")</f>
        <v>0.0661529314918138</v>
      </c>
      <c r="O318" s="215">
        <f>IFERROR(O298/O314,"")</f>
        <v>0.065622236808558</v>
      </c>
      <c r="P318" s="215">
        <f>IFERROR(P298/P314,"")</f>
        <v>0.0749290959873182</v>
      </c>
      <c r="Q318" s="215">
        <f>IFERROR(Q298/Q314,"")</f>
        <v>0.0681253479074946</v>
      </c>
      <c r="R318" s="215">
        <f>IFERROR(R298/R314,"")</f>
        <v>0.063771043011238</v>
      </c>
      <c r="S318" s="215">
        <f>IFERROR(S298/S314,"")</f>
        <v>0.0716350754450338</v>
      </c>
      <c r="T318" s="215">
        <f>IFERROR(T298/T314,"")</f>
        <v>0.0756146135584279</v>
      </c>
      <c r="U318" s="215">
        <f>IFERROR(U298/U314,"")</f>
        <v>0.0816104080460048</v>
      </c>
      <c r="V318" s="215">
        <f>IFERROR(V298/V314,"")</f>
        <v>0.0647908447407889</v>
      </c>
      <c r="W318" s="215">
        <f>IFERROR(W298/W314,"")</f>
        <v>0.0501566017632199</v>
      </c>
      <c r="X318" s="215">
        <f>IFERROR(X298/X314,"")</f>
        <v>0.0556724580075133</v>
      </c>
      <c r="Y318" s="215">
        <f>IFERROR(Y298/Y314,"")</f>
        <v>0.0648353625622264</v>
      </c>
      <c r="Z318" s="215">
        <f>IFERROR(Z298/Z314,"")</f>
        <v>0.066013315398833</v>
      </c>
      <c r="AA318" s="215">
        <f>IFERROR(AA298/AA314,"")</f>
        <v>0.0532754273844324</v>
      </c>
      <c r="AB318" s="215">
        <f>IFERROR(AB298/AB314,"")</f>
        <v>0.0499620479679761</v>
      </c>
      <c r="AC318" s="215">
        <f>IFERROR(AC298/AC314,"")</f>
        <v>0.0534732843482089</v>
      </c>
      <c r="AD318" s="215">
        <f>IFERROR(AD298/AD314,"")</f>
        <v>0.0654200819672131</v>
      </c>
      <c r="AE318" s="215">
        <f>IFERROR(AE298/AE314,"")</f>
        <v>0.0710510644633021</v>
      </c>
      <c r="AF318" s="215">
        <f>IFERROR(AF298/AF314,"")</f>
        <v>0.0703808888850407</v>
      </c>
      <c r="AG318" s="215">
        <f>IFERROR(AG298/AG314,"")</f>
        <v>0.0547293694832251</v>
      </c>
      <c r="AH318" s="215">
        <f>IFERROR(AH298/AH314,"")</f>
        <v>0.0594645391554536</v>
      </c>
      <c r="AI318" s="215">
        <f>IFERROR(AI298/AI314,"")</f>
        <v>0.0624073074651221</v>
      </c>
      <c r="AJ318" s="215">
        <f>IFERROR(AJ298/AJ314,"")</f>
        <v>0.0630366325652103</v>
      </c>
      <c r="AK318" s="215">
        <f>IFERROR(AK298/AK314,"")</f>
        <v>0.0583678541839271</v>
      </c>
      <c r="AL318" s="215">
        <f>IFERROR(AL298/AL314,"")</f>
        <v>0.0466553606084542</v>
      </c>
      <c r="AM318" s="215">
        <f>IFERROR(AM298/AM314,"")</f>
        <v>0.0505726530908739</v>
      </c>
      <c r="AN318" s="215">
        <f>IFERROR(AN298/AN314,"")</f>
        <v>0.0986888765176011</v>
      </c>
      <c r="AO318" s="215">
        <f>IFERROR(AO298/AO314,"")</f>
        <v>0.0954906661299482</v>
      </c>
      <c r="AP318" s="215">
        <f>IFERROR(AP298/AP314,"")</f>
        <v>0.0821561882456269</v>
      </c>
      <c r="AQ318" s="215">
        <f>IFERROR(AQ298/AQ314,"")</f>
        <v>0.0908942045692727</v>
      </c>
      <c r="AR318" s="215">
        <f>IFERROR(AR298/AR314,"")</f>
        <v>0.095696601019065</v>
      </c>
      <c r="AS318" s="215">
        <f>IFERROR(AS298/AS314,"")</f>
        <v>0.0960347265028274</v>
      </c>
      <c r="AT318" s="215">
        <f>IFERROR(AT298/AT314,"")</f>
        <v>0.0928707573115651</v>
      </c>
      <c r="AU318" s="215">
        <f>IFERROR(AU298/AU314,"")</f>
        <v>0.0843341907557749</v>
      </c>
      <c r="AV318" s="215">
        <f>IFERROR(AV298/AV314,"")</f>
        <v>0.0769047377362724</v>
      </c>
      <c r="AW318" s="215">
        <f>IFERROR(AW298/AW314,"")</f>
        <v>0.0889559557595542</v>
      </c>
      <c r="AX318" s="215">
        <f>IFERROR(AX298/AX314,"")</f>
        <v>0.0926719033077903</v>
      </c>
      <c r="AY318" s="215">
        <f>IFERROR(AY298/AY314,"")</f>
        <v>0.0757451842552383</v>
      </c>
      <c r="AZ318" s="215">
        <f>IFERROR(AZ298/AZ314,"")</f>
        <v>0.0737446183142904</v>
      </c>
      <c r="BA318" s="215">
        <f>IFERROR(BA298/BA314,"")</f>
        <v>0.0787688633707637</v>
      </c>
      <c r="BB318" s="215">
        <f>IFERROR(BB298/BB314,"")</f>
        <v>0.080071490639071</v>
      </c>
      <c r="BC318" s="215">
        <f>IFERROR(BC298/BC314,"")</f>
        <v>0.0762972257810343</v>
      </c>
      <c r="BD318" s="215">
        <f>IFERROR(BD298/BD314,"")</f>
        <v>0.0717262279707163</v>
      </c>
      <c r="BE318" s="215">
        <f>IFERROR(BE298/BE314,"")</f>
        <v>0.0705555842116424</v>
      </c>
      <c r="BF318" s="215">
        <f>IFERROR(BF298/BF314,"")</f>
        <v>0.0860542569419753</v>
      </c>
      <c r="BG318" s="215">
        <f>IFERROR(BG298/BG314,"")</f>
        <v>0.0871615587357599</v>
      </c>
      <c r="BH318" s="215">
        <f>IFERROR(BH298/BH314,"")</f>
        <v>0.0919882854408908</v>
      </c>
      <c r="BI318" s="215">
        <f>IFERROR(BI298/BI314,"")</f>
        <v>0.0778060620723388</v>
      </c>
      <c r="BJ318" s="215">
        <f>IFERROR(BJ298/BJ314,"")</f>
        <v>0.0798236967252589</v>
      </c>
      <c r="BK318" s="215">
        <f>IFERROR(BK298/BK314,"")</f>
        <v>0.0877074817888144</v>
      </c>
      <c r="BL318" s="215">
        <f>IFERROR(BL298/BL314,"")</f>
        <v>0.0903368687138971</v>
      </c>
      <c r="BM318" s="215">
        <f>IFERROR(BM298/BM314,"")</f>
        <v>0.0960728578570326</v>
      </c>
      <c r="BN318" s="215">
        <f>IFERROR(BN298/BN314,"")</f>
        <v>0.0827230417072952</v>
      </c>
      <c r="BO318" s="215">
        <f>IFERROR(BO298/BO314,"")</f>
        <v>0.0833199359605581</v>
      </c>
      <c r="BP318" s="215">
        <f>IFERROR(BP298/BP314,"")</f>
        <v>0.0864333893774694</v>
      </c>
      <c r="BQ318" s="215">
        <f>IFERROR(BQ298/BQ314,"")</f>
        <v>0.091350582174593</v>
      </c>
      <c r="BR318" s="215">
        <f>IFERROR(BR298/BR314,"")</f>
        <v>0.093960810786239</v>
      </c>
      <c r="BS318" s="215">
        <f>IFERROR(BS298/BS314,"")</f>
        <v>0.0861078528677554</v>
      </c>
      <c r="BT318" s="215">
        <f>IFERROR(BT298/BT314,"")</f>
        <v>0.0800280566352544</v>
      </c>
      <c r="BU318" s="215">
        <f>IFERROR(BU298/BU314,"")</f>
        <v>0.0908248360158294</v>
      </c>
      <c r="BV318" s="215">
        <f>IFERROR(BV298/BV314,"")</f>
        <v>0.0941156851606007</v>
      </c>
      <c r="BW318" s="215">
        <f>IFERROR(BW298/BW314,"")</f>
        <v>0.0846605880549028</v>
      </c>
      <c r="BX318" s="215">
        <f>IFERROR(BX298/BX314,"")</f>
        <v>0.0662025049264324</v>
      </c>
      <c r="BY318" s="215">
        <f>IFERROR(BY298/BY314,"")</f>
        <v>0.0761745981832961</v>
      </c>
      <c r="BZ318" s="24" t="n"/>
      <c r="CA318" s="265" t="n">
        <v>0.094</v>
      </c>
      <c r="CB318" s="265" t="n">
        <v>0.094</v>
      </c>
      <c r="CC318" s="265" t="n">
        <v>0.094</v>
      </c>
      <c r="CD318" s="265" t="n">
        <v>0.094</v>
      </c>
      <c r="CE318" s="265" t="n">
        <v>0.094</v>
      </c>
      <c r="CF318" s="265" t="n">
        <v>0.094</v>
      </c>
      <c r="CG318" s="153" t="inlineStr">
        <is>
          <t>Forecast inputs at fiscal-year-end (30-Sep-2025) levels on FY2025 revenue (DSO 97d — Scores are billed in arrears; payables &amp; accrued 7.4%, accrued compensation 5.8%, deferred revenue 9.4% of revenue); year ends are compared with year ends (quarter ends are seasonal).</t>
        </is>
      </c>
    </row>
    <row r="319" ht="15" customHeight="1" s="251">
      <c r="B319" s="25" t="inlineStr">
        <is>
          <t xml:space="preserve">  Operating NWC (receivables + other current assets − payables, accrued compensation, deferred revenue, other current liabilities)</t>
        </is>
      </c>
      <c r="C319" s="262">
        <f>IF(ISNUMBER(C289),C289+C290-C296-C297-C298-C300,"")</f>
        <v>391.586</v>
      </c>
      <c r="D319" s="262">
        <f>IF(ISNUMBER(D289),D289+D290-D296-D297-D298-D300,"")</f>
        <v>331.609</v>
      </c>
      <c r="E319" s="262">
        <f>IF(ISNUMBER(E289),E289+E290-E296-E297-E298-E300,"")</f>
        <v>228.543</v>
      </c>
      <c r="F319" s="262">
        <f>IF(ISNUMBER(F289),F289+F290-F296-F297-F298-F300,"")</f>
        <v>350.857</v>
      </c>
      <c r="G319" s="262">
        <f>IF(ISNUMBER(G289),G289+G290-G296-G297-G298-G300,"")</f>
        <v>159.811</v>
      </c>
      <c r="H319" s="262">
        <f>IF(ISNUMBER(H289),H289+H290-H296-H297-H298-H300,"")</f>
        <v>200.227</v>
      </c>
      <c r="I319" s="262">
        <f>IF(ISNUMBER(I289),I289+I290-I296-I297-I298-I300,"")</f>
        <v>54.536</v>
      </c>
      <c r="J319" s="262">
        <f>IF(ISNUMBER(J289),J289+J290-J296-J297-J298-J300,"")</f>
        <v>20.532</v>
      </c>
      <c r="K319" s="262">
        <f>IF(ISNUMBER(K289),K289+K290-K296-K297-K298-K300,"")</f>
        <v>11.807</v>
      </c>
      <c r="L319" s="262">
        <f>IF(ISNUMBER(L289),L289+L290-L296-L297-L298-L300,"")</f>
        <v>10.498</v>
      </c>
      <c r="M319" s="262">
        <f>IF(ISNUMBER(M289),M289+M290-M296-M297-M298-M300,"")</f>
        <v>23.13</v>
      </c>
      <c r="N319" s="262">
        <f>IF(ISNUMBER(N289),N289+N290-N296-N297-N298-N300,"")</f>
        <v>23.13</v>
      </c>
      <c r="O319" s="262">
        <f>IF(ISNUMBER(O289),O289+O290-O296-O297-O298-O300,"")</f>
        <v>31.111</v>
      </c>
      <c r="P319" s="262">
        <f>IF(ISNUMBER(P289),P289+P290-P296-P297-P298-P300,"")</f>
        <v>18.289</v>
      </c>
      <c r="Q319" s="262">
        <f>IF(ISNUMBER(Q289),Q289+Q290-Q296-Q297-Q298-Q300,"")</f>
        <v>21.184</v>
      </c>
      <c r="R319" s="262">
        <f>IF(ISNUMBER(R289),R289+R290-R296-R297-R298-R300,"")</f>
        <v>12.048</v>
      </c>
      <c r="S319" s="262">
        <f>IF(ISNUMBER(S289),S289+S290-S296-S297-S298-S300,"")</f>
        <v>12.048</v>
      </c>
      <c r="T319" s="262">
        <f>IF(ISNUMBER(T289),T289+T290-T296-T297-T298-T300,"")</f>
        <v>50.496</v>
      </c>
      <c r="U319" s="262">
        <f>IF(ISNUMBER(U289),U289+U290-U296-U297-U298-U300,"")</f>
        <v>40.831</v>
      </c>
      <c r="V319" s="262">
        <f>IF(ISNUMBER(V289),V289+V290-V296-V297-V298-V300,"")</f>
        <v>37.815</v>
      </c>
      <c r="W319" s="262">
        <f>IF(ISNUMBER(W289),W289+W290-W296-W297-W298-W300,"")</f>
        <v>48.607</v>
      </c>
      <c r="X319" s="262">
        <f>IF(ISNUMBER(X289),X289+X290-X296-X297-X298-X300,"")</f>
        <v>48.607</v>
      </c>
      <c r="Y319" s="262">
        <f>IF(ISNUMBER(Y289),Y289+Y290-Y296-Y297-Y298-Y300,"")</f>
        <v>56.745</v>
      </c>
      <c r="Z319" s="262">
        <f>IF(ISNUMBER(Z289),Z289+Z290-Z296-Z297-Z298-Z300,"")</f>
        <v>44.881</v>
      </c>
      <c r="AA319" s="262">
        <f>IF(ISNUMBER(AA289),AA289+AA290-AA296-AA297-AA298-AA300,"")</f>
        <v>12.396</v>
      </c>
      <c r="AB319" s="262">
        <f>IF(ISNUMBER(AB289),AB289+AB290-AB296-AB297-AB298-AB300,"")</f>
        <v>22.635</v>
      </c>
      <c r="AC319" s="262">
        <f>IF(ISNUMBER(AC289),AC289+AC290-AC296-AC297-AC298-AC300,"")</f>
        <v>22.635</v>
      </c>
      <c r="AD319" s="262">
        <f>IF(ISNUMBER(AD289),AD289+AD290-AD296-AD297-AD298-AD300,"")</f>
        <v>48.928</v>
      </c>
      <c r="AE319" s="262">
        <f>IF(ISNUMBER(AE289),AE289+AE290-AE296-AE297-AE298-AE300,"")</f>
        <v>36.102</v>
      </c>
      <c r="AF319" s="262">
        <f>IF(ISNUMBER(AF289),AF289+AF290-AF296-AF297-AF298-AF300,"")</f>
        <v>16.273</v>
      </c>
      <c r="AG319" s="262">
        <f>IF(ISNUMBER(AG289),AG289+AG290-AG296-AG297-AG298-AG300,"")</f>
        <v>20.658</v>
      </c>
      <c r="AH319" s="262">
        <f>IF(ISNUMBER(AH289),AH289+AH290-AH296-AH297-AH298-AH300,"")</f>
        <v>20.658</v>
      </c>
      <c r="AI319" s="262">
        <f>IF(ISNUMBER(AI289),AI289+AI290-AI296-AI297-AI298-AI300,"")</f>
        <v>52.643</v>
      </c>
      <c r="AJ319" s="262">
        <f>IF(ISNUMBER(AJ289),AJ289+AJ290-AJ296-AJ297-AJ298-AJ300,"")</f>
        <v>47.805</v>
      </c>
      <c r="AK319" s="262">
        <f>IF(ISNUMBER(AK289),AK289+AK290-AK296-AK297-AK298-AK300,"")</f>
        <v>20.15</v>
      </c>
      <c r="AL319" s="262">
        <f>IF(ISNUMBER(AL289),AL289+AL290-AL296-AL297-AL298-AL300,"")</f>
        <v>61.274</v>
      </c>
      <c r="AM319" s="262">
        <f>IF(ISNUMBER(AM289),AM289+AM290-AM296-AM297-AM298-AM300,"")</f>
        <v>61.274</v>
      </c>
      <c r="AN319" s="262">
        <f>IF(ISNUMBER(AN289),AN289+AN290-AN296-AN297-AN298-AN300,"")</f>
        <v>90.599</v>
      </c>
      <c r="AO319" s="262">
        <f>IF(ISNUMBER(AO289),AO289+AO290-AO296-AO297-AO298-AO300,"")</f>
        <v>101.495</v>
      </c>
      <c r="AP319" s="262">
        <f>IF(ISNUMBER(AP289),AP289+AP290-AP296-AP297-AP298-AP300,"")</f>
        <v>116.543</v>
      </c>
      <c r="AQ319" s="262">
        <f>IF(ISNUMBER(AQ289),AQ289+AQ290-AQ296-AQ297-AQ298-AQ300,"")</f>
        <v>76.452</v>
      </c>
      <c r="AR319" s="262">
        <f>IF(ISNUMBER(AR289),AR289+AR290-AR296-AR297-AR298-AR300,"")</f>
        <v>76.452</v>
      </c>
      <c r="AS319" s="262">
        <f>IF(ISNUMBER(AS289),AS289+AS290-AS296-AS297-AS298-AS300,"")</f>
        <v>87.746</v>
      </c>
      <c r="AT319" s="262">
        <f>IF(ISNUMBER(AT289),AT289+AT290-AT296-AT297-AT298-AT300,"")</f>
        <v>103.881</v>
      </c>
      <c r="AU319" s="262">
        <f>IF(ISNUMBER(AU289),AU289+AU290-AU296-AU297-AU298-AU300,"")</f>
        <v>85.151</v>
      </c>
      <c r="AV319" s="262">
        <f>IF(ISNUMBER(AV289),AV289+AV290-AV296-AV297-AV298-AV300,"")</f>
        <v>57.173</v>
      </c>
      <c r="AW319" s="262">
        <f>IF(ISNUMBER(AW289),AW289+AW290-AW296-AW297-AW298-AW300,"")</f>
        <v>57.173</v>
      </c>
      <c r="AX319" s="262">
        <f>IF(ISNUMBER(AX289),AX289+AX290-AX296-AX297-AX298-AX300,"")</f>
        <v>103.737</v>
      </c>
      <c r="AY319" s="262">
        <f>IF(ISNUMBER(AY289),AY289+AY290-AY296-AY297-AY298-AY300,"")</f>
        <v>78.421</v>
      </c>
      <c r="AZ319" s="262">
        <f>IF(ISNUMBER(AZ289),AZ289+AZ290-AZ296-AZ297-AZ298-AZ300,"")</f>
        <v>24.499</v>
      </c>
      <c r="BA319" s="262">
        <f>IF(ISNUMBER(BA289),BA289+BA290-BA296-BA297-BA298-BA300,"")</f>
        <v>46.413</v>
      </c>
      <c r="BB319" s="262">
        <f>IF(ISNUMBER(BB289),BB289+BB290-BB296-BB297-BB298-BB300,"")</f>
        <v>46.413</v>
      </c>
      <c r="BC319" s="262">
        <f>IF(ISNUMBER(BC289),BC289+BC290-BC296-BC297-BC298-BC300,"")</f>
        <v>43.042</v>
      </c>
      <c r="BD319" s="262">
        <f>IF(ISNUMBER(BD289),BD289+BD290-BD296-BD297-BD298-BD300,"")</f>
        <v>55.228</v>
      </c>
      <c r="BE319" s="262">
        <f>IF(ISNUMBER(BE289),BE289+BE290-BE296-BE297-BE298-BE300,"")</f>
        <v>64.34</v>
      </c>
      <c r="BF319" s="262">
        <f>IF(ISNUMBER(BF289),BF289+BF290-BF296-BF297-BF298-BF300,"")</f>
        <v>50.054</v>
      </c>
      <c r="BG319" s="262">
        <f>IF(ISNUMBER(BG289),BG289+BG290-BG296-BG297-BG298-BG300,"")</f>
        <v>50.054</v>
      </c>
      <c r="BH319" s="262">
        <f>IF(ISNUMBER(BH289),BH289+BH290-BH296-BH297-BH298-BH300,"")</f>
        <v>88.978</v>
      </c>
      <c r="BI319" s="262">
        <f>IF(ISNUMBER(BI289),BI289+BI290-BI296-BI297-BI298-BI300,"")</f>
        <v>117.277</v>
      </c>
      <c r="BJ319" s="262">
        <f>IF(ISNUMBER(BJ289),BJ289+BJ290-BJ296-BJ297-BJ298-BJ300,"")</f>
        <v>134.043</v>
      </c>
      <c r="BK319" s="262">
        <f>IF(ISNUMBER(BK289),BK289+BK290-BK296-BK297-BK298-BK300,"")</f>
        <v>101.982</v>
      </c>
      <c r="BL319" s="262">
        <f>IF(ISNUMBER(BL289),BL289+BL290-BL296-BL297-BL298-BL300,"")</f>
        <v>101.982</v>
      </c>
      <c r="BM319" s="262">
        <f>IF(ISNUMBER(BM289),BM289+BM290-BM296-BM297-BM298-BM300,"")</f>
        <v>124.733</v>
      </c>
      <c r="BN319" s="262">
        <f>IF(ISNUMBER(BN289),BN289+BN290-BN296-BN297-BN298-BN300,"")</f>
        <v>205.685</v>
      </c>
      <c r="BO319" s="262">
        <f>IF(ISNUMBER(BO289),BO289+BO290-BO296-BO297-BO298-BO300,"")</f>
        <v>152.876</v>
      </c>
      <c r="BP319" s="262">
        <f>IF(ISNUMBER(BP289),BP289+BP290-BP296-BP297-BP298-BP300,"")</f>
        <v>101.461</v>
      </c>
      <c r="BQ319" s="262">
        <f>IF(ISNUMBER(BQ289),BQ289+BQ290-BQ296-BQ297-BQ298-BQ300,"")</f>
        <v>101.461</v>
      </c>
      <c r="BR319" s="262">
        <f>IF(ISNUMBER(BR289),BR289+BR290-BR296-BR297-BR298-BR300,"")</f>
        <v>95.262</v>
      </c>
      <c r="BS319" s="262">
        <f>IF(ISNUMBER(BS289),BS289+BS290-BS296-BS297-BS298-BS300,"")</f>
        <v>250.027</v>
      </c>
      <c r="BT319" s="262">
        <f>IF(ISNUMBER(BT289),BT289+BT290-BT296-BT297-BT298-BT300,"")</f>
        <v>149.532</v>
      </c>
      <c r="BU319" s="262">
        <f>IF(ISNUMBER(BU289),BU289+BU290-BU296-BU297-BU298-BU300,"")</f>
        <v>121.355</v>
      </c>
      <c r="BV319" s="262">
        <f>IF(ISNUMBER(BV289),BV289+BV290-BV296-BV297-BV298-BV300,"")</f>
        <v>121.355</v>
      </c>
      <c r="BW319" s="262">
        <f>IF(ISNUMBER(BW289),BW289+BW290-BW296-BW297-BW298-BW300,"")</f>
        <v>184.452</v>
      </c>
      <c r="BX319" s="262">
        <f>IF(ISNUMBER(BX289),BX289+BX290-BX296-BX297-BX298-BX300,"")</f>
        <v>276.064</v>
      </c>
      <c r="BY319" s="262">
        <f>IF(ISNUMBER(BY289),BY289+BY290-BY296-BY297-BY298-BY300,"")</f>
        <v>187.928</v>
      </c>
      <c r="BZ319" s="35" t="n"/>
      <c r="CA319" s="254">
        <f>IF(ISNUMBER(CA289),CA289+CA290-CA296-CA297-CA298-CA300,"")</f>
        <v>141.165164383562</v>
      </c>
      <c r="CB319" s="254">
        <f>IF(ISNUMBER(CB289),CB289+CB290-CB296-CB297-CB298-CB300,"")</f>
        <v>151.851573158813</v>
      </c>
      <c r="CC319" s="254">
        <f>IF(ISNUMBER(CC289),CC289+CC290-CC296-CC297-CC298-CC300,"")</f>
        <v>163.355929587656</v>
      </c>
      <c r="CD319" s="254">
        <f>IF(ISNUMBER(CD289),CD289+CD290-CD296-CD297-CD298-CD300,"")</f>
        <v>174.948541794669</v>
      </c>
      <c r="CE319" s="254">
        <f>IF(ISNUMBER(CE289),CE289+CE290-CE296-CE297-CE298-CE300,"")</f>
        <v>186.770136748783</v>
      </c>
      <c r="CF319" s="254">
        <f>IF(ISNUMBER(CF289),CF289+CF290-CF296-CF297-CF298-CF300,"")</f>
        <v>198.666905198043</v>
      </c>
      <c r="CG319" s="19" t="n"/>
    </row>
    <row r="320" ht="15" customHeight="1" s="251">
      <c r="B320" s="25" t="inlineStr">
        <is>
          <t xml:space="preserve">  NWC % of revenue</t>
        </is>
      </c>
      <c r="C320" s="215">
        <f>IF(ISNUMBER(C319),IFERROR(C319/C314,""),"")</f>
        <v>0.474439793303569</v>
      </c>
      <c r="D320" s="215">
        <f>IF(ISNUMBER(D319),IFERROR(D319/D314,""),"")</f>
        <v>0.403301485218356</v>
      </c>
      <c r="E320" s="215">
        <f>IF(ISNUMBER(E319),IFERROR(E319/E314,""),"")</f>
        <v>0.306834201078887</v>
      </c>
      <c r="F320" s="215">
        <f>IF(ISNUMBER(F319),IFERROR(F319/F314,""),"")</f>
        <v>0.556266894971739</v>
      </c>
      <c r="G320" s="215">
        <f>IF(ISNUMBER(G319),IFERROR(G319/G314,""),"")</f>
        <v>0.263869969602555</v>
      </c>
      <c r="H320" s="215">
        <f>IF(ISNUMBER(H319),IFERROR(H319/H314,""),"")</f>
        <v>0.323111978221123</v>
      </c>
      <c r="I320" s="215">
        <f>IF(ISNUMBER(I319),IFERROR(I319/I314,""),"")</f>
        <v>0.0806241065132321</v>
      </c>
      <c r="J320" s="215">
        <f>IF(ISNUMBER(J319),IFERROR(J319/J314,""),"")</f>
        <v>0.0270129460056836</v>
      </c>
      <c r="K320" s="215">
        <f>IF(ISNUMBER(K319),IFERROR(K319/K314,""),"")</f>
        <v>0.0164603373762722</v>
      </c>
      <c r="L320" s="215">
        <f>IF(ISNUMBER(L319),IFERROR(L319/L314,""),"")</f>
        <v>0.0142812833293429</v>
      </c>
      <c r="M320" s="215">
        <f>IF(ISNUMBER(M319),IFERROR(M319/M314,""),"")</f>
        <v>0.0303819216401246</v>
      </c>
      <c r="N320" s="215">
        <f>IF(ISNUMBER(N319),IFERROR(N319/N314,""),"")</f>
        <v>0.0311119600131281</v>
      </c>
      <c r="O320" s="215">
        <f>IF(ISNUMBER(O319),IFERROR(O319/O314,""),"")</f>
        <v>0.0421917295476367</v>
      </c>
      <c r="P320" s="215">
        <f>IF(ISNUMBER(P319),IFERROR(P319/P314,""),"")</f>
        <v>0.0246532982497762</v>
      </c>
      <c r="Q320" s="215">
        <f>IF(ISNUMBER(Q319),IFERROR(Q319/Q314,""),"")</f>
        <v>0.0268002631445777</v>
      </c>
      <c r="R320" s="215">
        <f>IF(ISNUMBER(R319),IFERROR(R319/R314,""),"")</f>
        <v>0.0135938980908968</v>
      </c>
      <c r="S320" s="215">
        <f>IF(ISNUMBER(S319),IFERROR(S319/S314,""),"")</f>
        <v>0.0152702522861651</v>
      </c>
      <c r="T320" s="215">
        <f>IF(ISNUMBER(T319),IFERROR(T319/T314,""),"")</f>
        <v>0.0665998417304141</v>
      </c>
      <c r="U320" s="215">
        <f>IF(ISNUMBER(U319),IFERROR(U319/U314,""),"")</f>
        <v>0.0492868489539325</v>
      </c>
      <c r="V320" s="215">
        <f>IF(ISNUMBER(V319),IFERROR(V319/V314,""),"")</f>
        <v>0.0451541797617569</v>
      </c>
      <c r="W320" s="215">
        <f>IF(ISNUMBER(W319),IFERROR(W319/W314,""),"")</f>
        <v>0.0522081063431233</v>
      </c>
      <c r="X320" s="215">
        <f>IF(ISNUMBER(X319),IFERROR(X319/X314,""),"")</f>
        <v>0.0579495720575454</v>
      </c>
      <c r="Y320" s="215">
        <f>IF(ISNUMBER(Y319),IFERROR(Y319/Y314,""),"")</f>
        <v>0.0709043063635818</v>
      </c>
      <c r="Z320" s="215">
        <f>IF(ISNUMBER(Z319),IFERROR(Z319/Z314,""),"")</f>
        <v>0.0542885551437502</v>
      </c>
      <c r="AA320" s="215">
        <f>IF(ISNUMBER(AA319),IFERROR(AA319/AA314,""),"")</f>
        <v>0.012978582616489</v>
      </c>
      <c r="AB320" s="215">
        <f>IF(ISNUMBER(AB319),IFERROR(AB319/AB314,""),"")</f>
        <v>0.0239956492977814</v>
      </c>
      <c r="AC320" s="215">
        <f>IF(ISNUMBER(AC319),IFERROR(AC319/AC314,""),"")</f>
        <v>0.0256820172552294</v>
      </c>
      <c r="AD320" s="215">
        <f>IF(ISNUMBER(AD319),IFERROR(AD319/AD314,""),"")</f>
        <v>0.0557012750455373</v>
      </c>
      <c r="AE320" s="215">
        <f>IF(ISNUMBER(AE319),IFERROR(AE319/AE314,""),"")</f>
        <v>0.0395200063053359</v>
      </c>
      <c r="AF320" s="215">
        <f>IF(ISNUMBER(AF319),IFERROR(AF319/AF314,""),"")</f>
        <v>0.0176125392880954</v>
      </c>
      <c r="AG320" s="215">
        <f>IF(ISNUMBER(AG319),IFERROR(AG319/AG314,""),"")</f>
        <v>0.0203965166564641</v>
      </c>
      <c r="AH320" s="215">
        <f>IF(ISNUMBER(AH319),IFERROR(AH319/AH314,""),"")</f>
        <v>0.0221612175474619</v>
      </c>
      <c r="AI320" s="215">
        <f>IF(ISNUMBER(AI319),IFERROR(AI319/AI314,""),"")</f>
        <v>0.0559267978633441</v>
      </c>
      <c r="AJ320" s="215">
        <f>IF(ISNUMBER(AJ319),IFERROR(AJ319/AJ314,""),"")</f>
        <v>0.0463481838841533</v>
      </c>
      <c r="AK320" s="215">
        <f>IF(ISNUMBER(AK319),IFERROR(AK319/AK314,""),"")</f>
        <v>0.0194119573803973</v>
      </c>
      <c r="AL320" s="215">
        <f>IF(ISNUMBER(AL319),IFERROR(AL319/AL314,""),"")</f>
        <v>0.0547497953829823</v>
      </c>
      <c r="AM320" s="215">
        <f>IF(ISNUMBER(AM319),IFERROR(AM319/AM314,""),"")</f>
        <v>0.0593467154168382</v>
      </c>
      <c r="AN320" s="215">
        <f>IF(ISNUMBER(AN319),IFERROR(AN319/AN314,""),"")</f>
        <v>0.0863650402659997</v>
      </c>
      <c r="AO320" s="215">
        <f>IF(ISNUMBER(AO319),IFERROR(AO319/AO314,""),"")</f>
        <v>0.0911957201492269</v>
      </c>
      <c r="AP320" s="215">
        <f>IF(ISNUMBER(AP319),IFERROR(AP319/AP314,""),"")</f>
        <v>0.0927154899458709</v>
      </c>
      <c r="AQ320" s="215">
        <f>IF(ISNUMBER(AQ319),IFERROR(AQ319/AQ314,""),"")</f>
        <v>0.0625949748480403</v>
      </c>
      <c r="AR320" s="215">
        <f>IF(ISNUMBER(AR319),IFERROR(AR319/AR314,""),"")</f>
        <v>0.0659021811370393</v>
      </c>
      <c r="AS320" s="215">
        <f>IF(ISNUMBER(AS319),IFERROR(AS319/AS314,""),"")</f>
        <v>0.0734881274622786</v>
      </c>
      <c r="AT320" s="215">
        <f>IF(ISNUMBER(AT319),IFERROR(AT319/AT314,""),"")</f>
        <v>0.084326933380091</v>
      </c>
      <c r="AU320" s="215">
        <f>IF(ISNUMBER(AU319),IFERROR(AU319/AU314,""),"")</f>
        <v>0.0678535114477052</v>
      </c>
      <c r="AV320" s="215">
        <f>IF(ISNUMBER(AV319),IFERROR(AV319/AV314,""),"")</f>
        <v>0.0381809026701856</v>
      </c>
      <c r="AW320" s="215">
        <f>IF(ISNUMBER(AW319),IFERROR(AW319/AW314,""),"")</f>
        <v>0.044163972061593</v>
      </c>
      <c r="AX320" s="215">
        <f>IF(ISNUMBER(AX319),IFERROR(AX319/AX314,""),"")</f>
        <v>0.0830124450248709</v>
      </c>
      <c r="AY320" s="215">
        <f>IF(ISNUMBER(AY319),IFERROR(AY319/AY314,""),"")</f>
        <v>0.0591658342412052</v>
      </c>
      <c r="AZ320" s="215">
        <f>IF(ISNUMBER(AZ319),IFERROR(AZ319/AZ314,""),"")</f>
        <v>0.0181107030492277</v>
      </c>
      <c r="BA320" s="215">
        <f>IF(ISNUMBER(BA319),IFERROR(BA319/BA314,""),"")</f>
        <v>0.0346803575858472</v>
      </c>
      <c r="BB320" s="215">
        <f>IF(ISNUMBER(BB319),IFERROR(BB319/BB314,""),"")</f>
        <v>0.0352538783595739</v>
      </c>
      <c r="BC320" s="215">
        <f>IF(ISNUMBER(BC319),IFERROR(BC319/BC314,""),"")</f>
        <v>0.0333802786317203</v>
      </c>
      <c r="BD320" s="215">
        <f>IF(ISNUMBER(BD319),IFERROR(BD319/BD314,""),"")</f>
        <v>0.0386539565223477</v>
      </c>
      <c r="BE320" s="215">
        <f>IF(ISNUMBER(BE319),IFERROR(BE319/BE314,""),"")</f>
        <v>0.0460933156811838</v>
      </c>
      <c r="BF320" s="215">
        <f>IF(ISNUMBER(BF319),IFERROR(BF319/BF314,""),"")</f>
        <v>0.0358812093546056</v>
      </c>
      <c r="BG320" s="215">
        <f>IF(ISNUMBER(BG319),IFERROR(BG319/BG314,""),"")</f>
        <v>0.0363429102499873</v>
      </c>
      <c r="BH320" s="215">
        <f>IF(ISNUMBER(BH319),IFERROR(BH319/BH314,""),"")</f>
        <v>0.0645011163626874</v>
      </c>
      <c r="BI320" s="215">
        <f>IF(ISNUMBER(BI319),IFERROR(BI319/BI314,""),"")</f>
        <v>0.07710194968785</v>
      </c>
      <c r="BJ320" s="215">
        <f>IF(ISNUMBER(BJ319),IFERROR(BJ319/BJ314,""),"")</f>
        <v>0.0840525674211413</v>
      </c>
      <c r="BK320" s="215">
        <f>IF(ISNUMBER(BK319),IFERROR(BK319/BK314,""),"")</f>
        <v>0.0654178629985144</v>
      </c>
      <c r="BL320" s="215">
        <f>IF(ISNUMBER(BL319),IFERROR(BL319/BL314,""),"")</f>
        <v>0.0673790283418464</v>
      </c>
      <c r="BM320" s="215">
        <f>IF(ISNUMBER(BM319),IFERROR(BM319/BM314,""),"")</f>
        <v>0.0816189384362101</v>
      </c>
      <c r="BN320" s="215">
        <f>IF(ISNUMBER(BN319),IFERROR(BN319/BN314,""),"")</f>
        <v>0.11853430887787</v>
      </c>
      <c r="BO320" s="215">
        <f>IF(ISNUMBER(BO319),IFERROR(BO319/BO314,""),"")</f>
        <v>0.0853390316825537</v>
      </c>
      <c r="BP320" s="215">
        <f>IF(ISNUMBER(BP319),IFERROR(BP319/BP314,""),"")</f>
        <v>0.055894109636433</v>
      </c>
      <c r="BQ320" s="215">
        <f>IF(ISNUMBER(BQ319),IFERROR(BQ319/BQ314,""),"")</f>
        <v>0.0590739237717508</v>
      </c>
      <c r="BR320" s="215">
        <f>IF(ISNUMBER(BR319),IFERROR(BR319/BR314,""),"")</f>
        <v>0.0541300730962252</v>
      </c>
      <c r="BS320" s="215">
        <f>IF(ISNUMBER(BS319),IFERROR(BS319/BS314,""),"")</f>
        <v>0.12533058638355</v>
      </c>
      <c r="BT320" s="215">
        <f>IF(ISNUMBER(BT319),IFERROR(BT319/BT314,""),"")</f>
        <v>0.0696904448980733</v>
      </c>
      <c r="BU320" s="215">
        <f>IF(ISNUMBER(BU319),IFERROR(BU319/BU314,""),"")</f>
        <v>0.0588244133312393</v>
      </c>
      <c r="BV320" s="215">
        <f>IF(ISNUMBER(BV319),IFERROR(BV319/BV314,""),"")</f>
        <v>0.0609557936760279</v>
      </c>
      <c r="BW320" s="215">
        <f>IF(ISNUMBER(BW319),IFERROR(BW319/BW314,""),"")</f>
        <v>0.0900716658951205</v>
      </c>
      <c r="BX320" s="215">
        <f>IF(ISNUMBER(BX319),IFERROR(BX319/BX314,""),"")</f>
        <v>0.0997806779754134</v>
      </c>
      <c r="BY320" s="215">
        <f>IF(ISNUMBER(BY319),IFERROR(BY319/BY314,""),"")</f>
        <v>0.069686793594665</v>
      </c>
      <c r="BZ320" s="24" t="n"/>
      <c r="CA320" s="256">
        <f>IF(ISNUMBER(CA319),IFERROR(CA319/CA314,""),"")</f>
        <v>0.0557965076614868</v>
      </c>
      <c r="CB320" s="256">
        <f>IF(ISNUMBER(CB319),IFERROR(CB319/CB314,""),"")</f>
        <v>0.0542556216462873</v>
      </c>
      <c r="CC320" s="256">
        <f>IF(ISNUMBER(CC319),IFERROR(CC319/CC314,""),"")</f>
        <v>0.0528966364234731</v>
      </c>
      <c r="CD320" s="256">
        <f>IF(ISNUMBER(CD319),IFERROR(CD319/CD314,""),"")</f>
        <v>0.051762633172777</v>
      </c>
      <c r="CE320" s="256">
        <f>IF(ISNUMBER(CE319),IFERROR(CE319/CE314,""),"")</f>
        <v>0.0507914545245314</v>
      </c>
      <c r="CF320" s="256">
        <f>IF(ISNUMBER(CF319),IFERROR(CF319/CF314,""),"")</f>
        <v>0.0499607445951509</v>
      </c>
      <c r="CG320" s="153" t="n"/>
      <c r="CI320" s="37">
        <f>IFERROR(AVERAGE(CB320,CC320,CD320,CE320,CF320),"n/m")</f>
        <v>0.0519334180724439</v>
      </c>
      <c r="CJ320" s="37">
        <f>IFERROR(AVERAGE(BB320,BG320,BL320,BQ320,BV320),"n/m")</f>
        <v>0.0518011068798373</v>
      </c>
      <c r="CK320" s="37">
        <f>IFERROR(AVERAGE(AC320,AH320,AM320,AR320,AW320,BB320,BG320,BL320,BQ320,BV320),"n/m")</f>
        <v>0.0476261637817348</v>
      </c>
      <c r="CL320" s="37">
        <f>IFERROR(AVERAGE(C320,D320,E320,F320,G320,H320,I320,N320,S320,X320,AC320,AH320,AM320,AR320,AW320,BB320,BG320,BL320,BQ320,BV320),"n/m")</f>
        <v>0.149452092554182</v>
      </c>
    </row>
    <row r="321" ht="15" customHeight="1" s="251">
      <c r="B321" s="25" t="inlineStr">
        <is>
          <t xml:space="preserve">  ΔNWC (y/y)</t>
        </is>
      </c>
      <c r="C321" s="34" t="n"/>
      <c r="D321" s="262">
        <f>IF(AND(ISNUMBER(D319),ISNUMBER(C319)),D319-C319,"")</f>
        <v>-59.977</v>
      </c>
      <c r="E321" s="262">
        <f>IF(AND(ISNUMBER(E319),ISNUMBER(D319)),E319-D319,"")</f>
        <v>-103.066</v>
      </c>
      <c r="F321" s="262">
        <f>IF(AND(ISNUMBER(F319),ISNUMBER(E319)),F319-E319,"")</f>
        <v>122.314</v>
      </c>
      <c r="G321" s="262">
        <f>IF(AND(ISNUMBER(G319),ISNUMBER(F319)),G319-F319,"")</f>
        <v>-191.046</v>
      </c>
      <c r="H321" s="262">
        <f>IF(AND(ISNUMBER(H319),ISNUMBER(G319)),H319-G319,"")</f>
        <v>40.416</v>
      </c>
      <c r="I321" s="262">
        <f>IF(AND(ISNUMBER(I319),ISNUMBER(H319)),I319-H319,"")</f>
        <v>-145.691</v>
      </c>
      <c r="J321" s="34" t="n"/>
      <c r="K321" s="34" t="n"/>
      <c r="L321" s="34" t="n"/>
      <c r="M321" s="34" t="n"/>
      <c r="N321" s="262">
        <f>IF(AND(ISNUMBER(N319),ISNUMBER(I319)),N319-I319,"")</f>
        <v>-31.406</v>
      </c>
      <c r="O321" s="262">
        <f>IF(AND(ISNUMBER(O319),ISNUMBER(J319)),O319-J319,"")</f>
        <v>10.579</v>
      </c>
      <c r="P321" s="262">
        <f>IF(AND(ISNUMBER(P319),ISNUMBER(K319)),P319-K319,"")</f>
        <v>6.48199999999996</v>
      </c>
      <c r="Q321" s="262">
        <f>IF(AND(ISNUMBER(Q319),ISNUMBER(L319)),Q319-L319,"")</f>
        <v>10.686</v>
      </c>
      <c r="R321" s="262">
        <f>IF(AND(ISNUMBER(R319),ISNUMBER(M319)),R319-M319,"")</f>
        <v>-11.082</v>
      </c>
      <c r="S321" s="262">
        <f>IF(AND(ISNUMBER(S319),ISNUMBER(N319)),S319-N319,"")</f>
        <v>-11.082</v>
      </c>
      <c r="T321" s="262">
        <f>IF(AND(ISNUMBER(T319),ISNUMBER(O319)),T319-O319,"")</f>
        <v>19.385</v>
      </c>
      <c r="U321" s="262">
        <f>IF(AND(ISNUMBER(U319),ISNUMBER(P319)),U319-P319,"")</f>
        <v>22.542</v>
      </c>
      <c r="V321" s="262">
        <f>IF(AND(ISNUMBER(V319),ISNUMBER(Q319)),V319-Q319,"")</f>
        <v>16.631</v>
      </c>
      <c r="W321" s="262">
        <f>IF(AND(ISNUMBER(W319),ISNUMBER(R319)),W319-R319,"")</f>
        <v>36.559</v>
      </c>
      <c r="X321" s="262">
        <f>IF(AND(ISNUMBER(X319),ISNUMBER(S319)),X319-S319,"")</f>
        <v>36.559</v>
      </c>
      <c r="Y321" s="262">
        <f>IF(AND(ISNUMBER(Y319),ISNUMBER(T319)),Y319-T319,"")</f>
        <v>6.24900000000002</v>
      </c>
      <c r="Z321" s="262">
        <f>IF(AND(ISNUMBER(Z319),ISNUMBER(U319)),Z319-U319,"")</f>
        <v>4.05</v>
      </c>
      <c r="AA321" s="262">
        <f>IF(AND(ISNUMBER(AA319),ISNUMBER(V319)),AA319-V319,"")</f>
        <v>-25.419</v>
      </c>
      <c r="AB321" s="262">
        <f>IF(AND(ISNUMBER(AB319),ISNUMBER(W319)),AB319-W319,"")</f>
        <v>-25.972</v>
      </c>
      <c r="AC321" s="262">
        <f>IF(AND(ISNUMBER(AC319),ISNUMBER(X319)),AC319-X319,"")</f>
        <v>-25.972</v>
      </c>
      <c r="AD321" s="262">
        <f>IF(AND(ISNUMBER(AD319),ISNUMBER(Y319)),AD319-Y319,"")</f>
        <v>-7.817</v>
      </c>
      <c r="AE321" s="262">
        <f>IF(AND(ISNUMBER(AE319),ISNUMBER(Z319)),AE319-Z319,"")</f>
        <v>-8.77899999999998</v>
      </c>
      <c r="AF321" s="262">
        <f>IF(AND(ISNUMBER(AF319),ISNUMBER(AA319)),AF319-AA319,"")</f>
        <v>3.877</v>
      </c>
      <c r="AG321" s="262">
        <f>IF(AND(ISNUMBER(AG319),ISNUMBER(AB319)),AG319-AB319,"")</f>
        <v>-1.97699999999998</v>
      </c>
      <c r="AH321" s="262">
        <f>IF(AND(ISNUMBER(AH319),ISNUMBER(AC319)),AH319-AC319,"")</f>
        <v>-1.97699999999998</v>
      </c>
      <c r="AI321" s="262">
        <f>IF(AND(ISNUMBER(AI319),ISNUMBER(AD319)),AI319-AD319,"")</f>
        <v>3.715</v>
      </c>
      <c r="AJ321" s="262">
        <f>IF(AND(ISNUMBER(AJ319),ISNUMBER(AE319)),AJ319-AE319,"")</f>
        <v>11.703</v>
      </c>
      <c r="AK321" s="262">
        <f>IF(AND(ISNUMBER(AK319),ISNUMBER(AF319)),AK319-AF319,"")</f>
        <v>3.87699999999998</v>
      </c>
      <c r="AL321" s="262">
        <f>IF(AND(ISNUMBER(AL319),ISNUMBER(AG319)),AL319-AG319,"")</f>
        <v>40.616</v>
      </c>
      <c r="AM321" s="262">
        <f>IF(AND(ISNUMBER(AM319),ISNUMBER(AH319)),AM319-AH319,"")</f>
        <v>40.616</v>
      </c>
      <c r="AN321" s="262">
        <f>IF(AND(ISNUMBER(AN319),ISNUMBER(AI319)),AN319-AI319,"")</f>
        <v>37.956</v>
      </c>
      <c r="AO321" s="262">
        <f>IF(AND(ISNUMBER(AO319),ISNUMBER(AJ319)),AO319-AJ319,"")</f>
        <v>53.69</v>
      </c>
      <c r="AP321" s="262">
        <f>IF(AND(ISNUMBER(AP319),ISNUMBER(AK319)),AP319-AK319,"")</f>
        <v>96.393</v>
      </c>
      <c r="AQ321" s="262">
        <f>IF(AND(ISNUMBER(AQ319),ISNUMBER(AL319)),AQ319-AL319,"")</f>
        <v>15.178</v>
      </c>
      <c r="AR321" s="262">
        <f>IF(AND(ISNUMBER(AR319),ISNUMBER(AM319)),AR319-AM319,"")</f>
        <v>15.178</v>
      </c>
      <c r="AS321" s="262">
        <f>IF(AND(ISNUMBER(AS319),ISNUMBER(AN319)),AS319-AN319,"")</f>
        <v>-2.85299999999999</v>
      </c>
      <c r="AT321" s="262">
        <f>IF(AND(ISNUMBER(AT319),ISNUMBER(AO319)),AT319-AO319,"")</f>
        <v>2.386</v>
      </c>
      <c r="AU321" s="262">
        <f>IF(AND(ISNUMBER(AU319),ISNUMBER(AP319)),AU319-AP319,"")</f>
        <v>-31.392</v>
      </c>
      <c r="AV321" s="262">
        <f>IF(AND(ISNUMBER(AV319),ISNUMBER(AQ319)),AV319-AQ319,"")</f>
        <v>-19.279</v>
      </c>
      <c r="AW321" s="262">
        <f>IF(AND(ISNUMBER(AW319),ISNUMBER(AR319)),AW319-AR319,"")</f>
        <v>-19.279</v>
      </c>
      <c r="AX321" s="262">
        <f>IF(AND(ISNUMBER(AX319),ISNUMBER(AS319)),AX319-AS319,"")</f>
        <v>15.991</v>
      </c>
      <c r="AY321" s="262">
        <f>IF(AND(ISNUMBER(AY319),ISNUMBER(AT319)),AY319-AT319,"")</f>
        <v>-25.4600000000001</v>
      </c>
      <c r="AZ321" s="262">
        <f>IF(AND(ISNUMBER(AZ319),ISNUMBER(AU319)),AZ319-AU319,"")</f>
        <v>-60.6519999999999</v>
      </c>
      <c r="BA321" s="262">
        <f>IF(AND(ISNUMBER(BA319),ISNUMBER(AV319)),BA319-AV319,"")</f>
        <v>-10.76</v>
      </c>
      <c r="BB321" s="262">
        <f>IF(AND(ISNUMBER(BB319),ISNUMBER(AW319)),BB319-AW319,"")</f>
        <v>-10.76</v>
      </c>
      <c r="BC321" s="262">
        <f>IF(AND(ISNUMBER(BC319),ISNUMBER(AX319)),BC319-AX319,"")</f>
        <v>-60.695</v>
      </c>
      <c r="BD321" s="262">
        <f>IF(AND(ISNUMBER(BD319),ISNUMBER(AY319)),BD319-AY319,"")</f>
        <v>-23.193</v>
      </c>
      <c r="BE321" s="262">
        <f>IF(AND(ISNUMBER(BE319),ISNUMBER(AZ319)),BE319-AZ319,"")</f>
        <v>39.8409999999999</v>
      </c>
      <c r="BF321" s="262">
        <f>IF(AND(ISNUMBER(BF319),ISNUMBER(BA319)),BF319-BA319,"")</f>
        <v>3.64100000000001</v>
      </c>
      <c r="BG321" s="262">
        <f>IF(AND(ISNUMBER(BG319),ISNUMBER(BB319)),BG319-BB319,"")</f>
        <v>3.64100000000001</v>
      </c>
      <c r="BH321" s="262">
        <f>IF(AND(ISNUMBER(BH319),ISNUMBER(BC319)),BH319-BC319,"")</f>
        <v>45.936</v>
      </c>
      <c r="BI321" s="262">
        <f>IF(AND(ISNUMBER(BI319),ISNUMBER(BD319)),BI319-BD319,"")</f>
        <v>62.0489999999999</v>
      </c>
      <c r="BJ321" s="262">
        <f>IF(AND(ISNUMBER(BJ319),ISNUMBER(BE319)),BJ319-BE319,"")</f>
        <v>69.703</v>
      </c>
      <c r="BK321" s="262">
        <f>IF(AND(ISNUMBER(BK319),ISNUMBER(BF319)),BK319-BF319,"")</f>
        <v>51.928</v>
      </c>
      <c r="BL321" s="262">
        <f>IF(AND(ISNUMBER(BL319),ISNUMBER(BG319)),BL319-BG319,"")</f>
        <v>51.928</v>
      </c>
      <c r="BM321" s="262">
        <f>IF(AND(ISNUMBER(BM319),ISNUMBER(BH319)),BM319-BH319,"")</f>
        <v>35.755</v>
      </c>
      <c r="BN321" s="262">
        <f>IF(AND(ISNUMBER(BN319),ISNUMBER(BI319)),BN319-BI319,"")</f>
        <v>88.408</v>
      </c>
      <c r="BO321" s="262">
        <f>IF(AND(ISNUMBER(BO319),ISNUMBER(BJ319)),BO319-BJ319,"")</f>
        <v>18.833</v>
      </c>
      <c r="BP321" s="262">
        <f>IF(AND(ISNUMBER(BP319),ISNUMBER(BK319)),BP319-BK319,"")</f>
        <v>-0.520999999999987</v>
      </c>
      <c r="BQ321" s="262">
        <f>IF(AND(ISNUMBER(BQ319),ISNUMBER(BL319)),BQ319-BL319,"")</f>
        <v>-0.520999999999987</v>
      </c>
      <c r="BR321" s="262">
        <f>IF(AND(ISNUMBER(BR319),ISNUMBER(BM319)),BR319-BM319,"")</f>
        <v>-29.4709999999999</v>
      </c>
      <c r="BS321" s="262">
        <f>IF(AND(ISNUMBER(BS319),ISNUMBER(BN319)),BS319-BN319,"")</f>
        <v>44.3420000000001</v>
      </c>
      <c r="BT321" s="262">
        <f>IF(AND(ISNUMBER(BT319),ISNUMBER(BO319)),BT319-BO319,"")</f>
        <v>-3.34400000000005</v>
      </c>
      <c r="BU321" s="262">
        <f>IF(AND(ISNUMBER(BU319),ISNUMBER(BP319)),BU319-BP319,"")</f>
        <v>19.894</v>
      </c>
      <c r="BV321" s="262">
        <f>IF(AND(ISNUMBER(BV319),ISNUMBER(BQ319)),BV319-BQ319,"")</f>
        <v>19.894</v>
      </c>
      <c r="BW321" s="262">
        <f>IF(AND(ISNUMBER(BW319),ISNUMBER(BR319)),BW319-BR319,"")</f>
        <v>89.1899999999999</v>
      </c>
      <c r="BX321" s="262">
        <f>IF(AND(ISNUMBER(BX319),ISNUMBER(BS319)),BX319-BS319,"")</f>
        <v>26.0370000000001</v>
      </c>
      <c r="BY321" s="262">
        <f>IF(AND(ISNUMBER(BY319),ISNUMBER(BT319)),BY319-BT319,"")</f>
        <v>38.396</v>
      </c>
      <c r="BZ321" s="35" t="n"/>
      <c r="CA321" s="254">
        <f>IF(AND(ISNUMBER(CA319),ISNUMBER(BV319)),CA319-BV319,"")</f>
        <v>19.8101643835616</v>
      </c>
      <c r="CB321" s="254">
        <f>IF(AND(ISNUMBER(CB319),ISNUMBER(CA319)),CB319-CA319,"")</f>
        <v>10.6864087752518</v>
      </c>
      <c r="CC321" s="254">
        <f>IF(AND(ISNUMBER(CC319),ISNUMBER(CB319)),CC319-CB319,"")</f>
        <v>11.5043564288424</v>
      </c>
      <c r="CD321" s="254">
        <f>IF(AND(ISNUMBER(CD319),ISNUMBER(CC319)),CD319-CC319,"")</f>
        <v>11.5926122070128</v>
      </c>
      <c r="CE321" s="254">
        <f>IF(AND(ISNUMBER(CE319),ISNUMBER(CD319)),CE319-CD319,"")</f>
        <v>11.8215949541147</v>
      </c>
      <c r="CF321" s="254">
        <f>IF(AND(ISNUMBER(CF319),ISNUMBER(CE319)),CF319-CE319,"")</f>
        <v>11.8967684492591</v>
      </c>
      <c r="CG321" s="19" t="n"/>
    </row>
    <row r="322" ht="15" customHeight="1" s="251">
      <c r="CO322" s="11" t="n"/>
      <c r="CP322" s="12" t="n"/>
      <c r="CQ322" s="12" t="n"/>
      <c r="CR322" s="12" t="n"/>
      <c r="CS322" s="13" t="n"/>
    </row>
    <row r="323" ht="15" customHeight="1" s="251">
      <c r="B323" s="10" t="inlineStr">
        <is>
          <t>BALANCE SHEET FORECAST SCHEDULES</t>
        </is>
      </c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0" t="n"/>
      <c r="BC323" s="10" t="n"/>
      <c r="BD323" s="10" t="n"/>
      <c r="BE323" s="10" t="n"/>
      <c r="BF323" s="10" t="n"/>
      <c r="BG323" s="10" t="n"/>
      <c r="BH323" s="10" t="n"/>
      <c r="BI323" s="10" t="n"/>
      <c r="BJ323" s="10" t="n"/>
      <c r="BK323" s="10" t="n"/>
      <c r="BL323" s="10" t="n"/>
      <c r="BM323" s="10" t="n"/>
      <c r="BN323" s="10" t="n"/>
      <c r="BO323" s="10" t="n"/>
      <c r="BP323" s="10" t="n"/>
      <c r="BQ323" s="10" t="n"/>
      <c r="BR323" s="10" t="n"/>
      <c r="BS323" s="10" t="n"/>
      <c r="BT323" s="10" t="n"/>
      <c r="BU323" s="10" t="n"/>
      <c r="BV323" s="10" t="n"/>
      <c r="BW323" s="10" t="n"/>
      <c r="BX323" s="10" t="n"/>
      <c r="BY323" s="10" t="n"/>
      <c r="BZ323" s="10" t="n"/>
      <c r="CA323" s="10" t="n"/>
      <c r="CB323" s="10" t="n"/>
      <c r="CC323" s="10" t="n"/>
      <c r="CD323" s="10" t="n"/>
      <c r="CE323" s="10" t="n"/>
      <c r="CF323" s="10" t="n"/>
      <c r="CG323" s="10" t="inlineStr">
        <is>
          <t>BS FORECAST SCHEDULES — explicit driver assumptions</t>
        </is>
      </c>
    </row>
    <row r="324" ht="15" customHeight="1" s="251">
      <c r="B324" s="25" t="inlineStr">
        <is>
          <t>Share count &amp; pricing</t>
        </is>
      </c>
      <c r="CG324" s="153" t="n"/>
    </row>
    <row r="325" ht="15" customHeight="1" s="251">
      <c r="B325" s="69" t="inlineStr">
        <is>
          <t xml:space="preserve">  Dilutive securities (m shares; options &amp; RSUs)</t>
        </is>
      </c>
      <c r="C325" s="44" t="n"/>
      <c r="D325" s="44" t="n"/>
      <c r="E325" s="44" t="n"/>
      <c r="F325" s="44" t="n"/>
      <c r="G325" s="44" t="n"/>
      <c r="H325" s="44" t="n"/>
      <c r="I325" s="44" t="n"/>
      <c r="J325" s="44" t="n"/>
      <c r="K325" s="44" t="n"/>
      <c r="L325" s="44" t="n"/>
      <c r="M325" s="44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44" t="n"/>
      <c r="X325" s="44" t="n"/>
      <c r="Y325" s="44" t="n"/>
      <c r="Z325" s="44" t="n"/>
      <c r="AA325" s="44" t="n"/>
      <c r="AB325" s="44" t="n"/>
      <c r="AC325" s="44" t="n"/>
      <c r="AD325" s="44" t="n"/>
      <c r="AE325" s="44" t="n"/>
      <c r="AF325" s="44" t="n"/>
      <c r="AG325" s="44" t="n"/>
      <c r="AH325" s="44" t="n"/>
      <c r="AI325" s="44" t="n"/>
      <c r="AJ325" s="44" t="n"/>
      <c r="AK325" s="44" t="n"/>
      <c r="AL325" s="44" t="n"/>
      <c r="AM325" s="44" t="n"/>
      <c r="AN325" s="44" t="n"/>
      <c r="AO325" s="44" t="n"/>
      <c r="AP325" s="44" t="n"/>
      <c r="AQ325" s="44" t="n"/>
      <c r="AR325" s="44" t="n"/>
      <c r="AS325" s="44" t="n"/>
      <c r="AT325" s="44" t="n"/>
      <c r="AU325" s="44" t="n"/>
      <c r="AV325" s="44" t="n"/>
      <c r="AW325" s="44" t="n"/>
      <c r="AX325" s="44" t="n"/>
      <c r="AY325" s="44" t="n"/>
      <c r="AZ325" s="44" t="n"/>
      <c r="BA325" s="44" t="n"/>
      <c r="BB325" s="44" t="n"/>
      <c r="BC325" s="44" t="n"/>
      <c r="BD325" s="44" t="n"/>
      <c r="BE325" s="44" t="n"/>
      <c r="BF325" s="44" t="n"/>
      <c r="BG325" s="44" t="n"/>
      <c r="BH325" s="44" t="n"/>
      <c r="BI325" s="44" t="n"/>
      <c r="BJ325" s="44" t="n"/>
      <c r="BK325" s="44" t="n"/>
      <c r="BL325" s="44" t="n"/>
      <c r="BM325" s="44" t="n"/>
      <c r="BN325" s="44" t="n"/>
      <c r="BO325" s="44" t="n"/>
      <c r="BP325" s="44" t="n"/>
      <c r="BQ325" s="44" t="n"/>
      <c r="BR325" s="44" t="n"/>
      <c r="BS325" s="44" t="n"/>
      <c r="BT325" s="44" t="n"/>
      <c r="BU325" s="44" t="n"/>
      <c r="BV325" s="44" t="n"/>
      <c r="BW325" s="44" t="n"/>
      <c r="BX325" s="44" t="n"/>
      <c r="BY325" s="44" t="n"/>
      <c r="BZ325" s="153" t="n"/>
      <c r="CA325" s="35" t="n"/>
      <c r="CB325" s="277" t="n">
        <v>0.1</v>
      </c>
      <c r="CC325" s="277" t="n">
        <v>0.1</v>
      </c>
      <c r="CD325" s="277" t="n">
        <v>0.1</v>
      </c>
      <c r="CE325" s="277" t="n">
        <v>0.1</v>
      </c>
      <c r="CF325" s="277" t="n">
        <v>0.1</v>
      </c>
      <c r="CG325" s="19" t="n"/>
    </row>
    <row r="326" ht="15" customHeight="1" s="251">
      <c r="B326" s="69" t="inlineStr">
        <is>
          <t xml:space="preserve">  Share-price appreciation % (buyback pricing)</t>
        </is>
      </c>
      <c r="C326" s="44" t="n"/>
      <c r="D326" s="44" t="n"/>
      <c r="E326" s="44" t="n"/>
      <c r="F326" s="44" t="n"/>
      <c r="G326" s="44" t="n"/>
      <c r="H326" s="44" t="n"/>
      <c r="I326" s="44" t="n"/>
      <c r="J326" s="44" t="n"/>
      <c r="K326" s="44" t="n"/>
      <c r="L326" s="44" t="n"/>
      <c r="M326" s="44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  <c r="AC326" s="44" t="n"/>
      <c r="AD326" s="44" t="n"/>
      <c r="AE326" s="44" t="n"/>
      <c r="AF326" s="44" t="n"/>
      <c r="AG326" s="44" t="n"/>
      <c r="AH326" s="44" t="n"/>
      <c r="AI326" s="44" t="n"/>
      <c r="AJ326" s="44" t="n"/>
      <c r="AK326" s="44" t="n"/>
      <c r="AL326" s="44" t="n"/>
      <c r="AM326" s="44" t="n"/>
      <c r="AN326" s="44" t="n"/>
      <c r="AO326" s="44" t="n"/>
      <c r="AP326" s="44" t="n"/>
      <c r="AQ326" s="44" t="n"/>
      <c r="AR326" s="44" t="n"/>
      <c r="AS326" s="44" t="n"/>
      <c r="AT326" s="44" t="n"/>
      <c r="AU326" s="44" t="n"/>
      <c r="AV326" s="44" t="n"/>
      <c r="AW326" s="44" t="n"/>
      <c r="AX326" s="44" t="n"/>
      <c r="AY326" s="44" t="n"/>
      <c r="AZ326" s="44" t="n"/>
      <c r="BA326" s="44" t="n"/>
      <c r="BB326" s="44" t="n"/>
      <c r="BC326" s="44" t="n"/>
      <c r="BD326" s="44" t="n"/>
      <c r="BE326" s="44" t="n"/>
      <c r="BF326" s="44" t="n"/>
      <c r="BG326" s="44" t="n"/>
      <c r="BH326" s="44" t="n"/>
      <c r="BI326" s="44" t="n"/>
      <c r="BJ326" s="44" t="n"/>
      <c r="BK326" s="44" t="n"/>
      <c r="BL326" s="44" t="n"/>
      <c r="BM326" s="44" t="n"/>
      <c r="BN326" s="44" t="n"/>
      <c r="BO326" s="44" t="n"/>
      <c r="BP326" s="44" t="n"/>
      <c r="BQ326" s="44" t="n"/>
      <c r="BR326" s="44" t="n"/>
      <c r="BS326" s="44" t="n"/>
      <c r="BT326" s="44" t="n"/>
      <c r="BU326" s="44" t="n"/>
      <c r="BV326" s="44" t="n"/>
      <c r="BW326" s="44" t="n"/>
      <c r="BX326" s="44" t="n"/>
      <c r="BY326" s="44" t="n"/>
      <c r="BZ326" s="153" t="n"/>
      <c r="CA326" s="35" t="n"/>
      <c r="CB326" s="265" t="n">
        <v>0.08</v>
      </c>
      <c r="CC326" s="265" t="n">
        <v>0.08</v>
      </c>
      <c r="CD326" s="265" t="n">
        <v>0.08</v>
      </c>
      <c r="CE326" s="265" t="n">
        <v>0.08</v>
      </c>
      <c r="CF326" s="265" t="n">
        <v>0.08</v>
      </c>
      <c r="CG326" s="19" t="n"/>
    </row>
    <row r="327" ht="15" customHeight="1" s="251">
      <c r="B327" s="25" t="inlineStr">
        <is>
          <t>Debt schedule (senior notes and term loan repaid at maturity / per amortization; revolver drawn or repaid to a minimum cash balance)</t>
        </is>
      </c>
      <c r="CG327" s="153" t="n"/>
    </row>
    <row r="328" ht="15" customHeight="1" s="251">
      <c r="B328" s="69" t="inlineStr">
        <is>
          <t xml:space="preserve">  Total debt (current maturities + long-term debt; carrying value)</t>
        </is>
      </c>
      <c r="C328" s="262">
        <f>IF(ISNUMBER(C302),N(C299)+C302,"")</f>
        <v>590.459</v>
      </c>
      <c r="D328" s="262">
        <f>IF(ISNUMBER(D302),N(D299)+D302,"")</f>
        <v>700.066</v>
      </c>
      <c r="E328" s="262">
        <f>IF(ISNUMBER(E302),N(E299)+E302,"")</f>
        <v>699.15</v>
      </c>
      <c r="F328" s="262">
        <f>IF(ISNUMBER(F302),N(F299)+F302,"")</f>
        <v>771.044</v>
      </c>
      <c r="G328" s="262">
        <f>IF(ISNUMBER(G302),N(G299)+G302,"")</f>
        <v>592.982</v>
      </c>
      <c r="H328" s="262">
        <f>IF(ISNUMBER(H302),N(H299)+H302,"")</f>
        <v>621.996</v>
      </c>
      <c r="I328" s="262">
        <f>IF(ISNUMBER(I302),N(I299)+I302,"")</f>
        <v>531.425</v>
      </c>
      <c r="J328" s="262">
        <f>IF(ISNUMBER(J302),N(J299)+J302,"")</f>
        <v>504</v>
      </c>
      <c r="K328" s="262">
        <f>IF(ISNUMBER(K302),N(K299)+K302,"")</f>
        <v>504</v>
      </c>
      <c r="L328" s="262">
        <f>IF(ISNUMBER(L302),N(L299)+L302,"")</f>
        <v>485</v>
      </c>
      <c r="M328" s="262">
        <f>IF(ISNUMBER(M302),N(M299)+M302,"")</f>
        <v>470</v>
      </c>
      <c r="N328" s="262">
        <f>IF(ISNUMBER(N302),N(N299)+N302,"")</f>
        <v>470</v>
      </c>
      <c r="O328" s="262">
        <f>IF(ISNUMBER(O302),N(O299)+O302,"")</f>
        <v>478</v>
      </c>
      <c r="P328" s="262">
        <f>IF(ISNUMBER(P302),N(P299)+P302,"")</f>
        <v>483</v>
      </c>
      <c r="Q328" s="262">
        <f>IF(ISNUMBER(Q302),N(Q299)+Q302,"")</f>
        <v>530</v>
      </c>
      <c r="R328" s="262">
        <f>IF(ISNUMBER(R302),N(R299)+R302,"")</f>
        <v>546</v>
      </c>
      <c r="S328" s="262">
        <f>IF(ISNUMBER(S302),N(S299)+S302,"")</f>
        <v>546</v>
      </c>
      <c r="T328" s="262">
        <f>IF(ISNUMBER(T302),N(T299)+T302,"")</f>
        <v>607</v>
      </c>
      <c r="U328" s="262">
        <f>IF(ISNUMBER(U302),N(U299)+U302,"")</f>
        <v>658</v>
      </c>
      <c r="V328" s="262">
        <f>IF(ISNUMBER(V302),N(V299)+V302,"")</f>
        <v>648</v>
      </c>
      <c r="W328" s="262">
        <f>IF(ISNUMBER(W302),N(W299)+W302,"")</f>
        <v>608</v>
      </c>
      <c r="X328" s="262">
        <f>IF(ISNUMBER(X302),N(X299)+X302,"")</f>
        <v>608</v>
      </c>
      <c r="Y328" s="262">
        <f>IF(ISNUMBER(Y302),N(Y299)+Y302,"")</f>
        <v>619</v>
      </c>
      <c r="Z328" s="262">
        <f>IF(ISNUMBER(Z302),N(Z299)+Z302,"")</f>
        <v>611</v>
      </c>
      <c r="AA328" s="262">
        <f>IF(ISNUMBER(AA302),N(AA299)+AA302,"")</f>
        <v>601</v>
      </c>
      <c r="AB328" s="262">
        <f>IF(ISNUMBER(AB302),N(AB299)+AB302,"")</f>
        <v>571</v>
      </c>
      <c r="AC328" s="262">
        <f>IF(ISNUMBER(AC302),N(AC299)+AC302,"")</f>
        <v>571</v>
      </c>
      <c r="AD328" s="262">
        <f>IF(ISNUMBER(AD302),N(AD299)+AD302,"")</f>
        <v>620.672</v>
      </c>
      <c r="AE328" s="262">
        <f>IF(ISNUMBER(AE302),N(AE299)+AE302,"")</f>
        <v>625.72</v>
      </c>
      <c r="AF328" s="262">
        <f>IF(ISNUMBER(AF302),N(AF299)+AF302,"")</f>
        <v>611.767</v>
      </c>
      <c r="AG328" s="262">
        <f>IF(ISNUMBER(AG302),N(AG299)+AG302,"")</f>
        <v>604.801</v>
      </c>
      <c r="AH328" s="262">
        <f>IF(ISNUMBER(AH302),N(AH299)+AH302,"")</f>
        <v>604.801</v>
      </c>
      <c r="AI328" s="262">
        <f>IF(ISNUMBER(AI302),N(AI299)+AI302,"")</f>
        <v>663.834</v>
      </c>
      <c r="AJ328" s="262">
        <f>IF(ISNUMBER(AJ302),N(AJ299)+AJ302,"")</f>
        <v>703.868</v>
      </c>
      <c r="AK328" s="262">
        <f>IF(ISNUMBER(AK302),N(AK299)+AK302,"")</f>
        <v>758.713</v>
      </c>
      <c r="AL328" s="262">
        <f>IF(ISNUMBER(AL302),N(AL299)+AL302,"")</f>
        <v>763.944</v>
      </c>
      <c r="AM328" s="262">
        <f>IF(ISNUMBER(AM302),N(AM299)+AM302,"")</f>
        <v>763.944</v>
      </c>
      <c r="AN328" s="262">
        <f>IF(ISNUMBER(AN302),N(AN299)+AN302,"")</f>
        <v>832.157</v>
      </c>
      <c r="AO328" s="262">
        <f>IF(ISNUMBER(AO302),N(AO299)+AO302,"")</f>
        <v>822.369</v>
      </c>
      <c r="AP328" s="262">
        <f>IF(ISNUMBER(AP302),N(AP299)+AP302,"")</f>
        <v>822.582</v>
      </c>
      <c r="AQ328" s="262">
        <f>IF(ISNUMBER(AQ302),N(AQ299)+AQ302,"")</f>
        <v>824.79</v>
      </c>
      <c r="AR328" s="262">
        <f>IF(ISNUMBER(AR302),N(AR299)+AR302,"")</f>
        <v>824.79</v>
      </c>
      <c r="AS328" s="262">
        <f>IF(ISNUMBER(AS302),N(AS299)+AS302,"")</f>
        <v>918.259</v>
      </c>
      <c r="AT328" s="262">
        <f>IF(ISNUMBER(AT302),N(AT299)+AT302,"")</f>
        <v>947.632</v>
      </c>
      <c r="AU328" s="262">
        <f>IF(ISNUMBER(AU302),N(AU299)+AU302,"")</f>
        <v>927.039</v>
      </c>
      <c r="AV328" s="262">
        <f>IF(ISNUMBER(AV302),N(AV299)+AV302,"")</f>
        <v>834.435</v>
      </c>
      <c r="AW328" s="262">
        <f>IF(ISNUMBER(AW302),N(AW299)+AW302,"")</f>
        <v>834.435</v>
      </c>
      <c r="AX328" s="262">
        <f>IF(ISNUMBER(AX302),N(AX299)+AX302,"")</f>
        <v>870.831</v>
      </c>
      <c r="AY328" s="262">
        <f>IF(ISNUMBER(AY302),N(AY299)+AY302,"")</f>
        <v>965.226</v>
      </c>
      <c r="AZ328" s="262">
        <f>IF(ISNUMBER(AZ302),N(AZ299)+AZ302,"")</f>
        <v>1056.622</v>
      </c>
      <c r="BA328" s="262">
        <f>IF(ISNUMBER(BA302),N(BA299)+BA302,"")</f>
        <v>1259.018</v>
      </c>
      <c r="BB328" s="262">
        <f>IF(ISNUMBER(BB302),N(BB299)+BB302,"")</f>
        <v>1259.018</v>
      </c>
      <c r="BC328" s="262">
        <f>IF(ISNUMBER(BC302),N(BC299)+BC302,"")</f>
        <v>1633.292</v>
      </c>
      <c r="BD328" s="262">
        <f>IF(ISNUMBER(BD302),N(BD299)+BD302,"")</f>
        <v>1794.674</v>
      </c>
      <c r="BE328" s="262">
        <f>IF(ISNUMBER(BE302),N(BE299)+BE302,"")</f>
        <v>1956.671</v>
      </c>
      <c r="BF328" s="262">
        <f>IF(ISNUMBER(BF302),N(BF299)+BF302,"")</f>
        <v>1853.669</v>
      </c>
      <c r="BG328" s="262">
        <f>IF(ISNUMBER(BG302),N(BG299)+BG302,"")</f>
        <v>1853.669</v>
      </c>
      <c r="BH328" s="262">
        <f>IF(ISNUMBER(BH302),N(BH299)+BH302,"")</f>
        <v>1920.666</v>
      </c>
      <c r="BI328" s="262">
        <f>IF(ISNUMBER(BI302),N(BI299)+BI302,"")</f>
        <v>1924.663</v>
      </c>
      <c r="BJ328" s="262">
        <f>IF(ISNUMBER(BJ302),N(BJ299)+BJ302,"")</f>
        <v>1929.66</v>
      </c>
      <c r="BK328" s="262">
        <f>IF(ISNUMBER(BK302),N(BK299)+BK302,"")</f>
        <v>1861.658</v>
      </c>
      <c r="BL328" s="262">
        <f>IF(ISNUMBER(BL302),N(BL299)+BL302,"")</f>
        <v>1861.658</v>
      </c>
      <c r="BM328" s="262">
        <f>IF(ISNUMBER(BM302),N(BM299)+BM302,"")</f>
        <v>1961.655</v>
      </c>
      <c r="BN328" s="262">
        <f>IF(ISNUMBER(BN302),N(BN299)+BN302,"")</f>
        <v>2043.652</v>
      </c>
      <c r="BO328" s="262">
        <f>IF(ISNUMBER(BO302),N(BO299)+BO302,"")</f>
        <v>2119.943</v>
      </c>
      <c r="BP328" s="262">
        <f>IF(ISNUMBER(BP302),N(BP299)+BP302,"")</f>
        <v>2209.021</v>
      </c>
      <c r="BQ328" s="262">
        <f>IF(ISNUMBER(BQ302),N(BQ299)+BQ302,"")</f>
        <v>2209.021</v>
      </c>
      <c r="BR328" s="262">
        <f>IF(ISNUMBER(BR302),N(BR299)+BR302,"")</f>
        <v>2421.1</v>
      </c>
      <c r="BS328" s="262">
        <f>IF(ISNUMBER(BS302),N(BS299)+BS302,"")</f>
        <v>2528.179</v>
      </c>
      <c r="BT328" s="262">
        <f>IF(ISNUMBER(BT302),N(BT299)+BT302,"")</f>
        <v>2779.554</v>
      </c>
      <c r="BU328" s="262">
        <f>IF(ISNUMBER(BU302),N(BU299)+BU302,"")</f>
        <v>3055.691</v>
      </c>
      <c r="BV328" s="262">
        <f>IF(ISNUMBER(BV302),N(BV299)+BV302,"")</f>
        <v>3055.691</v>
      </c>
      <c r="BW328" s="262">
        <f>IF(ISNUMBER(BW302),N(BW299)+BW302,"")</f>
        <v>3196.829</v>
      </c>
      <c r="BX328" s="262">
        <f>IF(ISNUMBER(BX302),N(BX299)+BX302,"")</f>
        <v>3639.063</v>
      </c>
      <c r="BY328" s="262">
        <f>IF(ISNUMBER(BY302),N(BY299)+BY302,"")</f>
        <v>5582.389</v>
      </c>
      <c r="BZ328" s="153" t="n"/>
      <c r="CA328" s="254">
        <f>CA329+CA332+CA340</f>
        <v>5528.60325580248</v>
      </c>
      <c r="CB328" s="254">
        <f>CB329+CB332+CB340</f>
        <v>5522.70519162973</v>
      </c>
      <c r="CC328" s="254">
        <f>CC329+CC332+CC340</f>
        <v>6156.7460513353</v>
      </c>
      <c r="CD328" s="254">
        <f>CD329+CD332+CD340</f>
        <v>6778.83043221606</v>
      </c>
      <c r="CE328" s="254">
        <f>CE329+CE332+CE340</f>
        <v>7374.71176985424</v>
      </c>
      <c r="CF328" s="254">
        <f>CF329+CF332+CF340</f>
        <v>7968.84126474711</v>
      </c>
      <c r="CG328" s="19" t="inlineStr">
        <is>
          <t>Q3 FY26 10-Q Note 6 (Debt) and MD&amp;A Capital Resources, https://www.sec.gov/Archives/edgar/data/814547/000081454726000030/fico-20260630.htm; 8-K 5-Jun-2026 (term loan); 8-Ks 11-Mar-2026 (2026 Senior Notes pricing)</t>
        </is>
      </c>
    </row>
    <row r="329" ht="15" customHeight="1" s="251">
      <c r="B329" s="69" t="inlineStr">
        <is>
          <t xml:space="preserve">  Senior notes (carrying value; 30-Jun-2026 = total debt − term loan − revolver)</t>
        </is>
      </c>
      <c r="C329" s="262">
        <f>IF(AND(ISNUMBER(C332),ISNUMBER(C340)),C328-C332-C340,"")</f>
      </c>
      <c r="D329" s="262">
        <f>IF(AND(ISNUMBER(D332),ISNUMBER(D340)),D328-D332-D340,"")</f>
      </c>
      <c r="E329" s="262">
        <f>IF(AND(ISNUMBER(E332),ISNUMBER(E340)),E328-E332-E340,"")</f>
      </c>
      <c r="F329" s="262">
        <f>IF(AND(ISNUMBER(F332),ISNUMBER(F340)),F328-F332-F340,"")</f>
      </c>
      <c r="G329" s="262">
        <f>IF(AND(ISNUMBER(G332),ISNUMBER(G340)),G328-G332-G340,"")</f>
      </c>
      <c r="H329" s="262">
        <f>IF(AND(ISNUMBER(H332),ISNUMBER(H340)),H328-H332-H340,"")</f>
      </c>
      <c r="I329" s="262">
        <f>IF(AND(ISNUMBER(I332),ISNUMBER(I340)),I328-I332-I340,"")</f>
      </c>
      <c r="J329" s="262">
        <f>IF(AND(ISNUMBER(J332),ISNUMBER(J340)),J328-J332-J340,"")</f>
      </c>
      <c r="K329" s="262">
        <f>IF(AND(ISNUMBER(K332),ISNUMBER(K340)),K328-K332-K340,"")</f>
      </c>
      <c r="L329" s="262">
        <f>IF(AND(ISNUMBER(L332),ISNUMBER(L340)),L328-L332-L340,"")</f>
      </c>
      <c r="M329" s="262">
        <f>IF(AND(ISNUMBER(M332),ISNUMBER(M340)),M328-M332-M340,"")</f>
      </c>
      <c r="N329" s="262">
        <f>IF(AND(ISNUMBER(N332),ISNUMBER(N340)),N328-N332-N340,"")</f>
      </c>
      <c r="O329" s="262">
        <f>IF(AND(ISNUMBER(O332),ISNUMBER(O340)),O328-O332-O340,"")</f>
      </c>
      <c r="P329" s="262">
        <f>IF(AND(ISNUMBER(P332),ISNUMBER(P340)),P328-P332-P340,"")</f>
      </c>
      <c r="Q329" s="262">
        <f>IF(AND(ISNUMBER(Q332),ISNUMBER(Q340)),Q328-Q332-Q340,"")</f>
      </c>
      <c r="R329" s="262">
        <f>IF(AND(ISNUMBER(R332),ISNUMBER(R340)),R328-R332-R340,"")</f>
      </c>
      <c r="S329" s="262">
        <f>IF(AND(ISNUMBER(S332),ISNUMBER(S340)),S328-S332-S340,"")</f>
      </c>
      <c r="T329" s="262">
        <f>IF(AND(ISNUMBER(T332),ISNUMBER(T340)),T328-T332-T340,"")</f>
      </c>
      <c r="U329" s="262">
        <f>IF(AND(ISNUMBER(U332),ISNUMBER(U340)),U328-U332-U340,"")</f>
      </c>
      <c r="V329" s="262">
        <f>IF(AND(ISNUMBER(V332),ISNUMBER(V340)),V328-V332-V340,"")</f>
      </c>
      <c r="W329" s="262">
        <f>IF(AND(ISNUMBER(W332),ISNUMBER(W340)),W328-W332-W340,"")</f>
      </c>
      <c r="X329" s="262">
        <f>IF(AND(ISNUMBER(X332),ISNUMBER(X340)),X328-X332-X340,"")</f>
      </c>
      <c r="Y329" s="262">
        <f>IF(AND(ISNUMBER(Y332),ISNUMBER(Y340)),Y328-Y332-Y340,"")</f>
      </c>
      <c r="Z329" s="262">
        <f>IF(AND(ISNUMBER(Z332),ISNUMBER(Z340)),Z328-Z332-Z340,"")</f>
      </c>
      <c r="AA329" s="262">
        <f>IF(AND(ISNUMBER(AA332),ISNUMBER(AA340)),AA328-AA332-AA340,"")</f>
      </c>
      <c r="AB329" s="262">
        <f>IF(AND(ISNUMBER(AB332),ISNUMBER(AB340)),AB328-AB332-AB340,"")</f>
      </c>
      <c r="AC329" s="262">
        <f>IF(AND(ISNUMBER(AC332),ISNUMBER(AC340)),AC328-AC332-AC340,"")</f>
      </c>
      <c r="AD329" s="262">
        <f>IF(AND(ISNUMBER(AD332),ISNUMBER(AD340)),AD328-AD332-AD340,"")</f>
      </c>
      <c r="AE329" s="262">
        <f>IF(AND(ISNUMBER(AE332),ISNUMBER(AE340)),AE328-AE332-AE340,"")</f>
      </c>
      <c r="AF329" s="262">
        <f>IF(AND(ISNUMBER(AF332),ISNUMBER(AF340)),AF328-AF332-AF340,"")</f>
      </c>
      <c r="AG329" s="262">
        <f>IF(AND(ISNUMBER(AG332),ISNUMBER(AG340)),AG328-AG332-AG340,"")</f>
      </c>
      <c r="AH329" s="262">
        <f>IF(AND(ISNUMBER(AH332),ISNUMBER(AH340)),AH328-AH332-AH340,"")</f>
      </c>
      <c r="AI329" s="262">
        <f>IF(AND(ISNUMBER(AI332),ISNUMBER(AI340)),AI328-AI332-AI340,"")</f>
      </c>
      <c r="AJ329" s="262">
        <f>IF(AND(ISNUMBER(AJ332),ISNUMBER(AJ340)),AJ328-AJ332-AJ340,"")</f>
      </c>
      <c r="AK329" s="262">
        <f>IF(AND(ISNUMBER(AK332),ISNUMBER(AK340)),AK328-AK332-AK340,"")</f>
      </c>
      <c r="AL329" s="262">
        <f>IF(AND(ISNUMBER(AL332),ISNUMBER(AL340)),AL328-AL332-AL340,"")</f>
      </c>
      <c r="AM329" s="262">
        <f>IF(AND(ISNUMBER(AM332),ISNUMBER(AM340)),AM328-AM332-AM340,"")</f>
      </c>
      <c r="AN329" s="262">
        <f>IF(AND(ISNUMBER(AN332),ISNUMBER(AN340)),AN328-AN332-AN340,"")</f>
      </c>
      <c r="AO329" s="262">
        <f>IF(AND(ISNUMBER(AO332),ISNUMBER(AO340)),AO328-AO332-AO340,"")</f>
      </c>
      <c r="AP329" s="262">
        <f>IF(AND(ISNUMBER(AP332),ISNUMBER(AP340)),AP328-AP332-AP340,"")</f>
      </c>
      <c r="AQ329" s="262">
        <f>IF(AND(ISNUMBER(AQ332),ISNUMBER(AQ340)),AQ328-AQ332-AQ340,"")</f>
      </c>
      <c r="AR329" s="262">
        <f>IF(AND(ISNUMBER(AR332),ISNUMBER(AR340)),AR328-AR332-AR340,"")</f>
      </c>
      <c r="AS329" s="262">
        <f>IF(AND(ISNUMBER(AS332),ISNUMBER(AS340)),AS328-AS332-AS340,"")</f>
      </c>
      <c r="AT329" s="262">
        <f>IF(AND(ISNUMBER(AT332),ISNUMBER(AT340)),AT328-AT332-AT340,"")</f>
      </c>
      <c r="AU329" s="262">
        <f>IF(AND(ISNUMBER(AU332),ISNUMBER(AU340)),AU328-AU332-AU340,"")</f>
      </c>
      <c r="AV329" s="262">
        <f>IF(AND(ISNUMBER(AV332),ISNUMBER(AV340)),AV328-AV332-AV340,"")</f>
      </c>
      <c r="AW329" s="262">
        <f>IF(AND(ISNUMBER(AW332),ISNUMBER(AW340)),AW328-AW332-AW340,"")</f>
      </c>
      <c r="AX329" s="262">
        <f>IF(AND(ISNUMBER(AX332),ISNUMBER(AX340)),AX328-AX332-AX340,"")</f>
      </c>
      <c r="AY329" s="262">
        <f>IF(AND(ISNUMBER(AY332),ISNUMBER(AY340)),AY328-AY332-AY340,"")</f>
      </c>
      <c r="AZ329" s="262">
        <f>IF(AND(ISNUMBER(AZ332),ISNUMBER(AZ340)),AZ328-AZ332-AZ340,"")</f>
      </c>
      <c r="BA329" s="262">
        <f>IF(AND(ISNUMBER(BA332),ISNUMBER(BA340)),BA328-BA332-BA340,"")</f>
      </c>
      <c r="BB329" s="262">
        <f>IF(AND(ISNUMBER(BB332),ISNUMBER(BB340)),BB328-BB332-BB340,"")</f>
      </c>
      <c r="BC329" s="262">
        <f>IF(AND(ISNUMBER(BC332),ISNUMBER(BC340)),BC328-BC332-BC340,"")</f>
      </c>
      <c r="BD329" s="262">
        <f>IF(AND(ISNUMBER(BD332),ISNUMBER(BD340)),BD328-BD332-BD340,"")</f>
      </c>
      <c r="BE329" s="262">
        <f>IF(AND(ISNUMBER(BE332),ISNUMBER(BE340)),BE328-BE332-BE340,"")</f>
      </c>
      <c r="BF329" s="262">
        <f>IF(AND(ISNUMBER(BF332),ISNUMBER(BF340)),BF328-BF332-BF340,"")</f>
      </c>
      <c r="BG329" s="262">
        <f>IF(AND(ISNUMBER(BG332),ISNUMBER(BG340)),BG328-BG332-BG340,"")</f>
      </c>
      <c r="BH329" s="262">
        <f>IF(AND(ISNUMBER(BH332),ISNUMBER(BH340)),BH328-BH332-BH340,"")</f>
      </c>
      <c r="BI329" s="262">
        <f>IF(AND(ISNUMBER(BI332),ISNUMBER(BI340)),BI328-BI332-BI340,"")</f>
      </c>
      <c r="BJ329" s="262">
        <f>IF(AND(ISNUMBER(BJ332),ISNUMBER(BJ340)),BJ328-BJ332-BJ340,"")</f>
      </c>
      <c r="BK329" s="262">
        <f>IF(AND(ISNUMBER(BK332),ISNUMBER(BK340)),BK328-BK332-BK340,"")</f>
      </c>
      <c r="BL329" s="262">
        <f>IF(AND(ISNUMBER(BL332),ISNUMBER(BL340)),BL328-BL332-BL340,"")</f>
      </c>
      <c r="BM329" s="262">
        <f>IF(AND(ISNUMBER(BM332),ISNUMBER(BM340)),BM328-BM332-BM340,"")</f>
      </c>
      <c r="BN329" s="262">
        <f>IF(AND(ISNUMBER(BN332),ISNUMBER(BN340)),BN328-BN332-BN340,"")</f>
      </c>
      <c r="BO329" s="262">
        <f>IF(AND(ISNUMBER(BO332),ISNUMBER(BO340)),BO328-BO332-BO340,"")</f>
      </c>
      <c r="BP329" s="262">
        <f>IF(AND(ISNUMBER(BP332),ISNUMBER(BP340)),BP328-BP332-BP340,"")</f>
      </c>
      <c r="BQ329" s="262">
        <f>IF(AND(ISNUMBER(BQ332),ISNUMBER(BQ340)),BQ328-BQ332-BQ340,"")</f>
      </c>
      <c r="BR329" s="262">
        <f>IF(AND(ISNUMBER(BR332),ISNUMBER(BR340)),BR328-BR332-BR340,"")</f>
      </c>
      <c r="BS329" s="262">
        <f>IF(AND(ISNUMBER(BS332),ISNUMBER(BS340)),BS328-BS332-BS340,"")</f>
      </c>
      <c r="BT329" s="262">
        <f>IF(AND(ISNUMBER(BT332),ISNUMBER(BT340)),BT328-BT332-BT340,"")</f>
      </c>
      <c r="BU329" s="262">
        <f>IF(AND(ISNUMBER(BU332),ISNUMBER(BU340)),BU328-BU332-BU340,"")</f>
      </c>
      <c r="BV329" s="262">
        <f>IF(AND(ISNUMBER(BV332),ISNUMBER(BV340)),BV328-BV332-BV340,"")</f>
      </c>
      <c r="BW329" s="262">
        <f>IF(AND(ISNUMBER(BW332),ISNUMBER(BW340)),BW328-BW332-BW340,"")</f>
      </c>
      <c r="BX329" s="262">
        <f>IF(AND(ISNUMBER(BX332),ISNUMBER(BX340)),BX328-BX332-BX340,"")</f>
      </c>
      <c r="BY329" s="262">
        <f>IF(AND(ISNUMBER(BY332),ISNUMBER(BY340)),BY328-BY332-BY340,"")</f>
        <v>3372.389</v>
      </c>
      <c r="BZ329" s="153" t="n"/>
      <c r="CA329" s="254">
        <f>BY329-CA331+CA330</f>
        <v>3372.389</v>
      </c>
      <c r="CB329" s="254">
        <f>CA329-CB331+CB330+CB339</f>
        <v>3685.20519162973</v>
      </c>
      <c r="CC329" s="254">
        <f>CB329-CC331+CC330+CC339</f>
        <v>5406.7460513353</v>
      </c>
      <c r="CD329" s="254">
        <f>CC329-CD331+CD330+CD339</f>
        <v>6028.83043221606</v>
      </c>
      <c r="CE329" s="254">
        <f>CD329-CE331+CE330+CE339</f>
        <v>6624.71176985424</v>
      </c>
      <c r="CF329" s="254">
        <f>CE329-CF331+CF330+CF339</f>
        <v>7218.84126474711</v>
      </c>
      <c r="CG329" s="19" t="inlineStr">
        <is>
          <t>$900m 4.00% due 15-Jun-2028; $1.5bn 6.00% due 15-May-2033; $1.0bn 6.25% due 15-Sep-2034 (the 5.25% 2018 notes were redeemed 26-Mar-2026).</t>
        </is>
      </c>
    </row>
    <row r="330" ht="15" customHeight="1" s="251">
      <c r="B330" s="69" t="inlineStr">
        <is>
          <t xml:space="preserve">  New senior notes issued (input)</t>
        </is>
      </c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  <c r="AC330" s="44" t="n"/>
      <c r="AD330" s="44" t="n"/>
      <c r="AE330" s="44" t="n"/>
      <c r="AF330" s="44" t="n"/>
      <c r="AG330" s="44" t="n"/>
      <c r="AH330" s="44" t="n"/>
      <c r="AI330" s="44" t="n"/>
      <c r="AJ330" s="44" t="n"/>
      <c r="AK330" s="44" t="n"/>
      <c r="AL330" s="44" t="n"/>
      <c r="AM330" s="44" t="n"/>
      <c r="AN330" s="44" t="n"/>
      <c r="AO330" s="44" t="n"/>
      <c r="AP330" s="44" t="n"/>
      <c r="AQ330" s="44" t="n"/>
      <c r="AR330" s="44" t="n"/>
      <c r="AS330" s="44" t="n"/>
      <c r="AT330" s="44" t="n"/>
      <c r="AU330" s="44" t="n"/>
      <c r="AV330" s="44" t="n"/>
      <c r="AW330" s="44" t="n"/>
      <c r="AX330" s="44" t="n"/>
      <c r="AY330" s="44" t="n"/>
      <c r="AZ330" s="44" t="n"/>
      <c r="BA330" s="44" t="n"/>
      <c r="BB330" s="44" t="n"/>
      <c r="BC330" s="44" t="n"/>
      <c r="BD330" s="44" t="n"/>
      <c r="BE330" s="44" t="n"/>
      <c r="BF330" s="44" t="n"/>
      <c r="BG330" s="44" t="n"/>
      <c r="BH330" s="44" t="n"/>
      <c r="BI330" s="44" t="n"/>
      <c r="BJ330" s="44" t="n"/>
      <c r="BK330" s="44" t="n"/>
      <c r="BL330" s="44" t="n"/>
      <c r="BM330" s="44" t="n"/>
      <c r="BN330" s="44" t="n"/>
      <c r="BO330" s="44" t="n"/>
      <c r="BP330" s="44" t="n"/>
      <c r="BQ330" s="44" t="n"/>
      <c r="BR330" s="44" t="n"/>
      <c r="BS330" s="44" t="n"/>
      <c r="BT330" s="44" t="n"/>
      <c r="BU330" s="44" t="n"/>
      <c r="BV330" s="44" t="n"/>
      <c r="BW330" s="44" t="n"/>
      <c r="BX330" s="44" t="n"/>
      <c r="BY330" s="44" t="n"/>
      <c r="BZ330" s="153" t="n"/>
      <c r="CA330" s="277" t="n">
        <v>0</v>
      </c>
      <c r="CB330" s="277" t="n">
        <v>0</v>
      </c>
      <c r="CC330" s="277" t="n">
        <v>1762.5</v>
      </c>
      <c r="CD330" s="277" t="n">
        <v>0</v>
      </c>
      <c r="CE330" s="277" t="n">
        <v>0</v>
      </c>
      <c r="CF330" s="277" t="n">
        <v>0</v>
      </c>
      <c r="CG330" s="19" t="inlineStr">
        <is>
          <t>FY2028: assumed refinancing of the June-2028 notes and the term-loan balance due May-2028 with new notes (assumption).</t>
        </is>
      </c>
    </row>
    <row r="331" ht="15" customHeight="1" s="251">
      <c r="B331" s="69" t="inlineStr">
        <is>
          <t xml:space="preserve">  Senior notes repaid at maturity (input)</t>
        </is>
      </c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  <c r="Z331" s="44" t="n"/>
      <c r="AA331" s="44" t="n"/>
      <c r="AB331" s="44" t="n"/>
      <c r="AC331" s="44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  <c r="AQ331" s="44" t="n"/>
      <c r="AR331" s="44" t="n"/>
      <c r="AS331" s="44" t="n"/>
      <c r="AT331" s="44" t="n"/>
      <c r="AU331" s="44" t="n"/>
      <c r="AV331" s="44" t="n"/>
      <c r="AW331" s="44" t="n"/>
      <c r="AX331" s="44" t="n"/>
      <c r="AY331" s="44" t="n"/>
      <c r="AZ331" s="44" t="n"/>
      <c r="BA331" s="44" t="n"/>
      <c r="BB331" s="44" t="n"/>
      <c r="BC331" s="44" t="n"/>
      <c r="BD331" s="44" t="n"/>
      <c r="BE331" s="44" t="n"/>
      <c r="BF331" s="44" t="n"/>
      <c r="BG331" s="44" t="n"/>
      <c r="BH331" s="44" t="n"/>
      <c r="BI331" s="44" t="n"/>
      <c r="BJ331" s="44" t="n"/>
      <c r="BK331" s="44" t="n"/>
      <c r="BL331" s="44" t="n"/>
      <c r="BM331" s="44" t="n"/>
      <c r="BN331" s="44" t="n"/>
      <c r="BO331" s="44" t="n"/>
      <c r="BP331" s="44" t="n"/>
      <c r="BQ331" s="44" t="n"/>
      <c r="BR331" s="44" t="n"/>
      <c r="BS331" s="44" t="n"/>
      <c r="BT331" s="44" t="n"/>
      <c r="BU331" s="44" t="n"/>
      <c r="BV331" s="44" t="n"/>
      <c r="BW331" s="44" t="n"/>
      <c r="BX331" s="44" t="n"/>
      <c r="BY331" s="44" t="n"/>
      <c r="BZ331" s="153" t="n"/>
      <c r="CA331" s="277" t="n">
        <v>0</v>
      </c>
      <c r="CB331" s="277" t="n">
        <v>0</v>
      </c>
      <c r="CC331" s="277" t="n">
        <v>900</v>
      </c>
      <c r="CD331" s="277" t="n">
        <v>0</v>
      </c>
      <c r="CE331" s="277" t="n">
        <v>0</v>
      </c>
      <c r="CF331" s="277" t="n">
        <v>0</v>
      </c>
      <c r="CG331" s="19" t="n"/>
    </row>
    <row r="332" ht="15" customHeight="1" s="251">
      <c r="B332" s="69" t="inlineStr">
        <is>
          <t xml:space="preserve">  Term loan (June-2026, $1.5bn; SOFR + 1.50–2.25%)</t>
        </is>
      </c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  <c r="AC332" s="44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  <c r="AQ332" s="44" t="n"/>
      <c r="AR332" s="44" t="n"/>
      <c r="AS332" s="44" t="n"/>
      <c r="AT332" s="44" t="n"/>
      <c r="AU332" s="44" t="n"/>
      <c r="AV332" s="44" t="n"/>
      <c r="AW332" s="44" t="n"/>
      <c r="AX332" s="44" t="n"/>
      <c r="AY332" s="44" t="n"/>
      <c r="AZ332" s="44" t="n"/>
      <c r="BA332" s="44" t="n"/>
      <c r="BB332" s="44" t="n"/>
      <c r="BC332" s="44" t="n"/>
      <c r="BD332" s="44" t="n"/>
      <c r="BE332" s="44" t="n"/>
      <c r="BF332" s="44" t="n"/>
      <c r="BG332" s="44" t="n"/>
      <c r="BH332" s="44" t="n"/>
      <c r="BI332" s="44" t="n"/>
      <c r="BJ332" s="44" t="n"/>
      <c r="BK332" s="44" t="n"/>
      <c r="BL332" s="44" t="n"/>
      <c r="BM332" s="44" t="n"/>
      <c r="BN332" s="44" t="n"/>
      <c r="BO332" s="44" t="n"/>
      <c r="BP332" s="44" t="n"/>
      <c r="BQ332" s="44" t="n"/>
      <c r="BR332" s="44" t="n"/>
      <c r="BS332" s="44" t="n"/>
      <c r="BT332" s="44" t="n"/>
      <c r="BU332" s="44" t="n"/>
      <c r="BV332" s="44" t="n"/>
      <c r="BW332" s="44" t="n"/>
      <c r="BX332" s="44" t="n"/>
      <c r="BY332" s="253" t="n">
        <v>1500</v>
      </c>
      <c r="BZ332" s="153" t="n"/>
      <c r="CA332" s="254">
        <f>BY332-CA333</f>
        <v>1425</v>
      </c>
      <c r="CB332" s="254">
        <f>CA332-CB333</f>
        <v>1087.5</v>
      </c>
      <c r="CC332" s="254">
        <f>CB332-CC333</f>
        <v>0</v>
      </c>
      <c r="CD332" s="254">
        <f>CC332-CD333</f>
        <v>0</v>
      </c>
      <c r="CE332" s="254">
        <f>CD332-CE333</f>
        <v>0</v>
      </c>
      <c r="CF332" s="254">
        <f>CE332-CF333</f>
        <v>0</v>
      </c>
      <c r="CG332" s="19" t="n"/>
    </row>
    <row r="333" ht="15" customHeight="1" s="251">
      <c r="B333" s="69" t="inlineStr">
        <is>
          <t xml:space="preserve">  Term-loan amortization / repayment (input)</t>
        </is>
      </c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  <c r="Z333" s="44" t="n"/>
      <c r="AA333" s="44" t="n"/>
      <c r="AB333" s="44" t="n"/>
      <c r="AC333" s="44" t="n"/>
      <c r="AD333" s="44" t="n"/>
      <c r="AE333" s="44" t="n"/>
      <c r="AF333" s="44" t="n"/>
      <c r="AG333" s="44" t="n"/>
      <c r="AH333" s="44" t="n"/>
      <c r="AI333" s="44" t="n"/>
      <c r="AJ333" s="44" t="n"/>
      <c r="AK333" s="44" t="n"/>
      <c r="AL333" s="44" t="n"/>
      <c r="AM333" s="44" t="n"/>
      <c r="AN333" s="44" t="n"/>
      <c r="AO333" s="44" t="n"/>
      <c r="AP333" s="44" t="n"/>
      <c r="AQ333" s="44" t="n"/>
      <c r="AR333" s="44" t="n"/>
      <c r="AS333" s="44" t="n"/>
      <c r="AT333" s="44" t="n"/>
      <c r="AU333" s="44" t="n"/>
      <c r="AV333" s="44" t="n"/>
      <c r="AW333" s="44" t="n"/>
      <c r="AX333" s="44" t="n"/>
      <c r="AY333" s="44" t="n"/>
      <c r="AZ333" s="44" t="n"/>
      <c r="BA333" s="44" t="n"/>
      <c r="BB333" s="44" t="n"/>
      <c r="BC333" s="44" t="n"/>
      <c r="BD333" s="44" t="n"/>
      <c r="BE333" s="44" t="n"/>
      <c r="BF333" s="44" t="n"/>
      <c r="BG333" s="44" t="n"/>
      <c r="BH333" s="44" t="n"/>
      <c r="BI333" s="44" t="n"/>
      <c r="BJ333" s="44" t="n"/>
      <c r="BK333" s="44" t="n"/>
      <c r="BL333" s="44" t="n"/>
      <c r="BM333" s="44" t="n"/>
      <c r="BN333" s="44" t="n"/>
      <c r="BO333" s="44" t="n"/>
      <c r="BP333" s="44" t="n"/>
      <c r="BQ333" s="44" t="n"/>
      <c r="BR333" s="44" t="n"/>
      <c r="BS333" s="44" t="n"/>
      <c r="BT333" s="44" t="n"/>
      <c r="BU333" s="44" t="n"/>
      <c r="BV333" s="44" t="n"/>
      <c r="BW333" s="44" t="n"/>
      <c r="BX333" s="44" t="n"/>
      <c r="BY333" s="44" t="n"/>
      <c r="BZ333" s="153" t="n"/>
      <c r="CA333" s="277" t="n">
        <v>75</v>
      </c>
      <c r="CB333" s="277" t="n">
        <v>337.5</v>
      </c>
      <c r="CC333" s="277" t="n">
        <v>1087.5</v>
      </c>
      <c r="CD333" s="277" t="n">
        <v>0</v>
      </c>
      <c r="CE333" s="277" t="n">
        <v>0</v>
      </c>
      <c r="CF333" s="277" t="n">
        <v>0</v>
      </c>
      <c r="CG333" s="19" t="inlineStr">
        <is>
          <t>$75.0m per quarter 30-Sep-2026 to 30-Jun-2027, then $112.5m per quarter; balance due 15-May-2028.</t>
        </is>
      </c>
    </row>
    <row r="334" ht="15" customHeight="1" s="251">
      <c r="B334" s="69" t="inlineStr">
        <is>
          <t xml:space="preserve">  Maturities in the following fiscal year (current maturities)</t>
        </is>
      </c>
      <c r="C334" s="44" t="n"/>
      <c r="D334" s="44" t="n"/>
      <c r="E334" s="44" t="n"/>
      <c r="F334" s="44" t="n"/>
      <c r="G334" s="44" t="n"/>
      <c r="H334" s="44" t="n"/>
      <c r="I334" s="44" t="n"/>
      <c r="J334" s="44" t="n"/>
      <c r="K334" s="44" t="n"/>
      <c r="L334" s="44" t="n"/>
      <c r="M334" s="44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  <c r="AC334" s="44" t="n"/>
      <c r="AD334" s="44" t="n"/>
      <c r="AE334" s="44" t="n"/>
      <c r="AF334" s="44" t="n"/>
      <c r="AG334" s="44" t="n"/>
      <c r="AH334" s="44" t="n"/>
      <c r="AI334" s="44" t="n"/>
      <c r="AJ334" s="44" t="n"/>
      <c r="AK334" s="44" t="n"/>
      <c r="AL334" s="44" t="n"/>
      <c r="AM334" s="44" t="n"/>
      <c r="AN334" s="44" t="n"/>
      <c r="AO334" s="44" t="n"/>
      <c r="AP334" s="44" t="n"/>
      <c r="AQ334" s="44" t="n"/>
      <c r="AR334" s="44" t="n"/>
      <c r="AS334" s="44" t="n"/>
      <c r="AT334" s="44" t="n"/>
      <c r="AU334" s="44" t="n"/>
      <c r="AV334" s="44" t="n"/>
      <c r="AW334" s="44" t="n"/>
      <c r="AX334" s="44" t="n"/>
      <c r="AY334" s="44" t="n"/>
      <c r="AZ334" s="44" t="n"/>
      <c r="BA334" s="44" t="n"/>
      <c r="BB334" s="44" t="n"/>
      <c r="BC334" s="44" t="n"/>
      <c r="BD334" s="44" t="n"/>
      <c r="BE334" s="44" t="n"/>
      <c r="BF334" s="44" t="n"/>
      <c r="BG334" s="44" t="n"/>
      <c r="BH334" s="44" t="n"/>
      <c r="BI334" s="44" t="n"/>
      <c r="BJ334" s="44" t="n"/>
      <c r="BK334" s="44" t="n"/>
      <c r="BL334" s="44" t="n"/>
      <c r="BM334" s="44" t="n"/>
      <c r="BN334" s="44" t="n"/>
      <c r="BO334" s="44" t="n"/>
      <c r="BP334" s="44" t="n"/>
      <c r="BQ334" s="44" t="n"/>
      <c r="BR334" s="44" t="n"/>
      <c r="BS334" s="44" t="n"/>
      <c r="BT334" s="44" t="n"/>
      <c r="BU334" s="44" t="n"/>
      <c r="BV334" s="44" t="n"/>
      <c r="BW334" s="44" t="n"/>
      <c r="BX334" s="44" t="n"/>
      <c r="BY334" s="44" t="n"/>
      <c r="BZ334" s="153" t="n"/>
      <c r="CA334" s="277" t="n">
        <v>337.5</v>
      </c>
      <c r="CB334" s="277" t="n">
        <v>1987.5</v>
      </c>
      <c r="CC334" s="277" t="n">
        <v>0</v>
      </c>
      <c r="CD334" s="277" t="n">
        <v>0</v>
      </c>
      <c r="CE334" s="277" t="n">
        <v>0</v>
      </c>
      <c r="CF334" s="277" t="n">
        <v>0</v>
      </c>
      <c r="CG334" s="19" t="n"/>
    </row>
    <row r="335" ht="15" customHeight="1" s="251">
      <c r="B335" s="69" t="inlineStr">
        <is>
          <t xml:space="preserve">  Cash before revolver draws / repayments (opening cash + CFO + CFI + buybacks, stock plans, withholding, other + FX − debt repaid + issued)</t>
        </is>
      </c>
      <c r="C335" s="44" t="n"/>
      <c r="D335" s="44" t="n"/>
      <c r="E335" s="44" t="n"/>
      <c r="F335" s="44" t="n"/>
      <c r="G335" s="44" t="n"/>
      <c r="H335" s="44" t="n"/>
      <c r="I335" s="44" t="n"/>
      <c r="J335" s="44" t="n"/>
      <c r="K335" s="44" t="n"/>
      <c r="L335" s="44" t="n"/>
      <c r="M335" s="44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44" t="n"/>
      <c r="X335" s="44" t="n"/>
      <c r="Y335" s="44" t="n"/>
      <c r="Z335" s="44" t="n"/>
      <c r="AA335" s="44" t="n"/>
      <c r="AB335" s="44" t="n"/>
      <c r="AC335" s="44" t="n"/>
      <c r="AD335" s="44" t="n"/>
      <c r="AE335" s="44" t="n"/>
      <c r="AF335" s="44" t="n"/>
      <c r="AG335" s="44" t="n"/>
      <c r="AH335" s="44" t="n"/>
      <c r="AI335" s="44" t="n"/>
      <c r="AJ335" s="44" t="n"/>
      <c r="AK335" s="44" t="n"/>
      <c r="AL335" s="44" t="n"/>
      <c r="AM335" s="44" t="n"/>
      <c r="AN335" s="44" t="n"/>
      <c r="AO335" s="44" t="n"/>
      <c r="AP335" s="44" t="n"/>
      <c r="AQ335" s="44" t="n"/>
      <c r="AR335" s="44" t="n"/>
      <c r="AS335" s="44" t="n"/>
      <c r="AT335" s="44" t="n"/>
      <c r="AU335" s="44" t="n"/>
      <c r="AV335" s="44" t="n"/>
      <c r="AW335" s="44" t="n"/>
      <c r="AX335" s="44" t="n"/>
      <c r="AY335" s="44" t="n"/>
      <c r="AZ335" s="44" t="n"/>
      <c r="BA335" s="44" t="n"/>
      <c r="BB335" s="44" t="n"/>
      <c r="BC335" s="44" t="n"/>
      <c r="BD335" s="44" t="n"/>
      <c r="BE335" s="44" t="n"/>
      <c r="BF335" s="44" t="n"/>
      <c r="BG335" s="44" t="n"/>
      <c r="BH335" s="44" t="n"/>
      <c r="BI335" s="44" t="n"/>
      <c r="BJ335" s="44" t="n"/>
      <c r="BK335" s="44" t="n"/>
      <c r="BL335" s="44" t="n"/>
      <c r="BM335" s="44" t="n"/>
      <c r="BN335" s="44" t="n"/>
      <c r="BO335" s="44" t="n"/>
      <c r="BP335" s="44" t="n"/>
      <c r="BQ335" s="44" t="n"/>
      <c r="BR335" s="44" t="n"/>
      <c r="BS335" s="44" t="n"/>
      <c r="BT335" s="44" t="n"/>
      <c r="BU335" s="44" t="n"/>
      <c r="BV335" s="44" t="n"/>
      <c r="BW335" s="44" t="n"/>
      <c r="BX335" s="44" t="n"/>
      <c r="BY335" s="44" t="n"/>
      <c r="BZ335" s="153" t="n"/>
      <c r="CA335" s="254">
        <f>BY287+(CA237-SUM(BW237:BY237))+(CA243-SUM(BW243:BY243))+(CA244-SUM(BW244:BY244))+(CA245-SUM(BW245:BY245))+(CA246-SUM(BW246:BY246))+(CA247-SUM(BW247:BY247))+(CA249-SUM(BW249:BY249))+(CA251-SUM(BW251:BY251))-CA331+CA330-CA333</f>
        <v>128.785744197519</v>
      </c>
      <c r="CB335" s="254">
        <f>CB253+CB237+CB243+CB244+CB245+CB246+CB247+CB249+CB251-CB331+CB330-CB333</f>
        <v>-181.60193582725</v>
      </c>
      <c r="CC335" s="254">
        <f>CC253+CC237+CC243+CC244+CC245+CC246+CC247+CC249+CC251-CC331+CC330-CC333</f>
        <v>-709.04085970557</v>
      </c>
      <c r="CD335" s="254">
        <f>CD253+CD237+CD243+CD244+CD245+CD246+CD247+CD249+CD251-CD331+CD330-CD333</f>
        <v>-472.084380880755</v>
      </c>
      <c r="CE335" s="254">
        <f>CE253+CE237+CE243+CE244+CE245+CE246+CE247+CE249+CE251-CE331+CE330-CE333</f>
        <v>-445.881337638181</v>
      </c>
      <c r="CF335" s="254">
        <f>CF253+CF237+CF243+CF244+CF245+CF246+CF247+CF249+CF251-CF331+CF330-CF333</f>
        <v>-444.12949489287</v>
      </c>
      <c r="CG335" s="19" t="n"/>
    </row>
    <row r="336" ht="15" customHeight="1" s="251">
      <c r="B336" s="69" t="inlineStr">
        <is>
          <t xml:space="preserve">  Minimum cash balance</t>
        </is>
      </c>
      <c r="C336" s="44" t="n"/>
      <c r="D336" s="44" t="n"/>
      <c r="E336" s="44" t="n"/>
      <c r="F336" s="44" t="n"/>
      <c r="G336" s="44" t="n"/>
      <c r="H336" s="44" t="n"/>
      <c r="I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  <c r="AC336" s="44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44" t="n"/>
      <c r="AN336" s="44" t="n"/>
      <c r="AO336" s="44" t="n"/>
      <c r="AP336" s="44" t="n"/>
      <c r="AQ336" s="44" t="n"/>
      <c r="AR336" s="44" t="n"/>
      <c r="AS336" s="44" t="n"/>
      <c r="AT336" s="44" t="n"/>
      <c r="AU336" s="44" t="n"/>
      <c r="AV336" s="44" t="n"/>
      <c r="AW336" s="44" t="n"/>
      <c r="AX336" s="44" t="n"/>
      <c r="AY336" s="44" t="n"/>
      <c r="AZ336" s="44" t="n"/>
      <c r="BA336" s="44" t="n"/>
      <c r="BB336" s="44" t="n"/>
      <c r="BC336" s="44" t="n"/>
      <c r="BD336" s="44" t="n"/>
      <c r="BE336" s="44" t="n"/>
      <c r="BF336" s="44" t="n"/>
      <c r="BG336" s="44" t="n"/>
      <c r="BH336" s="44" t="n"/>
      <c r="BI336" s="44" t="n"/>
      <c r="BJ336" s="44" t="n"/>
      <c r="BK336" s="44" t="n"/>
      <c r="BL336" s="44" t="n"/>
      <c r="BM336" s="44" t="n"/>
      <c r="BN336" s="44" t="n"/>
      <c r="BO336" s="44" t="n"/>
      <c r="BP336" s="44" t="n"/>
      <c r="BQ336" s="44" t="n"/>
      <c r="BR336" s="44" t="n"/>
      <c r="BS336" s="44" t="n"/>
      <c r="BT336" s="44" t="n"/>
      <c r="BU336" s="44" t="n"/>
      <c r="BV336" s="44" t="n"/>
      <c r="BW336" s="44" t="n"/>
      <c r="BX336" s="44" t="n"/>
      <c r="BY336" s="44" t="n"/>
      <c r="BZ336" s="153" t="n"/>
      <c r="CA336" s="277" t="n">
        <v>150</v>
      </c>
      <c r="CB336" s="277" t="n">
        <v>150</v>
      </c>
      <c r="CC336" s="277" t="n">
        <v>150</v>
      </c>
      <c r="CD336" s="277" t="n">
        <v>150</v>
      </c>
      <c r="CE336" s="277" t="n">
        <v>150</v>
      </c>
      <c r="CF336" s="277" t="n">
        <v>150</v>
      </c>
      <c r="CG336" s="19" t="n"/>
    </row>
    <row r="337" ht="15" customHeight="1" s="251">
      <c r="B337" s="69" t="inlineStr">
        <is>
          <t xml:space="preserve">  Revolver needed before term-out (shortfall below the minimum cash balance drawn; surplus repays)</t>
        </is>
      </c>
      <c r="C337" s="44" t="n"/>
      <c r="D337" s="44" t="n"/>
      <c r="E337" s="44" t="n"/>
      <c r="F337" s="44" t="n"/>
      <c r="G337" s="44" t="n"/>
      <c r="H337" s="44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  <c r="Y337" s="44" t="n"/>
      <c r="Z337" s="44" t="n"/>
      <c r="AA337" s="44" t="n"/>
      <c r="AB337" s="44" t="n"/>
      <c r="AC337" s="44" t="n"/>
      <c r="AD337" s="44" t="n"/>
      <c r="AE337" s="44" t="n"/>
      <c r="AF337" s="44" t="n"/>
      <c r="AG337" s="44" t="n"/>
      <c r="AH337" s="44" t="n"/>
      <c r="AI337" s="44" t="n"/>
      <c r="AJ337" s="44" t="n"/>
      <c r="AK337" s="44" t="n"/>
      <c r="AL337" s="44" t="n"/>
      <c r="AM337" s="44" t="n"/>
      <c r="AN337" s="44" t="n"/>
      <c r="AO337" s="44" t="n"/>
      <c r="AP337" s="44" t="n"/>
      <c r="AQ337" s="44" t="n"/>
      <c r="AR337" s="44" t="n"/>
      <c r="AS337" s="44" t="n"/>
      <c r="AT337" s="44" t="n"/>
      <c r="AU337" s="44" t="n"/>
      <c r="AV337" s="44" t="n"/>
      <c r="AW337" s="44" t="n"/>
      <c r="AX337" s="44" t="n"/>
      <c r="AY337" s="44" t="n"/>
      <c r="AZ337" s="44" t="n"/>
      <c r="BA337" s="44" t="n"/>
      <c r="BB337" s="44" t="n"/>
      <c r="BC337" s="44" t="n"/>
      <c r="BD337" s="44" t="n"/>
      <c r="BE337" s="44" t="n"/>
      <c r="BF337" s="44" t="n"/>
      <c r="BG337" s="44" t="n"/>
      <c r="BH337" s="44" t="n"/>
      <c r="BI337" s="44" t="n"/>
      <c r="BJ337" s="44" t="n"/>
      <c r="BK337" s="44" t="n"/>
      <c r="BL337" s="44" t="n"/>
      <c r="BM337" s="44" t="n"/>
      <c r="BN337" s="44" t="n"/>
      <c r="BO337" s="44" t="n"/>
      <c r="BP337" s="44" t="n"/>
      <c r="BQ337" s="44" t="n"/>
      <c r="BR337" s="44" t="n"/>
      <c r="BS337" s="44" t="n"/>
      <c r="BT337" s="44" t="n"/>
      <c r="BU337" s="44" t="n"/>
      <c r="BV337" s="44" t="n"/>
      <c r="BW337" s="44" t="n"/>
      <c r="BX337" s="44" t="n"/>
      <c r="BY337" s="44" t="n"/>
      <c r="BZ337" s="153" t="n"/>
      <c r="CA337" s="254">
        <f>MAX(0,BY340+CA336-CA335)</f>
        <v>731.214255802481</v>
      </c>
      <c r="CB337" s="254">
        <f>MAX(0,CA340+CB336-CB335)</f>
        <v>1062.81619162973</v>
      </c>
      <c r="CC337" s="254">
        <f>MAX(0,CB340+CC336-CC335)</f>
        <v>1609.04085970557</v>
      </c>
      <c r="CD337" s="254">
        <f>MAX(0,CC340+CD336-CD335)</f>
        <v>1372.08438088076</v>
      </c>
      <c r="CE337" s="254">
        <f>MAX(0,CD340+CE336-CE335)</f>
        <v>1345.88133763818</v>
      </c>
      <c r="CF337" s="254">
        <f>MAX(0,CE340+CF336-CF335)</f>
        <v>1344.12949489287</v>
      </c>
      <c r="CG337" s="19" t="n"/>
    </row>
    <row r="338" ht="15" customHeight="1" s="251">
      <c r="B338" s="69" t="inlineStr">
        <is>
          <t xml:space="preserve">  Revolver balance kept at or below (term-out threshold; input)</t>
        </is>
      </c>
      <c r="C338" s="44" t="n"/>
      <c r="D338" s="44" t="n"/>
      <c r="E338" s="44" t="n"/>
      <c r="F338" s="44" t="n"/>
      <c r="G338" s="44" t="n"/>
      <c r="H338" s="44" t="n"/>
      <c r="I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  <c r="AC338" s="44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44" t="n"/>
      <c r="AN338" s="44" t="n"/>
      <c r="AO338" s="44" t="n"/>
      <c r="AP338" s="44" t="n"/>
      <c r="AQ338" s="44" t="n"/>
      <c r="AR338" s="44" t="n"/>
      <c r="AS338" s="44" t="n"/>
      <c r="AT338" s="44" t="n"/>
      <c r="AU338" s="44" t="n"/>
      <c r="AV338" s="44" t="n"/>
      <c r="AW338" s="44" t="n"/>
      <c r="AX338" s="44" t="n"/>
      <c r="AY338" s="44" t="n"/>
      <c r="AZ338" s="44" t="n"/>
      <c r="BA338" s="44" t="n"/>
      <c r="BB338" s="44" t="n"/>
      <c r="BC338" s="44" t="n"/>
      <c r="BD338" s="44" t="n"/>
      <c r="BE338" s="44" t="n"/>
      <c r="BF338" s="44" t="n"/>
      <c r="BG338" s="44" t="n"/>
      <c r="BH338" s="44" t="n"/>
      <c r="BI338" s="44" t="n"/>
      <c r="BJ338" s="44" t="n"/>
      <c r="BK338" s="44" t="n"/>
      <c r="BL338" s="44" t="n"/>
      <c r="BM338" s="44" t="n"/>
      <c r="BN338" s="44" t="n"/>
      <c r="BO338" s="44" t="n"/>
      <c r="BP338" s="44" t="n"/>
      <c r="BQ338" s="44" t="n"/>
      <c r="BR338" s="44" t="n"/>
      <c r="BS338" s="44" t="n"/>
      <c r="BT338" s="44" t="n"/>
      <c r="BU338" s="44" t="n"/>
      <c r="BV338" s="44" t="n"/>
      <c r="BW338" s="44" t="n"/>
      <c r="BX338" s="44" t="n"/>
      <c r="BY338" s="44" t="n"/>
      <c r="BZ338" s="153" t="n"/>
      <c r="CA338" s="35" t="n"/>
      <c r="CB338" s="277" t="n">
        <v>750</v>
      </c>
      <c r="CC338" s="277" t="n">
        <v>750</v>
      </c>
      <c r="CD338" s="277" t="n">
        <v>750</v>
      </c>
      <c r="CE338" s="277" t="n">
        <v>750</v>
      </c>
      <c r="CF338" s="277" t="n">
        <v>750</v>
      </c>
      <c r="CG338" s="19" t="n"/>
    </row>
    <row r="339" ht="15" customHeight="1" s="251">
      <c r="B339" s="69" t="inlineStr">
        <is>
          <t xml:space="preserve">  New senior notes issued to term out revolver draws above the threshold (financing assumption)</t>
        </is>
      </c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  <c r="Z339" s="44" t="n"/>
      <c r="AA339" s="44" t="n"/>
      <c r="AB339" s="44" t="n"/>
      <c r="AC339" s="44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  <c r="AQ339" s="44" t="n"/>
      <c r="AR339" s="44" t="n"/>
      <c r="AS339" s="44" t="n"/>
      <c r="AT339" s="44" t="n"/>
      <c r="AU339" s="44" t="n"/>
      <c r="AV339" s="44" t="n"/>
      <c r="AW339" s="44" t="n"/>
      <c r="AX339" s="44" t="n"/>
      <c r="AY339" s="44" t="n"/>
      <c r="AZ339" s="44" t="n"/>
      <c r="BA339" s="44" t="n"/>
      <c r="BB339" s="44" t="n"/>
      <c r="BC339" s="44" t="n"/>
      <c r="BD339" s="44" t="n"/>
      <c r="BE339" s="44" t="n"/>
      <c r="BF339" s="44" t="n"/>
      <c r="BG339" s="44" t="n"/>
      <c r="BH339" s="44" t="n"/>
      <c r="BI339" s="44" t="n"/>
      <c r="BJ339" s="44" t="n"/>
      <c r="BK339" s="44" t="n"/>
      <c r="BL339" s="44" t="n"/>
      <c r="BM339" s="44" t="n"/>
      <c r="BN339" s="44" t="n"/>
      <c r="BO339" s="44" t="n"/>
      <c r="BP339" s="44" t="n"/>
      <c r="BQ339" s="44" t="n"/>
      <c r="BR339" s="44" t="n"/>
      <c r="BS339" s="44" t="n"/>
      <c r="BT339" s="44" t="n"/>
      <c r="BU339" s="44" t="n"/>
      <c r="BV339" s="44" t="n"/>
      <c r="BW339" s="44" t="n"/>
      <c r="BX339" s="44" t="n"/>
      <c r="BY339" s="44" t="n"/>
      <c r="BZ339" s="153" t="n"/>
      <c r="CA339" s="277" t="n">
        <v>0</v>
      </c>
      <c r="CB339" s="254">
        <f>MAX(0,CB337-CB338)</f>
        <v>312.816191629731</v>
      </c>
      <c r="CC339" s="254">
        <f>MAX(0,CC337-CC338)</f>
        <v>859.04085970557</v>
      </c>
      <c r="CD339" s="254">
        <f>MAX(0,CD337-CD338)</f>
        <v>622.084380880755</v>
      </c>
      <c r="CE339" s="254">
        <f>MAX(0,CE337-CE338)</f>
        <v>595.881337638181</v>
      </c>
      <c r="CF339" s="254">
        <f>MAX(0,CF337-CF338)</f>
        <v>594.129494892871</v>
      </c>
      <c r="CG339" s="19" t="inlineStr">
        <is>
          <t>Financing assumption: leverage-targeted buybacks are funded partly with debt; draws above the threshold are refinanced with new senior notes so the revolver stays within its $1.0bn commitment.</t>
        </is>
      </c>
    </row>
    <row r="340" ht="15" customHeight="1" s="251">
      <c r="B340" s="69" t="inlineStr">
        <is>
          <t xml:space="preserve">  Revolving line of credit (year end)</t>
        </is>
      </c>
      <c r="C340" s="44" t="n"/>
      <c r="D340" s="44" t="n"/>
      <c r="E340" s="44" t="n"/>
      <c r="F340" s="44" t="n"/>
      <c r="G340" s="44" t="n"/>
      <c r="H340" s="44" t="n"/>
      <c r="I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  <c r="AC340" s="44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44" t="n"/>
      <c r="AN340" s="44" t="n"/>
      <c r="AO340" s="44" t="n"/>
      <c r="AP340" s="44" t="n"/>
      <c r="AQ340" s="44" t="n"/>
      <c r="AR340" s="44" t="n"/>
      <c r="AS340" s="44" t="n"/>
      <c r="AT340" s="44" t="n"/>
      <c r="AU340" s="44" t="n"/>
      <c r="AV340" s="44" t="n"/>
      <c r="AW340" s="44" t="n"/>
      <c r="AX340" s="44" t="n"/>
      <c r="AY340" s="44" t="n"/>
      <c r="AZ340" s="44" t="n"/>
      <c r="BA340" s="44" t="n"/>
      <c r="BB340" s="44" t="n"/>
      <c r="BC340" s="44" t="n"/>
      <c r="BD340" s="44" t="n"/>
      <c r="BE340" s="44" t="n"/>
      <c r="BF340" s="44" t="n"/>
      <c r="BG340" s="44" t="n"/>
      <c r="BH340" s="44" t="n"/>
      <c r="BI340" s="44" t="n"/>
      <c r="BJ340" s="44" t="n"/>
      <c r="BK340" s="44" t="n"/>
      <c r="BL340" s="44" t="n"/>
      <c r="BM340" s="44" t="n"/>
      <c r="BN340" s="44" t="n"/>
      <c r="BO340" s="44" t="n"/>
      <c r="BP340" s="44" t="n"/>
      <c r="BQ340" s="44" t="n"/>
      <c r="BR340" s="44" t="n"/>
      <c r="BS340" s="44" t="n"/>
      <c r="BT340" s="44" t="n"/>
      <c r="BU340" s="44" t="n"/>
      <c r="BV340" s="44" t="n"/>
      <c r="BW340" s="44" t="n"/>
      <c r="BX340" s="44" t="n"/>
      <c r="BY340" s="253" t="n">
        <v>710</v>
      </c>
      <c r="BZ340" s="153" t="n"/>
      <c r="CA340" s="254">
        <f>CA337</f>
        <v>731.214255802481</v>
      </c>
      <c r="CB340" s="254">
        <f>CB337-CB339</f>
        <v>750</v>
      </c>
      <c r="CC340" s="254">
        <f>CC337-CC339</f>
        <v>750</v>
      </c>
      <c r="CD340" s="254">
        <f>CD337-CD339</f>
        <v>750</v>
      </c>
      <c r="CE340" s="254">
        <f>CE337-CE339</f>
        <v>750</v>
      </c>
      <c r="CF340" s="254">
        <f>CF337-CF339</f>
        <v>750</v>
      </c>
      <c r="CG340" s="19" t="inlineStr">
        <is>
          <t>$1.0bn unsecured revolver (matures 13-May-2030, assumed extended); $710m drawn at 30-Jun-2026 (5.643%).</t>
        </is>
      </c>
    </row>
    <row r="341" ht="15" customHeight="1" s="251">
      <c r="B341" s="156" t="inlineStr">
        <is>
          <t xml:space="preserve">  Memo: revolver headroom vs the $1.0bn commitment (negative = would need other financing)</t>
        </is>
      </c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  <c r="Z341" s="44" t="n"/>
      <c r="AA341" s="44" t="n"/>
      <c r="AB341" s="44" t="n"/>
      <c r="AC341" s="44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  <c r="AQ341" s="44" t="n"/>
      <c r="AR341" s="44" t="n"/>
      <c r="AS341" s="44" t="n"/>
      <c r="AT341" s="44" t="n"/>
      <c r="AU341" s="44" t="n"/>
      <c r="AV341" s="44" t="n"/>
      <c r="AW341" s="44" t="n"/>
      <c r="AX341" s="44" t="n"/>
      <c r="AY341" s="44" t="n"/>
      <c r="AZ341" s="44" t="n"/>
      <c r="BA341" s="44" t="n"/>
      <c r="BB341" s="44" t="n"/>
      <c r="BC341" s="44" t="n"/>
      <c r="BD341" s="44" t="n"/>
      <c r="BE341" s="44" t="n"/>
      <c r="BF341" s="44" t="n"/>
      <c r="BG341" s="44" t="n"/>
      <c r="BH341" s="44" t="n"/>
      <c r="BI341" s="44" t="n"/>
      <c r="BJ341" s="44" t="n"/>
      <c r="BK341" s="44" t="n"/>
      <c r="BL341" s="44" t="n"/>
      <c r="BM341" s="44" t="n"/>
      <c r="BN341" s="44" t="n"/>
      <c r="BO341" s="44" t="n"/>
      <c r="BP341" s="44" t="n"/>
      <c r="BQ341" s="44" t="n"/>
      <c r="BR341" s="44" t="n"/>
      <c r="BS341" s="44" t="n"/>
      <c r="BT341" s="44" t="n"/>
      <c r="BU341" s="44" t="n"/>
      <c r="BV341" s="44" t="n"/>
      <c r="BW341" s="44" t="n"/>
      <c r="BX341" s="44" t="n"/>
      <c r="BY341" s="44" t="n"/>
      <c r="BZ341" s="35" t="n"/>
      <c r="CA341" s="254">
        <f>1000-CA340</f>
        <v>268.785744197519</v>
      </c>
      <c r="CB341" s="254">
        <f>1000-CB340</f>
        <v>250</v>
      </c>
      <c r="CC341" s="254">
        <f>1000-CC340</f>
        <v>250</v>
      </c>
      <c r="CD341" s="254">
        <f>1000-CD340</f>
        <v>250</v>
      </c>
      <c r="CE341" s="254">
        <f>1000-CE340</f>
        <v>250</v>
      </c>
      <c r="CF341" s="254">
        <f>1000-CF340</f>
        <v>250</v>
      </c>
      <c r="CG341" s="153" t="n"/>
    </row>
    <row r="342" ht="15" customHeight="1" s="251">
      <c r="B342" s="69" t="inlineStr">
        <is>
          <t xml:space="preserve">  Net issuance / (repayment)</t>
        </is>
      </c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  <c r="AC342" s="44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  <c r="AQ342" s="44" t="n"/>
      <c r="AR342" s="44" t="n"/>
      <c r="AS342" s="44" t="n"/>
      <c r="AT342" s="44" t="n"/>
      <c r="AU342" s="44" t="n"/>
      <c r="AV342" s="44" t="n"/>
      <c r="AW342" s="44" t="n"/>
      <c r="AX342" s="44" t="n"/>
      <c r="AY342" s="44" t="n"/>
      <c r="AZ342" s="44" t="n"/>
      <c r="BA342" s="44" t="n"/>
      <c r="BB342" s="44" t="n"/>
      <c r="BC342" s="44" t="n"/>
      <c r="BD342" s="44" t="n"/>
      <c r="BE342" s="44" t="n"/>
      <c r="BF342" s="44" t="n"/>
      <c r="BG342" s="44" t="n"/>
      <c r="BH342" s="44" t="n"/>
      <c r="BI342" s="44" t="n"/>
      <c r="BJ342" s="44" t="n"/>
      <c r="BK342" s="44" t="n"/>
      <c r="BL342" s="44" t="n"/>
      <c r="BM342" s="44" t="n"/>
      <c r="BN342" s="44" t="n"/>
      <c r="BO342" s="44" t="n"/>
      <c r="BP342" s="44" t="n"/>
      <c r="BQ342" s="44" t="n"/>
      <c r="BR342" s="44" t="n"/>
      <c r="BS342" s="44" t="n"/>
      <c r="BT342" s="44" t="n"/>
      <c r="BU342" s="44" t="n"/>
      <c r="BV342" s="44" t="n"/>
      <c r="BW342" s="44" t="n"/>
      <c r="BX342" s="44" t="n"/>
      <c r="BY342" s="44" t="n"/>
      <c r="BZ342" s="153" t="n"/>
      <c r="CA342" s="254">
        <f>IFERROR(CA328-BV328,"")</f>
        <v>2472.91225580248</v>
      </c>
      <c r="CB342" s="254">
        <f>IFERROR(CB328-CA328,"")</f>
        <v>-5.8980641727494</v>
      </c>
      <c r="CC342" s="254">
        <f>IFERROR(CC328-CB328,"")</f>
        <v>634.04085970557</v>
      </c>
      <c r="CD342" s="254">
        <f>IFERROR(CD328-CC328,"")</f>
        <v>622.084380880755</v>
      </c>
      <c r="CE342" s="254">
        <f>IFERROR(CE328-CD328,"")</f>
        <v>595.88133763818</v>
      </c>
      <c r="CF342" s="254">
        <f>IFERROR(CF328-CE328,"")</f>
        <v>594.129494892871</v>
      </c>
      <c r="CG342" s="19" t="n"/>
    </row>
    <row r="343" ht="15" customHeight="1" s="251">
      <c r="B343" s="69" t="inlineStr">
        <is>
          <t xml:space="preserve">  Interest rate on opening senior notes %</t>
        </is>
      </c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  <c r="Z343" s="44" t="n"/>
      <c r="AA343" s="44" t="n"/>
      <c r="AB343" s="44" t="n"/>
      <c r="AC343" s="44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  <c r="AQ343" s="44" t="n"/>
      <c r="AR343" s="44" t="n"/>
      <c r="AS343" s="44" t="n"/>
      <c r="AT343" s="44" t="n"/>
      <c r="AU343" s="44" t="n"/>
      <c r="AV343" s="44" t="n"/>
      <c r="AW343" s="44" t="n"/>
      <c r="AX343" s="44" t="n"/>
      <c r="AY343" s="44" t="n"/>
      <c r="AZ343" s="44" t="n"/>
      <c r="BA343" s="44" t="n"/>
      <c r="BB343" s="44" t="n"/>
      <c r="BC343" s="44" t="n"/>
      <c r="BD343" s="44" t="n"/>
      <c r="BE343" s="44" t="n"/>
      <c r="BF343" s="44" t="n"/>
      <c r="BG343" s="44" t="n"/>
      <c r="BH343" s="44" t="n"/>
      <c r="BI343" s="44" t="n"/>
      <c r="BJ343" s="44" t="n"/>
      <c r="BK343" s="44" t="n"/>
      <c r="BL343" s="44" t="n"/>
      <c r="BM343" s="44" t="n"/>
      <c r="BN343" s="44" t="n"/>
      <c r="BO343" s="44" t="n"/>
      <c r="BP343" s="44" t="n"/>
      <c r="BQ343" s="44" t="n"/>
      <c r="BR343" s="44" t="n"/>
      <c r="BS343" s="44" t="n"/>
      <c r="BT343" s="44" t="n"/>
      <c r="BU343" s="44" t="n"/>
      <c r="BV343" s="44" t="n"/>
      <c r="BW343" s="44" t="n"/>
      <c r="BX343" s="44" t="n"/>
      <c r="BY343" s="44" t="n"/>
      <c r="BZ343" s="153" t="n"/>
      <c r="CA343" s="35" t="n"/>
      <c r="CB343" s="265" t="n">
        <v>0.0554</v>
      </c>
      <c r="CC343" s="265" t="n">
        <v>0.0554</v>
      </c>
      <c r="CD343" s="265" t="n">
        <v>0.0615</v>
      </c>
      <c r="CE343" s="265" t="n">
        <v>0.0615</v>
      </c>
      <c r="CF343" s="265" t="n">
        <v>0.0615</v>
      </c>
      <c r="CG343" s="19" t="inlineStr">
        <is>
          <t>Weighted coupon 5.54% on the $3.4bn notes (4.00% 2028, 6.00% 2033, 6.25% 2034); from FY2029 6.15% after the assumed FY2028 refinancing of the 2028 notes and the term-loan balance at ~6.25%.</t>
        </is>
      </c>
    </row>
    <row r="344" ht="15" customHeight="1" s="251">
      <c r="B344" s="69" t="inlineStr">
        <is>
          <t xml:space="preserve">  Interest rate on opening term loan %</t>
        </is>
      </c>
      <c r="C344" s="44" t="n"/>
      <c r="D344" s="44" t="n"/>
      <c r="E344" s="44" t="n"/>
      <c r="F344" s="44" t="n"/>
      <c r="G344" s="44" t="n"/>
      <c r="H344" s="44" t="n"/>
      <c r="I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  <c r="AC344" s="44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  <c r="AQ344" s="44" t="n"/>
      <c r="AR344" s="44" t="n"/>
      <c r="AS344" s="44" t="n"/>
      <c r="AT344" s="44" t="n"/>
      <c r="AU344" s="44" t="n"/>
      <c r="AV344" s="44" t="n"/>
      <c r="AW344" s="44" t="n"/>
      <c r="AX344" s="44" t="n"/>
      <c r="AY344" s="44" t="n"/>
      <c r="AZ344" s="44" t="n"/>
      <c r="BA344" s="44" t="n"/>
      <c r="BB344" s="44" t="n"/>
      <c r="BC344" s="44" t="n"/>
      <c r="BD344" s="44" t="n"/>
      <c r="BE344" s="44" t="n"/>
      <c r="BF344" s="44" t="n"/>
      <c r="BG344" s="44" t="n"/>
      <c r="BH344" s="44" t="n"/>
      <c r="BI344" s="44" t="n"/>
      <c r="BJ344" s="44" t="n"/>
      <c r="BK344" s="44" t="n"/>
      <c r="BL344" s="44" t="n"/>
      <c r="BM344" s="44" t="n"/>
      <c r="BN344" s="44" t="n"/>
      <c r="BO344" s="44" t="n"/>
      <c r="BP344" s="44" t="n"/>
      <c r="BQ344" s="44" t="n"/>
      <c r="BR344" s="44" t="n"/>
      <c r="BS344" s="44" t="n"/>
      <c r="BT344" s="44" t="n"/>
      <c r="BU344" s="44" t="n"/>
      <c r="BV344" s="44" t="n"/>
      <c r="BW344" s="44" t="n"/>
      <c r="BX344" s="44" t="n"/>
      <c r="BY344" s="44" t="n"/>
      <c r="BZ344" s="153" t="n"/>
      <c r="CA344" s="35" t="n"/>
      <c r="CB344" s="265" t="n">
        <v>0.057</v>
      </c>
      <c r="CC344" s="265" t="n">
        <v>0.057</v>
      </c>
      <c r="CD344" s="265" t="n">
        <v>0.057</v>
      </c>
      <c r="CE344" s="265" t="n">
        <v>0.057</v>
      </c>
      <c r="CF344" s="265" t="n">
        <v>0.057</v>
      </c>
      <c r="CG344" s="19" t="inlineStr">
        <is>
          <t>30-Jun-2026: 5.863% (SOFR + margin); assumed to ease with SOFR.</t>
        </is>
      </c>
    </row>
    <row r="345" ht="15" customHeight="1" s="251">
      <c r="B345" s="69" t="inlineStr">
        <is>
          <t xml:space="preserve">  Interest rate on opening revolver %</t>
        </is>
      </c>
      <c r="C345" s="44" t="n"/>
      <c r="D345" s="44" t="n"/>
      <c r="E345" s="44" t="n"/>
      <c r="F345" s="44" t="n"/>
      <c r="G345" s="44" t="n"/>
      <c r="H345" s="44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  <c r="Z345" s="44" t="n"/>
      <c r="AA345" s="44" t="n"/>
      <c r="AB345" s="44" t="n"/>
      <c r="AC345" s="44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  <c r="AQ345" s="44" t="n"/>
      <c r="AR345" s="44" t="n"/>
      <c r="AS345" s="44" t="n"/>
      <c r="AT345" s="44" t="n"/>
      <c r="AU345" s="44" t="n"/>
      <c r="AV345" s="44" t="n"/>
      <c r="AW345" s="44" t="n"/>
      <c r="AX345" s="44" t="n"/>
      <c r="AY345" s="44" t="n"/>
      <c r="AZ345" s="44" t="n"/>
      <c r="BA345" s="44" t="n"/>
      <c r="BB345" s="44" t="n"/>
      <c r="BC345" s="44" t="n"/>
      <c r="BD345" s="44" t="n"/>
      <c r="BE345" s="44" t="n"/>
      <c r="BF345" s="44" t="n"/>
      <c r="BG345" s="44" t="n"/>
      <c r="BH345" s="44" t="n"/>
      <c r="BI345" s="44" t="n"/>
      <c r="BJ345" s="44" t="n"/>
      <c r="BK345" s="44" t="n"/>
      <c r="BL345" s="44" t="n"/>
      <c r="BM345" s="44" t="n"/>
      <c r="BN345" s="44" t="n"/>
      <c r="BO345" s="44" t="n"/>
      <c r="BP345" s="44" t="n"/>
      <c r="BQ345" s="44" t="n"/>
      <c r="BR345" s="44" t="n"/>
      <c r="BS345" s="44" t="n"/>
      <c r="BT345" s="44" t="n"/>
      <c r="BU345" s="44" t="n"/>
      <c r="BV345" s="44" t="n"/>
      <c r="BW345" s="44" t="n"/>
      <c r="BX345" s="44" t="n"/>
      <c r="BY345" s="44" t="n"/>
      <c r="BZ345" s="153" t="n"/>
      <c r="CA345" s="35" t="n"/>
      <c r="CB345" s="265" t="n">
        <v>0.055</v>
      </c>
      <c r="CC345" s="265" t="n">
        <v>0.055</v>
      </c>
      <c r="CD345" s="265" t="n">
        <v>0.055</v>
      </c>
      <c r="CE345" s="265" t="n">
        <v>0.055</v>
      </c>
      <c r="CF345" s="265" t="n">
        <v>0.055</v>
      </c>
      <c r="CG345" s="19" t="inlineStr">
        <is>
          <t>30-Jun-2026 weighted average 5.643%.</t>
        </is>
      </c>
    </row>
    <row r="346" ht="15" customHeight="1" s="251">
      <c r="B346" s="69" t="inlineStr">
        <is>
          <t xml:space="preserve">  Credit-agreement fees &amp; financing-cost amortization ($m)</t>
        </is>
      </c>
      <c r="C346" s="44" t="n"/>
      <c r="D346" s="44" t="n"/>
      <c r="E346" s="44" t="n"/>
      <c r="F346" s="44" t="n"/>
      <c r="G346" s="44" t="n"/>
      <c r="H346" s="44" t="n"/>
      <c r="I346" s="44" t="n"/>
      <c r="J346" s="44" t="n"/>
      <c r="K346" s="44" t="n"/>
      <c r="L346" s="44" t="n"/>
      <c r="M346" s="44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  <c r="AC346" s="44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  <c r="AQ346" s="44" t="n"/>
      <c r="AR346" s="44" t="n"/>
      <c r="AS346" s="44" t="n"/>
      <c r="AT346" s="44" t="n"/>
      <c r="AU346" s="44" t="n"/>
      <c r="AV346" s="44" t="n"/>
      <c r="AW346" s="44" t="n"/>
      <c r="AX346" s="44" t="n"/>
      <c r="AY346" s="44" t="n"/>
      <c r="AZ346" s="44" t="n"/>
      <c r="BA346" s="44" t="n"/>
      <c r="BB346" s="44" t="n"/>
      <c r="BC346" s="44" t="n"/>
      <c r="BD346" s="44" t="n"/>
      <c r="BE346" s="44" t="n"/>
      <c r="BF346" s="44" t="n"/>
      <c r="BG346" s="44" t="n"/>
      <c r="BH346" s="44" t="n"/>
      <c r="BI346" s="44" t="n"/>
      <c r="BJ346" s="44" t="n"/>
      <c r="BK346" s="44" t="n"/>
      <c r="BL346" s="44" t="n"/>
      <c r="BM346" s="44" t="n"/>
      <c r="BN346" s="44" t="n"/>
      <c r="BO346" s="44" t="n"/>
      <c r="BP346" s="44" t="n"/>
      <c r="BQ346" s="44" t="n"/>
      <c r="BR346" s="44" t="n"/>
      <c r="BS346" s="44" t="n"/>
      <c r="BT346" s="44" t="n"/>
      <c r="BU346" s="44" t="n"/>
      <c r="BV346" s="44" t="n"/>
      <c r="BW346" s="44" t="n"/>
      <c r="BX346" s="44" t="n"/>
      <c r="BY346" s="44" t="n"/>
      <c r="BZ346" s="153" t="n"/>
      <c r="CA346" s="35" t="n"/>
      <c r="CB346" s="277" t="n">
        <v>4</v>
      </c>
      <c r="CC346" s="277" t="n">
        <v>4</v>
      </c>
      <c r="CD346" s="277" t="n">
        <v>4</v>
      </c>
      <c r="CE346" s="277" t="n">
        <v>4</v>
      </c>
      <c r="CF346" s="277" t="n">
        <v>4</v>
      </c>
      <c r="CG346" s="19" t="n"/>
    </row>
    <row r="347" ht="15" customHeight="1" s="251">
      <c r="B347" s="69" t="inlineStr">
        <is>
          <t xml:space="preserve">  Interest income yield on opening cash %</t>
        </is>
      </c>
      <c r="C347" s="44" t="n"/>
      <c r="D347" s="44" t="n"/>
      <c r="E347" s="44" t="n"/>
      <c r="F347" s="44" t="n"/>
      <c r="G347" s="44" t="n"/>
      <c r="H347" s="44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  <c r="Z347" s="44" t="n"/>
      <c r="AA347" s="44" t="n"/>
      <c r="AB347" s="44" t="n"/>
      <c r="AC347" s="44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44" t="n"/>
      <c r="AN347" s="44" t="n"/>
      <c r="AO347" s="44" t="n"/>
      <c r="AP347" s="44" t="n"/>
      <c r="AQ347" s="44" t="n"/>
      <c r="AR347" s="44" t="n"/>
      <c r="AS347" s="44" t="n"/>
      <c r="AT347" s="44" t="n"/>
      <c r="AU347" s="44" t="n"/>
      <c r="AV347" s="44" t="n"/>
      <c r="AW347" s="44" t="n"/>
      <c r="AX347" s="44" t="n"/>
      <c r="AY347" s="44" t="n"/>
      <c r="AZ347" s="44" t="n"/>
      <c r="BA347" s="44" t="n"/>
      <c r="BB347" s="44" t="n"/>
      <c r="BC347" s="44" t="n"/>
      <c r="BD347" s="44" t="n"/>
      <c r="BE347" s="44" t="n"/>
      <c r="BF347" s="44" t="n"/>
      <c r="BG347" s="44" t="n"/>
      <c r="BH347" s="44" t="n"/>
      <c r="BI347" s="44" t="n"/>
      <c r="BJ347" s="44" t="n"/>
      <c r="BK347" s="44" t="n"/>
      <c r="BL347" s="44" t="n"/>
      <c r="BM347" s="44" t="n"/>
      <c r="BN347" s="44" t="n"/>
      <c r="BO347" s="44" t="n"/>
      <c r="BP347" s="44" t="n"/>
      <c r="BQ347" s="44" t="n"/>
      <c r="BR347" s="44" t="n"/>
      <c r="BS347" s="44" t="n"/>
      <c r="BT347" s="44" t="n"/>
      <c r="BU347" s="44" t="n"/>
      <c r="BV347" s="44" t="n"/>
      <c r="BW347" s="44" t="n"/>
      <c r="BX347" s="44" t="n"/>
      <c r="BY347" s="44" t="n"/>
      <c r="BZ347" s="153" t="n"/>
      <c r="CA347" s="35" t="n"/>
      <c r="CB347" s="265" t="n">
        <v>0.02</v>
      </c>
      <c r="CC347" s="265" t="n">
        <v>0.02</v>
      </c>
      <c r="CD347" s="265" t="n">
        <v>0.02</v>
      </c>
      <c r="CE347" s="265" t="n">
        <v>0.02</v>
      </c>
      <c r="CF347" s="265" t="n">
        <v>0.02</v>
      </c>
      <c r="CG347" s="19" t="n"/>
    </row>
    <row r="348" ht="15" customHeight="1" s="251">
      <c r="B348" s="156" t="inlineStr">
        <is>
          <t xml:space="preserve">  Memo: total debt / adjusted EBITDA (x) vs the credit-agreement covenant (4.5x to Dec-2026, 4.0x to Dec-2027, 3.5x thereafter)</t>
        </is>
      </c>
      <c r="C348" s="44" t="n"/>
      <c r="D348" s="44" t="n"/>
      <c r="E348" s="44" t="n"/>
      <c r="F348" s="44" t="n"/>
      <c r="G348" s="44" t="n"/>
      <c r="H348" s="44" t="n"/>
      <c r="I348" s="44" t="n"/>
      <c r="J348" s="44" t="n"/>
      <c r="K348" s="44" t="n"/>
      <c r="L348" s="44" t="n"/>
      <c r="M348" s="44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  <c r="AC348" s="44" t="n"/>
      <c r="AD348" s="44" t="n"/>
      <c r="AE348" s="44" t="n"/>
      <c r="AF348" s="44" t="n"/>
      <c r="AG348" s="44" t="n"/>
      <c r="AH348" s="44" t="n"/>
      <c r="AI348" s="44" t="n"/>
      <c r="AJ348" s="44" t="n"/>
      <c r="AK348" s="44" t="n"/>
      <c r="AL348" s="44" t="n"/>
      <c r="AM348" s="44" t="n"/>
      <c r="AN348" s="44" t="n"/>
      <c r="AO348" s="44" t="n"/>
      <c r="AP348" s="44" t="n"/>
      <c r="AQ348" s="44" t="n"/>
      <c r="AR348" s="44" t="n"/>
      <c r="AS348" s="44" t="n"/>
      <c r="AT348" s="44" t="n"/>
      <c r="AU348" s="44" t="n"/>
      <c r="AV348" s="44" t="n"/>
      <c r="AW348" s="44" t="n"/>
      <c r="AX348" s="44" t="n"/>
      <c r="AY348" s="44" t="n"/>
      <c r="AZ348" s="44" t="n"/>
      <c r="BA348" s="44" t="n"/>
      <c r="BB348" s="44" t="n"/>
      <c r="BC348" s="44" t="n"/>
      <c r="BD348" s="44" t="n"/>
      <c r="BE348" s="44" t="n"/>
      <c r="BF348" s="44" t="n"/>
      <c r="BG348" s="44" t="n"/>
      <c r="BH348" s="44" t="n"/>
      <c r="BI348" s="44" t="n"/>
      <c r="BJ348" s="44" t="n"/>
      <c r="BK348" s="44" t="n"/>
      <c r="BL348" s="44" t="n"/>
      <c r="BM348" s="44" t="n"/>
      <c r="BN348" s="44" t="n"/>
      <c r="BO348" s="44" t="n"/>
      <c r="BP348" s="44" t="n"/>
      <c r="BQ348" s="44" t="n"/>
      <c r="BR348" s="44" t="n"/>
      <c r="BS348" s="44" t="n"/>
      <c r="BT348" s="44" t="n"/>
      <c r="BU348" s="44" t="n"/>
      <c r="BV348" s="44" t="n"/>
      <c r="BW348" s="44" t="n"/>
      <c r="BX348" s="44" t="n"/>
      <c r="BY348" s="44" t="n"/>
      <c r="BZ348" s="35" t="n"/>
      <c r="CA348" s="286">
        <f>IFERROR(CA328/CA183,"")</f>
        <v>3.57637107309696</v>
      </c>
      <c r="CB348" s="286">
        <f>IFERROR(CB328/CB183,"")</f>
        <v>3.08375668940501</v>
      </c>
      <c r="CC348" s="286">
        <f>IFERROR(CC328/CC183,"")</f>
        <v>3.07491576906268</v>
      </c>
      <c r="CD348" s="286">
        <f>IFERROR(CD328/CD183,"")</f>
        <v>3.06788527849694</v>
      </c>
      <c r="CE348" s="286">
        <f>IFERROR(CE328/CE183,"")</f>
        <v>3.06228622183624</v>
      </c>
      <c r="CF348" s="286">
        <f>IFERROR(CF328/CF183,"")</f>
        <v>3.05755328504096</v>
      </c>
      <c r="CG348" s="153" t="n"/>
    </row>
    <row r="349" ht="15" customHeight="1" s="251">
      <c r="B349" s="25" t="inlineStr">
        <is>
          <t>Leverage-targeted buybacks (repurchases plug to a target net debt / adjusted EBITDA, 2027E+)</t>
        </is>
      </c>
      <c r="CG349" s="153" t="n"/>
    </row>
    <row r="350" ht="15" customHeight="1" s="251">
      <c r="B350" s="69" t="inlineStr">
        <is>
          <t xml:space="preserve">  Target net debt / adjusted EBITDA (x) (scenario)</t>
        </is>
      </c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  <c r="AC350" s="44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  <c r="AQ350" s="44" t="n"/>
      <c r="AR350" s="44" t="n"/>
      <c r="AS350" s="44" t="n"/>
      <c r="AT350" s="44" t="n"/>
      <c r="AU350" s="44" t="n"/>
      <c r="AV350" s="44" t="n"/>
      <c r="AW350" s="44" t="n"/>
      <c r="AX350" s="44" t="n"/>
      <c r="AY350" s="44" t="n"/>
      <c r="AZ350" s="44" t="n"/>
      <c r="BA350" s="44" t="n"/>
      <c r="BB350" s="44" t="n"/>
      <c r="BC350" s="44" t="n"/>
      <c r="BD350" s="44" t="n"/>
      <c r="BE350" s="44" t="n"/>
      <c r="BF350" s="44" t="n"/>
      <c r="BG350" s="44" t="n"/>
      <c r="BH350" s="44" t="n"/>
      <c r="BI350" s="44" t="n"/>
      <c r="BJ350" s="44" t="n"/>
      <c r="BK350" s="44" t="n"/>
      <c r="BL350" s="44" t="n"/>
      <c r="BM350" s="44" t="n"/>
      <c r="BN350" s="44" t="n"/>
      <c r="BO350" s="44" t="n"/>
      <c r="BP350" s="44" t="n"/>
      <c r="BQ350" s="44" t="n"/>
      <c r="BR350" s="44" t="n"/>
      <c r="BS350" s="44" t="n"/>
      <c r="BT350" s="44" t="n"/>
      <c r="BU350" s="44" t="n"/>
      <c r="BV350" s="44" t="n"/>
      <c r="BW350" s="44" t="n"/>
      <c r="BX350" s="44" t="n"/>
      <c r="BY350" s="44" t="n"/>
      <c r="BZ350" s="153" t="n"/>
      <c r="CA350" s="35" t="n"/>
      <c r="CB350" s="291">
        <f>CHOOSE(MATCH($CG$2,{"Bull","Base","Bear"},0),$CP$30,$CQ$30,$CR$30)</f>
        <v>3</v>
      </c>
      <c r="CC350" s="291">
        <f>CHOOSE(MATCH($CG$2,{"Bull","Base","Bear"},0),$CP$30,$CQ$30,$CR$30)</f>
        <v>3</v>
      </c>
      <c r="CD350" s="291">
        <f>CHOOSE(MATCH($CG$2,{"Bull","Base","Bear"},0),$CP$30,$CQ$30,$CR$30)</f>
        <v>3</v>
      </c>
      <c r="CE350" s="291">
        <f>CHOOSE(MATCH($CG$2,{"Bull","Base","Bear"},0),$CP$30,$CQ$30,$CR$30)</f>
        <v>3</v>
      </c>
      <c r="CF350" s="291">
        <f>CHOOSE(MATCH($CG$2,{"Bull","Base","Bear"},0),$CP$30,$CQ$30,$CR$30)</f>
        <v>3</v>
      </c>
      <c r="CG350" s="19" t="inlineStr">
        <is>
          <t>Net debt $5.28bn at 30-Jun-2026 ≈ 3.5x LTM adjusted EBITDA (model); credit-agreement covenant 4.5x to Dec-2026, 4.0x to Dec-2027, 3.5x thereafter. Target (assumption) = leverage up to which free cash flow and debt capacity are returned via buybacks; FICO has bought back stock every year since FY2013. Bull = more buybacks (higher target).</t>
        </is>
      </c>
    </row>
    <row r="351" ht="15" customHeight="1" s="251">
      <c r="B351" s="69" t="inlineStr">
        <is>
          <t xml:space="preserve">  Net debt before buybacks (year end)</t>
        </is>
      </c>
      <c r="C351" s="44" t="n"/>
      <c r="D351" s="44" t="n"/>
      <c r="E351" s="44" t="n"/>
      <c r="F351" s="44" t="n"/>
      <c r="G351" s="44" t="n"/>
      <c r="H351" s="44" t="n"/>
      <c r="I351" s="44" t="n"/>
      <c r="J351" s="44" t="n"/>
      <c r="K351" s="44" t="n"/>
      <c r="L351" s="44" t="n"/>
      <c r="M351" s="44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  <c r="Z351" s="44" t="n"/>
      <c r="AA351" s="44" t="n"/>
      <c r="AB351" s="44" t="n"/>
      <c r="AC351" s="44" t="n"/>
      <c r="AD351" s="44" t="n"/>
      <c r="AE351" s="44" t="n"/>
      <c r="AF351" s="44" t="n"/>
      <c r="AG351" s="44" t="n"/>
      <c r="AH351" s="44" t="n"/>
      <c r="AI351" s="44" t="n"/>
      <c r="AJ351" s="44" t="n"/>
      <c r="AK351" s="44" t="n"/>
      <c r="AL351" s="44" t="n"/>
      <c r="AM351" s="44" t="n"/>
      <c r="AN351" s="44" t="n"/>
      <c r="AO351" s="44" t="n"/>
      <c r="AP351" s="44" t="n"/>
      <c r="AQ351" s="44" t="n"/>
      <c r="AR351" s="44" t="n"/>
      <c r="AS351" s="44" t="n"/>
      <c r="AT351" s="44" t="n"/>
      <c r="AU351" s="44" t="n"/>
      <c r="AV351" s="44" t="n"/>
      <c r="AW351" s="44" t="n"/>
      <c r="AX351" s="44" t="n"/>
      <c r="AY351" s="44" t="n"/>
      <c r="AZ351" s="44" t="n"/>
      <c r="BA351" s="44" t="n"/>
      <c r="BB351" s="44" t="n"/>
      <c r="BC351" s="44" t="n"/>
      <c r="BD351" s="44" t="n"/>
      <c r="BE351" s="44" t="n"/>
      <c r="BF351" s="44" t="n"/>
      <c r="BG351" s="44" t="n"/>
      <c r="BH351" s="44" t="n"/>
      <c r="BI351" s="44" t="n"/>
      <c r="BJ351" s="44" t="n"/>
      <c r="BK351" s="44" t="n"/>
      <c r="BL351" s="44" t="n"/>
      <c r="BM351" s="44" t="n"/>
      <c r="BN351" s="44" t="n"/>
      <c r="BO351" s="44" t="n"/>
      <c r="BP351" s="44" t="n"/>
      <c r="BQ351" s="44" t="n"/>
      <c r="BR351" s="44" t="n"/>
      <c r="BS351" s="44" t="n"/>
      <c r="BT351" s="44" t="n"/>
      <c r="BU351" s="44" t="n"/>
      <c r="BV351" s="44" t="n"/>
      <c r="BW351" s="44" t="n"/>
      <c r="BX351" s="44" t="n"/>
      <c r="BY351" s="44" t="n"/>
      <c r="BZ351" s="153" t="n"/>
      <c r="CA351" s="35" t="n"/>
      <c r="CB351" s="254">
        <f>CA328-CA254-CB237-CB243-CB245-CB246-CB247-CB249-CB251</f>
        <v>4337.41219590151</v>
      </c>
      <c r="CC351" s="254">
        <f>CB328-CB254-CC237-CC243-CC245-CC246-CC247-CC249-CC251</f>
        <v>4178.75591644225</v>
      </c>
      <c r="CD351" s="254">
        <f>CC328-CC254-CD237-CD243-CD245-CD246-CD247-CD249-CD251</f>
        <v>4716.5757916722</v>
      </c>
      <c r="CE351" s="254">
        <f>CD328-CD254-CE237-CE243-CE245-CE246-CE247-CE249-CE251</f>
        <v>5228.23545307863</v>
      </c>
      <c r="CF351" s="254">
        <f>CE328-CE254-CF237-CF243-CF245-CF246-CF247-CF249-CF251</f>
        <v>5712.82879987934</v>
      </c>
      <c r="CG351" s="19" t="n"/>
    </row>
    <row r="352" ht="15" customHeight="1" s="251">
      <c r="B352" s="69" t="inlineStr">
        <is>
          <t xml:space="preserve">  Target net debt = target leverage × adjusted EBITDA</t>
        </is>
      </c>
      <c r="C352" s="44" t="n"/>
      <c r="D352" s="44" t="n"/>
      <c r="E352" s="44" t="n"/>
      <c r="F352" s="44" t="n"/>
      <c r="G352" s="44" t="n"/>
      <c r="H352" s="44" t="n"/>
      <c r="I352" s="44" t="n"/>
      <c r="J352" s="44" t="n"/>
      <c r="K352" s="44" t="n"/>
      <c r="L352" s="44" t="n"/>
      <c r="M352" s="44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  <c r="AC352" s="44" t="n"/>
      <c r="AD352" s="44" t="n"/>
      <c r="AE352" s="44" t="n"/>
      <c r="AF352" s="44" t="n"/>
      <c r="AG352" s="44" t="n"/>
      <c r="AH352" s="44" t="n"/>
      <c r="AI352" s="44" t="n"/>
      <c r="AJ352" s="44" t="n"/>
      <c r="AK352" s="44" t="n"/>
      <c r="AL352" s="44" t="n"/>
      <c r="AM352" s="44" t="n"/>
      <c r="AN352" s="44" t="n"/>
      <c r="AO352" s="44" t="n"/>
      <c r="AP352" s="44" t="n"/>
      <c r="AQ352" s="44" t="n"/>
      <c r="AR352" s="44" t="n"/>
      <c r="AS352" s="44" t="n"/>
      <c r="AT352" s="44" t="n"/>
      <c r="AU352" s="44" t="n"/>
      <c r="AV352" s="44" t="n"/>
      <c r="AW352" s="44" t="n"/>
      <c r="AX352" s="44" t="n"/>
      <c r="AY352" s="44" t="n"/>
      <c r="AZ352" s="44" t="n"/>
      <c r="BA352" s="44" t="n"/>
      <c r="BB352" s="44" t="n"/>
      <c r="BC352" s="44" t="n"/>
      <c r="BD352" s="44" t="n"/>
      <c r="BE352" s="44" t="n"/>
      <c r="BF352" s="44" t="n"/>
      <c r="BG352" s="44" t="n"/>
      <c r="BH352" s="44" t="n"/>
      <c r="BI352" s="44" t="n"/>
      <c r="BJ352" s="44" t="n"/>
      <c r="BK352" s="44" t="n"/>
      <c r="BL352" s="44" t="n"/>
      <c r="BM352" s="44" t="n"/>
      <c r="BN352" s="44" t="n"/>
      <c r="BO352" s="44" t="n"/>
      <c r="BP352" s="44" t="n"/>
      <c r="BQ352" s="44" t="n"/>
      <c r="BR352" s="44" t="n"/>
      <c r="BS352" s="44" t="n"/>
      <c r="BT352" s="44" t="n"/>
      <c r="BU352" s="44" t="n"/>
      <c r="BV352" s="44" t="n"/>
      <c r="BW352" s="44" t="n"/>
      <c r="BX352" s="44" t="n"/>
      <c r="BY352" s="44" t="n"/>
      <c r="BZ352" s="153" t="n"/>
      <c r="CA352" s="35" t="n"/>
      <c r="CB352" s="254">
        <f>CB350*CB183</f>
        <v>5372.70519162973</v>
      </c>
      <c r="CC352" s="254">
        <f>CC350*CC183</f>
        <v>6006.7460513353</v>
      </c>
      <c r="CD352" s="254">
        <f>CD350*CD183</f>
        <v>6628.83043221606</v>
      </c>
      <c r="CE352" s="254">
        <f>CE350*CE183</f>
        <v>7224.71176985424</v>
      </c>
      <c r="CF352" s="254">
        <f>CF350*CF183</f>
        <v>7818.84126474711</v>
      </c>
      <c r="CG352" s="19" t="n"/>
    </row>
    <row r="353" ht="15" customHeight="1" s="251">
      <c r="B353" s="69" t="inlineStr">
        <is>
          <t xml:space="preserve">  Share repurchases: plug to target leverage</t>
        </is>
      </c>
      <c r="C353" s="44" t="n"/>
      <c r="D353" s="44" t="n"/>
      <c r="E353" s="44" t="n"/>
      <c r="F353" s="44" t="n"/>
      <c r="G353" s="44" t="n"/>
      <c r="H353" s="44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  <c r="Z353" s="44" t="n"/>
      <c r="AA353" s="44" t="n"/>
      <c r="AB353" s="44" t="n"/>
      <c r="AC353" s="44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  <c r="AQ353" s="44" t="n"/>
      <c r="AR353" s="44" t="n"/>
      <c r="AS353" s="44" t="n"/>
      <c r="AT353" s="44" t="n"/>
      <c r="AU353" s="44" t="n"/>
      <c r="AV353" s="44" t="n"/>
      <c r="AW353" s="44" t="n"/>
      <c r="AX353" s="44" t="n"/>
      <c r="AY353" s="44" t="n"/>
      <c r="AZ353" s="44" t="n"/>
      <c r="BA353" s="44" t="n"/>
      <c r="BB353" s="44" t="n"/>
      <c r="BC353" s="44" t="n"/>
      <c r="BD353" s="44" t="n"/>
      <c r="BE353" s="44" t="n"/>
      <c r="BF353" s="44" t="n"/>
      <c r="BG353" s="44" t="n"/>
      <c r="BH353" s="44" t="n"/>
      <c r="BI353" s="44" t="n"/>
      <c r="BJ353" s="44" t="n"/>
      <c r="BK353" s="44" t="n"/>
      <c r="BL353" s="44" t="n"/>
      <c r="BM353" s="44" t="n"/>
      <c r="BN353" s="44" t="n"/>
      <c r="BO353" s="44" t="n"/>
      <c r="BP353" s="44" t="n"/>
      <c r="BQ353" s="44" t="n"/>
      <c r="BR353" s="44" t="n"/>
      <c r="BS353" s="44" t="n"/>
      <c r="BT353" s="44" t="n"/>
      <c r="BU353" s="44" t="n"/>
      <c r="BV353" s="44" t="n"/>
      <c r="BW353" s="44" t="n"/>
      <c r="BX353" s="44" t="n"/>
      <c r="BY353" s="44" t="n"/>
      <c r="BZ353" s="153" t="n"/>
      <c r="CA353" s="35" t="n"/>
      <c r="CB353" s="254">
        <f>MAX(0,CB352-CB351)</f>
        <v>1035.29299572822</v>
      </c>
      <c r="CC353" s="254">
        <f>MAX(0,CC352-CC351)</f>
        <v>1827.99013489306</v>
      </c>
      <c r="CD353" s="254">
        <f>MAX(0,CD352-CD351)</f>
        <v>1912.25464054385</v>
      </c>
      <c r="CE353" s="254">
        <f>MAX(0,CE352-CE351)</f>
        <v>1996.47631677561</v>
      </c>
      <c r="CF353" s="254">
        <f>MAX(0,CF352-CF351)</f>
        <v>2106.01246486777</v>
      </c>
      <c r="CG353" s="19" t="inlineStr">
        <is>
          <t>Surplus cash and debt capacity beyond the leverage target are returned via buybacks; feeds the cash-flow repurchase line.</t>
        </is>
      </c>
    </row>
    <row r="354" ht="15" customHeight="1" s="251">
      <c r="B354" s="25" t="inlineStr">
        <is>
          <t>Historical reference (driver context)</t>
        </is>
      </c>
      <c r="CG354" s="153" t="n"/>
    </row>
    <row r="355" ht="15" customHeight="1" s="251">
      <c r="B355" s="25" t="inlineStr">
        <is>
          <t xml:space="preserve">  Total D&amp;A % of revenue</t>
        </is>
      </c>
      <c r="C355" s="215">
        <f>IF(AND(ISNUMBER(C149),ISNUMBER(C127)),IFERROR(C149/C127,""),"")</f>
        <v>0.059131414586274</v>
      </c>
      <c r="D355" s="215">
        <f>IF(AND(ISNUMBER(D149),ISNUMBER(D127)),IFERROR(D149/D127,""),"")</f>
        <v>0.0610822197033455</v>
      </c>
      <c r="E355" s="215">
        <f>IF(AND(ISNUMBER(E149),ISNUMBER(E127)),IFERROR(E149/E127,""),"")</f>
        <v>0.0530233257523072</v>
      </c>
      <c r="F355" s="215">
        <f>IF(AND(ISNUMBER(F149),ISNUMBER(F127)),IFERROR(F149/F127,""),"")</f>
        <v>0.0609114762935306</v>
      </c>
      <c r="G355" s="215">
        <f>IF(AND(ISNUMBER(G149),ISNUMBER(G127)),IFERROR(G149/G127,""),"")</f>
        <v>0.0510498759170006</v>
      </c>
      <c r="H355" s="215">
        <f>IF(AND(ISNUMBER(H149),ISNUMBER(H127)),IFERROR(H149/H127,""),"")</f>
        <v>0.0390473839043511</v>
      </c>
      <c r="I355" s="215">
        <f>IF(AND(ISNUMBER(I149),ISNUMBER(I127)),IFERROR(I149/I127,""),"")</f>
        <v>0.0318572845689753</v>
      </c>
      <c r="J355" s="215">
        <f>IF(AND(ISNUMBER(J149),ISNUMBER(J127)),IFERROR(J149/J127,""),"")</f>
        <v>0.0419587411851384</v>
      </c>
      <c r="K355" s="215">
        <f>IF(AND(ISNUMBER(K149),ISNUMBER(K127)),IFERROR(K149/K127,""),"")</f>
        <v>0.0471769134253451</v>
      </c>
      <c r="L355" s="215">
        <f>IF(AND(ISNUMBER(L149),ISNUMBER(L127)),IFERROR(L149/L127,""),"")</f>
        <v>0.0474881918899506</v>
      </c>
      <c r="M355" s="215">
        <f>IF(AND(ISNUMBER(M149),ISNUMBER(M127)),IFERROR(M149/M127,""),"")</f>
        <v>0.0423166445118139</v>
      </c>
      <c r="N355" s="215">
        <f>IF(AND(ISNUMBER(N149),ISNUMBER(N127)),IFERROR(N149/N127,""),"")</f>
        <v>0.0446758599168196</v>
      </c>
      <c r="O355" s="215">
        <f>IF(AND(ISNUMBER(O149),ISNUMBER(O127)),IFERROR(O149/O127,""),"")</f>
        <v>0.044303282468008</v>
      </c>
      <c r="P355" s="215">
        <f>IF(AND(ISNUMBER(P149),ISNUMBER(P127)),IFERROR(P149/P127,""),"")</f>
        <v>0.0422997703033506</v>
      </c>
      <c r="Q355" s="215">
        <f>IF(AND(ISNUMBER(Q149),ISNUMBER(Q127)),IFERROR(Q149/Q127,""),"")</f>
        <v>0.0414149081524214</v>
      </c>
      <c r="R355" s="215">
        <f>IF(AND(ISNUMBER(R149),ISNUMBER(R127)),IFERROR(R149/R127,""),"")</f>
        <v>0.0380737464458185</v>
      </c>
      <c r="S355" s="215">
        <f>IF(AND(ISNUMBER(S149),ISNUMBER(S127)),IFERROR(S149/S127,""),"")</f>
        <v>0.0413594681774685</v>
      </c>
      <c r="T355" s="215">
        <f>IF(AND(ISNUMBER(T149),ISNUMBER(T127)),IFERROR(T149/T127,""),"")</f>
        <v>0.0427697177525719</v>
      </c>
      <c r="U355" s="215">
        <f>IF(AND(ISNUMBER(U149),ISNUMBER(U127)),IFERROR(U149/U127,""),"")</f>
        <v>0.0431656760449811</v>
      </c>
      <c r="V355" s="215">
        <f>IF(AND(ISNUMBER(V149),ISNUMBER(V127)),IFERROR(V149/V127,""),"")</f>
        <v>0.0432066333597623</v>
      </c>
      <c r="W355" s="215">
        <f>IF(AND(ISNUMBER(W149),ISNUMBER(W127)),IFERROR(W149/W127,""),"")</f>
        <v>0.0334943030469676</v>
      </c>
      <c r="X355" s="215">
        <f>IF(AND(ISNUMBER(X149),ISNUMBER(X127)),IFERROR(X149/X127,""),"")</f>
        <v>0.0404026796028999</v>
      </c>
      <c r="Y355" s="215">
        <f>IF(AND(ISNUMBER(Y149),ISNUMBER(Y127)),IFERROR(Y149/Y127,""),"")</f>
        <v>0.0371908674703613</v>
      </c>
      <c r="Z355" s="215">
        <f>IF(AND(ISNUMBER(Z149),ISNUMBER(Z127)),IFERROR(Z149/Z127,""),"")</f>
        <v>0.0373866594412565</v>
      </c>
      <c r="AA355" s="215">
        <f>IF(AND(ISNUMBER(AA149),ISNUMBER(AA127)),IFERROR(AA149/AA127,""),"")</f>
        <v>0.0333322165358618</v>
      </c>
      <c r="AB355" s="215">
        <f>IF(AND(ISNUMBER(AB149),ISNUMBER(AB127)),IFERROR(AB149/AB127,""),"")</f>
        <v>0.0360692719994572</v>
      </c>
      <c r="AC355" s="215">
        <f>IF(AND(ISNUMBER(AC149),ISNUMBER(AC127)),IFERROR(AC149/AC127,""),"")</f>
        <v>0.0358912857006703</v>
      </c>
      <c r="AD355" s="215">
        <f>IF(AND(ISNUMBER(AD149),ISNUMBER(AD127)),IFERROR(AD149/AD127,""),"")</f>
        <v>0.041247723132969</v>
      </c>
      <c r="AE355" s="215">
        <f>IF(AND(ISNUMBER(AE149),ISNUMBER(AE127)),IFERROR(AE149/AE127,""),"")</f>
        <v>0.0401877588909615</v>
      </c>
      <c r="AF355" s="215">
        <f>IF(AND(ISNUMBER(AF149),ISNUMBER(AF127)),IFERROR(AF149/AF127,""),"")</f>
        <v>0.0397902903206255</v>
      </c>
      <c r="AG355" s="215">
        <f>IF(AND(ISNUMBER(AG149),ISNUMBER(AG127)),IFERROR(AG149/AG127,""),"")</f>
        <v>0.0347031061787879</v>
      </c>
      <c r="AH355" s="215">
        <f>IF(AND(ISNUMBER(AH149),ISNUMBER(AH127)),IFERROR(AH149/AH127,""),"")</f>
        <v>0.0388491786360628</v>
      </c>
      <c r="AI355" s="215">
        <f>IF(AND(ISNUMBER(AI149),ISNUMBER(AI127)),IFERROR(AI149/AI127,""),"")</f>
        <v>0.0328529965451447</v>
      </c>
      <c r="AJ355" s="215">
        <f>IF(AND(ISNUMBER(AJ149),ISNUMBER(AJ127)),IFERROR(AJ149/AJ127,""),"")</f>
        <v>0.0285583538226466</v>
      </c>
      <c r="AK355" s="215">
        <f>IF(AND(ISNUMBER(AK149),ISNUMBER(AK127)),IFERROR(AK149/AK127,""),"")</f>
        <v>0.0278761488217953</v>
      </c>
      <c r="AL355" s="215">
        <f>IF(AND(ISNUMBER(AL149),ISNUMBER(AL127)),IFERROR(AL149/AL127,""),"")</f>
        <v>0.0280673788649385</v>
      </c>
      <c r="AM355" s="215">
        <f>IF(AND(ISNUMBER(AM149),ISNUMBER(AM127)),IFERROR(AM149/AM127,""),"")</f>
        <v>0.0292326690718904</v>
      </c>
      <c r="AN355" s="215">
        <f>IF(AND(ISNUMBER(AN149),ISNUMBER(AN127)),IFERROR(AN149/AN127,""),"")</f>
        <v>0.0303787139283753</v>
      </c>
      <c r="AO355" s="215">
        <f>IF(AND(ISNUMBER(AO149),ISNUMBER(AO127)),IFERROR(AO149/AO127,""),"")</f>
        <v>0.0281022448730206</v>
      </c>
      <c r="AP355" s="215">
        <f>IF(AND(ISNUMBER(AP149),ISNUMBER(AP127)),IFERROR(AP149/AP127,""),"")</f>
        <v>0.0252920454798583</v>
      </c>
      <c r="AQ355" s="215">
        <f>IF(AND(ISNUMBER(AQ149),ISNUMBER(AQ127)),IFERROR(AQ149/AQ127,""),"")</f>
        <v>0.0258004087193461</v>
      </c>
      <c r="AR355" s="215">
        <f>IF(AND(ISNUMBER(AR149),ISNUMBER(AR127)),IFERROR(AR149/AR127,""),"")</f>
        <v>0.0272497743695925</v>
      </c>
      <c r="AS355" s="215">
        <f>IF(AND(ISNUMBER(AS149),ISNUMBER(AS127)),IFERROR(AS149/AS127,""),"")</f>
        <v>0.0263179052877013</v>
      </c>
      <c r="AT355" s="215">
        <f>IF(AND(ISNUMBER(AT149),ISNUMBER(AT127)),IFERROR(AT149/AT127,""),"")</f>
        <v>0.0249341658792549</v>
      </c>
      <c r="AU355" s="215">
        <f>IF(AND(ISNUMBER(AU149),ISNUMBER(AU127)),IFERROR(AU149/AU127,""),"")</f>
        <v>0.0255441763804023</v>
      </c>
      <c r="AV355" s="215">
        <f>IF(AND(ISNUMBER(AV149),ISNUMBER(AV127)),IFERROR(AV149/AV127,""),"")</f>
        <v>0.0182126104563571</v>
      </c>
      <c r="AW355" s="215">
        <f>IF(AND(ISNUMBER(AW149),ISNUMBER(AW127)),IFERROR(AW149/AW127,""),"")</f>
        <v>0.0234573546883038</v>
      </c>
      <c r="AX355" s="215">
        <f>IF(AND(ISNUMBER(AX149),ISNUMBER(AX127)),IFERROR(AX149/AX127,""),"")</f>
        <v>0.0224893890798748</v>
      </c>
      <c r="AY355" s="215">
        <f>IF(AND(ISNUMBER(AY149),ISNUMBER(AY127)),IFERROR(AY149/AY127,""),"")</f>
        <v>0.0201441931911118</v>
      </c>
      <c r="AZ355" s="215">
        <f>IF(AND(ISNUMBER(AZ149),ISNUMBER(AZ127)),IFERROR(AZ149/AZ127,""),"")</f>
        <v>0.0188211151325905</v>
      </c>
      <c r="BA355" s="215">
        <f>IF(AND(ISNUMBER(BA149),ISNUMBER(BA127)),IFERROR(BA149/BA127,""),"")</f>
        <v>0.0165163773959358</v>
      </c>
      <c r="BB355" s="215">
        <f>IF(AND(ISNUMBER(BB149),ISNUMBER(BB127)),IFERROR(BB149/BB127,""),"")</f>
        <v>0.0194388911507167</v>
      </c>
      <c r="BC355" s="215">
        <f>IF(AND(ISNUMBER(BC149),ISNUMBER(BC127)),IFERROR(BC149/BC127,""),"")</f>
        <v>0.016214740616886</v>
      </c>
      <c r="BD355" s="215">
        <f>IF(AND(ISNUMBER(BD149),ISNUMBER(BD127)),IFERROR(BD149/BD127,""),"")</f>
        <v>0.0151989809487815</v>
      </c>
      <c r="BE355" s="215">
        <f>IF(AND(ISNUMBER(BE149),ISNUMBER(BE127)),IFERROR(BE149/BE127,""),"")</f>
        <v>0.0147951376351851</v>
      </c>
      <c r="BF355" s="215">
        <f>IF(AND(ISNUMBER(BF149),ISNUMBER(BF127)),IFERROR(BF149/BF127,""),"")</f>
        <v>0.0133219401975065</v>
      </c>
      <c r="BG355" s="215">
        <f>IF(AND(ISNUMBER(BG149),ISNUMBER(BG127)),IFERROR(BG149/BG127,""),"")</f>
        <v>0.0148591053315617</v>
      </c>
      <c r="BH355" s="215">
        <f>IF(AND(ISNUMBER(BH149),ISNUMBER(BH127)),IFERROR(BH149/BH127,""),"")</f>
        <v>0.0124104735117581</v>
      </c>
      <c r="BI355" s="215">
        <f>IF(AND(ISNUMBER(BI149),ISNUMBER(BI127)),IFERROR(BI149/BI127,""),"")</f>
        <v>0.0105557688565373</v>
      </c>
      <c r="BJ355" s="215">
        <f>IF(AND(ISNUMBER(BJ149),ISNUMBER(BJ127)),IFERROR(BJ149/BJ127,""),"")</f>
        <v>0.00839754394413677</v>
      </c>
      <c r="BK355" s="215">
        <f>IF(AND(ISNUMBER(BK149),ISNUMBER(BK127)),IFERROR(BK149/BK127,""),"")</f>
        <v>0.00768731413557487</v>
      </c>
      <c r="BL355" s="215">
        <f>IF(AND(ISNUMBER(BL149),ISNUMBER(BL127)),IFERROR(BL149/BL127,""),"")</f>
        <v>0.0096712578383239</v>
      </c>
      <c r="BM355" s="215">
        <f>IF(AND(ISNUMBER(BM149),ISNUMBER(BM127)),IFERROR(BM149/BM127,""),"")</f>
        <v>0.0073915285335511</v>
      </c>
      <c r="BN355" s="215">
        <f>IF(AND(ISNUMBER(BN149),ISNUMBER(BN127)),IFERROR(BN149/BN127,""),"")</f>
        <v>0.00773151317745828</v>
      </c>
      <c r="BO355" s="215">
        <f>IF(AND(ISNUMBER(BO149),ISNUMBER(BO127)),IFERROR(BO149/BO127,""),"")</f>
        <v>0.00856092120335202</v>
      </c>
      <c r="BP355" s="215">
        <f>IF(AND(ISNUMBER(BP149),ISNUMBER(BP127)),IFERROR(BP149/BP127,""),"")</f>
        <v>0.00840662040638242</v>
      </c>
      <c r="BQ355" s="215">
        <f>IF(AND(ISNUMBER(BQ149),ISNUMBER(BQ127)),IFERROR(BQ149/BQ127,""),"")</f>
        <v>0.00805053315058986</v>
      </c>
      <c r="BR355" s="215">
        <f>IF(AND(ISNUMBER(BR149),ISNUMBER(BR127)),IFERROR(BR149/BR127,""),"")</f>
        <v>0.00803467524910903</v>
      </c>
      <c r="BS355" s="215">
        <f>IF(AND(ISNUMBER(BS149),ISNUMBER(BS127)),IFERROR(BS149/BS127,""),"")</f>
        <v>0.00684732372903446</v>
      </c>
      <c r="BT355" s="215">
        <f>IF(AND(ISNUMBER(BT149),ISNUMBER(BT127)),IFERROR(BT149/BT127,""),"")</f>
        <v>0.00742149268756467</v>
      </c>
      <c r="BU355" s="215">
        <f>IF(AND(ISNUMBER(BU149),ISNUMBER(BU127)),IFERROR(BU149/BU127,""),"")</f>
        <v>0.00779639787416796</v>
      </c>
      <c r="BV355" s="215">
        <f>IF(AND(ISNUMBER(BV149),ISNUMBER(BV127)),IFERROR(BV149/BV127,""),"")</f>
        <v>0.00751028822087239</v>
      </c>
      <c r="BW355" s="215">
        <f>IF(AND(ISNUMBER(BW149),ISNUMBER(BW127)),IFERROR(BW149/BW127,""),"")</f>
        <v>0.00784633144451021</v>
      </c>
      <c r="BX355" s="215">
        <f>IF(AND(ISNUMBER(BX149),ISNUMBER(BX127)),IFERROR(BX149/BX127,""),"")</f>
        <v>0.00562112084108623</v>
      </c>
      <c r="BY355" s="215">
        <f>IF(AND(ISNUMBER(BY149),ISNUMBER(BY127)),IFERROR(BY149/BY127,""),"")</f>
        <v>0.00625641512456466</v>
      </c>
      <c r="BZ355" s="24" t="n"/>
      <c r="CA355" s="256">
        <f>IF(AND(ISNUMBER(CA149),ISNUMBER(CA127)),IFERROR(CA149/CA127,""),"")</f>
        <v>0.00649130434782609</v>
      </c>
      <c r="CB355" s="256">
        <f>IF(AND(ISNUMBER(CB149),ISNUMBER(CB127)),IFERROR(CB149/CB127,""),"")</f>
        <v>0.008</v>
      </c>
      <c r="CC355" s="256">
        <f>IF(AND(ISNUMBER(CC149),ISNUMBER(CC127)),IFERROR(CC149/CC127,""),"")</f>
        <v>0.008</v>
      </c>
      <c r="CD355" s="256">
        <f>IF(AND(ISNUMBER(CD149),ISNUMBER(CD127)),IFERROR(CD149/CD127,""),"")</f>
        <v>0.008</v>
      </c>
      <c r="CE355" s="256">
        <f>IF(AND(ISNUMBER(CE149),ISNUMBER(CE127)),IFERROR(CE149/CE127,""),"")</f>
        <v>0.008</v>
      </c>
      <c r="CF355" s="256">
        <f>IF(AND(ISNUMBER(CF149),ISNUMBER(CF127)),IFERROR(CF149/CF127,""),"")</f>
        <v>0.008</v>
      </c>
      <c r="CG355" s="153" t="n"/>
    </row>
    <row r="356" ht="15" customHeight="1" s="251">
      <c r="B356" s="25" t="inlineStr">
        <is>
          <t xml:space="preserve">  Net interest expense ÷ average total debt %</t>
        </is>
      </c>
      <c r="C356" s="36" t="n"/>
      <c r="D356" s="215">
        <f>IFERROR(D139*1/AVERAGE(D328,C328),"")</f>
        <v>-0.00117936498711765</v>
      </c>
      <c r="E356" s="215">
        <f>IFERROR(E139*1/AVERAGE(E328,D328),"")</f>
        <v>0.0164849458553933</v>
      </c>
      <c r="F356" s="215">
        <f>IFERROR(F139*1/AVERAGE(F328,E328),"")</f>
        <v>0.0282466123518393</v>
      </c>
      <c r="G356" s="215">
        <f>IFERROR(G139*1/AVERAGE(G328,F328),"")</f>
        <v>0.0328967336399746</v>
      </c>
      <c r="H356" s="215">
        <f>IFERROR(H139*1/AVERAGE(H328,G328),"")</f>
        <v>0.0496667429369092</v>
      </c>
      <c r="I356" s="215">
        <f>IFERROR(I139*1/AVERAGE(I328,H328),"")</f>
        <v>0.0544762059993706</v>
      </c>
      <c r="J356" s="36" t="n"/>
      <c r="K356" s="215">
        <f>IFERROR(K139*4/AVERAGE(K328,J328),"")</f>
        <v>0.0622698412698413</v>
      </c>
      <c r="L356" s="215">
        <f>IFERROR(L139*4/AVERAGE(L328,K328),"")</f>
        <v>0.0599959555106168</v>
      </c>
      <c r="M356" s="215">
        <f>IFERROR(M139*4/AVERAGE(M328,L328),"")</f>
        <v>0.0595183246073298</v>
      </c>
      <c r="N356" s="215">
        <f>IFERROR(N139*1/AVERAGE(N328,I328),"")</f>
        <v>0.0603679756347205</v>
      </c>
      <c r="O356" s="215">
        <f>IFERROR(O139*4/AVERAGE(O328,M328),"")</f>
        <v>0.0601350210970464</v>
      </c>
      <c r="P356" s="215">
        <f>IFERROR(P139*4/AVERAGE(P328,O328),"")</f>
        <v>0.0590967741935484</v>
      </c>
      <c r="Q356" s="215">
        <f>IFERROR(Q139*4/AVERAGE(Q328,P328),"")</f>
        <v>0.0556841066140178</v>
      </c>
      <c r="R356" s="215">
        <f>IFERROR(R139*4/AVERAGE(R328,Q328),"")</f>
        <v>0.0540817843866171</v>
      </c>
      <c r="S356" s="215">
        <f>IFERROR(S139*1/AVERAGE(S328,N328),"")</f>
        <v>0.0562007874015748</v>
      </c>
      <c r="T356" s="215">
        <f>IFERROR(T139*4/AVERAGE(T328,R328),"")</f>
        <v>0.0499913269731136</v>
      </c>
      <c r="U356" s="215">
        <f>IFERROR(U139*4/AVERAGE(U328,T328),"")</f>
        <v>0.0488094861660079</v>
      </c>
      <c r="V356" s="215">
        <f>IFERROR(V139*4/AVERAGE(V328,U328),"")</f>
        <v>0.0450842266462481</v>
      </c>
      <c r="W356" s="215">
        <f>IFERROR(W139*4/AVERAGE(W328,V328),"")</f>
        <v>0.0437388535031847</v>
      </c>
      <c r="X356" s="215">
        <f>IFERROR(X139*1/AVERAGE(X328,S328),"")</f>
        <v>0.0505199306759099</v>
      </c>
      <c r="Y356" s="215">
        <f>IFERROR(Y139*4/AVERAGE(Y328,W328),"")</f>
        <v>0.043840260798696</v>
      </c>
      <c r="Z356" s="215">
        <f>IFERROR(Z139*4/AVERAGE(Z328,Y328),"")</f>
        <v>0.0443252032520325</v>
      </c>
      <c r="AA356" s="215">
        <f>IFERROR(AA139*4/AVERAGE(AA328,Z328),"")</f>
        <v>0.0447590759075908</v>
      </c>
      <c r="AB356" s="215">
        <f>IFERROR(AB139*4/AVERAGE(AB328,AA328),"")</f>
        <v>0.0430921501706485</v>
      </c>
      <c r="AC356" s="215">
        <f>IFERROR(AC139*1/AVERAGE(AC328,X328),"")</f>
        <v>0.0451789652247668</v>
      </c>
      <c r="AD356" s="215">
        <f>IFERROR(AD139*4/AVERAGE(AD328,AB328),"")</f>
        <v>0.0414342201545392</v>
      </c>
      <c r="AE356" s="215">
        <f>IFERROR(AE139*4/AVERAGE(AE328,AD328),"")</f>
        <v>0.042221066887464</v>
      </c>
      <c r="AF356" s="215">
        <f>IFERROR(AF139*4/AVERAGE(AF328,AE328),"")</f>
        <v>0.0430097447488337</v>
      </c>
      <c r="AG356" s="215">
        <f>IFERROR(AG139*4/AVERAGE(AG328,AF328),"")</f>
        <v>0.0420001183657634</v>
      </c>
      <c r="AH356" s="215">
        <f>IFERROR(AH139*1/AVERAGE(AH328,AC328),"")</f>
        <v>0.0438679674536763</v>
      </c>
      <c r="AI356" s="215">
        <f>IFERROR(AI139*4/AVERAGE(AI328,AG328),"")</f>
        <v>0.040736697316407</v>
      </c>
      <c r="AJ356" s="215">
        <f>IFERROR(AJ139*4/AVERAGE(AJ328,AI328),"")</f>
        <v>0.0416231021085002</v>
      </c>
      <c r="AK356" s="215">
        <f>IFERROR(AK139*4/AVERAGE(AK328,AJ328),"")</f>
        <v>0.0449780217300785</v>
      </c>
      <c r="AL356" s="215">
        <f>IFERROR(AL139*4/AVERAGE(AL328,AK328),"")</f>
        <v>0.0499757988831365</v>
      </c>
      <c r="AM356" s="215">
        <f>IFERROR(AM139*1/AVERAGE(AM328,AH328),"")</f>
        <v>0.0457514000051142</v>
      </c>
      <c r="AN356" s="215">
        <f>IFERROR(AN139*4/AVERAGE(AN328,AL328),"")</f>
        <v>0.0484981840121646</v>
      </c>
      <c r="AO356" s="215">
        <f>IFERROR(AO139*4/AVERAGE(AO328,AN328),"")</f>
        <v>0.048390898662215</v>
      </c>
      <c r="AP356" s="215">
        <f>IFERROR(AP139*4/AVERAGE(AP328,AO328),"")</f>
        <v>0.0491735012167536</v>
      </c>
      <c r="AQ356" s="215">
        <f>IFERROR(AQ139*4/AVERAGE(AQ328,AP328),"")</f>
        <v>0.048353377379244</v>
      </c>
      <c r="AR356" s="215">
        <f>IFERROR(AR139*1/AVERAGE(AR328,AM328),"")</f>
        <v>0.0500423607727914</v>
      </c>
      <c r="AS356" s="215">
        <f>IFERROR(AS139*4/AVERAGE(AS328,AQ328),"")</f>
        <v>0.0448317861402634</v>
      </c>
      <c r="AT356" s="215">
        <f>IFERROR(AT139*4/AVERAGE(AT328,AS328),"")</f>
        <v>0.0482514787841305</v>
      </c>
      <c r="AU356" s="215">
        <f>IFERROR(AU139*4/AVERAGE(AU328,AT328),"")</f>
        <v>0.0478932036608024</v>
      </c>
      <c r="AV356" s="215">
        <f>IFERROR(AV139*4/AVERAGE(AV328,AU328),"")</f>
        <v>0.0451076768660792</v>
      </c>
      <c r="AW356" s="215">
        <f>IFERROR(AW139*1/AVERAGE(AW328,AR328),"")</f>
        <v>0.0508393979116756</v>
      </c>
      <c r="AX356" s="215">
        <f>IFERROR(AX139*4/AVERAGE(AX328,AV328),"")</f>
        <v>0.0452293073338705</v>
      </c>
      <c r="AY356" s="215">
        <f>IFERROR(AY139*4/AVERAGE(AY328,AX328),"")</f>
        <v>0.0433232737327872</v>
      </c>
      <c r="AZ356" s="215">
        <f>IFERROR(AZ139*4/AVERAGE(AZ328,AY328),"")</f>
        <v>0.0396389837416067</v>
      </c>
      <c r="BA356" s="215">
        <f>IFERROR(BA139*4/AVERAGE(BA328,AZ328),"")</f>
        <v>0.0362405209790814</v>
      </c>
      <c r="BB356" s="215">
        <f>IFERROR(BB139*1/AVERAGE(BB328,AW328),"")</f>
        <v>0.0383022690263407</v>
      </c>
      <c r="BC356" s="215">
        <f>IFERROR(BC139*4/AVERAGE(BC328,BA328),"")</f>
        <v>0.0337308241509382</v>
      </c>
      <c r="BD356" s="215">
        <f>IFERROR(BD139*4/AVERAGE(BD328,BC328),"")</f>
        <v>0.0401660926625293</v>
      </c>
      <c r="BE356" s="215">
        <f>IFERROR(BE139*4/AVERAGE(BE328,BD328),"")</f>
        <v>0.0399238139920482</v>
      </c>
      <c r="BF356" s="215">
        <f>IFERROR(BF139*4/AVERAGE(BF328,BE328),"")</f>
        <v>0.0437546255714713</v>
      </c>
      <c r="BG356" s="215">
        <f>IFERROR(BG139*1/AVERAGE(BG328,BB328),"")</f>
        <v>0.0443134822100648</v>
      </c>
      <c r="BH356" s="215">
        <f>IFERROR(BH139*4/AVERAGE(BH328,BF328),"")</f>
        <v>0.0483263939210483</v>
      </c>
      <c r="BI356" s="215">
        <f>IFERROR(BI139*4/AVERAGE(BI328,BH328),"")</f>
        <v>0.0497164221839016</v>
      </c>
      <c r="BJ356" s="215">
        <f>IFERROR(BJ139*4/AVERAGE(BJ328,BI328),"")</f>
        <v>0.050945393004167</v>
      </c>
      <c r="BK356" s="215">
        <f>IFERROR(BK139*4/AVERAGE(BK328,BJ328),"")</f>
        <v>0.0512834850571754</v>
      </c>
      <c r="BL356" s="215">
        <f>IFERROR(BL139*1/AVERAGE(BL328,BG328),"")</f>
        <v>0.0514334269904103</v>
      </c>
      <c r="BM356" s="215">
        <f>IFERROR(BM139*4/AVERAGE(BM328,BK328),"")</f>
        <v>0.0505571999990584</v>
      </c>
      <c r="BN356" s="215">
        <f>IFERROR(BN139*4/AVERAGE(BN328,BM328),"")</f>
        <v>0.0521168539640033</v>
      </c>
      <c r="BO356" s="215">
        <f>IFERROR(BO139*4/AVERAGE(BO328,BN328),"")</f>
        <v>0.051624617668145</v>
      </c>
      <c r="BP356" s="215">
        <f>IFERROR(BP139*4/AVERAGE(BP328,BO328),"")</f>
        <v>0.0526962109179009</v>
      </c>
      <c r="BQ356" s="215">
        <f>IFERROR(BQ139*1/AVERAGE(BQ328,BL328),"")</f>
        <v>0.0519019062913091</v>
      </c>
      <c r="BR356" s="215">
        <f>IFERROR(BR139*4/AVERAGE(BR328,BP328),"")</f>
        <v>0.0509498563860426</v>
      </c>
      <c r="BS356" s="215">
        <f>IFERROR(BS139*4/AVERAGE(BS328,BR328),"")</f>
        <v>0.050719306791959</v>
      </c>
      <c r="BT356" s="215">
        <f>IFERROR(BT139*4/AVERAGE(BT328,BS328),"")</f>
        <v>0.049586518387417</v>
      </c>
      <c r="BU356" s="215">
        <f>IFERROR(BU139*4/AVERAGE(BU328,BT328),"")</f>
        <v>0.0546773957220305</v>
      </c>
      <c r="BV356" s="215">
        <f>IFERROR(BV139*1/AVERAGE(BV328,BQ328),"")</f>
        <v>0.0507708683779853</v>
      </c>
      <c r="BW356" s="215">
        <f>IFERROR(BW139*4/AVERAGE(BW328,BU328),"")</f>
        <v>0.0537460096089257</v>
      </c>
      <c r="BX356" s="215">
        <f>IFERROR(BX139*4/AVERAGE(BX328,BW328),"")</f>
        <v>0.0521705141040847</v>
      </c>
      <c r="BY356" s="215">
        <f>IFERROR(BY139*4/AVERAGE(BY328,BX328),"")</f>
        <v>0.0519458323916884</v>
      </c>
      <c r="BZ356" s="24" t="n"/>
      <c r="CA356" s="256">
        <f>IFERROR(CA139*1/AVERAGE(CA328,BV328),"")</f>
        <v>0.0522959705972979</v>
      </c>
      <c r="CB356" s="256">
        <f>IFERROR(CB139*1/AVERAGE(CB328,CA328),"")</f>
        <v>0.055970229433058</v>
      </c>
      <c r="CC356" s="256">
        <f>IFERROR(CC139*1/AVERAGE(CC328,CB328),"")</f>
        <v>0.052810335211947</v>
      </c>
      <c r="CD356" s="256">
        <f>IFERROR(CD139*1/AVERAGE(CD328,CC328),"")</f>
        <v>0.0579432826412747</v>
      </c>
      <c r="CE356" s="256">
        <f>IFERROR(CE139*1/AVERAGE(CE328,CD328),"")</f>
        <v>0.0583632091082998</v>
      </c>
      <c r="CF356" s="256">
        <f>IFERROR(CF139*1/AVERAGE(CF328,CE328),"")</f>
        <v>0.058613513158521</v>
      </c>
      <c r="CG356" s="153" t="n"/>
    </row>
    <row r="357" ht="15" customHeight="1" s="251">
      <c r="CO357" s="11" t="n"/>
      <c r="CP357" s="12" t="n"/>
      <c r="CQ357" s="12" t="n"/>
      <c r="CR357" s="12" t="n"/>
      <c r="CS357" s="13" t="n"/>
    </row>
    <row r="358" ht="15" customHeight="1" s="251">
      <c r="B358" s="10" t="inlineStr">
        <is>
          <t>RATIO ANALYSIS</t>
        </is>
      </c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  <c r="AO358" s="10" t="n"/>
      <c r="AP358" s="10" t="n"/>
      <c r="AQ358" s="10" t="n"/>
      <c r="AR358" s="10" t="n"/>
      <c r="AS358" s="10" t="n"/>
      <c r="AT358" s="10" t="n"/>
      <c r="AU358" s="10" t="n"/>
      <c r="AV358" s="10" t="n"/>
      <c r="AW358" s="10" t="n"/>
      <c r="AX358" s="10" t="n"/>
      <c r="AY358" s="10" t="n"/>
      <c r="AZ358" s="10" t="n"/>
      <c r="BA358" s="10" t="n"/>
      <c r="BB358" s="10" t="n"/>
      <c r="BC358" s="10" t="n"/>
      <c r="BD358" s="10" t="n"/>
      <c r="BE358" s="10" t="n"/>
      <c r="BF358" s="10" t="n"/>
      <c r="BG358" s="10" t="n"/>
      <c r="BH358" s="10" t="n"/>
      <c r="BI358" s="10" t="n"/>
      <c r="BJ358" s="10" t="n"/>
      <c r="BK358" s="10" t="n"/>
      <c r="BL358" s="10" t="n"/>
      <c r="BM358" s="10" t="n"/>
      <c r="BN358" s="10" t="n"/>
      <c r="BO358" s="10" t="n"/>
      <c r="BP358" s="10" t="n"/>
      <c r="BQ358" s="10" t="n"/>
      <c r="BR358" s="10" t="n"/>
      <c r="BS358" s="10" t="n"/>
      <c r="BT358" s="10" t="n"/>
      <c r="BU358" s="10" t="n"/>
      <c r="BV358" s="10" t="n"/>
      <c r="BW358" s="10" t="n"/>
      <c r="BX358" s="10" t="n"/>
      <c r="BY358" s="10" t="n"/>
      <c r="BZ358" s="10" t="n"/>
      <c r="CA358" s="10" t="n"/>
      <c r="CB358" s="10" t="n"/>
      <c r="CC358" s="10" t="n"/>
      <c r="CD358" s="10" t="n"/>
      <c r="CE358" s="10" t="n"/>
      <c r="CF358" s="10" t="n"/>
      <c r="CG358" s="10" t="inlineStr">
        <is>
          <t>RETURNS — annual columns (NOPAT on adjusted EBITA after SBC)</t>
        </is>
      </c>
    </row>
    <row r="359" ht="15" customHeight="1" s="251">
      <c r="B359" s="25" t="inlineStr">
        <is>
          <t>DuPont decomposition of ROIC</t>
        </is>
      </c>
      <c r="CG359" s="153" t="n"/>
    </row>
    <row r="360" ht="15" customHeight="1" s="251">
      <c r="B360" s="25" t="inlineStr">
        <is>
          <t>Adjusted EBITA after SBC (adjusted EBITDA − depreciation − SBC)</t>
        </is>
      </c>
      <c r="C360" s="262">
        <f>C189</f>
        <v>197.366</v>
      </c>
      <c r="D360" s="262">
        <f>D189</f>
        <v>173.041</v>
      </c>
      <c r="E360" s="262">
        <f>E189</f>
        <v>148.737</v>
      </c>
      <c r="F360" s="262">
        <f>F189</f>
        <v>142.929</v>
      </c>
      <c r="G360" s="262">
        <f>G189</f>
        <v>127.258</v>
      </c>
      <c r="H360" s="262">
        <f>H189</f>
        <v>147.759</v>
      </c>
      <c r="I360" s="262">
        <f>I189</f>
        <v>179.729</v>
      </c>
      <c r="J360" s="34" t="n"/>
      <c r="K360" s="34" t="n"/>
      <c r="L360" s="34" t="n"/>
      <c r="M360" s="34" t="n"/>
      <c r="N360" s="262">
        <f>N189</f>
        <v>179.232</v>
      </c>
      <c r="O360" s="34" t="n"/>
      <c r="P360" s="34" t="n"/>
      <c r="Q360" s="34" t="n"/>
      <c r="R360" s="34" t="n"/>
      <c r="S360" s="262">
        <f>S189</f>
        <v>177.879</v>
      </c>
      <c r="T360" s="34" t="n"/>
      <c r="U360" s="34" t="n"/>
      <c r="V360" s="34" t="n"/>
      <c r="W360" s="34" t="n"/>
      <c r="X360" s="262">
        <f>X189</f>
        <v>170.303</v>
      </c>
      <c r="Y360" s="34" t="n"/>
      <c r="Z360" s="34" t="n"/>
      <c r="AA360" s="34" t="n"/>
      <c r="AB360" s="34" t="n"/>
      <c r="AC360" s="262">
        <f>AC189</f>
        <v>185.184</v>
      </c>
      <c r="AD360" s="34" t="n"/>
      <c r="AE360" s="34" t="n"/>
      <c r="AF360" s="34" t="n"/>
      <c r="AG360" s="34" t="n"/>
      <c r="AH360" s="262">
        <f>AH189</f>
        <v>194.294</v>
      </c>
      <c r="AI360" s="34" t="n"/>
      <c r="AJ360" s="34" t="n"/>
      <c r="AK360" s="34" t="n"/>
      <c r="AL360" s="34" t="n"/>
      <c r="AM360" s="262">
        <f>AM189</f>
        <v>215.915</v>
      </c>
      <c r="AN360" s="34" t="n"/>
      <c r="AO360" s="34" t="n"/>
      <c r="AP360" s="34" t="n"/>
      <c r="AQ360" s="34" t="n"/>
      <c r="AR360" s="262">
        <f>AR189</f>
        <v>261.95</v>
      </c>
      <c r="AS360" s="34" t="n"/>
      <c r="AT360" s="34" t="n"/>
      <c r="AU360" s="34" t="n"/>
      <c r="AV360" s="34" t="n"/>
      <c r="AW360" s="262">
        <f>AW189</f>
        <v>349.199</v>
      </c>
      <c r="AX360" s="34" t="n"/>
      <c r="AY360" s="34" t="n"/>
      <c r="AZ360" s="34" t="n"/>
      <c r="BA360" s="34" t="n"/>
      <c r="BB360" s="262">
        <f>BB189</f>
        <v>424.307</v>
      </c>
      <c r="BC360" s="34" t="n"/>
      <c r="BD360" s="34" t="n"/>
      <c r="BE360" s="34" t="n"/>
      <c r="BF360" s="34" t="n"/>
      <c r="BG360" s="262">
        <f>BG189</f>
        <v>542.337</v>
      </c>
      <c r="BH360" s="34" t="n"/>
      <c r="BI360" s="34" t="n"/>
      <c r="BJ360" s="34" t="n"/>
      <c r="BK360" s="34" t="n"/>
      <c r="BL360" s="262">
        <f>BL189</f>
        <v>648.329</v>
      </c>
      <c r="BM360" s="34" t="n"/>
      <c r="BN360" s="34" t="n"/>
      <c r="BO360" s="34" t="n"/>
      <c r="BP360" s="34" t="n"/>
      <c r="BQ360" s="262">
        <f>BQ189</f>
        <v>748.58</v>
      </c>
      <c r="BR360" s="34" t="n"/>
      <c r="BS360" s="34" t="n"/>
      <c r="BT360" s="34" t="n"/>
      <c r="BU360" s="34" t="n"/>
      <c r="BV360" s="262">
        <f>BV189</f>
        <v>947.164</v>
      </c>
      <c r="BW360" s="34" t="n"/>
      <c r="BX360" s="34" t="n"/>
      <c r="BY360" s="34" t="n"/>
      <c r="BZ360" s="35" t="n"/>
      <c r="CA360" s="254">
        <f>CA189</f>
        <v>1341.43658198803</v>
      </c>
      <c r="CB360" s="254">
        <f>CB189</f>
        <v>1566.99634555101</v>
      </c>
      <c r="CC360" s="254">
        <f>CC189</f>
        <v>1755.19187165166</v>
      </c>
      <c r="CD360" s="254">
        <f>CD189</f>
        <v>1939.22429842045</v>
      </c>
      <c r="CE360" s="254">
        <f>CE189</f>
        <v>2114.06157136208</v>
      </c>
      <c r="CF360" s="254">
        <f>CF189</f>
        <v>2288.16361718658</v>
      </c>
      <c r="CG360" s="19" t="n"/>
    </row>
    <row r="361" ht="15" customHeight="1" s="251">
      <c r="B361" s="25" t="inlineStr">
        <is>
          <t>Tax rate (non-GAAP)</t>
        </is>
      </c>
      <c r="C361" s="215">
        <f>IFERROR(C211+0,0.25)</f>
        <v>0.252132941671683</v>
      </c>
      <c r="D361" s="215">
        <f>IFERROR(D211+0,0.25)</f>
        <v>0.240915878546541</v>
      </c>
      <c r="E361" s="215">
        <f>IFERROR(E211+0,0.25)</f>
        <v>0.192484342379958</v>
      </c>
      <c r="F361" s="215">
        <f>IFERROR(F211+0,0.25)</f>
        <v>0.251282805377334</v>
      </c>
      <c r="G361" s="215">
        <f>IFERROR(G211+0,0.25)</f>
        <v>0.228016736675756</v>
      </c>
      <c r="H361" s="215">
        <f>IFERROR(H211+0,0.25)</f>
        <v>0.194556943953955</v>
      </c>
      <c r="I361" s="215">
        <f>IFERROR(I211+0,0.25)</f>
        <v>0.260933933384845</v>
      </c>
      <c r="J361" s="34" t="n"/>
      <c r="K361" s="34" t="n"/>
      <c r="L361" s="34" t="n"/>
      <c r="M361" s="34" t="n"/>
      <c r="N361" s="215">
        <f>IFERROR(N211+0,0.25)</f>
        <v>0.3037602584999</v>
      </c>
      <c r="O361" s="34" t="n"/>
      <c r="P361" s="34" t="n"/>
      <c r="Q361" s="34" t="n"/>
      <c r="R361" s="34" t="n"/>
      <c r="S361" s="215">
        <f>IFERROR(S211+0,0.25)</f>
        <v>0.309045672649724</v>
      </c>
      <c r="T361" s="34" t="n"/>
      <c r="U361" s="34" t="n"/>
      <c r="V361" s="34" t="n"/>
      <c r="W361" s="34" t="n"/>
      <c r="X361" s="215">
        <f>IFERROR(X211+0,0.25)</f>
        <v>0.273537093547712</v>
      </c>
      <c r="Y361" s="34" t="n"/>
      <c r="Z361" s="34" t="n"/>
      <c r="AA361" s="34" t="n"/>
      <c r="AB361" s="34" t="n"/>
      <c r="AC361" s="215">
        <f>IFERROR(AC211+0,0.25)</f>
        <v>0.273955900214893</v>
      </c>
      <c r="AD361" s="34" t="n"/>
      <c r="AE361" s="34" t="n"/>
      <c r="AF361" s="34" t="n"/>
      <c r="AG361" s="34" t="n"/>
      <c r="AH361" s="215">
        <f>IFERROR(AH211+0,0.25)</f>
        <v>0.313982744661031</v>
      </c>
      <c r="AI361" s="34" t="n"/>
      <c r="AJ361" s="34" t="n"/>
      <c r="AK361" s="34" t="n"/>
      <c r="AL361" s="34" t="n"/>
      <c r="AM361" s="215">
        <f>IFERROR(AM211+0,0.25)</f>
        <v>0.250927075222228</v>
      </c>
      <c r="AN361" s="34" t="n"/>
      <c r="AO361" s="34" t="n"/>
      <c r="AP361" s="34" t="n"/>
      <c r="AQ361" s="34" t="n"/>
      <c r="AR361" s="215">
        <f>IFERROR(AR211+0,0.25)</f>
        <v>0.254129651900082</v>
      </c>
      <c r="AS361" s="34" t="n"/>
      <c r="AT361" s="34" t="n"/>
      <c r="AU361" s="34" t="n"/>
      <c r="AV361" s="34" t="n"/>
      <c r="AW361" s="215">
        <f>IFERROR(AW211+0,0.25)</f>
        <v>0.270766627651901</v>
      </c>
      <c r="AX361" s="34" t="n"/>
      <c r="AY361" s="34" t="n"/>
      <c r="AZ361" s="34" t="n"/>
      <c r="BA361" s="34" t="n"/>
      <c r="BB361" s="215">
        <f>IFERROR(BB211+0,0.25)</f>
        <v>0.229821693189872</v>
      </c>
      <c r="BC361" s="34" t="n"/>
      <c r="BD361" s="34" t="n"/>
      <c r="BE361" s="34" t="n"/>
      <c r="BF361" s="34" t="n"/>
      <c r="BG361" s="215">
        <f>IFERROR(BG211+0,0.25)</f>
        <v>0.229222472291817</v>
      </c>
      <c r="BH361" s="34" t="n"/>
      <c r="BI361" s="34" t="n"/>
      <c r="BJ361" s="34" t="n"/>
      <c r="BK361" s="34" t="n"/>
      <c r="BL361" s="215">
        <f>IFERROR(BL211+0,0.25)</f>
        <v>0.260971284158255</v>
      </c>
      <c r="BM361" s="34" t="n"/>
      <c r="BN361" s="34" t="n"/>
      <c r="BO361" s="34" t="n"/>
      <c r="BP361" s="34" t="n"/>
      <c r="BQ361" s="215">
        <f>IFERROR(BQ211+0,0.25)</f>
        <v>0.248707376880566</v>
      </c>
      <c r="BR361" s="34" t="n"/>
      <c r="BS361" s="34" t="n"/>
      <c r="BT361" s="34" t="n"/>
      <c r="BU361" s="34" t="n"/>
      <c r="BV361" s="215">
        <f>IFERROR(BV211+0,0.25)</f>
        <v>0.243460003463261</v>
      </c>
      <c r="BW361" s="34" t="n"/>
      <c r="BX361" s="34" t="n"/>
      <c r="BY361" s="34" t="n"/>
      <c r="BZ361" s="35" t="n"/>
      <c r="CA361" s="256">
        <f>IFERROR(CA211+0,0.25)</f>
        <v>0.254505055455126</v>
      </c>
      <c r="CB361" s="256">
        <f>IFERROR(CB211+0,0.25)</f>
        <v>0.25</v>
      </c>
      <c r="CC361" s="256">
        <f>IFERROR(CC211+0,0.25)</f>
        <v>0.25</v>
      </c>
      <c r="CD361" s="256">
        <f>IFERROR(CD211+0,0.25)</f>
        <v>0.25</v>
      </c>
      <c r="CE361" s="256">
        <f>IFERROR(CE211+0,0.25)</f>
        <v>0.25</v>
      </c>
      <c r="CF361" s="256">
        <f>IFERROR(CF211+0,0.25)</f>
        <v>0.25</v>
      </c>
      <c r="CG361" s="19" t="n"/>
    </row>
    <row r="362" ht="15" customHeight="1" s="251">
      <c r="B362" s="25" t="inlineStr">
        <is>
          <t>NOPAT = Adjusted EBITA × (1 − tax rate)</t>
        </is>
      </c>
      <c r="C362" s="262">
        <f>IFERROR(C360*(1-C361),"n/a")</f>
        <v>147.603529834027</v>
      </c>
      <c r="D362" s="262">
        <f>IFERROR(D360*(1-D361),"n/a")</f>
        <v>131.352675460428</v>
      </c>
      <c r="E362" s="262">
        <f>IFERROR(E360*(1-E361),"n/a")</f>
        <v>120.107456367432</v>
      </c>
      <c r="F362" s="262">
        <f>IFERROR(F360*(1-F361),"n/a")</f>
        <v>107.013399910223</v>
      </c>
      <c r="G362" s="262">
        <f>IFERROR(G360*(1-G361),"n/a")</f>
        <v>98.2410461241167</v>
      </c>
      <c r="H362" s="262">
        <f>IFERROR(H360*(1-H361),"n/a")</f>
        <v>119.011460518308</v>
      </c>
      <c r="I362" s="262">
        <f>IFERROR(I360*(1-I361),"n/a")</f>
        <v>132.831605086675</v>
      </c>
      <c r="J362" s="34" t="n"/>
      <c r="K362" s="34" t="n"/>
      <c r="L362" s="34" t="n"/>
      <c r="M362" s="34" t="n"/>
      <c r="N362" s="262">
        <f>IFERROR(N360*(1-N361),"n/a")</f>
        <v>124.788441348546</v>
      </c>
      <c r="O362" s="34" t="n"/>
      <c r="P362" s="34" t="n"/>
      <c r="Q362" s="34" t="n"/>
      <c r="R362" s="34" t="n"/>
      <c r="S362" s="262">
        <f>IFERROR(S360*(1-S361),"n/a")</f>
        <v>122.90626479474</v>
      </c>
      <c r="T362" s="34" t="n"/>
      <c r="U362" s="34" t="n"/>
      <c r="V362" s="34" t="n"/>
      <c r="W362" s="34" t="n"/>
      <c r="X362" s="262">
        <f>IFERROR(X360*(1-X361),"n/a")</f>
        <v>123.718812357544</v>
      </c>
      <c r="Y362" s="34" t="n"/>
      <c r="Z362" s="34" t="n"/>
      <c r="AA362" s="34" t="n"/>
      <c r="AB362" s="34" t="n"/>
      <c r="AC362" s="262">
        <f>IFERROR(AC360*(1-AC361),"n/a")</f>
        <v>134.451750574605</v>
      </c>
      <c r="AD362" s="34" t="n"/>
      <c r="AE362" s="34" t="n"/>
      <c r="AF362" s="34" t="n"/>
      <c r="AG362" s="34" t="n"/>
      <c r="AH362" s="262">
        <f>IFERROR(AH360*(1-AH361),"n/a")</f>
        <v>133.28903660883</v>
      </c>
      <c r="AI362" s="34" t="n"/>
      <c r="AJ362" s="34" t="n"/>
      <c r="AK362" s="34" t="n"/>
      <c r="AL362" s="34" t="n"/>
      <c r="AM362" s="262">
        <f>IFERROR(AM360*(1-AM361),"n/a")</f>
        <v>161.736080553393</v>
      </c>
      <c r="AN362" s="34" t="n"/>
      <c r="AO362" s="34" t="n"/>
      <c r="AP362" s="34" t="n"/>
      <c r="AQ362" s="34" t="n"/>
      <c r="AR362" s="262">
        <f>IFERROR(AR360*(1-AR361),"n/a")</f>
        <v>195.380737684773</v>
      </c>
      <c r="AS362" s="34" t="n"/>
      <c r="AT362" s="34" t="n"/>
      <c r="AU362" s="34" t="n"/>
      <c r="AV362" s="34" t="n"/>
      <c r="AW362" s="262">
        <f>IFERROR(AW360*(1-AW361),"n/a")</f>
        <v>254.647564390584</v>
      </c>
      <c r="AX362" s="34" t="n"/>
      <c r="AY362" s="34" t="n"/>
      <c r="AZ362" s="34" t="n"/>
      <c r="BA362" s="34" t="n"/>
      <c r="BB362" s="262">
        <f>IFERROR(BB360*(1-BB361),"n/a")</f>
        <v>326.792046827685</v>
      </c>
      <c r="BC362" s="34" t="n"/>
      <c r="BD362" s="34" t="n"/>
      <c r="BE362" s="34" t="n"/>
      <c r="BF362" s="34" t="n"/>
      <c r="BG362" s="262">
        <f>IFERROR(BG360*(1-BG361),"n/a")</f>
        <v>418.021172044673</v>
      </c>
      <c r="BH362" s="34" t="n"/>
      <c r="BI362" s="34" t="n"/>
      <c r="BJ362" s="34" t="n"/>
      <c r="BK362" s="34" t="n"/>
      <c r="BL362" s="262">
        <f>IFERROR(BL360*(1-BL361),"n/a")</f>
        <v>479.133748312963</v>
      </c>
      <c r="BM362" s="34" t="n"/>
      <c r="BN362" s="34" t="n"/>
      <c r="BO362" s="34" t="n"/>
      <c r="BP362" s="34" t="n"/>
      <c r="BQ362" s="262">
        <f>IFERROR(BQ360*(1-BQ361),"n/a")</f>
        <v>562.402631814746</v>
      </c>
      <c r="BR362" s="34" t="n"/>
      <c r="BS362" s="34" t="n"/>
      <c r="BT362" s="34" t="n"/>
      <c r="BU362" s="34" t="n"/>
      <c r="BV362" s="262">
        <f>IFERROR(BV360*(1-BV361),"n/a")</f>
        <v>716.567449279724</v>
      </c>
      <c r="BW362" s="34" t="n"/>
      <c r="BX362" s="34" t="n"/>
      <c r="BY362" s="34" t="n"/>
      <c r="BZ362" s="35" t="n"/>
      <c r="CA362" s="254">
        <f>IFERROR(CA360*(1-CA361),"n/a")</f>
        <v>1000.03419029963</v>
      </c>
      <c r="CB362" s="254">
        <f>IFERROR(CB360*(1-CB361),"n/a")</f>
        <v>1175.24725916326</v>
      </c>
      <c r="CC362" s="254">
        <f>IFERROR(CC360*(1-CC361),"n/a")</f>
        <v>1316.39390373874</v>
      </c>
      <c r="CD362" s="254">
        <f>IFERROR(CD360*(1-CD361),"n/a")</f>
        <v>1454.41822381533</v>
      </c>
      <c r="CE362" s="254">
        <f>IFERROR(CE360*(1-CE361),"n/a")</f>
        <v>1585.54617852156</v>
      </c>
      <c r="CF362" s="254">
        <f>IFERROR(CF360*(1-CF361),"n/a")</f>
        <v>1716.12271288994</v>
      </c>
      <c r="CG362" s="19" t="n"/>
    </row>
    <row r="363" ht="15" customHeight="1" s="251">
      <c r="B363" s="25" t="inlineStr">
        <is>
          <t>Invested capital (IC) = Equity + Net debt (net of marketable securities)</t>
        </is>
      </c>
      <c r="C363" s="262">
        <f>IFERROR(C364+C365,"n/a")</f>
        <v>1285.333</v>
      </c>
      <c r="D363" s="262">
        <f>IFERROR(D364+D365,"n/a")</f>
        <v>1171.096</v>
      </c>
      <c r="E363" s="262">
        <f>IFERROR(E364+E365,"n/a")</f>
        <v>1131.413</v>
      </c>
      <c r="F363" s="262">
        <f>IFERROR(F364+F365,"n/a")</f>
        <v>1193.156</v>
      </c>
      <c r="G363" s="262">
        <f>IFERROR(G364+G365,"n/a")</f>
        <v>921.697</v>
      </c>
      <c r="H363" s="262">
        <f>IFERROR(H364+H365,"n/a")</f>
        <v>951.738</v>
      </c>
      <c r="I363" s="262">
        <f>IFERROR(I364+I365,"n/a")</f>
        <v>934.222</v>
      </c>
      <c r="J363" s="34" t="n"/>
      <c r="K363" s="34" t="n"/>
      <c r="L363" s="34" t="n"/>
      <c r="M363" s="34" t="n"/>
      <c r="N363" s="262">
        <f>IFERROR(N364+N365,"n/a")</f>
        <v>899.359</v>
      </c>
      <c r="O363" s="34" t="n"/>
      <c r="P363" s="34" t="n"/>
      <c r="Q363" s="34" t="n"/>
      <c r="R363" s="34" t="n"/>
      <c r="S363" s="262">
        <f>IFERROR(S364+S365,"n/a")</f>
        <v>875.755</v>
      </c>
      <c r="T363" s="34" t="n"/>
      <c r="U363" s="34" t="n"/>
      <c r="V363" s="34" t="n"/>
      <c r="W363" s="34" t="n"/>
      <c r="X363" s="262">
        <f>IFERROR(X364+X365,"n/a")</f>
        <v>938.353</v>
      </c>
      <c r="Y363" s="34" t="n"/>
      <c r="Z363" s="34" t="n"/>
      <c r="AA363" s="34" t="n"/>
      <c r="AB363" s="34" t="n"/>
      <c r="AC363" s="262">
        <f>IFERROR(AC364+AC365,"n/a")</f>
        <v>919.966</v>
      </c>
      <c r="AD363" s="34" t="n"/>
      <c r="AE363" s="34" t="n"/>
      <c r="AF363" s="34" t="n"/>
      <c r="AG363" s="34" t="n"/>
      <c r="AH363" s="262">
        <f>IFERROR(AH364+AH365,"n/a")</f>
        <v>900.205</v>
      </c>
      <c r="AI363" s="34" t="n"/>
      <c r="AJ363" s="34" t="n"/>
      <c r="AK363" s="34" t="n"/>
      <c r="AL363" s="34" t="n"/>
      <c r="AM363" s="262">
        <f>IFERROR(AM364+AM365,"n/a")</f>
        <v>917.902</v>
      </c>
      <c r="AN363" s="34" t="n"/>
      <c r="AO363" s="34" t="n"/>
      <c r="AP363" s="34" t="n"/>
      <c r="AQ363" s="34" t="n"/>
      <c r="AR363" s="262">
        <f>IFERROR(AR364+AR365,"n/a")</f>
        <v>986.266</v>
      </c>
      <c r="AS363" s="34" t="n"/>
      <c r="AT363" s="34" t="n"/>
      <c r="AU363" s="34" t="n"/>
      <c r="AV363" s="34" t="n"/>
      <c r="AW363" s="262">
        <f>IFERROR(AW364+AW365,"n/a")</f>
        <v>981.55</v>
      </c>
      <c r="AX363" s="34" t="n"/>
      <c r="AY363" s="34" t="n"/>
      <c r="AZ363" s="34" t="n"/>
      <c r="BA363" s="34" t="n"/>
      <c r="BB363" s="262">
        <f>IFERROR(BB364+BB365,"n/a")</f>
        <v>919.526</v>
      </c>
      <c r="BC363" s="34" t="n"/>
      <c r="BD363" s="34" t="n"/>
      <c r="BE363" s="34" t="n"/>
      <c r="BF363" s="34" t="n"/>
      <c r="BG363" s="262">
        <f>IFERROR(BG364+BG365,"n/a")</f>
        <v>892.87</v>
      </c>
      <c r="BH363" s="34" t="n"/>
      <c r="BI363" s="34" t="n"/>
      <c r="BJ363" s="34" t="n"/>
      <c r="BK363" s="34" t="n"/>
      <c r="BL363" s="262">
        <f>IFERROR(BL364+BL365,"n/a")</f>
        <v>1002.653</v>
      </c>
      <c r="BM363" s="34" t="n"/>
      <c r="BN363" s="34" t="n"/>
      <c r="BO363" s="34" t="n"/>
      <c r="BP363" s="34" t="n"/>
      <c r="BQ363" s="262">
        <f>IFERROR(BQ364+BQ365,"n/a")</f>
        <v>1050.386</v>
      </c>
      <c r="BR363" s="34" t="n"/>
      <c r="BS363" s="34" t="n"/>
      <c r="BT363" s="34" t="n"/>
      <c r="BU363" s="34" t="n"/>
      <c r="BV363" s="262">
        <f>IFERROR(BV364+BV365,"n/a")</f>
        <v>1121.146</v>
      </c>
      <c r="BW363" s="34" t="n"/>
      <c r="BX363" s="34" t="n"/>
      <c r="BY363" s="34" t="n"/>
      <c r="BZ363" s="35" t="n"/>
      <c r="CA363" s="254">
        <f>IFERROR(CA364+CA365,"n/a")</f>
        <v>1139.75416438356</v>
      </c>
      <c r="CB363" s="254">
        <f>IFERROR(CB364+CB365,"n/a")</f>
        <v>1172.83111165804</v>
      </c>
      <c r="CC363" s="254">
        <f>IFERROR(CC364+CC365,"n/a")</f>
        <v>1209.04114929956</v>
      </c>
      <c r="CD363" s="254">
        <f>IFERROR(CD364+CD365,"n/a")</f>
        <v>1247.67234607173</v>
      </c>
      <c r="CE363" s="254">
        <f>IFERROR(CE364+CE365,"n/a")</f>
        <v>1288.91150955144</v>
      </c>
      <c r="CF363" s="254">
        <f>IFERROR(CF364+CF365,"n/a")</f>
        <v>1332.61995844028</v>
      </c>
      <c r="CG363" s="19" t="n"/>
    </row>
    <row r="364" ht="15" customHeight="1" s="251">
      <c r="B364" s="25" t="inlineStr">
        <is>
          <t xml:space="preserve">  Total stockholders' equity (deficit)</t>
        </is>
      </c>
      <c r="C364" s="262">
        <f>IF(ISNUMBER(C305),C305,"n/a")</f>
        <v>770.028</v>
      </c>
      <c r="D364" s="262">
        <f>IF(ISNUMBER(D305),D305,"n/a")</f>
        <v>566.314</v>
      </c>
      <c r="E364" s="262">
        <f>IF(ISNUMBER(E305),E305,"n/a")</f>
        <v>561.941</v>
      </c>
      <c r="F364" s="262">
        <f>IF(ISNUMBER(F305),F305,"n/a")</f>
        <v>600.269</v>
      </c>
      <c r="G364" s="262">
        <f>IF(ISNUMBER(G305),G305,"n/a")</f>
        <v>474.914</v>
      </c>
      <c r="H364" s="262">
        <f>IF(ISNUMBER(H305),H305,"n/a")</f>
        <v>465.494</v>
      </c>
      <c r="I364" s="262">
        <f>IF(ISNUMBER(I305),I305,"n/a")</f>
        <v>474.406</v>
      </c>
      <c r="J364" s="34" t="n"/>
      <c r="K364" s="34" t="n"/>
      <c r="L364" s="34" t="n"/>
      <c r="M364" s="34" t="n"/>
      <c r="N364" s="262">
        <f>IF(ISNUMBER(N305),N305,"n/a")</f>
        <v>530.677</v>
      </c>
      <c r="O364" s="34" t="n"/>
      <c r="P364" s="34" t="n"/>
      <c r="Q364" s="34" t="n"/>
      <c r="R364" s="34" t="n"/>
      <c r="S364" s="262">
        <f>IF(ISNUMBER(S305),S305,"n/a")</f>
        <v>454.614</v>
      </c>
      <c r="T364" s="34" t="n"/>
      <c r="U364" s="34" t="n"/>
      <c r="V364" s="34" t="n"/>
      <c r="W364" s="34" t="n"/>
      <c r="X364" s="262">
        <f>IF(ISNUMBER(X305),X305,"n/a")</f>
        <v>436.998</v>
      </c>
      <c r="Y364" s="34" t="n"/>
      <c r="Z364" s="34" t="n"/>
      <c r="AA364" s="34" t="n"/>
      <c r="AB364" s="34" t="n"/>
      <c r="AC364" s="262">
        <f>IF(ISNUMBER(AC305),AC305,"n/a")</f>
        <v>446.828</v>
      </c>
      <c r="AD364" s="34" t="n"/>
      <c r="AE364" s="34" t="n"/>
      <c r="AF364" s="34" t="n"/>
      <c r="AG364" s="34" t="n"/>
      <c r="AH364" s="262">
        <f>IF(ISNUMBER(AH305),AH305,"n/a")</f>
        <v>426.537</v>
      </c>
      <c r="AI364" s="34" t="n"/>
      <c r="AJ364" s="34" t="n"/>
      <c r="AK364" s="34" t="n"/>
      <c r="AL364" s="34" t="n"/>
      <c r="AM364" s="262">
        <f>IF(ISNUMBER(AM305),AM305,"n/a")</f>
        <v>263.737</v>
      </c>
      <c r="AN364" s="34" t="n"/>
      <c r="AO364" s="34" t="n"/>
      <c r="AP364" s="34" t="n"/>
      <c r="AQ364" s="34" t="n"/>
      <c r="AR364" s="262">
        <f>IF(ISNUMBER(AR305),AR305,"n/a")</f>
        <v>289.767</v>
      </c>
      <c r="AS364" s="34" t="n"/>
      <c r="AT364" s="34" t="n"/>
      <c r="AU364" s="34" t="n"/>
      <c r="AV364" s="34" t="n"/>
      <c r="AW364" s="262">
        <f>IF(ISNUMBER(AW305),AW305,"n/a")</f>
        <v>331.082</v>
      </c>
      <c r="AX364" s="34" t="n"/>
      <c r="AY364" s="34" t="n"/>
      <c r="AZ364" s="34" t="n"/>
      <c r="BA364" s="34" t="n"/>
      <c r="BB364" s="262">
        <f>IF(ISNUMBER(BB305),BB305,"n/a")</f>
        <v>-110.942</v>
      </c>
      <c r="BC364" s="34" t="n"/>
      <c r="BD364" s="34" t="n"/>
      <c r="BE364" s="34" t="n"/>
      <c r="BF364" s="34" t="n"/>
      <c r="BG364" s="262">
        <f>IF(ISNUMBER(BG305),BG305,"n/a")</f>
        <v>-801.947</v>
      </c>
      <c r="BH364" s="34" t="n"/>
      <c r="BI364" s="34" t="n"/>
      <c r="BJ364" s="34" t="n"/>
      <c r="BK364" s="34" t="n"/>
      <c r="BL364" s="262">
        <f>IF(ISNUMBER(BL305),BL305,"n/a")</f>
        <v>-687.99</v>
      </c>
      <c r="BM364" s="34" t="n"/>
      <c r="BN364" s="34" t="n"/>
      <c r="BO364" s="34" t="n"/>
      <c r="BP364" s="34" t="n"/>
      <c r="BQ364" s="262">
        <f>IF(ISNUMBER(BQ305),BQ305,"n/a")</f>
        <v>-962.679</v>
      </c>
      <c r="BR364" s="34" t="n"/>
      <c r="BS364" s="34" t="n"/>
      <c r="BT364" s="34" t="n"/>
      <c r="BU364" s="34" t="n"/>
      <c r="BV364" s="262">
        <f>IF(ISNUMBER(BV305),BV305,"n/a")</f>
        <v>-1745.784</v>
      </c>
      <c r="BW364" s="34" t="n"/>
      <c r="BX364" s="34" t="n"/>
      <c r="BY364" s="34" t="n"/>
      <c r="BZ364" s="35" t="n"/>
      <c r="CA364" s="254">
        <f>IF(ISNUMBER(CA305),CA305,"n/a")</f>
        <v>-4182.75609141892</v>
      </c>
      <c r="CB364" s="254">
        <f>IF(ISNUMBER(CB305),CB305,"n/a")</f>
        <v>-4143.7810799717</v>
      </c>
      <c r="CC364" s="254">
        <f>IF(ISNUMBER(CC305),CC305,"n/a")</f>
        <v>-4741.61190203575</v>
      </c>
      <c r="CD364" s="254">
        <f>IF(ISNUMBER(CD305),CD305,"n/a")</f>
        <v>-5325.06508614433</v>
      </c>
      <c r="CE364" s="254">
        <f>IF(ISNUMBER(CE305),CE305,"n/a")</f>
        <v>-5879.7072603028</v>
      </c>
      <c r="CF364" s="254">
        <f>IF(ISNUMBER(CF305),CF305,"n/a")</f>
        <v>-6430.12830630683</v>
      </c>
      <c r="CG364" s="19" t="n"/>
    </row>
    <row r="365" ht="15" customHeight="1" s="251">
      <c r="B365" s="25" t="inlineStr">
        <is>
          <t xml:space="preserve">  Net debt = Total debt − cash − marketable securities</t>
        </is>
      </c>
      <c r="C365" s="262">
        <f>IFERROR(C328-C287-N(C288),"n/a")</f>
        <v>515.305</v>
      </c>
      <c r="D365" s="262">
        <f>IFERROR(D328-D287-N(D288),"n/a")</f>
        <v>604.782</v>
      </c>
      <c r="E365" s="262">
        <f>IFERROR(E328-E287-N(E288),"n/a")</f>
        <v>569.472</v>
      </c>
      <c r="F365" s="262">
        <f>IFERROR(F328-F287-N(F288),"n/a")</f>
        <v>592.887</v>
      </c>
      <c r="G365" s="262">
        <f>IFERROR(G328-G287-N(G288),"n/a")</f>
        <v>446.783</v>
      </c>
      <c r="H365" s="262">
        <f>IFERROR(H328-H287-N(H288),"n/a")</f>
        <v>486.244</v>
      </c>
      <c r="I365" s="262">
        <f>IFERROR(I328-I287-N(I288),"n/a")</f>
        <v>459.816</v>
      </c>
      <c r="J365" s="34" t="n"/>
      <c r="K365" s="34" t="n"/>
      <c r="L365" s="34" t="n"/>
      <c r="M365" s="34" t="n"/>
      <c r="N365" s="262">
        <f>IFERROR(N328-N287-N(N288),"n/a")</f>
        <v>368.682</v>
      </c>
      <c r="O365" s="34" t="n"/>
      <c r="P365" s="34" t="n"/>
      <c r="Q365" s="34" t="n"/>
      <c r="R365" s="34" t="n"/>
      <c r="S365" s="262">
        <f>IFERROR(S328-S287-N(S288),"n/a")</f>
        <v>421.141</v>
      </c>
      <c r="T365" s="34" t="n"/>
      <c r="U365" s="34" t="n"/>
      <c r="V365" s="34" t="n"/>
      <c r="W365" s="34" t="n"/>
      <c r="X365" s="262">
        <f>IFERROR(X328-X287-N(X288),"n/a")</f>
        <v>501.355</v>
      </c>
      <c r="Y365" s="34" t="n"/>
      <c r="Z365" s="34" t="n"/>
      <c r="AA365" s="34" t="n"/>
      <c r="AB365" s="34" t="n"/>
      <c r="AC365" s="262">
        <f>IFERROR(AC328-AC287-N(AC288),"n/a")</f>
        <v>473.138</v>
      </c>
      <c r="AD365" s="34" t="n"/>
      <c r="AE365" s="34" t="n"/>
      <c r="AF365" s="34" t="n"/>
      <c r="AG365" s="34" t="n"/>
      <c r="AH365" s="262">
        <f>IFERROR(AH328-AH287-N(AH288),"n/a")</f>
        <v>473.668</v>
      </c>
      <c r="AI365" s="34" t="n"/>
      <c r="AJ365" s="34" t="n"/>
      <c r="AK365" s="34" t="n"/>
      <c r="AL365" s="34" t="n"/>
      <c r="AM365" s="262">
        <f>IFERROR(AM328-AM287-N(AM288),"n/a")</f>
        <v>654.165</v>
      </c>
      <c r="AN365" s="34" t="n"/>
      <c r="AO365" s="34" t="n"/>
      <c r="AP365" s="34" t="n"/>
      <c r="AQ365" s="34" t="n"/>
      <c r="AR365" s="262">
        <f>IFERROR(AR328-AR287-N(AR288),"n/a")</f>
        <v>696.499</v>
      </c>
      <c r="AS365" s="34" t="n"/>
      <c r="AT365" s="34" t="n"/>
      <c r="AU365" s="34" t="n"/>
      <c r="AV365" s="34" t="n"/>
      <c r="AW365" s="262">
        <f>IFERROR(AW328-AW287-N(AW288),"n/a")</f>
        <v>650.468</v>
      </c>
      <c r="AX365" s="34" t="n"/>
      <c r="AY365" s="34" t="n"/>
      <c r="AZ365" s="34" t="n"/>
      <c r="BA365" s="34" t="n"/>
      <c r="BB365" s="262">
        <f>IFERROR(BB328-BB287-N(BB288),"n/a")</f>
        <v>1030.468</v>
      </c>
      <c r="BC365" s="34" t="n"/>
      <c r="BD365" s="34" t="n"/>
      <c r="BE365" s="34" t="n"/>
      <c r="BF365" s="34" t="n"/>
      <c r="BG365" s="262">
        <f>IFERROR(BG328-BG287-N(BG288),"n/a")</f>
        <v>1694.817</v>
      </c>
      <c r="BH365" s="34" t="n"/>
      <c r="BI365" s="34" t="n"/>
      <c r="BJ365" s="34" t="n"/>
      <c r="BK365" s="34" t="n"/>
      <c r="BL365" s="262">
        <f>IFERROR(BL328-BL287-N(BL288),"n/a")</f>
        <v>1690.643</v>
      </c>
      <c r="BM365" s="34" t="n"/>
      <c r="BN365" s="34" t="n"/>
      <c r="BO365" s="34" t="n"/>
      <c r="BP365" s="34" t="n"/>
      <c r="BQ365" s="262">
        <f>IFERROR(BQ328-BQ287-N(BQ288),"n/a")</f>
        <v>2013.065</v>
      </c>
      <c r="BR365" s="34" t="n"/>
      <c r="BS365" s="34" t="n"/>
      <c r="BT365" s="34" t="n"/>
      <c r="BU365" s="34" t="n"/>
      <c r="BV365" s="262">
        <f>IFERROR(BV328-BV287-N(BV288),"n/a")</f>
        <v>2866.93</v>
      </c>
      <c r="BW365" s="34" t="n"/>
      <c r="BX365" s="34" t="n"/>
      <c r="BY365" s="34" t="n"/>
      <c r="BZ365" s="35" t="n"/>
      <c r="CA365" s="254">
        <f>IFERROR(CA328-CA287-N(CA288),"n/a")</f>
        <v>5322.51025580248</v>
      </c>
      <c r="CB365" s="254">
        <f>IFERROR(CB328-CB287-N(CB288),"n/a")</f>
        <v>5316.61219162973</v>
      </c>
      <c r="CC365" s="254">
        <f>IFERROR(CC328-CC287-N(CC288),"n/a")</f>
        <v>5950.6530513353</v>
      </c>
      <c r="CD365" s="254">
        <f>IFERROR(CD328-CD287-N(CD288),"n/a")</f>
        <v>6572.73743221606</v>
      </c>
      <c r="CE365" s="254">
        <f>IFERROR(CE328-CE287-N(CE288),"n/a")</f>
        <v>7168.61876985424</v>
      </c>
      <c r="CF365" s="254">
        <f>IFERROR(CF328-CF287-N(CF288),"n/a")</f>
        <v>7762.74826474711</v>
      </c>
      <c r="CG365" s="19" t="n"/>
    </row>
    <row r="366" ht="15" customHeight="1" s="251">
      <c r="B366" s="55" t="inlineStr">
        <is>
          <t>ROIC = NOPAT / IC</t>
        </is>
      </c>
      <c r="C366" s="292">
        <f>IFERROR(IF(C363&gt;0,C362/C363,"n/m"),"n/a")</f>
        <v>0.11483680091776</v>
      </c>
      <c r="D366" s="292">
        <f>IFERROR(IF(D363&gt;0,D362/D363,"n/m"),"n/a")</f>
        <v>0.112162175825405</v>
      </c>
      <c r="E366" s="292">
        <f>IFERROR(IF(E363&gt;0,E362/E363,"n/m"),"n/a")</f>
        <v>0.106157041122413</v>
      </c>
      <c r="F366" s="292">
        <f>IFERROR(IF(F363&gt;0,F362/F363,"n/m"),"n/a")</f>
        <v>0.0896893615840871</v>
      </c>
      <c r="G366" s="292">
        <f>IFERROR(IF(G363&gt;0,G362/G363,"n/m"),"n/a")</f>
        <v>0.106587138858124</v>
      </c>
      <c r="H366" s="292">
        <f>IFERROR(IF(H363&gt;0,H362/H363,"n/m"),"n/a")</f>
        <v>0.125046452404241</v>
      </c>
      <c r="I366" s="292">
        <f>IFERROR(IF(I363&gt;0,I362/I363,"n/m"),"n/a")</f>
        <v>0.142184197210808</v>
      </c>
      <c r="J366" s="56" t="n"/>
      <c r="K366" s="56" t="n"/>
      <c r="L366" s="56" t="n"/>
      <c r="M366" s="56" t="n"/>
      <c r="N366" s="292">
        <f>IFERROR(IF(N363&gt;0,N362/N363,"n/m"),"n/a")</f>
        <v>0.138752646438792</v>
      </c>
      <c r="O366" s="56" t="n"/>
      <c r="P366" s="56" t="n"/>
      <c r="Q366" s="56" t="n"/>
      <c r="R366" s="56" t="n"/>
      <c r="S366" s="292">
        <f>IFERROR(IF(S363&gt;0,S362/S363,"n/m"),"n/a")</f>
        <v>0.140343206484393</v>
      </c>
      <c r="T366" s="56" t="n"/>
      <c r="U366" s="56" t="n"/>
      <c r="V366" s="56" t="n"/>
      <c r="W366" s="56" t="n"/>
      <c r="X366" s="292">
        <f>IFERROR(IF(X363&gt;0,X362/X363,"n/m"),"n/a")</f>
        <v>0.131846770200067</v>
      </c>
      <c r="Y366" s="56" t="n"/>
      <c r="Z366" s="56" t="n"/>
      <c r="AA366" s="56" t="n"/>
      <c r="AB366" s="56" t="n"/>
      <c r="AC366" s="292">
        <f>IFERROR(IF(AC363&gt;0,AC362/AC363,"n/m"),"n/a")</f>
        <v>0.14614860829053</v>
      </c>
      <c r="AD366" s="56" t="n"/>
      <c r="AE366" s="56" t="n"/>
      <c r="AF366" s="56" t="n"/>
      <c r="AG366" s="56" t="n"/>
      <c r="AH366" s="292">
        <f>IFERROR(IF(AH363&gt;0,AH362/AH363,"n/m"),"n/a")</f>
        <v>0.148065203602324</v>
      </c>
      <c r="AI366" s="56" t="n"/>
      <c r="AJ366" s="56" t="n"/>
      <c r="AK366" s="56" t="n"/>
      <c r="AL366" s="56" t="n"/>
      <c r="AM366" s="292">
        <f>IFERROR(IF(AM363&gt;0,AM362/AM363,"n/m"),"n/a")</f>
        <v>0.176201904509842</v>
      </c>
      <c r="AN366" s="56" t="n"/>
      <c r="AO366" s="56" t="n"/>
      <c r="AP366" s="56" t="n"/>
      <c r="AQ366" s="56" t="n"/>
      <c r="AR366" s="292">
        <f>IFERROR(IF(AR363&gt;0,AR362/AR363,"n/m"),"n/a")</f>
        <v>0.198101463180089</v>
      </c>
      <c r="AS366" s="56" t="n"/>
      <c r="AT366" s="56" t="n"/>
      <c r="AU366" s="56" t="n"/>
      <c r="AV366" s="56" t="n"/>
      <c r="AW366" s="292">
        <f>IFERROR(IF(AW363&gt;0,AW362/AW363,"n/m"),"n/a")</f>
        <v>0.259434123977977</v>
      </c>
      <c r="AX366" s="56" t="n"/>
      <c r="AY366" s="56" t="n"/>
      <c r="AZ366" s="56" t="n"/>
      <c r="BA366" s="56" t="n"/>
      <c r="BB366" s="292">
        <f>IFERROR(IF(BB363&gt;0,BB362/BB363,"n/m"),"n/a")</f>
        <v>0.355391850613996</v>
      </c>
      <c r="BC366" s="56" t="n"/>
      <c r="BD366" s="56" t="n"/>
      <c r="BE366" s="56" t="n"/>
      <c r="BF366" s="56" t="n"/>
      <c r="BG366" s="292">
        <f>IFERROR(IF(BG363&gt;0,BG362/BG363,"n/m"),"n/a")</f>
        <v>0.468176970941652</v>
      </c>
      <c r="BH366" s="56" t="n"/>
      <c r="BI366" s="56" t="n"/>
      <c r="BJ366" s="56" t="n"/>
      <c r="BK366" s="56" t="n"/>
      <c r="BL366" s="292">
        <f>IFERROR(IF(BL363&gt;0,BL362/BL363,"n/m"),"n/a")</f>
        <v>0.477865969894832</v>
      </c>
      <c r="BM366" s="56" t="n"/>
      <c r="BN366" s="56" t="n"/>
      <c r="BO366" s="56" t="n"/>
      <c r="BP366" s="56" t="n"/>
      <c r="BQ366" s="292">
        <f>IFERROR(IF(BQ363&gt;0,BQ362/BQ363,"n/m"),"n/a")</f>
        <v>0.535424721782988</v>
      </c>
      <c r="BR366" s="56" t="n"/>
      <c r="BS366" s="56" t="n"/>
      <c r="BT366" s="56" t="n"/>
      <c r="BU366" s="56" t="n"/>
      <c r="BV366" s="292">
        <f>IFERROR(IF(BV363&gt;0,BV362/BV363,"n/m"),"n/a")</f>
        <v>0.639138389897234</v>
      </c>
      <c r="BW366" s="56" t="n"/>
      <c r="BX366" s="56" t="n"/>
      <c r="BY366" s="56" t="n"/>
      <c r="BZ366" s="56" t="n"/>
      <c r="CA366" s="292">
        <f>IFERROR(IF(CA363&gt;0,CA362/CA363,"n/m"),"n/a")</f>
        <v>0.877412183740958</v>
      </c>
      <c r="CB366" s="292">
        <f>IFERROR(IF(CB363&gt;0,CB362/CB363,"n/m"),"n/a")</f>
        <v>1.00206009840735</v>
      </c>
      <c r="CC366" s="292">
        <f>IFERROR(IF(CC363&gt;0,CC362/CC363,"n/m"),"n/a")</f>
        <v>1.08879164658819</v>
      </c>
      <c r="CD366" s="292">
        <f>IFERROR(IF(CD363&gt;0,CD362/CD363,"n/m"),"n/a")</f>
        <v>1.16570526580519</v>
      </c>
      <c r="CE366" s="292">
        <f>IFERROR(IF(CE363&gt;0,CE362/CE363,"n/m"),"n/a")</f>
        <v>1.23014354885647</v>
      </c>
      <c r="CF366" s="292">
        <f>IFERROR(IF(CF363&gt;0,CF362/CF363,"n/m"),"n/a")</f>
        <v>1.28778103766247</v>
      </c>
      <c r="CG366" s="153" t="n"/>
      <c r="CI366" s="37">
        <f>IFERROR(AVERAGE(CB366,CC366,CD366,CE366,CF366),"n/m")</f>
        <v>1.15489631946393</v>
      </c>
      <c r="CJ366" s="37">
        <f>IFERROR(AVERAGE(BB366,BG366,BL366,BQ366,BV366),"n/m")</f>
        <v>0.49519958062614</v>
      </c>
      <c r="CK366" s="37">
        <f>IFERROR(AVERAGE(AC366,AH366,AM366,AR366,AW366,BB366,BG366,BL366,BQ366,BV366),"n/m")</f>
        <v>0.340394920669146</v>
      </c>
      <c r="CL366" s="37">
        <f>IFERROR(AVERAGE(C366,D366,E366,F366,G366,H366,I366,N366,S366,X366,AC366,AH366,AM366,AR366,AW366,BB366,BG366,BL366,BQ366,BV366),"n/m")</f>
        <v>0.230577749886878</v>
      </c>
    </row>
    <row r="367" ht="15" customHeight="1" s="251">
      <c r="B367" s="25" t="inlineStr">
        <is>
          <t xml:space="preserve">  Margin = Adjusted EBITA / Revenue</t>
        </is>
      </c>
      <c r="C367" s="215">
        <f>IFERROR(C360/C127,"n/a")</f>
        <v>0.23912572013594</v>
      </c>
      <c r="D367" s="215">
        <f>IFERROR(D360/D127,"n/a")</f>
        <v>0.210451743781591</v>
      </c>
      <c r="E367" s="215">
        <f>IFERROR(E360/E127,"n/a")</f>
        <v>0.199689330086112</v>
      </c>
      <c r="F367" s="215">
        <f>IFERROR(F360/F127,"n/a")</f>
        <v>0.226607053675474</v>
      </c>
      <c r="G367" s="215">
        <f>IFERROR(G360/G127,"n/a")</f>
        <v>0.210120483519169</v>
      </c>
      <c r="H367" s="215">
        <f>IFERROR(H360/H127,"n/a")</f>
        <v>0.238442881279622</v>
      </c>
      <c r="I367" s="215">
        <f>IFERROR(I360/I127,"n/a")</f>
        <v>0.265705039598003</v>
      </c>
      <c r="J367" s="34" t="n"/>
      <c r="K367" s="34" t="n"/>
      <c r="L367" s="34" t="n"/>
      <c r="M367" s="34" t="n"/>
      <c r="N367" s="215">
        <f>IFERROR(N360/N127,"n/a")</f>
        <v>0.241083390275529</v>
      </c>
      <c r="O367" s="34" t="n"/>
      <c r="P367" s="34" t="n"/>
      <c r="Q367" s="34" t="n"/>
      <c r="R367" s="34" t="n"/>
      <c r="S367" s="215">
        <f>IFERROR(S360/S127,"n/a")</f>
        <v>0.22545295537938</v>
      </c>
      <c r="T367" s="34" t="n"/>
      <c r="U367" s="34" t="n"/>
      <c r="V367" s="34" t="n"/>
      <c r="W367" s="34" t="n"/>
      <c r="X367" s="215">
        <f>IFERROR(X360/X127,"n/a")</f>
        <v>0.203036311027551</v>
      </c>
      <c r="Y367" s="34" t="n"/>
      <c r="Z367" s="34" t="n"/>
      <c r="AA367" s="34" t="n"/>
      <c r="AB367" s="34" t="n"/>
      <c r="AC367" s="215">
        <f>IFERROR(AC360/AC127,"n/a")</f>
        <v>0.210112599222108</v>
      </c>
      <c r="AD367" s="34" t="n"/>
      <c r="AE367" s="34" t="n"/>
      <c r="AF367" s="34" t="n"/>
      <c r="AG367" s="34" t="n"/>
      <c r="AH367" s="215">
        <f>IFERROR(AH360/AH127,"n/a")</f>
        <v>0.208432161979212</v>
      </c>
      <c r="AI367" s="34" t="n"/>
      <c r="AJ367" s="34" t="n"/>
      <c r="AK367" s="34" t="n"/>
      <c r="AL367" s="34" t="n"/>
      <c r="AM367" s="215">
        <f>IFERROR(AM360/AM127,"n/a")</f>
        <v>0.209123707595825</v>
      </c>
      <c r="AN367" s="34" t="n"/>
      <c r="AO367" s="34" t="n"/>
      <c r="AP367" s="34" t="n"/>
      <c r="AQ367" s="34" t="n"/>
      <c r="AR367" s="215">
        <f>IFERROR(AR360/AR127,"n/a")</f>
        <v>0.225802808936947</v>
      </c>
      <c r="AS367" s="34" t="n"/>
      <c r="AT367" s="34" t="n"/>
      <c r="AU367" s="34" t="n"/>
      <c r="AV367" s="34" t="n"/>
      <c r="AW367" s="215">
        <f>IFERROR(AW360/AW127,"n/a")</f>
        <v>0.269742970981691</v>
      </c>
      <c r="AX367" s="34" t="n"/>
      <c r="AY367" s="34" t="n"/>
      <c r="AZ367" s="34" t="n"/>
      <c r="BA367" s="34" t="n"/>
      <c r="BB367" s="215">
        <f>IFERROR(BB360/BB127,"n/a")</f>
        <v>0.322290465281618</v>
      </c>
      <c r="BC367" s="34" t="n"/>
      <c r="BD367" s="34" t="n"/>
      <c r="BE367" s="34" t="n"/>
      <c r="BF367" s="34" t="n"/>
      <c r="BG367" s="215">
        <f>IFERROR(BG360/BG127,"n/a")</f>
        <v>0.393776819360038</v>
      </c>
      <c r="BH367" s="34" t="n"/>
      <c r="BI367" s="34" t="n"/>
      <c r="BJ367" s="34" t="n"/>
      <c r="BK367" s="34" t="n"/>
      <c r="BL367" s="215">
        <f>IFERROR(BL360/BL127,"n/a")</f>
        <v>0.428347924789089</v>
      </c>
      <c r="BM367" s="34" t="n"/>
      <c r="BN367" s="34" t="n"/>
      <c r="BO367" s="34" t="n"/>
      <c r="BP367" s="34" t="n"/>
      <c r="BQ367" s="215">
        <f>IFERROR(BQ360/BQ127,"n/a")</f>
        <v>0.435847841604727</v>
      </c>
      <c r="BR367" s="34" t="n"/>
      <c r="BS367" s="34" t="n"/>
      <c r="BT367" s="34" t="n"/>
      <c r="BU367" s="34" t="n"/>
      <c r="BV367" s="215">
        <f>IFERROR(BV360/BV127,"n/a")</f>
        <v>0.475754055138736</v>
      </c>
      <c r="BW367" s="34" t="n"/>
      <c r="BX367" s="34" t="n"/>
      <c r="BY367" s="34" t="n"/>
      <c r="BZ367" s="35" t="n"/>
      <c r="CA367" s="256">
        <f>IFERROR(CA360/CA127,"n/a")</f>
        <v>0.530212087742304</v>
      </c>
      <c r="CB367" s="256">
        <f>IFERROR(CB360/CB127,"n/a")</f>
        <v>0.559878037986569</v>
      </c>
      <c r="CC367" s="256">
        <f>IFERROR(CC360/CC127,"n/a")</f>
        <v>0.568352471333913</v>
      </c>
      <c r="CD367" s="256">
        <f>IFERROR(CD360/CD127,"n/a")</f>
        <v>0.573765033815974</v>
      </c>
      <c r="CE367" s="256">
        <f>IFERROR(CE360/CE127,"n/a")</f>
        <v>0.574911300238131</v>
      </c>
      <c r="CF367" s="256">
        <f>IFERROR(CF360/CF127,"n/a")</f>
        <v>0.575427285970033</v>
      </c>
      <c r="CG367" s="19" t="n"/>
    </row>
    <row r="368" ht="15" customHeight="1" s="251">
      <c r="B368" s="25" t="inlineStr">
        <is>
          <t xml:space="preserve">  Capital turnover = Revenue / IC</t>
        </is>
      </c>
      <c r="C368" s="285">
        <f>IFERROR(C127/C363,"n/a")</f>
        <v>0.642140986032413</v>
      </c>
      <c r="D368" s="285">
        <f>IFERROR(D127/D363,"n/a")</f>
        <v>0.702108110692889</v>
      </c>
      <c r="E368" s="285">
        <f>IFERROR(E127/E363,"n/a")</f>
        <v>0.65832900983107</v>
      </c>
      <c r="F368" s="285">
        <f>IFERROR(F127/F363,"n/a")</f>
        <v>0.52862743849086</v>
      </c>
      <c r="G368" s="285">
        <f>IFERROR(G127/G363,"n/a")</f>
        <v>0.657095553093913</v>
      </c>
      <c r="H368" s="285">
        <f>IFERROR(H127/H363,"n/a")</f>
        <v>0.651106712141367</v>
      </c>
      <c r="I368" s="285">
        <f>IFERROR(I127/I363,"n/a")</f>
        <v>0.724049529983238</v>
      </c>
      <c r="J368" s="34" t="n"/>
      <c r="K368" s="34" t="n"/>
      <c r="L368" s="34" t="n"/>
      <c r="M368" s="34" t="n"/>
      <c r="N368" s="285">
        <f>IFERROR(N127/N363,"n/a")</f>
        <v>0.826637638584814</v>
      </c>
      <c r="O368" s="34" t="n"/>
      <c r="P368" s="34" t="n"/>
      <c r="Q368" s="34" t="n"/>
      <c r="R368" s="34" t="n"/>
      <c r="S368" s="285">
        <f>IFERROR(S127/S363,"n/a")</f>
        <v>0.900919777791734</v>
      </c>
      <c r="T368" s="34" t="n"/>
      <c r="U368" s="34" t="n"/>
      <c r="V368" s="34" t="n"/>
      <c r="W368" s="34" t="n"/>
      <c r="X368" s="285">
        <f>IFERROR(X127/X363,"n/a")</f>
        <v>0.893886415879738</v>
      </c>
      <c r="Y368" s="34" t="n"/>
      <c r="Z368" s="34" t="n"/>
      <c r="AA368" s="34" t="n"/>
      <c r="AB368" s="34" t="n"/>
      <c r="AC368" s="285">
        <f>IFERROR(AC127/AC363,"n/a")</f>
        <v>0.958031057669523</v>
      </c>
      <c r="AD368" s="34" t="n"/>
      <c r="AE368" s="34" t="n"/>
      <c r="AF368" s="34" t="n"/>
      <c r="AG368" s="34" t="n"/>
      <c r="AH368" s="285">
        <f>IFERROR(AH127/AH363,"n/a")</f>
        <v>1.03550746774346</v>
      </c>
      <c r="AI368" s="34" t="n"/>
      <c r="AJ368" s="34" t="n"/>
      <c r="AK368" s="34" t="n"/>
      <c r="AL368" s="34" t="n"/>
      <c r="AM368" s="285">
        <f>IFERROR(AM127/AM363,"n/a")</f>
        <v>1.12482051460831</v>
      </c>
      <c r="AN368" s="34" t="n"/>
      <c r="AO368" s="34" t="n"/>
      <c r="AP368" s="34" t="n"/>
      <c r="AQ368" s="34" t="n"/>
      <c r="AR368" s="285">
        <f>IFERROR(AR127/AR363,"n/a")</f>
        <v>1.1762374450706</v>
      </c>
      <c r="AS368" s="34" t="n"/>
      <c r="AT368" s="34" t="n"/>
      <c r="AU368" s="34" t="n"/>
      <c r="AV368" s="34" t="n"/>
      <c r="AW368" s="285">
        <f>IFERROR(AW127/AW363,"n/a")</f>
        <v>1.31889562426774</v>
      </c>
      <c r="AX368" s="34" t="n"/>
      <c r="AY368" s="34" t="n"/>
      <c r="AZ368" s="34" t="n"/>
      <c r="BA368" s="34" t="n"/>
      <c r="BB368" s="285">
        <f>IFERROR(BB127/BB363,"n/a")</f>
        <v>1.4317550564095</v>
      </c>
      <c r="BC368" s="34" t="n"/>
      <c r="BD368" s="34" t="n"/>
      <c r="BE368" s="34" t="n"/>
      <c r="BF368" s="34" t="n"/>
      <c r="BG368" s="285">
        <f>IFERROR(BG127/BG363,"n/a")</f>
        <v>1.5425201877093</v>
      </c>
      <c r="BH368" s="34" t="n"/>
      <c r="BI368" s="34" t="n"/>
      <c r="BJ368" s="34" t="n"/>
      <c r="BK368" s="34" t="n"/>
      <c r="BL368" s="285">
        <f>IFERROR(BL127/BL363,"n/a")</f>
        <v>1.5095521581245</v>
      </c>
      <c r="BM368" s="34" t="n"/>
      <c r="BN368" s="34" t="n"/>
      <c r="BO368" s="34" t="n"/>
      <c r="BP368" s="34" t="n"/>
      <c r="BQ368" s="285">
        <f>IFERROR(BQ127/BQ363,"n/a")</f>
        <v>1.6351379397669</v>
      </c>
      <c r="BR368" s="34" t="n"/>
      <c r="BS368" s="34" t="n"/>
      <c r="BT368" s="34" t="n"/>
      <c r="BU368" s="34" t="n"/>
      <c r="BV368" s="285">
        <f>IFERROR(BV127/BV363,"n/a")</f>
        <v>1.77574463985957</v>
      </c>
      <c r="BW368" s="34" t="n"/>
      <c r="BX368" s="34" t="n"/>
      <c r="BY368" s="34" t="n"/>
      <c r="BZ368" s="35" t="n"/>
      <c r="CA368" s="286">
        <f>IFERROR(CA127/CA363,"n/a")</f>
        <v>2.21977693002627</v>
      </c>
      <c r="CB368" s="286">
        <f>IFERROR(CB127/CB363,"n/a")</f>
        <v>2.38637710458265</v>
      </c>
      <c r="CC368" s="286">
        <f>IFERROR(CC127/CC363,"n/a")</f>
        <v>2.55426389198899</v>
      </c>
      <c r="CD368" s="286">
        <f>IFERROR(CD127/CD363,"n/a")</f>
        <v>2.70890276704936</v>
      </c>
      <c r="CE368" s="286">
        <f>IFERROR(CE127/CE363,"n/a")</f>
        <v>2.85294687684156</v>
      </c>
      <c r="CF368" s="286">
        <f>IFERROR(CF127/CF363,"n/a")</f>
        <v>2.98394154294479</v>
      </c>
      <c r="CG368" s="19" t="n"/>
    </row>
    <row r="369" ht="15" customHeight="1" s="251">
      <c r="B369" s="25" t="inlineStr">
        <is>
          <t xml:space="preserve">  Tax burden = (1 − tax rate)</t>
        </is>
      </c>
      <c r="C369" s="215">
        <f>IFERROR(1-C361,"n/a")</f>
        <v>0.747867058328317</v>
      </c>
      <c r="D369" s="215">
        <f>IFERROR(1-D361,"n/a")</f>
        <v>0.759084121453459</v>
      </c>
      <c r="E369" s="215">
        <f>IFERROR(1-E361,"n/a")</f>
        <v>0.807515657620042</v>
      </c>
      <c r="F369" s="215">
        <f>IFERROR(1-F361,"n/a")</f>
        <v>0.748717194622666</v>
      </c>
      <c r="G369" s="215">
        <f>IFERROR(1-G361,"n/a")</f>
        <v>0.771983263324245</v>
      </c>
      <c r="H369" s="215">
        <f>IFERROR(1-H361,"n/a")</f>
        <v>0.805443056046045</v>
      </c>
      <c r="I369" s="215">
        <f>IFERROR(1-I361,"n/a")</f>
        <v>0.739066066615155</v>
      </c>
      <c r="J369" s="34" t="n"/>
      <c r="K369" s="34" t="n"/>
      <c r="L369" s="34" t="n"/>
      <c r="M369" s="34" t="n"/>
      <c r="N369" s="215">
        <f>IFERROR(1-N361,"n/a")</f>
        <v>0.6962397415001</v>
      </c>
      <c r="O369" s="34" t="n"/>
      <c r="P369" s="34" t="n"/>
      <c r="Q369" s="34" t="n"/>
      <c r="R369" s="34" t="n"/>
      <c r="S369" s="215">
        <f>IFERROR(1-S361,"n/a")</f>
        <v>0.690954327350276</v>
      </c>
      <c r="T369" s="34" t="n"/>
      <c r="U369" s="34" t="n"/>
      <c r="V369" s="34" t="n"/>
      <c r="W369" s="34" t="n"/>
      <c r="X369" s="215">
        <f>IFERROR(1-X361,"n/a")</f>
        <v>0.726462906452288</v>
      </c>
      <c r="Y369" s="34" t="n"/>
      <c r="Z369" s="34" t="n"/>
      <c r="AA369" s="34" t="n"/>
      <c r="AB369" s="34" t="n"/>
      <c r="AC369" s="215">
        <f>IFERROR(1-AC361,"n/a")</f>
        <v>0.726044099785107</v>
      </c>
      <c r="AD369" s="34" t="n"/>
      <c r="AE369" s="34" t="n"/>
      <c r="AF369" s="34" t="n"/>
      <c r="AG369" s="34" t="n"/>
      <c r="AH369" s="215">
        <f>IFERROR(1-AH361,"n/a")</f>
        <v>0.686017255338969</v>
      </c>
      <c r="AI369" s="34" t="n"/>
      <c r="AJ369" s="34" t="n"/>
      <c r="AK369" s="34" t="n"/>
      <c r="AL369" s="34" t="n"/>
      <c r="AM369" s="215">
        <f>IFERROR(1-AM361,"n/a")</f>
        <v>0.749072924777772</v>
      </c>
      <c r="AN369" s="34" t="n"/>
      <c r="AO369" s="34" t="n"/>
      <c r="AP369" s="34" t="n"/>
      <c r="AQ369" s="34" t="n"/>
      <c r="AR369" s="215">
        <f>IFERROR(1-AR361,"n/a")</f>
        <v>0.745870348099918</v>
      </c>
      <c r="AS369" s="34" t="n"/>
      <c r="AT369" s="34" t="n"/>
      <c r="AU369" s="34" t="n"/>
      <c r="AV369" s="34" t="n"/>
      <c r="AW369" s="215">
        <f>IFERROR(1-AW361,"n/a")</f>
        <v>0.729233372348099</v>
      </c>
      <c r="AX369" s="34" t="n"/>
      <c r="AY369" s="34" t="n"/>
      <c r="AZ369" s="34" t="n"/>
      <c r="BA369" s="34" t="n"/>
      <c r="BB369" s="215">
        <f>IFERROR(1-BB361,"n/a")</f>
        <v>0.770178306810128</v>
      </c>
      <c r="BC369" s="34" t="n"/>
      <c r="BD369" s="34" t="n"/>
      <c r="BE369" s="34" t="n"/>
      <c r="BF369" s="34" t="n"/>
      <c r="BG369" s="215">
        <f>IFERROR(1-BG361,"n/a")</f>
        <v>0.770777527708183</v>
      </c>
      <c r="BH369" s="34" t="n"/>
      <c r="BI369" s="34" t="n"/>
      <c r="BJ369" s="34" t="n"/>
      <c r="BK369" s="34" t="n"/>
      <c r="BL369" s="215">
        <f>IFERROR(1-BL361,"n/a")</f>
        <v>0.739028715841745</v>
      </c>
      <c r="BM369" s="34" t="n"/>
      <c r="BN369" s="34" t="n"/>
      <c r="BO369" s="34" t="n"/>
      <c r="BP369" s="34" t="n"/>
      <c r="BQ369" s="215">
        <f>IFERROR(1-BQ361,"n/a")</f>
        <v>0.751292623119434</v>
      </c>
      <c r="BR369" s="34" t="n"/>
      <c r="BS369" s="34" t="n"/>
      <c r="BT369" s="34" t="n"/>
      <c r="BU369" s="34" t="n"/>
      <c r="BV369" s="215">
        <f>IFERROR(1-BV361,"n/a")</f>
        <v>0.75653999653674</v>
      </c>
      <c r="BW369" s="34" t="n"/>
      <c r="BX369" s="34" t="n"/>
      <c r="BY369" s="34" t="n"/>
      <c r="BZ369" s="35" t="n"/>
      <c r="CA369" s="256">
        <f>IFERROR(1-CA361,"n/a")</f>
        <v>0.745494944544874</v>
      </c>
      <c r="CB369" s="256">
        <f>IFERROR(1-CB361,"n/a")</f>
        <v>0.75</v>
      </c>
      <c r="CC369" s="256">
        <f>IFERROR(1-CC361,"n/a")</f>
        <v>0.75</v>
      </c>
      <c r="CD369" s="256">
        <f>IFERROR(1-CD361,"n/a")</f>
        <v>0.75</v>
      </c>
      <c r="CE369" s="256">
        <f>IFERROR(1-CE361,"n/a")</f>
        <v>0.75</v>
      </c>
      <c r="CF369" s="256">
        <f>IFERROR(1-CF361,"n/a")</f>
        <v>0.75</v>
      </c>
      <c r="CG369" s="19" t="n"/>
    </row>
    <row r="370" ht="15" customHeight="1" s="251">
      <c r="B370" s="25" t="inlineStr">
        <is>
          <t xml:space="preserve">  Check: Margin × Turnover × Tax burden = ROIC</t>
        </is>
      </c>
      <c r="C370" s="215">
        <f>IFERROR(C367*C368*C369,"n/a")</f>
        <v>0.114836800917759</v>
      </c>
      <c r="D370" s="215">
        <f>IFERROR(D367*D368*D369,"n/a")</f>
        <v>0.112162175825405</v>
      </c>
      <c r="E370" s="215">
        <f>IFERROR(E367*E368*E369,"n/a")</f>
        <v>0.106157041122413</v>
      </c>
      <c r="F370" s="215">
        <f>IFERROR(F367*F368*F369,"n/a")</f>
        <v>0.0896893615840871</v>
      </c>
      <c r="G370" s="215">
        <f>IFERROR(G367*G368*G369,"n/a")</f>
        <v>0.106587138858124</v>
      </c>
      <c r="H370" s="215">
        <f>IFERROR(H367*H368*H369,"n/a")</f>
        <v>0.125046452404241</v>
      </c>
      <c r="I370" s="215">
        <f>IFERROR(I367*I368*I369,"n/a")</f>
        <v>0.142184197210808</v>
      </c>
      <c r="J370" s="34" t="n"/>
      <c r="K370" s="34" t="n"/>
      <c r="L370" s="34" t="n"/>
      <c r="M370" s="34" t="n"/>
      <c r="N370" s="215">
        <f>IFERROR(N367*N368*N369,"n/a")</f>
        <v>0.138752646438792</v>
      </c>
      <c r="O370" s="34" t="n"/>
      <c r="P370" s="34" t="n"/>
      <c r="Q370" s="34" t="n"/>
      <c r="R370" s="34" t="n"/>
      <c r="S370" s="215">
        <f>IFERROR(S367*S368*S369,"n/a")</f>
        <v>0.140343206484393</v>
      </c>
      <c r="T370" s="34" t="n"/>
      <c r="U370" s="34" t="n"/>
      <c r="V370" s="34" t="n"/>
      <c r="W370" s="34" t="n"/>
      <c r="X370" s="215">
        <f>IFERROR(X367*X368*X369,"n/a")</f>
        <v>0.131846770200068</v>
      </c>
      <c r="Y370" s="34" t="n"/>
      <c r="Z370" s="34" t="n"/>
      <c r="AA370" s="34" t="n"/>
      <c r="AB370" s="34" t="n"/>
      <c r="AC370" s="215">
        <f>IFERROR(AC367*AC368*AC369,"n/a")</f>
        <v>0.146148608290529</v>
      </c>
      <c r="AD370" s="34" t="n"/>
      <c r="AE370" s="34" t="n"/>
      <c r="AF370" s="34" t="n"/>
      <c r="AG370" s="34" t="n"/>
      <c r="AH370" s="215">
        <f>IFERROR(AH367*AH368*AH369,"n/a")</f>
        <v>0.148065203602324</v>
      </c>
      <c r="AI370" s="34" t="n"/>
      <c r="AJ370" s="34" t="n"/>
      <c r="AK370" s="34" t="n"/>
      <c r="AL370" s="34" t="n"/>
      <c r="AM370" s="215">
        <f>IFERROR(AM367*AM368*AM369,"n/a")</f>
        <v>0.176201904509842</v>
      </c>
      <c r="AN370" s="34" t="n"/>
      <c r="AO370" s="34" t="n"/>
      <c r="AP370" s="34" t="n"/>
      <c r="AQ370" s="34" t="n"/>
      <c r="AR370" s="215">
        <f>IFERROR(AR367*AR368*AR369,"n/a")</f>
        <v>0.198101463180089</v>
      </c>
      <c r="AS370" s="34" t="n"/>
      <c r="AT370" s="34" t="n"/>
      <c r="AU370" s="34" t="n"/>
      <c r="AV370" s="34" t="n"/>
      <c r="AW370" s="215">
        <f>IFERROR(AW367*AW368*AW369,"n/a")</f>
        <v>0.259434123977977</v>
      </c>
      <c r="AX370" s="34" t="n"/>
      <c r="AY370" s="34" t="n"/>
      <c r="AZ370" s="34" t="n"/>
      <c r="BA370" s="34" t="n"/>
      <c r="BB370" s="215">
        <f>IFERROR(BB367*BB368*BB369,"n/a")</f>
        <v>0.355391850613996</v>
      </c>
      <c r="BC370" s="34" t="n"/>
      <c r="BD370" s="34" t="n"/>
      <c r="BE370" s="34" t="n"/>
      <c r="BF370" s="34" t="n"/>
      <c r="BG370" s="215">
        <f>IFERROR(BG367*BG368*BG369,"n/a")</f>
        <v>0.468176970941652</v>
      </c>
      <c r="BH370" s="34" t="n"/>
      <c r="BI370" s="34" t="n"/>
      <c r="BJ370" s="34" t="n"/>
      <c r="BK370" s="34" t="n"/>
      <c r="BL370" s="215">
        <f>IFERROR(BL367*BL368*BL369,"n/a")</f>
        <v>0.477865969894832</v>
      </c>
      <c r="BM370" s="34" t="n"/>
      <c r="BN370" s="34" t="n"/>
      <c r="BO370" s="34" t="n"/>
      <c r="BP370" s="34" t="n"/>
      <c r="BQ370" s="215">
        <f>IFERROR(BQ367*BQ368*BQ369,"n/a")</f>
        <v>0.535424721782988</v>
      </c>
      <c r="BR370" s="34" t="n"/>
      <c r="BS370" s="34" t="n"/>
      <c r="BT370" s="34" t="n"/>
      <c r="BU370" s="34" t="n"/>
      <c r="BV370" s="215">
        <f>IFERROR(BV367*BV368*BV369,"n/a")</f>
        <v>0.639138389897234</v>
      </c>
      <c r="BW370" s="34" t="n"/>
      <c r="BX370" s="34" t="n"/>
      <c r="BY370" s="34" t="n"/>
      <c r="BZ370" s="35" t="n"/>
      <c r="CA370" s="256">
        <f>IFERROR(CA367*CA368*CA369,"n/a")</f>
        <v>0.877412183740958</v>
      </c>
      <c r="CB370" s="256">
        <f>IFERROR(CB367*CB368*CB369,"n/a")</f>
        <v>1.00206009840735</v>
      </c>
      <c r="CC370" s="256">
        <f>IFERROR(CC367*CC368*CC369,"n/a")</f>
        <v>1.08879164658819</v>
      </c>
      <c r="CD370" s="256">
        <f>IFERROR(CD367*CD368*CD369,"n/a")</f>
        <v>1.16570526580519</v>
      </c>
      <c r="CE370" s="256">
        <f>IFERROR(CE367*CE368*CE369,"n/a")</f>
        <v>1.23014354885647</v>
      </c>
      <c r="CF370" s="256">
        <f>IFERROR(CF367*CF368*CF369,"n/a")</f>
        <v>1.28778103766247</v>
      </c>
      <c r="CG370" s="19" t="n"/>
    </row>
    <row r="371" ht="15" customHeight="1" s="251">
      <c r="B371" s="25" t="inlineStr">
        <is>
          <t>RONTA decomposition</t>
        </is>
      </c>
      <c r="CG371" s="153" t="n"/>
    </row>
    <row r="372" ht="15" customHeight="1" s="251">
      <c r="B372" s="25" t="inlineStr">
        <is>
          <t>NOPAT = Adjusted EBITA × (1 − tax rate)</t>
        </is>
      </c>
      <c r="C372" s="262">
        <f>C362</f>
        <v>147.603529834027</v>
      </c>
      <c r="D372" s="262">
        <f>D362</f>
        <v>131.352675460428</v>
      </c>
      <c r="E372" s="262">
        <f>E362</f>
        <v>120.107456367432</v>
      </c>
      <c r="F372" s="262">
        <f>F362</f>
        <v>107.013399910223</v>
      </c>
      <c r="G372" s="262">
        <f>G362</f>
        <v>98.2410461241167</v>
      </c>
      <c r="H372" s="262">
        <f>H362</f>
        <v>119.011460518308</v>
      </c>
      <c r="I372" s="262">
        <f>I362</f>
        <v>132.831605086675</v>
      </c>
      <c r="J372" s="34" t="n"/>
      <c r="K372" s="34" t="n"/>
      <c r="L372" s="34" t="n"/>
      <c r="M372" s="34" t="n"/>
      <c r="N372" s="262">
        <f>N362</f>
        <v>124.788441348546</v>
      </c>
      <c r="O372" s="34" t="n"/>
      <c r="P372" s="34" t="n"/>
      <c r="Q372" s="34" t="n"/>
      <c r="R372" s="34" t="n"/>
      <c r="S372" s="262">
        <f>S362</f>
        <v>122.90626479474</v>
      </c>
      <c r="T372" s="34" t="n"/>
      <c r="U372" s="34" t="n"/>
      <c r="V372" s="34" t="n"/>
      <c r="W372" s="34" t="n"/>
      <c r="X372" s="262">
        <f>X362</f>
        <v>123.718812357544</v>
      </c>
      <c r="Y372" s="34" t="n"/>
      <c r="Z372" s="34" t="n"/>
      <c r="AA372" s="34" t="n"/>
      <c r="AB372" s="34" t="n"/>
      <c r="AC372" s="262">
        <f>AC362</f>
        <v>134.451750574605</v>
      </c>
      <c r="AD372" s="34" t="n"/>
      <c r="AE372" s="34" t="n"/>
      <c r="AF372" s="34" t="n"/>
      <c r="AG372" s="34" t="n"/>
      <c r="AH372" s="262">
        <f>AH362</f>
        <v>133.28903660883</v>
      </c>
      <c r="AI372" s="34" t="n"/>
      <c r="AJ372" s="34" t="n"/>
      <c r="AK372" s="34" t="n"/>
      <c r="AL372" s="34" t="n"/>
      <c r="AM372" s="262">
        <f>AM362</f>
        <v>161.736080553393</v>
      </c>
      <c r="AN372" s="34" t="n"/>
      <c r="AO372" s="34" t="n"/>
      <c r="AP372" s="34" t="n"/>
      <c r="AQ372" s="34" t="n"/>
      <c r="AR372" s="262">
        <f>AR362</f>
        <v>195.380737684773</v>
      </c>
      <c r="AS372" s="34" t="n"/>
      <c r="AT372" s="34" t="n"/>
      <c r="AU372" s="34" t="n"/>
      <c r="AV372" s="34" t="n"/>
      <c r="AW372" s="262">
        <f>AW362</f>
        <v>254.647564390584</v>
      </c>
      <c r="AX372" s="34" t="n"/>
      <c r="AY372" s="34" t="n"/>
      <c r="AZ372" s="34" t="n"/>
      <c r="BA372" s="34" t="n"/>
      <c r="BB372" s="262">
        <f>BB362</f>
        <v>326.792046827685</v>
      </c>
      <c r="BC372" s="34" t="n"/>
      <c r="BD372" s="34" t="n"/>
      <c r="BE372" s="34" t="n"/>
      <c r="BF372" s="34" t="n"/>
      <c r="BG372" s="262">
        <f>BG362</f>
        <v>418.021172044673</v>
      </c>
      <c r="BH372" s="34" t="n"/>
      <c r="BI372" s="34" t="n"/>
      <c r="BJ372" s="34" t="n"/>
      <c r="BK372" s="34" t="n"/>
      <c r="BL372" s="262">
        <f>BL362</f>
        <v>479.133748312963</v>
      </c>
      <c r="BM372" s="34" t="n"/>
      <c r="BN372" s="34" t="n"/>
      <c r="BO372" s="34" t="n"/>
      <c r="BP372" s="34" t="n"/>
      <c r="BQ372" s="262">
        <f>BQ362</f>
        <v>562.402631814746</v>
      </c>
      <c r="BR372" s="34" t="n"/>
      <c r="BS372" s="34" t="n"/>
      <c r="BT372" s="34" t="n"/>
      <c r="BU372" s="34" t="n"/>
      <c r="BV372" s="262">
        <f>BV362</f>
        <v>716.567449279724</v>
      </c>
      <c r="BW372" s="34" t="n"/>
      <c r="BX372" s="34" t="n"/>
      <c r="BY372" s="34" t="n"/>
      <c r="BZ372" s="35" t="n"/>
      <c r="CA372" s="254">
        <f>CA362</f>
        <v>1000.03419029963</v>
      </c>
      <c r="CB372" s="254">
        <f>CB362</f>
        <v>1175.24725916326</v>
      </c>
      <c r="CC372" s="254">
        <f>CC362</f>
        <v>1316.39390373874</v>
      </c>
      <c r="CD372" s="254">
        <f>CD362</f>
        <v>1454.41822381533</v>
      </c>
      <c r="CE372" s="254">
        <f>CE362</f>
        <v>1585.54617852156</v>
      </c>
      <c r="CF372" s="254">
        <f>CF362</f>
        <v>1716.12271288994</v>
      </c>
      <c r="CG372" s="19" t="n"/>
    </row>
    <row r="373" ht="15" customHeight="1" s="251">
      <c r="B373" s="25" t="inlineStr">
        <is>
          <t xml:space="preserve">  Total assets</t>
        </is>
      </c>
      <c r="C373" s="262">
        <f>C294</f>
        <v>1321.205</v>
      </c>
      <c r="D373" s="262">
        <f>D294</f>
        <v>1275.771</v>
      </c>
      <c r="E373" s="262">
        <f>E294</f>
        <v>1275.253</v>
      </c>
      <c r="F373" s="262">
        <f>F294</f>
        <v>1303.888</v>
      </c>
      <c r="G373" s="262">
        <f>G294</f>
        <v>1123.716</v>
      </c>
      <c r="H373" s="262">
        <f>H294</f>
        <v>1129.468</v>
      </c>
      <c r="I373" s="262">
        <f>I294</f>
        <v>1158.611</v>
      </c>
      <c r="J373" s="34" t="n"/>
      <c r="K373" s="34" t="n"/>
      <c r="L373" s="34" t="n"/>
      <c r="M373" s="34" t="n"/>
      <c r="N373" s="262">
        <f>N294</f>
        <v>1161.547</v>
      </c>
      <c r="O373" s="34" t="n"/>
      <c r="P373" s="34" t="n"/>
      <c r="Q373" s="34" t="n"/>
      <c r="R373" s="34" t="n"/>
      <c r="S373" s="262">
        <f>S294</f>
        <v>1192.298</v>
      </c>
      <c r="T373" s="34" t="n"/>
      <c r="U373" s="34" t="n"/>
      <c r="V373" s="34" t="n"/>
      <c r="W373" s="34" t="n"/>
      <c r="X373" s="262">
        <f>X294</f>
        <v>1230.163</v>
      </c>
      <c r="Y373" s="34" t="n"/>
      <c r="Z373" s="34" t="n"/>
      <c r="AA373" s="34" t="n"/>
      <c r="AB373" s="34" t="n"/>
      <c r="AC373" s="262">
        <f>AC294</f>
        <v>1221.052</v>
      </c>
      <c r="AD373" s="34" t="n"/>
      <c r="AE373" s="34" t="n"/>
      <c r="AF373" s="34" t="n"/>
      <c r="AG373" s="34" t="n"/>
      <c r="AH373" s="262">
        <f>AH294</f>
        <v>1255.62</v>
      </c>
      <c r="AI373" s="34" t="n"/>
      <c r="AJ373" s="34" t="n"/>
      <c r="AK373" s="34" t="n"/>
      <c r="AL373" s="34" t="n"/>
      <c r="AM373" s="262">
        <f>AM294</f>
        <v>1255.079</v>
      </c>
      <c r="AN373" s="34" t="n"/>
      <c r="AO373" s="34" t="n"/>
      <c r="AP373" s="34" t="n"/>
      <c r="AQ373" s="34" t="n"/>
      <c r="AR373" s="262">
        <f>AR294</f>
        <v>1433.448</v>
      </c>
      <c r="AS373" s="34" t="n"/>
      <c r="AT373" s="34" t="n"/>
      <c r="AU373" s="34" t="n"/>
      <c r="AV373" s="34" t="n"/>
      <c r="AW373" s="262">
        <f>AW294</f>
        <v>1606.24</v>
      </c>
      <c r="AX373" s="34" t="n"/>
      <c r="AY373" s="34" t="n"/>
      <c r="AZ373" s="34" t="n"/>
      <c r="BA373" s="34" t="n"/>
      <c r="BB373" s="262">
        <f>BB294</f>
        <v>1567.776</v>
      </c>
      <c r="BC373" s="34" t="n"/>
      <c r="BD373" s="34" t="n"/>
      <c r="BE373" s="34" t="n"/>
      <c r="BF373" s="34" t="n"/>
      <c r="BG373" s="262">
        <f>BG294</f>
        <v>1442.034</v>
      </c>
      <c r="BH373" s="34" t="n"/>
      <c r="BI373" s="34" t="n"/>
      <c r="BJ373" s="34" t="n"/>
      <c r="BK373" s="34" t="n"/>
      <c r="BL373" s="262">
        <f>BL294</f>
        <v>1575.281</v>
      </c>
      <c r="BM373" s="34" t="n"/>
      <c r="BN373" s="34" t="n"/>
      <c r="BO373" s="34" t="n"/>
      <c r="BP373" s="34" t="n"/>
      <c r="BQ373" s="262">
        <f>BQ294</f>
        <v>1717.884</v>
      </c>
      <c r="BR373" s="34" t="n"/>
      <c r="BS373" s="34" t="n"/>
      <c r="BT373" s="34" t="n"/>
      <c r="BU373" s="34" t="n"/>
      <c r="BV373" s="262">
        <f>BV294</f>
        <v>1868.133</v>
      </c>
      <c r="BW373" s="34" t="n"/>
      <c r="BX373" s="34" t="n"/>
      <c r="BY373" s="34" t="n"/>
      <c r="BZ373" s="35" t="n"/>
      <c r="CA373" s="254">
        <f>CA294</f>
        <v>2024.55516438356</v>
      </c>
      <c r="CB373" s="254">
        <f>CB294</f>
        <v>2118.3848242611</v>
      </c>
      <c r="CC373" s="254">
        <f>CC294</f>
        <v>2219.99764355771</v>
      </c>
      <c r="CD373" s="254">
        <f>CD294</f>
        <v>2324.53336003742</v>
      </c>
      <c r="CE373" s="254">
        <f>CE294</f>
        <v>2432.97882039962</v>
      </c>
      <c r="CF373" s="254">
        <f>CF294</f>
        <v>2544.32093085837</v>
      </c>
      <c r="CG373" s="19" t="n"/>
    </row>
    <row r="374" ht="15" customHeight="1" s="251">
      <c r="B374" s="25" t="inlineStr">
        <is>
          <t xml:space="preserve">  − Goodwill &amp; intangible assets</t>
        </is>
      </c>
      <c r="C374" s="262">
        <f>IFERROR(-C292,"n/a")</f>
        <v>-786.062</v>
      </c>
      <c r="D374" s="262">
        <f>IFERROR(-D292,"n/a")</f>
        <v>-755.845</v>
      </c>
      <c r="E374" s="262">
        <f>IFERROR(-E292,"n/a")</f>
        <v>-738.55</v>
      </c>
      <c r="F374" s="262">
        <f>IFERROR(-F292,"n/a")</f>
        <v>-705.895</v>
      </c>
      <c r="G374" s="262">
        <f>IFERROR(-G292,"n/a")</f>
        <v>-693.197</v>
      </c>
      <c r="H374" s="262">
        <f>IFERROR(-H292,"n/a")</f>
        <v>-684.186</v>
      </c>
      <c r="I374" s="262">
        <f>IFERROR(-I292,"n/a")</f>
        <v>-809.803</v>
      </c>
      <c r="J374" s="34" t="n"/>
      <c r="K374" s="34" t="n"/>
      <c r="L374" s="34" t="n"/>
      <c r="M374" s="34" t="n"/>
      <c r="N374" s="262">
        <f>IFERROR(-N292,"n/a")</f>
        <v>-831.292</v>
      </c>
      <c r="O374" s="34" t="n"/>
      <c r="P374" s="34" t="n"/>
      <c r="Q374" s="34" t="n"/>
      <c r="R374" s="34" t="n"/>
      <c r="S374" s="262">
        <f>IFERROR(-S292,"n/a")</f>
        <v>-827.842</v>
      </c>
      <c r="T374" s="34" t="n"/>
      <c r="U374" s="34" t="n"/>
      <c r="V374" s="34" t="n"/>
      <c r="W374" s="34" t="n"/>
      <c r="X374" s="262">
        <f>IFERROR(-X292,"n/a")</f>
        <v>-862.071</v>
      </c>
      <c r="Y374" s="34" t="n"/>
      <c r="Z374" s="34" t="n"/>
      <c r="AA374" s="34" t="n"/>
      <c r="AB374" s="34" t="n"/>
      <c r="AC374" s="262">
        <f>IFERROR(-AC292,"n/a")</f>
        <v>-832.034</v>
      </c>
      <c r="AD374" s="34" t="n"/>
      <c r="AE374" s="34" t="n"/>
      <c r="AF374" s="34" t="n"/>
      <c r="AG374" s="34" t="n"/>
      <c r="AH374" s="262">
        <f>IFERROR(-AH292,"n/a")</f>
        <v>-825.599</v>
      </c>
      <c r="AI374" s="34" t="n"/>
      <c r="AJ374" s="34" t="n"/>
      <c r="AK374" s="34" t="n"/>
      <c r="AL374" s="34" t="n"/>
      <c r="AM374" s="262">
        <f>IFERROR(-AM292,"n/a")</f>
        <v>-815.426</v>
      </c>
      <c r="AN374" s="34" t="n"/>
      <c r="AO374" s="34" t="n"/>
      <c r="AP374" s="34" t="n"/>
      <c r="AQ374" s="34" t="n"/>
      <c r="AR374" s="262">
        <f>IFERROR(-AR292,"n/a")</f>
        <v>-817.681</v>
      </c>
      <c r="AS374" s="34" t="n"/>
      <c r="AT374" s="34" t="n"/>
      <c r="AU374" s="34" t="n"/>
      <c r="AV374" s="34" t="n"/>
      <c r="AW374" s="262">
        <f>IFERROR(-AW292,"n/a")</f>
        <v>-821.6</v>
      </c>
      <c r="AX374" s="34" t="n"/>
      <c r="AY374" s="34" t="n"/>
      <c r="AZ374" s="34" t="n"/>
      <c r="BA374" s="34" t="n"/>
      <c r="BB374" s="262">
        <f>IFERROR(-BB292,"n/a")</f>
        <v>-792.284</v>
      </c>
      <c r="BC374" s="34" t="n"/>
      <c r="BD374" s="34" t="n"/>
      <c r="BE374" s="34" t="n"/>
      <c r="BF374" s="34" t="n"/>
      <c r="BG374" s="262">
        <f>IFERROR(-BG292,"n/a")</f>
        <v>-763.084</v>
      </c>
      <c r="BH374" s="34" t="n"/>
      <c r="BI374" s="34" t="n"/>
      <c r="BJ374" s="34" t="n"/>
      <c r="BK374" s="34" t="n"/>
      <c r="BL374" s="262">
        <f>IFERROR(-BL292,"n/a")</f>
        <v>-774.244</v>
      </c>
      <c r="BM374" s="34" t="n"/>
      <c r="BN374" s="34" t="n"/>
      <c r="BO374" s="34" t="n"/>
      <c r="BP374" s="34" t="n"/>
      <c r="BQ374" s="262">
        <f>IFERROR(-BQ292,"n/a")</f>
        <v>-782.752</v>
      </c>
      <c r="BR374" s="34" t="n"/>
      <c r="BS374" s="34" t="n"/>
      <c r="BT374" s="34" t="n"/>
      <c r="BU374" s="34" t="n"/>
      <c r="BV374" s="262">
        <f>IFERROR(-BV292,"n/a")</f>
        <v>-783.34</v>
      </c>
      <c r="BW374" s="34" t="n"/>
      <c r="BX374" s="34" t="n"/>
      <c r="BY374" s="34" t="n"/>
      <c r="BZ374" s="35" t="n"/>
      <c r="CA374" s="254">
        <f>IFERROR(-CA292,"n/a")</f>
        <v>-791.815</v>
      </c>
      <c r="CB374" s="254">
        <f>IFERROR(-CB292,"n/a")</f>
        <v>-791.815</v>
      </c>
      <c r="CC374" s="254">
        <f>IFERROR(-CC292,"n/a")</f>
        <v>-791.815</v>
      </c>
      <c r="CD374" s="254">
        <f>IFERROR(-CD292,"n/a")</f>
        <v>-791.815</v>
      </c>
      <c r="CE374" s="254">
        <f>IFERROR(-CE292,"n/a")</f>
        <v>-791.815</v>
      </c>
      <c r="CF374" s="254">
        <f>IFERROR(-CF292,"n/a")</f>
        <v>-791.815</v>
      </c>
      <c r="CG374" s="19" t="n"/>
    </row>
    <row r="375" ht="15" customHeight="1" s="251">
      <c r="B375" s="25" t="inlineStr">
        <is>
          <t xml:space="preserve">  − Non-interest-bearing current liabilities (total CL excl. current debt)</t>
        </is>
      </c>
      <c r="C375" s="262">
        <f>IFERROR(-(C301-N(C299)),"n/a")</f>
        <v>53.43</v>
      </c>
      <c r="D375" s="262">
        <f>IFERROR(-(D301-N(D299)),"n/a")</f>
        <v>4.14200000000005</v>
      </c>
      <c r="E375" s="262">
        <f>IFERROR(-(E301-N(E299)),"n/a")</f>
        <v>6.51900000000001</v>
      </c>
      <c r="F375" s="262">
        <f>IFERROR(-(F301-N(F299)),"n/a")</f>
        <v>86.456</v>
      </c>
      <c r="G375" s="262">
        <f>IFERROR(-(G301-N(G299)),"n/a")</f>
        <v>-41.165</v>
      </c>
      <c r="H375" s="262">
        <f>IFERROR(-(H301-N(H299)),"n/a")</f>
        <v>-28.502</v>
      </c>
      <c r="I375" s="262">
        <f>IFERROR(-(I301-N(I299)),"n/a")</f>
        <v>-133.18</v>
      </c>
      <c r="J375" s="34" t="n"/>
      <c r="K375" s="34" t="n"/>
      <c r="L375" s="34" t="n"/>
      <c r="M375" s="34" t="n"/>
      <c r="N375" s="262">
        <f>IFERROR(-(N301-N(N299)),"n/a")</f>
        <v>-142.88</v>
      </c>
      <c r="O375" s="34" t="n"/>
      <c r="P375" s="34" t="n"/>
      <c r="Q375" s="34" t="n"/>
      <c r="R375" s="34" t="n"/>
      <c r="S375" s="262">
        <f>IFERROR(-(S301-N(S299)),"n/a")</f>
        <v>-171.404</v>
      </c>
      <c r="T375" s="34" t="n"/>
      <c r="U375" s="34" t="n"/>
      <c r="V375" s="34" t="n"/>
      <c r="W375" s="34" t="n"/>
      <c r="X375" s="262">
        <f>IFERROR(-(X301-N(X299)),"n/a")</f>
        <v>-151.875</v>
      </c>
      <c r="Y375" s="34" t="n"/>
      <c r="Z375" s="34" t="n"/>
      <c r="AA375" s="34" t="n"/>
      <c r="AB375" s="34" t="n"/>
      <c r="AC375" s="262">
        <f>IFERROR(-(AC301-N(AC299)),"n/a")</f>
        <v>-169.077</v>
      </c>
      <c r="AD375" s="34" t="n"/>
      <c r="AE375" s="34" t="n"/>
      <c r="AF375" s="34" t="n"/>
      <c r="AG375" s="34" t="n"/>
      <c r="AH375" s="262">
        <f>IFERROR(-(AH301-N(AH299)),"n/a")</f>
        <v>-184.655</v>
      </c>
      <c r="AI375" s="34" t="n"/>
      <c r="AJ375" s="34" t="n"/>
      <c r="AK375" s="34" t="n"/>
      <c r="AL375" s="34" t="n"/>
      <c r="AM375" s="262">
        <f>IFERROR(-(AM301-N(AM299)),"n/a")</f>
        <v>-187.215</v>
      </c>
      <c r="AN375" s="34" t="n"/>
      <c r="AO375" s="34" t="n"/>
      <c r="AP375" s="34" t="n"/>
      <c r="AQ375" s="34" t="n"/>
      <c r="AR375" s="262">
        <f>IFERROR(-(AR301-N(AR299)),"n/a")</f>
        <v>-272.828</v>
      </c>
      <c r="AS375" s="34" t="n"/>
      <c r="AT375" s="34" t="n"/>
      <c r="AU375" s="34" t="n"/>
      <c r="AV375" s="34" t="n"/>
      <c r="AW375" s="262">
        <f>IFERROR(-(AW301-N(AW299)),"n/a")</f>
        <v>-319.511</v>
      </c>
      <c r="AX375" s="34" t="n"/>
      <c r="AY375" s="34" t="n"/>
      <c r="AZ375" s="34" t="n"/>
      <c r="BA375" s="34" t="n"/>
      <c r="BB375" s="262">
        <f>IFERROR(-(BB301-N(BB299)),"n/a")</f>
        <v>-309.207</v>
      </c>
      <c r="BC375" s="34" t="n"/>
      <c r="BD375" s="34" t="n"/>
      <c r="BE375" s="34" t="n"/>
      <c r="BF375" s="34" t="n"/>
      <c r="BG375" s="262">
        <f>IFERROR(-(BG301-N(BG299)),"n/a")</f>
        <v>-301.459</v>
      </c>
      <c r="BH375" s="34" t="n"/>
      <c r="BI375" s="34" t="n"/>
      <c r="BJ375" s="34" t="n"/>
      <c r="BK375" s="34" t="n"/>
      <c r="BL375" s="262">
        <f>IFERROR(-(BL301-N(BL299)),"n/a")</f>
        <v>-317.688</v>
      </c>
      <c r="BM375" s="34" t="n"/>
      <c r="BN375" s="34" t="n"/>
      <c r="BO375" s="34" t="n"/>
      <c r="BP375" s="34" t="n"/>
      <c r="BQ375" s="262">
        <f>IFERROR(-(BQ301-N(BQ299)),"n/a")</f>
        <v>-365.285</v>
      </c>
      <c r="BR375" s="34" t="n"/>
      <c r="BS375" s="34" t="n"/>
      <c r="BT375" s="34" t="n"/>
      <c r="BU375" s="34" t="n"/>
      <c r="BV375" s="262">
        <f>IFERROR(-(BV301-N(BV299)),"n/a")</f>
        <v>-449.674</v>
      </c>
      <c r="BW375" s="34" t="n"/>
      <c r="BX375" s="34" t="n"/>
      <c r="BY375" s="34" t="n"/>
      <c r="BZ375" s="35" t="n"/>
      <c r="CA375" s="254">
        <f>IFERROR(-(CA301-N(CA299)),"n/a")</f>
        <v>-571.78</v>
      </c>
      <c r="CB375" s="254">
        <f>IFERROR(-(CB301-N(CB299)),"n/a")</f>
        <v>-632.532712603068</v>
      </c>
      <c r="CC375" s="254">
        <f>IFERROR(-(CC301-N(CC299)),"n/a")</f>
        <v>-697.935494258148</v>
      </c>
      <c r="CD375" s="254">
        <f>IFERROR(-(CD301-N(CD299)),"n/a")</f>
        <v>-763.840013965694</v>
      </c>
      <c r="CE375" s="254">
        <f>IFERROR(-(CE301-N(CE299)),"n/a")</f>
        <v>-831.046310848183</v>
      </c>
      <c r="CF375" s="254">
        <f>IFERROR(-(CF301-N(CF299)),"n/a")</f>
        <v>-898.679972418094</v>
      </c>
      <c r="CG375" s="19" t="n"/>
    </row>
    <row r="376" ht="15" customHeight="1" s="251">
      <c r="B376" s="25" t="inlineStr">
        <is>
          <t xml:space="preserve">  = Net tangible assets</t>
        </is>
      </c>
      <c r="C376" s="262">
        <f>IFERROR(SUM(C373:C375),"n/a")</f>
        <v>588.573</v>
      </c>
      <c r="D376" s="262">
        <f>IFERROR(SUM(D373:D375),"n/a")</f>
        <v>524.068</v>
      </c>
      <c r="E376" s="262">
        <f>IFERROR(SUM(E373:E375),"n/a")</f>
        <v>543.222</v>
      </c>
      <c r="F376" s="262">
        <f>IFERROR(SUM(F373:F375),"n/a")</f>
        <v>684.449</v>
      </c>
      <c r="G376" s="262">
        <f>IFERROR(SUM(G373:G375),"n/a")</f>
        <v>389.354</v>
      </c>
      <c r="H376" s="262">
        <f>IFERROR(SUM(H373:H375),"n/a")</f>
        <v>416.78</v>
      </c>
      <c r="I376" s="262">
        <f>IFERROR(SUM(I373:I375),"n/a")</f>
        <v>215.628</v>
      </c>
      <c r="J376" s="34" t="n"/>
      <c r="K376" s="34" t="n"/>
      <c r="L376" s="34" t="n"/>
      <c r="M376" s="34" t="n"/>
      <c r="N376" s="262">
        <f>IFERROR(SUM(N373:N375),"n/a")</f>
        <v>187.375</v>
      </c>
      <c r="O376" s="34" t="n"/>
      <c r="P376" s="34" t="n"/>
      <c r="Q376" s="34" t="n"/>
      <c r="R376" s="34" t="n"/>
      <c r="S376" s="262">
        <f>IFERROR(SUM(S373:S375),"n/a")</f>
        <v>193.052</v>
      </c>
      <c r="T376" s="34" t="n"/>
      <c r="U376" s="34" t="n"/>
      <c r="V376" s="34" t="n"/>
      <c r="W376" s="34" t="n"/>
      <c r="X376" s="262">
        <f>IFERROR(SUM(X373:X375),"n/a")</f>
        <v>216.217</v>
      </c>
      <c r="Y376" s="34" t="n"/>
      <c r="Z376" s="34" t="n"/>
      <c r="AA376" s="34" t="n"/>
      <c r="AB376" s="34" t="n"/>
      <c r="AC376" s="262">
        <f>IFERROR(SUM(AC373:AC375),"n/a")</f>
        <v>219.941</v>
      </c>
      <c r="AD376" s="34" t="n"/>
      <c r="AE376" s="34" t="n"/>
      <c r="AF376" s="34" t="n"/>
      <c r="AG376" s="34" t="n"/>
      <c r="AH376" s="262">
        <f>IFERROR(SUM(AH373:AH375),"n/a")</f>
        <v>245.366</v>
      </c>
      <c r="AI376" s="34" t="n"/>
      <c r="AJ376" s="34" t="n"/>
      <c r="AK376" s="34" t="n"/>
      <c r="AL376" s="34" t="n"/>
      <c r="AM376" s="262">
        <f>IFERROR(SUM(AM373:AM375),"n/a")</f>
        <v>252.438</v>
      </c>
      <c r="AN376" s="34" t="n"/>
      <c r="AO376" s="34" t="n"/>
      <c r="AP376" s="34" t="n"/>
      <c r="AQ376" s="34" t="n"/>
      <c r="AR376" s="262">
        <f>IFERROR(SUM(AR373:AR375),"n/a")</f>
        <v>342.939</v>
      </c>
      <c r="AS376" s="34" t="n"/>
      <c r="AT376" s="34" t="n"/>
      <c r="AU376" s="34" t="n"/>
      <c r="AV376" s="34" t="n"/>
      <c r="AW376" s="262">
        <f>IFERROR(SUM(AW373:AW375),"n/a")</f>
        <v>465.129</v>
      </c>
      <c r="AX376" s="34" t="n"/>
      <c r="AY376" s="34" t="n"/>
      <c r="AZ376" s="34" t="n"/>
      <c r="BA376" s="34" t="n"/>
      <c r="BB376" s="262">
        <f>IFERROR(SUM(BB373:BB375),"n/a")</f>
        <v>466.285</v>
      </c>
      <c r="BC376" s="34" t="n"/>
      <c r="BD376" s="34" t="n"/>
      <c r="BE376" s="34" t="n"/>
      <c r="BF376" s="34" t="n"/>
      <c r="BG376" s="262">
        <f>IFERROR(SUM(BG373:BG375),"n/a")</f>
        <v>377.491</v>
      </c>
      <c r="BH376" s="34" t="n"/>
      <c r="BI376" s="34" t="n"/>
      <c r="BJ376" s="34" t="n"/>
      <c r="BK376" s="34" t="n"/>
      <c r="BL376" s="262">
        <f>IFERROR(SUM(BL373:BL375),"n/a")</f>
        <v>483.349</v>
      </c>
      <c r="BM376" s="34" t="n"/>
      <c r="BN376" s="34" t="n"/>
      <c r="BO376" s="34" t="n"/>
      <c r="BP376" s="34" t="n"/>
      <c r="BQ376" s="262">
        <f>IFERROR(SUM(BQ373:BQ375),"n/a")</f>
        <v>569.847</v>
      </c>
      <c r="BR376" s="34" t="n"/>
      <c r="BS376" s="34" t="n"/>
      <c r="BT376" s="34" t="n"/>
      <c r="BU376" s="34" t="n"/>
      <c r="BV376" s="262">
        <f>IFERROR(SUM(BV373:BV375),"n/a")</f>
        <v>635.119</v>
      </c>
      <c r="BW376" s="34" t="n"/>
      <c r="BX376" s="34" t="n"/>
      <c r="BY376" s="34" t="n"/>
      <c r="BZ376" s="35" t="n"/>
      <c r="CA376" s="254">
        <f>IFERROR(SUM(CA373:CA375),"n/a")</f>
        <v>660.960164383562</v>
      </c>
      <c r="CB376" s="254">
        <f>IFERROR(SUM(CB373:CB375),"n/a")</f>
        <v>694.037111658037</v>
      </c>
      <c r="CC376" s="254">
        <f>IFERROR(SUM(CC373:CC375),"n/a")</f>
        <v>730.247149299557</v>
      </c>
      <c r="CD376" s="254">
        <f>IFERROR(SUM(CD373:CD375),"n/a")</f>
        <v>768.878346071727</v>
      </c>
      <c r="CE376" s="254">
        <f>IFERROR(SUM(CE373:CE375),"n/a")</f>
        <v>810.117509551441</v>
      </c>
      <c r="CF376" s="254">
        <f>IFERROR(SUM(CF373:CF375),"n/a")</f>
        <v>853.825958440279</v>
      </c>
      <c r="CG376" s="19" t="n"/>
    </row>
    <row r="377" ht="15" customHeight="1" s="251">
      <c r="B377" s="55" t="inlineStr">
        <is>
          <t>RONTA = NOPAT / NTA</t>
        </is>
      </c>
      <c r="C377" s="292">
        <f>IFERROR(IF(C376&gt;0,C372/C376,"n/m"),"n/a")</f>
        <v>0.250782026756284</v>
      </c>
      <c r="D377" s="292">
        <f>IFERROR(IF(D376&gt;0,D372/D376,"n/m"),"n/a")</f>
        <v>0.250640518902944</v>
      </c>
      <c r="E377" s="292">
        <f>IFERROR(IF(E376&gt;0,E372/E376,"n/m"),"n/a")</f>
        <v>0.221101973718723</v>
      </c>
      <c r="F377" s="292">
        <f>IFERROR(IF(F376&gt;0,F372/F376,"n/m"),"n/a")</f>
        <v>0.156349705982802</v>
      </c>
      <c r="G377" s="292">
        <f>IFERROR(IF(G376&gt;0,G372/G376,"n/m"),"n/a")</f>
        <v>0.252318060490239</v>
      </c>
      <c r="H377" s="292">
        <f>IFERROR(IF(H376&gt;0,H372/H376,"n/m"),"n/a")</f>
        <v>0.285549835688631</v>
      </c>
      <c r="I377" s="292">
        <f>IFERROR(IF(I376&gt;0,I372/I376,"n/m"),"n/a")</f>
        <v>0.616022061544305</v>
      </c>
      <c r="J377" s="56" t="n"/>
      <c r="K377" s="56" t="n"/>
      <c r="L377" s="56" t="n"/>
      <c r="M377" s="56" t="n"/>
      <c r="N377" s="292">
        <f>IFERROR(IF(N376&gt;0,N372/N376,"n/m"),"n/a")</f>
        <v>0.66598234208697</v>
      </c>
      <c r="O377" s="56" t="n"/>
      <c r="P377" s="56" t="n"/>
      <c r="Q377" s="56" t="n"/>
      <c r="R377" s="56" t="n"/>
      <c r="S377" s="292">
        <f>IFERROR(IF(S376&gt;0,S372/S376,"n/m"),"n/a")</f>
        <v>0.636648492606861</v>
      </c>
      <c r="T377" s="56" t="n"/>
      <c r="U377" s="56" t="n"/>
      <c r="V377" s="56" t="n"/>
      <c r="W377" s="56" t="n"/>
      <c r="X377" s="292">
        <f>IFERROR(IF(X376&gt;0,X372/X376,"n/m"),"n/a")</f>
        <v>0.572197432937946</v>
      </c>
      <c r="Y377" s="56" t="n"/>
      <c r="Z377" s="56" t="n"/>
      <c r="AA377" s="56" t="n"/>
      <c r="AB377" s="56" t="n"/>
      <c r="AC377" s="292">
        <f>IFERROR(IF(AC376&gt;0,AC372/AC376,"n/m"),"n/a")</f>
        <v>0.611308262554982</v>
      </c>
      <c r="AD377" s="56" t="n"/>
      <c r="AE377" s="56" t="n"/>
      <c r="AF377" s="56" t="n"/>
      <c r="AG377" s="56" t="n"/>
      <c r="AH377" s="292">
        <f>IFERROR(IF(AH376&gt;0,AH372/AH376,"n/m"),"n/a")</f>
        <v>0.543225371929402</v>
      </c>
      <c r="AI377" s="56" t="n"/>
      <c r="AJ377" s="56" t="n"/>
      <c r="AK377" s="56" t="n"/>
      <c r="AL377" s="56" t="n"/>
      <c r="AM377" s="292">
        <f>IFERROR(IF(AM376&gt;0,AM372/AM376,"n/m"),"n/a")</f>
        <v>0.64069625236055</v>
      </c>
      <c r="AN377" s="56" t="n"/>
      <c r="AO377" s="56" t="n"/>
      <c r="AP377" s="56" t="n"/>
      <c r="AQ377" s="56" t="n"/>
      <c r="AR377" s="292">
        <f>IFERROR(IF(AR376&gt;0,AR372/AR376,"n/m"),"n/a")</f>
        <v>0.569724463198334</v>
      </c>
      <c r="AS377" s="56" t="n"/>
      <c r="AT377" s="56" t="n"/>
      <c r="AU377" s="56" t="n"/>
      <c r="AV377" s="56" t="n"/>
      <c r="AW377" s="292">
        <f>IFERROR(IF(AW376&gt;0,AW372/AW376,"n/m"),"n/a")</f>
        <v>0.547477289935875</v>
      </c>
      <c r="AX377" s="56" t="n"/>
      <c r="AY377" s="56" t="n"/>
      <c r="AZ377" s="56" t="n"/>
      <c r="BA377" s="56" t="n"/>
      <c r="BB377" s="292">
        <f>IFERROR(IF(BB376&gt;0,BB372/BB376,"n/m"),"n/a")</f>
        <v>0.700841860295066</v>
      </c>
      <c r="BC377" s="56" t="n"/>
      <c r="BD377" s="56" t="n"/>
      <c r="BE377" s="56" t="n"/>
      <c r="BF377" s="56" t="n"/>
      <c r="BG377" s="292">
        <f>IFERROR(IF(BG376&gt;0,BG372/BG376,"n/m"),"n/a")</f>
        <v>1.10736725390717</v>
      </c>
      <c r="BH377" s="56" t="n"/>
      <c r="BI377" s="56" t="n"/>
      <c r="BJ377" s="56" t="n"/>
      <c r="BK377" s="56" t="n"/>
      <c r="BL377" s="292">
        <f>IFERROR(IF(BL376&gt;0,BL372/BL376,"n/m"),"n/a")</f>
        <v>0.991279072291373</v>
      </c>
      <c r="BM377" s="56" t="n"/>
      <c r="BN377" s="56" t="n"/>
      <c r="BO377" s="56" t="n"/>
      <c r="BP377" s="56" t="n"/>
      <c r="BQ377" s="292">
        <f>IFERROR(IF(BQ376&gt;0,BQ372/BQ376,"n/m"),"n/a")</f>
        <v>0.986936198338757</v>
      </c>
      <c r="BR377" s="56" t="n"/>
      <c r="BS377" s="56" t="n"/>
      <c r="BT377" s="56" t="n"/>
      <c r="BU377" s="56" t="n"/>
      <c r="BV377" s="292">
        <f>IFERROR(IF(BV376&gt;0,BV372/BV376,"n/m"),"n/a")</f>
        <v>1.12824124184558</v>
      </c>
      <c r="BW377" s="56" t="n"/>
      <c r="BX377" s="56" t="n"/>
      <c r="BY377" s="56" t="n"/>
      <c r="BZ377" s="56" t="n"/>
      <c r="CA377" s="292">
        <f>IFERROR(IF(CA376&gt;0,CA372/CA376,"n/m"),"n/a")</f>
        <v>1.51300221130922</v>
      </c>
      <c r="CB377" s="292">
        <f>IFERROR(IF(CB376&gt;0,CB372/CB376,"n/m"),"n/a")</f>
        <v>1.69334930282852</v>
      </c>
      <c r="CC377" s="292">
        <f>IFERROR(IF(CC376&gt;0,CC372/CC376,"n/m"),"n/a")</f>
        <v>1.80266900733732</v>
      </c>
      <c r="CD377" s="292">
        <f>IFERROR(IF(CD376&gt;0,CD372/CD376,"n/m"),"n/a")</f>
        <v>1.89161033243568</v>
      </c>
      <c r="CE377" s="292">
        <f>IFERROR(IF(CE376&gt;0,CE372/CE376,"n/m"),"n/a")</f>
        <v>1.95718048286535</v>
      </c>
      <c r="CF377" s="292">
        <f>IFERROR(IF(CF376&gt;0,CF372/CF376,"n/m"),"n/a")</f>
        <v>2.00992098673699</v>
      </c>
      <c r="CG377" s="153" t="n"/>
      <c r="CI377" s="37">
        <f>IFERROR(AVERAGE(CB377,CC377,CD377,CE377,CF377),"n/m")</f>
        <v>1.87094602244077</v>
      </c>
      <c r="CJ377" s="37">
        <f>IFERROR(AVERAGE(BB377,BG377,BL377,BQ377,BV377),"n/m")</f>
        <v>0.98293312533559</v>
      </c>
      <c r="CK377" s="37">
        <f>IFERROR(AVERAGE(AC377,AH377,AM377,AR377,AW377,BB377,BG377,BL377,BQ377,BV377),"n/m")</f>
        <v>0.78270972666571</v>
      </c>
      <c r="CL377" s="37">
        <f>IFERROR(AVERAGE(C377,D377,E377,F377,G377,H377,I377,N377,S377,X377,AC377,AH377,AM377,AR377,AW377,BB377,BG377,BL377,BQ377,BV377),"n/m")</f>
        <v>0.58673448586864</v>
      </c>
    </row>
    <row r="378" ht="15" customHeight="1" s="251">
      <c r="B378" s="25" t="inlineStr">
        <is>
          <t>Return on Equity (ROE)</t>
        </is>
      </c>
      <c r="CG378" s="153" t="n"/>
    </row>
    <row r="379" ht="15" customHeight="1" s="251">
      <c r="B379" s="25" t="inlineStr">
        <is>
          <t>Net income</t>
        </is>
      </c>
      <c r="C379" s="262">
        <f>C146</f>
        <v>103.486</v>
      </c>
      <c r="D379" s="262">
        <f>D146</f>
        <v>104.65</v>
      </c>
      <c r="E379" s="262">
        <f>E146</f>
        <v>83.952</v>
      </c>
      <c r="F379" s="262">
        <f>F146</f>
        <v>65.1020000000001</v>
      </c>
      <c r="G379" s="262">
        <f>G146</f>
        <v>64.457</v>
      </c>
      <c r="H379" s="262">
        <f>H146</f>
        <v>71.562</v>
      </c>
      <c r="I379" s="262">
        <f>I146</f>
        <v>92.004</v>
      </c>
      <c r="J379" s="34" t="n"/>
      <c r="K379" s="34" t="n"/>
      <c r="L379" s="34" t="n"/>
      <c r="M379" s="34" t="n"/>
      <c r="N379" s="262">
        <f>N146</f>
        <v>90.095</v>
      </c>
      <c r="O379" s="34" t="n"/>
      <c r="P379" s="34" t="n"/>
      <c r="Q379" s="34" t="n"/>
      <c r="R379" s="34" t="n"/>
      <c r="S379" s="262">
        <f>S146</f>
        <v>94.8789999999999</v>
      </c>
      <c r="T379" s="34" t="n"/>
      <c r="U379" s="34" t="n"/>
      <c r="V379" s="34" t="n"/>
      <c r="W379" s="34" t="n"/>
      <c r="X379" s="262">
        <f>X146</f>
        <v>86.5019999999998</v>
      </c>
      <c r="Y379" s="34" t="n"/>
      <c r="Z379" s="34" t="n"/>
      <c r="AA379" s="34" t="n"/>
      <c r="AB379" s="34" t="n"/>
      <c r="AC379" s="262">
        <f>AC146</f>
        <v>109.448</v>
      </c>
      <c r="AD379" s="34" t="n"/>
      <c r="AE379" s="34" t="n"/>
      <c r="AF379" s="34" t="n"/>
      <c r="AG379" s="34" t="n"/>
      <c r="AH379" s="262">
        <f>AH146</f>
        <v>128.256</v>
      </c>
      <c r="AI379" s="34" t="n"/>
      <c r="AJ379" s="34" t="n"/>
      <c r="AK379" s="34" t="n"/>
      <c r="AL379" s="34" t="n"/>
      <c r="AM379" s="262">
        <f>AM146</f>
        <v>142.415</v>
      </c>
      <c r="AN379" s="34" t="n"/>
      <c r="AO379" s="34" t="n"/>
      <c r="AP379" s="34" t="n"/>
      <c r="AQ379" s="34" t="n"/>
      <c r="AR379" s="262">
        <f>AR146</f>
        <v>192.124</v>
      </c>
      <c r="AS379" s="34" t="n"/>
      <c r="AT379" s="34" t="n"/>
      <c r="AU379" s="34" t="n"/>
      <c r="AV379" s="34" t="n"/>
      <c r="AW379" s="262">
        <f>AW146</f>
        <v>236.411</v>
      </c>
      <c r="AX379" s="34" t="n"/>
      <c r="AY379" s="34" t="n"/>
      <c r="AZ379" s="34" t="n"/>
      <c r="BA379" s="34" t="n"/>
      <c r="BB379" s="262">
        <f>BB146</f>
        <v>392.084</v>
      </c>
      <c r="BC379" s="34" t="n"/>
      <c r="BD379" s="34" t="n"/>
      <c r="BE379" s="34" t="n"/>
      <c r="BF379" s="34" t="n"/>
      <c r="BG379" s="262">
        <f>BG146</f>
        <v>373.541</v>
      </c>
      <c r="BH379" s="34" t="n"/>
      <c r="BI379" s="34" t="n"/>
      <c r="BJ379" s="34" t="n"/>
      <c r="BK379" s="34" t="n"/>
      <c r="BL379" s="262">
        <f>BL146</f>
        <v>429.375</v>
      </c>
      <c r="BM379" s="34" t="n"/>
      <c r="BN379" s="34" t="n"/>
      <c r="BO379" s="34" t="n"/>
      <c r="BP379" s="34" t="n"/>
      <c r="BQ379" s="262">
        <f>BQ146</f>
        <v>512.811</v>
      </c>
      <c r="BR379" s="34" t="n"/>
      <c r="BS379" s="34" t="n"/>
      <c r="BT379" s="34" t="n"/>
      <c r="BU379" s="34" t="n"/>
      <c r="BV379" s="262">
        <f>BV146</f>
        <v>651.946</v>
      </c>
      <c r="BW379" s="34" t="n"/>
      <c r="BX379" s="34" t="n"/>
      <c r="BY379" s="34" t="n"/>
      <c r="BZ379" s="35" t="n"/>
      <c r="CA379" s="254">
        <f>CA146</f>
        <v>825.281908581081</v>
      </c>
      <c r="CB379" s="254">
        <f>CB146</f>
        <v>948.510583928938</v>
      </c>
      <c r="CC379" s="254">
        <f>CC146</f>
        <v>1093.98374737196</v>
      </c>
      <c r="CD379" s="254">
        <f>CD146</f>
        <v>1182.12782589206</v>
      </c>
      <c r="CE379" s="254">
        <f>CE146</f>
        <v>1284.45508425195</v>
      </c>
      <c r="CF379" s="254">
        <f>CF146</f>
        <v>1387.43885688563</v>
      </c>
      <c r="CG379" s="19" t="n"/>
    </row>
    <row r="380" ht="15" customHeight="1" s="251">
      <c r="B380" s="25" t="inlineStr">
        <is>
          <t>Stockholders' equity (deficit)</t>
        </is>
      </c>
      <c r="C380" s="262">
        <f>C305</f>
        <v>770.028</v>
      </c>
      <c r="D380" s="262">
        <f>D305</f>
        <v>566.314</v>
      </c>
      <c r="E380" s="262">
        <f>E305</f>
        <v>561.941</v>
      </c>
      <c r="F380" s="262">
        <f>F305</f>
        <v>600.269</v>
      </c>
      <c r="G380" s="262">
        <f>G305</f>
        <v>474.914</v>
      </c>
      <c r="H380" s="262">
        <f>H305</f>
        <v>465.494</v>
      </c>
      <c r="I380" s="262">
        <f>I305</f>
        <v>474.406</v>
      </c>
      <c r="J380" s="34" t="n"/>
      <c r="K380" s="34" t="n"/>
      <c r="L380" s="34" t="n"/>
      <c r="M380" s="34" t="n"/>
      <c r="N380" s="262">
        <f>N305</f>
        <v>530.677</v>
      </c>
      <c r="O380" s="34" t="n"/>
      <c r="P380" s="34" t="n"/>
      <c r="Q380" s="34" t="n"/>
      <c r="R380" s="34" t="n"/>
      <c r="S380" s="262">
        <f>S305</f>
        <v>454.614</v>
      </c>
      <c r="T380" s="34" t="n"/>
      <c r="U380" s="34" t="n"/>
      <c r="V380" s="34" t="n"/>
      <c r="W380" s="34" t="n"/>
      <c r="X380" s="262">
        <f>X305</f>
        <v>436.998</v>
      </c>
      <c r="Y380" s="34" t="n"/>
      <c r="Z380" s="34" t="n"/>
      <c r="AA380" s="34" t="n"/>
      <c r="AB380" s="34" t="n"/>
      <c r="AC380" s="262">
        <f>AC305</f>
        <v>446.828</v>
      </c>
      <c r="AD380" s="34" t="n"/>
      <c r="AE380" s="34" t="n"/>
      <c r="AF380" s="34" t="n"/>
      <c r="AG380" s="34" t="n"/>
      <c r="AH380" s="262">
        <f>AH305</f>
        <v>426.537</v>
      </c>
      <c r="AI380" s="34" t="n"/>
      <c r="AJ380" s="34" t="n"/>
      <c r="AK380" s="34" t="n"/>
      <c r="AL380" s="34" t="n"/>
      <c r="AM380" s="262">
        <f>AM305</f>
        <v>263.737</v>
      </c>
      <c r="AN380" s="34" t="n"/>
      <c r="AO380" s="34" t="n"/>
      <c r="AP380" s="34" t="n"/>
      <c r="AQ380" s="34" t="n"/>
      <c r="AR380" s="262">
        <f>AR305</f>
        <v>289.767</v>
      </c>
      <c r="AS380" s="34" t="n"/>
      <c r="AT380" s="34" t="n"/>
      <c r="AU380" s="34" t="n"/>
      <c r="AV380" s="34" t="n"/>
      <c r="AW380" s="262">
        <f>AW305</f>
        <v>331.082</v>
      </c>
      <c r="AX380" s="34" t="n"/>
      <c r="AY380" s="34" t="n"/>
      <c r="AZ380" s="34" t="n"/>
      <c r="BA380" s="34" t="n"/>
      <c r="BB380" s="262">
        <f>BB305</f>
        <v>-110.942</v>
      </c>
      <c r="BC380" s="34" t="n"/>
      <c r="BD380" s="34" t="n"/>
      <c r="BE380" s="34" t="n"/>
      <c r="BF380" s="34" t="n"/>
      <c r="BG380" s="262">
        <f>BG305</f>
        <v>-801.947</v>
      </c>
      <c r="BH380" s="34" t="n"/>
      <c r="BI380" s="34" t="n"/>
      <c r="BJ380" s="34" t="n"/>
      <c r="BK380" s="34" t="n"/>
      <c r="BL380" s="262">
        <f>BL305</f>
        <v>-687.99</v>
      </c>
      <c r="BM380" s="34" t="n"/>
      <c r="BN380" s="34" t="n"/>
      <c r="BO380" s="34" t="n"/>
      <c r="BP380" s="34" t="n"/>
      <c r="BQ380" s="262">
        <f>BQ305</f>
        <v>-962.679</v>
      </c>
      <c r="BR380" s="34" t="n"/>
      <c r="BS380" s="34" t="n"/>
      <c r="BT380" s="34" t="n"/>
      <c r="BU380" s="34" t="n"/>
      <c r="BV380" s="262">
        <f>BV305</f>
        <v>-1745.784</v>
      </c>
      <c r="BW380" s="34" t="n"/>
      <c r="BX380" s="34" t="n"/>
      <c r="BY380" s="34" t="n"/>
      <c r="BZ380" s="35" t="n"/>
      <c r="CA380" s="254">
        <f>CA305</f>
        <v>-4182.75609141892</v>
      </c>
      <c r="CB380" s="254">
        <f>CB305</f>
        <v>-4143.7810799717</v>
      </c>
      <c r="CC380" s="254">
        <f>CC305</f>
        <v>-4741.61190203575</v>
      </c>
      <c r="CD380" s="254">
        <f>CD305</f>
        <v>-5325.06508614433</v>
      </c>
      <c r="CE380" s="254">
        <f>CE305</f>
        <v>-5879.7072603028</v>
      </c>
      <c r="CF380" s="254">
        <f>CF305</f>
        <v>-6430.12830630683</v>
      </c>
      <c r="CG380" s="19" t="n"/>
    </row>
    <row r="381" ht="15" customHeight="1" s="251">
      <c r="B381" s="25" t="inlineStr">
        <is>
          <t>ROE = Net income / Equity (n/m when equity is a deficit, FY2021+)</t>
        </is>
      </c>
      <c r="C381" s="215">
        <f>IFERROR(IF(C380&gt;0,C379/C380,"n/m"),"n/a")</f>
        <v>0.134392515596835</v>
      </c>
      <c r="D381" s="215">
        <f>IFERROR(IF(D380&gt;0,D379/D380,"n/m"),"n/a")</f>
        <v>0.184791476106895</v>
      </c>
      <c r="E381" s="215">
        <f>IFERROR(IF(E380&gt;0,E379/E380,"n/m"),"n/a")</f>
        <v>0.149396466888873</v>
      </c>
      <c r="F381" s="215">
        <f>IFERROR(IF(F380&gt;0,F379/F380,"n/m"),"n/a")</f>
        <v>0.10845470947192</v>
      </c>
      <c r="G381" s="215">
        <f>IFERROR(IF(G380&gt;0,G379/G380,"n/m"),"n/a")</f>
        <v>0.135723520468969</v>
      </c>
      <c r="H381" s="215">
        <f>IFERROR(IF(H380&gt;0,H379/H380,"n/m"),"n/a")</f>
        <v>0.153733453062768</v>
      </c>
      <c r="I381" s="215">
        <f>IFERROR(IF(I380&gt;0,I379/I380,"n/m"),"n/a")</f>
        <v>0.193935152590819</v>
      </c>
      <c r="J381" s="34" t="n"/>
      <c r="K381" s="34" t="n"/>
      <c r="L381" s="34" t="n"/>
      <c r="M381" s="34" t="n"/>
      <c r="N381" s="215">
        <f>IFERROR(IF(N380&gt;0,N379/N380,"n/m"),"n/a")</f>
        <v>0.169773704155258</v>
      </c>
      <c r="O381" s="34" t="n"/>
      <c r="P381" s="34" t="n"/>
      <c r="Q381" s="34" t="n"/>
      <c r="R381" s="34" t="n"/>
      <c r="S381" s="215">
        <f>IFERROR(IF(S380&gt;0,S379/S380,"n/m"),"n/a")</f>
        <v>0.208702327688984</v>
      </c>
      <c r="T381" s="34" t="n"/>
      <c r="U381" s="34" t="n"/>
      <c r="V381" s="34" t="n"/>
      <c r="W381" s="34" t="n"/>
      <c r="X381" s="215">
        <f>IFERROR(IF(X380&gt;0,X379/X380,"n/m"),"n/a")</f>
        <v>0.197945986022819</v>
      </c>
      <c r="Y381" s="34" t="n"/>
      <c r="Z381" s="34" t="n"/>
      <c r="AA381" s="34" t="n"/>
      <c r="AB381" s="34" t="n"/>
      <c r="AC381" s="215">
        <f>IFERROR(IF(AC380&gt;0,AC379/AC380,"n/m"),"n/a")</f>
        <v>0.244944363379197</v>
      </c>
      <c r="AD381" s="34" t="n"/>
      <c r="AE381" s="34" t="n"/>
      <c r="AF381" s="34" t="n"/>
      <c r="AG381" s="34" t="n"/>
      <c r="AH381" s="215">
        <f>IFERROR(IF(AH380&gt;0,AH379/AH380,"n/m"),"n/a")</f>
        <v>0.300691381990308</v>
      </c>
      <c r="AI381" s="34" t="n"/>
      <c r="AJ381" s="34" t="n"/>
      <c r="AK381" s="34" t="n"/>
      <c r="AL381" s="34" t="n"/>
      <c r="AM381" s="215">
        <f>IFERROR(IF(AM380&gt;0,AM379/AM380,"n/m"),"n/a")</f>
        <v>0.539988700864876</v>
      </c>
      <c r="AN381" s="34" t="n"/>
      <c r="AO381" s="34" t="n"/>
      <c r="AP381" s="34" t="n"/>
      <c r="AQ381" s="34" t="n"/>
      <c r="AR381" s="215">
        <f>IFERROR(IF(AR380&gt;0,AR379/AR380,"n/m"),"n/a")</f>
        <v>0.663029261441089</v>
      </c>
      <c r="AS381" s="34" t="n"/>
      <c r="AT381" s="34" t="n"/>
      <c r="AU381" s="34" t="n"/>
      <c r="AV381" s="34" t="n"/>
      <c r="AW381" s="215">
        <f>IFERROR(IF(AW380&gt;0,AW379/AW380,"n/m"),"n/a")</f>
        <v>0.714055732416742</v>
      </c>
      <c r="AX381" s="34" t="n"/>
      <c r="AY381" s="34" t="n"/>
      <c r="AZ381" s="34" t="n"/>
      <c r="BA381" s="34" t="n"/>
      <c r="BB381" s="215" t="str">
        <f>IFERROR(IF(BB380&gt;0,BB379/BB380,"n/m"),"n/a")</f>
        <v>n/m</v>
      </c>
      <c r="BC381" s="34" t="n"/>
      <c r="BD381" s="34" t="n"/>
      <c r="BE381" s="34" t="n"/>
      <c r="BF381" s="34" t="n"/>
      <c r="BG381" s="215" t="str">
        <f>IFERROR(IF(BG380&gt;0,BG379/BG380,"n/m"),"n/a")</f>
        <v>n/m</v>
      </c>
      <c r="BH381" s="34" t="n"/>
      <c r="BI381" s="34" t="n"/>
      <c r="BJ381" s="34" t="n"/>
      <c r="BK381" s="34" t="n"/>
      <c r="BL381" s="215" t="str">
        <f>IFERROR(IF(BL380&gt;0,BL379/BL380,"n/m"),"n/a")</f>
        <v>n/m</v>
      </c>
      <c r="BM381" s="34" t="n"/>
      <c r="BN381" s="34" t="n"/>
      <c r="BO381" s="34" t="n"/>
      <c r="BP381" s="34" t="n"/>
      <c r="BQ381" s="215" t="str">
        <f>IFERROR(IF(BQ380&gt;0,BQ379/BQ380,"n/m"),"n/a")</f>
        <v>n/m</v>
      </c>
      <c r="BR381" s="34" t="n"/>
      <c r="BS381" s="34" t="n"/>
      <c r="BT381" s="34" t="n"/>
      <c r="BU381" s="34" t="n"/>
      <c r="BV381" s="215" t="str">
        <f>IFERROR(IF(BV380&gt;0,BV379/BV380,"n/m"),"n/a")</f>
        <v>n/m</v>
      </c>
      <c r="BW381" s="34" t="n"/>
      <c r="BX381" s="34" t="n"/>
      <c r="BY381" s="34" t="n"/>
      <c r="BZ381" s="35" t="n"/>
      <c r="CA381" s="256" t="str">
        <f>IFERROR(IF(CA380&gt;0,CA379/CA380,"n/m"),"n/a")</f>
        <v>n/m</v>
      </c>
      <c r="CB381" s="256" t="str">
        <f>IFERROR(IF(CB380&gt;0,CB379/CB380,"n/m"),"n/a")</f>
        <v>n/m</v>
      </c>
      <c r="CC381" s="256" t="str">
        <f>IFERROR(IF(CC380&gt;0,CC379/CC380,"n/m"),"n/a")</f>
        <v>n/m</v>
      </c>
      <c r="CD381" s="256" t="str">
        <f>IFERROR(IF(CD380&gt;0,CD379/CD380,"n/m"),"n/a")</f>
        <v>n/m</v>
      </c>
      <c r="CE381" s="256" t="str">
        <f>IFERROR(IF(CE380&gt;0,CE379/CE380,"n/m"),"n/a")</f>
        <v>n/m</v>
      </c>
      <c r="CF381" s="256" t="str">
        <f>IFERROR(IF(CF380&gt;0,CF379/CF380,"n/m"),"n/a")</f>
        <v>n/m</v>
      </c>
      <c r="CG381" s="19" t="n"/>
    </row>
    <row r="382" ht="15" customHeight="1" s="251">
      <c r="B382" s="25" t="inlineStr">
        <is>
          <t>Leverage</t>
        </is>
      </c>
      <c r="CG382" s="153" t="n"/>
    </row>
    <row r="383" ht="15" customHeight="1" s="251">
      <c r="B383" s="25" t="inlineStr">
        <is>
          <t>Net debt = Total debt − cash − marketable securities</t>
        </is>
      </c>
      <c r="C383" s="262">
        <f>C365</f>
        <v>515.305</v>
      </c>
      <c r="D383" s="262">
        <f>D365</f>
        <v>604.782</v>
      </c>
      <c r="E383" s="262">
        <f>E365</f>
        <v>569.472</v>
      </c>
      <c r="F383" s="262">
        <f>F365</f>
        <v>592.887</v>
      </c>
      <c r="G383" s="262">
        <f>G365</f>
        <v>446.783</v>
      </c>
      <c r="H383" s="262">
        <f>H365</f>
        <v>486.244</v>
      </c>
      <c r="I383" s="262">
        <f>I365</f>
        <v>459.816</v>
      </c>
      <c r="J383" s="34" t="n"/>
      <c r="K383" s="34" t="n"/>
      <c r="L383" s="34" t="n"/>
      <c r="M383" s="34" t="n"/>
      <c r="N383" s="262">
        <f>N365</f>
        <v>368.682</v>
      </c>
      <c r="O383" s="34" t="n"/>
      <c r="P383" s="34" t="n"/>
      <c r="Q383" s="34" t="n"/>
      <c r="R383" s="34" t="n"/>
      <c r="S383" s="262">
        <f>S365</f>
        <v>421.141</v>
      </c>
      <c r="T383" s="34" t="n"/>
      <c r="U383" s="34" t="n"/>
      <c r="V383" s="34" t="n"/>
      <c r="W383" s="34" t="n"/>
      <c r="X383" s="262">
        <f>X365</f>
        <v>501.355</v>
      </c>
      <c r="Y383" s="34" t="n"/>
      <c r="Z383" s="34" t="n"/>
      <c r="AA383" s="34" t="n"/>
      <c r="AB383" s="34" t="n"/>
      <c r="AC383" s="262">
        <f>AC365</f>
        <v>473.138</v>
      </c>
      <c r="AD383" s="34" t="n"/>
      <c r="AE383" s="34" t="n"/>
      <c r="AF383" s="34" t="n"/>
      <c r="AG383" s="34" t="n"/>
      <c r="AH383" s="262">
        <f>AH365</f>
        <v>473.668</v>
      </c>
      <c r="AI383" s="34" t="n"/>
      <c r="AJ383" s="34" t="n"/>
      <c r="AK383" s="34" t="n"/>
      <c r="AL383" s="34" t="n"/>
      <c r="AM383" s="262">
        <f>AM365</f>
        <v>654.165</v>
      </c>
      <c r="AN383" s="34" t="n"/>
      <c r="AO383" s="34" t="n"/>
      <c r="AP383" s="34" t="n"/>
      <c r="AQ383" s="34" t="n"/>
      <c r="AR383" s="262">
        <f>AR365</f>
        <v>696.499</v>
      </c>
      <c r="AS383" s="34" t="n"/>
      <c r="AT383" s="34" t="n"/>
      <c r="AU383" s="34" t="n"/>
      <c r="AV383" s="34" t="n"/>
      <c r="AW383" s="262">
        <f>AW365</f>
        <v>650.468</v>
      </c>
      <c r="AX383" s="34" t="n"/>
      <c r="AY383" s="34" t="n"/>
      <c r="AZ383" s="34" t="n"/>
      <c r="BA383" s="34" t="n"/>
      <c r="BB383" s="262">
        <f>BB365</f>
        <v>1030.468</v>
      </c>
      <c r="BC383" s="34" t="n"/>
      <c r="BD383" s="34" t="n"/>
      <c r="BE383" s="34" t="n"/>
      <c r="BF383" s="34" t="n"/>
      <c r="BG383" s="262">
        <f>BG365</f>
        <v>1694.817</v>
      </c>
      <c r="BH383" s="34" t="n"/>
      <c r="BI383" s="34" t="n"/>
      <c r="BJ383" s="34" t="n"/>
      <c r="BK383" s="34" t="n"/>
      <c r="BL383" s="262">
        <f>BL365</f>
        <v>1690.643</v>
      </c>
      <c r="BM383" s="34" t="n"/>
      <c r="BN383" s="34" t="n"/>
      <c r="BO383" s="34" t="n"/>
      <c r="BP383" s="34" t="n"/>
      <c r="BQ383" s="262">
        <f>BQ365</f>
        <v>2013.065</v>
      </c>
      <c r="BR383" s="34" t="n"/>
      <c r="BS383" s="34" t="n"/>
      <c r="BT383" s="34" t="n"/>
      <c r="BU383" s="34" t="n"/>
      <c r="BV383" s="262">
        <f>BV365</f>
        <v>2866.93</v>
      </c>
      <c r="BW383" s="34" t="n"/>
      <c r="BX383" s="34" t="n"/>
      <c r="BY383" s="34" t="n"/>
      <c r="BZ383" s="35" t="n"/>
      <c r="CA383" s="254">
        <f>CA365</f>
        <v>5322.51025580248</v>
      </c>
      <c r="CB383" s="254">
        <f>CB365</f>
        <v>5316.61219162973</v>
      </c>
      <c r="CC383" s="254">
        <f>CC365</f>
        <v>5950.6530513353</v>
      </c>
      <c r="CD383" s="254">
        <f>CD365</f>
        <v>6572.73743221606</v>
      </c>
      <c r="CE383" s="254">
        <f>CE365</f>
        <v>7168.61876985424</v>
      </c>
      <c r="CF383" s="254">
        <f>CF365</f>
        <v>7762.74826474711</v>
      </c>
      <c r="CG383" s="19" t="n"/>
    </row>
    <row r="384" ht="15" customHeight="1" s="251">
      <c r="B384" s="25" t="inlineStr">
        <is>
          <t>Adjusted EBITDA</t>
        </is>
      </c>
      <c r="C384" s="262">
        <f>C183</f>
        <v>263.065</v>
      </c>
      <c r="D384" s="262">
        <f>D183</f>
        <v>236.3</v>
      </c>
      <c r="E384" s="262">
        <f>E183</f>
        <v>201.912</v>
      </c>
      <c r="F384" s="262">
        <f>F183</f>
        <v>188.392</v>
      </c>
      <c r="G384" s="262">
        <f>G183</f>
        <v>164.58</v>
      </c>
      <c r="H384" s="262">
        <f>H183</f>
        <v>179.715</v>
      </c>
      <c r="I384" s="262">
        <f>I183</f>
        <v>215.563</v>
      </c>
      <c r="J384" s="34" t="n"/>
      <c r="K384" s="34" t="n"/>
      <c r="L384" s="34" t="n"/>
      <c r="M384" s="34" t="n"/>
      <c r="N384" s="262">
        <f>N183</f>
        <v>224.761</v>
      </c>
      <c r="O384" s="34" t="n"/>
      <c r="P384" s="34" t="n"/>
      <c r="Q384" s="34" t="n"/>
      <c r="R384" s="34" t="n"/>
      <c r="S384" s="262">
        <f>S183</f>
        <v>234.956</v>
      </c>
      <c r="T384" s="34" t="n"/>
      <c r="U384" s="34" t="n"/>
      <c r="V384" s="34" t="n"/>
      <c r="W384" s="34" t="n"/>
      <c r="X384" s="262">
        <f>X183</f>
        <v>235.827</v>
      </c>
      <c r="Y384" s="34" t="n"/>
      <c r="Z384" s="34" t="n"/>
      <c r="AA384" s="34" t="n"/>
      <c r="AB384" s="34" t="n"/>
      <c r="AC384" s="262">
        <f>AC183</f>
        <v>258.344</v>
      </c>
      <c r="AD384" s="34" t="n"/>
      <c r="AE384" s="34" t="n"/>
      <c r="AF384" s="34" t="n"/>
      <c r="AG384" s="34" t="n"/>
      <c r="AH384" s="262">
        <f>AH183</f>
        <v>279.021</v>
      </c>
      <c r="AI384" s="34" t="n"/>
      <c r="AJ384" s="34" t="n"/>
      <c r="AK384" s="34" t="n"/>
      <c r="AL384" s="34" t="n"/>
      <c r="AM384" s="262">
        <f>AM183</f>
        <v>314.317</v>
      </c>
      <c r="AN384" s="34" t="n"/>
      <c r="AO384" s="34" t="n"/>
      <c r="AP384" s="34" t="n"/>
      <c r="AQ384" s="34" t="n"/>
      <c r="AR384" s="262">
        <f>AR183</f>
        <v>370.409</v>
      </c>
      <c r="AS384" s="34" t="n"/>
      <c r="AT384" s="34" t="n"/>
      <c r="AU384" s="34" t="n"/>
      <c r="AV384" s="34" t="n"/>
      <c r="AW384" s="262">
        <f>AW183</f>
        <v>468.254</v>
      </c>
      <c r="AX384" s="34" t="n"/>
      <c r="AY384" s="34" t="n"/>
      <c r="AZ384" s="34" t="n"/>
      <c r="BA384" s="34" t="n"/>
      <c r="BB384" s="262">
        <f>BB183</f>
        <v>559.101</v>
      </c>
      <c r="BC384" s="34" t="n"/>
      <c r="BD384" s="34" t="n"/>
      <c r="BE384" s="34" t="n"/>
      <c r="BF384" s="34" t="n"/>
      <c r="BG384" s="262">
        <f>BG183</f>
        <v>676.096</v>
      </c>
      <c r="BH384" s="34" t="n"/>
      <c r="BI384" s="34" t="n"/>
      <c r="BJ384" s="34" t="n"/>
      <c r="BK384" s="34" t="n"/>
      <c r="BL384" s="262">
        <f>BL183</f>
        <v>785.714</v>
      </c>
      <c r="BM384" s="34" t="n"/>
      <c r="BN384" s="34" t="n"/>
      <c r="BO384" s="34" t="n"/>
      <c r="BP384" s="34" t="n"/>
      <c r="BQ384" s="262">
        <f>BQ183</f>
        <v>910.929</v>
      </c>
      <c r="BR384" s="34" t="n"/>
      <c r="BS384" s="34" t="n"/>
      <c r="BT384" s="34" t="n"/>
      <c r="BU384" s="34" t="n"/>
      <c r="BV384" s="262">
        <f>BV183</f>
        <v>1118.783</v>
      </c>
      <c r="BW384" s="34" t="n"/>
      <c r="BX384" s="34" t="n"/>
      <c r="BY384" s="34" t="n"/>
      <c r="BZ384" s="35" t="n"/>
      <c r="CA384" s="254">
        <f>CA183</f>
        <v>1545.86958198803</v>
      </c>
      <c r="CB384" s="254">
        <f>CB183</f>
        <v>1790.90173054324</v>
      </c>
      <c r="CC384" s="254">
        <f>CC183</f>
        <v>2002.24868377843</v>
      </c>
      <c r="CD384" s="254">
        <f>CD183</f>
        <v>2209.61014407202</v>
      </c>
      <c r="CE384" s="254">
        <f>CE183</f>
        <v>2408.23725661808</v>
      </c>
      <c r="CF384" s="254">
        <f>CF183</f>
        <v>2606.28042158237</v>
      </c>
      <c r="CG384" s="19" t="n"/>
    </row>
    <row r="385" ht="15" customHeight="1" s="251">
      <c r="B385" s="55" t="inlineStr">
        <is>
          <t>Net debt / adjusted EBITDA (x)</t>
        </is>
      </c>
      <c r="C385" s="293">
        <f>IFERROR(C383/C384,"n/a")</f>
        <v>1.9588504742174</v>
      </c>
      <c r="D385" s="293">
        <f>IFERROR(D383/D384,"n/a")</f>
        <v>2.55938214134575</v>
      </c>
      <c r="E385" s="293">
        <f>IFERROR(E383/E384,"n/a")</f>
        <v>2.82039700463568</v>
      </c>
      <c r="F385" s="293">
        <f>IFERROR(F383/F384,"n/a")</f>
        <v>3.14709223321585</v>
      </c>
      <c r="G385" s="293">
        <f>IFERROR(G383/G384,"n/a")</f>
        <v>2.71468586705553</v>
      </c>
      <c r="H385" s="293">
        <f>IFERROR(H383/H384,"n/a")</f>
        <v>2.70563948473973</v>
      </c>
      <c r="I385" s="293">
        <f>IFERROR(I383/I384,"n/a")</f>
        <v>2.13309334162171</v>
      </c>
      <c r="J385" s="56" t="n"/>
      <c r="K385" s="56" t="n"/>
      <c r="L385" s="56" t="n"/>
      <c r="M385" s="56" t="n"/>
      <c r="N385" s="293">
        <f>IFERROR(N383/N384,"n/a")</f>
        <v>1.64032906064664</v>
      </c>
      <c r="O385" s="56" t="n"/>
      <c r="P385" s="56" t="n"/>
      <c r="Q385" s="56" t="n"/>
      <c r="R385" s="56" t="n"/>
      <c r="S385" s="293">
        <f>IFERROR(S383/S384,"n/a")</f>
        <v>1.79242496467424</v>
      </c>
      <c r="T385" s="56" t="n"/>
      <c r="U385" s="56" t="n"/>
      <c r="V385" s="56" t="n"/>
      <c r="W385" s="56" t="n"/>
      <c r="X385" s="293">
        <f>IFERROR(X383/X384,"n/a")</f>
        <v>2.12594401828459</v>
      </c>
      <c r="Y385" s="56" t="n"/>
      <c r="Z385" s="56" t="n"/>
      <c r="AA385" s="56" t="n"/>
      <c r="AB385" s="56" t="n"/>
      <c r="AC385" s="293">
        <f>IFERROR(AC383/AC384,"n/a")</f>
        <v>1.83142631530053</v>
      </c>
      <c r="AD385" s="56" t="n"/>
      <c r="AE385" s="56" t="n"/>
      <c r="AF385" s="56" t="n"/>
      <c r="AG385" s="56" t="n"/>
      <c r="AH385" s="293">
        <f>IFERROR(AH383/AH384,"n/a")</f>
        <v>1.69760699015486</v>
      </c>
      <c r="AI385" s="56" t="n"/>
      <c r="AJ385" s="56" t="n"/>
      <c r="AK385" s="56" t="n"/>
      <c r="AL385" s="56" t="n"/>
      <c r="AM385" s="293">
        <f>IFERROR(AM383/AM384,"n/a")</f>
        <v>2.0812269142299</v>
      </c>
      <c r="AN385" s="56" t="n"/>
      <c r="AO385" s="56" t="n"/>
      <c r="AP385" s="56" t="n"/>
      <c r="AQ385" s="56" t="n"/>
      <c r="AR385" s="293">
        <f>IFERROR(AR383/AR384,"n/a")</f>
        <v>1.88035117937199</v>
      </c>
      <c r="AS385" s="56" t="n"/>
      <c r="AT385" s="56" t="n"/>
      <c r="AU385" s="56" t="n"/>
      <c r="AV385" s="56" t="n"/>
      <c r="AW385" s="293">
        <f>IFERROR(AW383/AW384,"n/a")</f>
        <v>1.38913495666882</v>
      </c>
      <c r="AX385" s="56" t="n"/>
      <c r="AY385" s="56" t="n"/>
      <c r="AZ385" s="56" t="n"/>
      <c r="BA385" s="56" t="n"/>
      <c r="BB385" s="293">
        <f>IFERROR(BB383/BB384,"n/a")</f>
        <v>1.84308023058446</v>
      </c>
      <c r="BC385" s="56" t="n"/>
      <c r="BD385" s="56" t="n"/>
      <c r="BE385" s="56" t="n"/>
      <c r="BF385" s="56" t="n"/>
      <c r="BG385" s="293">
        <f>IFERROR(BG383/BG384,"n/a")</f>
        <v>2.50676974867474</v>
      </c>
      <c r="BH385" s="56" t="n"/>
      <c r="BI385" s="56" t="n"/>
      <c r="BJ385" s="56" t="n"/>
      <c r="BK385" s="56" t="n"/>
      <c r="BL385" s="293">
        <f>IFERROR(BL383/BL384,"n/a")</f>
        <v>2.15172823699209</v>
      </c>
      <c r="BM385" s="56" t="n"/>
      <c r="BN385" s="56" t="n"/>
      <c r="BO385" s="56" t="n"/>
      <c r="BP385" s="56" t="n"/>
      <c r="BQ385" s="293">
        <f>IFERROR(BQ383/BQ384,"n/a")</f>
        <v>2.20990329652476</v>
      </c>
      <c r="BR385" s="56" t="n"/>
      <c r="BS385" s="56" t="n"/>
      <c r="BT385" s="56" t="n"/>
      <c r="BU385" s="56" t="n"/>
      <c r="BV385" s="293">
        <f>IFERROR(BV383/BV384,"n/a")</f>
        <v>2.56254340654086</v>
      </c>
      <c r="BW385" s="56" t="n"/>
      <c r="BX385" s="56" t="n"/>
      <c r="BY385" s="56" t="n"/>
      <c r="BZ385" s="56" t="n"/>
      <c r="CA385" s="293">
        <f>IFERROR(CA383/CA384,"n/a")</f>
        <v>3.44305258206685</v>
      </c>
      <c r="CB385" s="293">
        <f>IFERROR(CB383/CB384,"n/a")</f>
        <v>2.96867890680803</v>
      </c>
      <c r="CC385" s="293">
        <f>IFERROR(CC383/CC384,"n/a")</f>
        <v>2.97198499843978</v>
      </c>
      <c r="CD385" s="293">
        <f>IFERROR(CD383/CD384,"n/a")</f>
        <v>2.97461407382181</v>
      </c>
      <c r="CE385" s="293">
        <f>IFERROR(CE383/CE384,"n/a")</f>
        <v>2.9767078597236</v>
      </c>
      <c r="CF385" s="293">
        <f>IFERROR(CF383/CF384,"n/a")</f>
        <v>2.97847775721465</v>
      </c>
      <c r="CG385" s="153" t="n"/>
      <c r="CI385" s="37">
        <f>IFERROR(AVERAGE(CB385,CC385,CD385,CE385,CF385),"n/m")</f>
        <v>2.97409271920157</v>
      </c>
      <c r="CJ385" s="37">
        <f>IFERROR(AVERAGE(BB385,BG385,BL385,BQ385,BV385),"n/m")</f>
        <v>2.25480498386338</v>
      </c>
      <c r="CK385" s="37">
        <f>IFERROR(AVERAGE(AC385,AH385,AM385,AR385,AW385,BB385,BG385,BL385,BQ385,BV385),"n/m")</f>
        <v>2.0153771275043</v>
      </c>
      <c r="CL385" s="37">
        <f>IFERROR(AVERAGE(C385,D385,E385,F385,G385,H385,I385,N385,S385,X385,AC385,AH385,AM385,AR385,AW385,BB385,BG385,BL385,BQ385,BV385),"n/m")</f>
        <v>2.18758049327401</v>
      </c>
    </row>
    <row r="386" ht="15" customHeight="1" s="251">
      <c r="B386" s="25" t="inlineStr">
        <is>
          <t>Total debt / adjusted EBITDA (x)</t>
        </is>
      </c>
      <c r="C386" s="285">
        <f>IFERROR(C328/C183,"n/a")</f>
        <v>2.24453652139205</v>
      </c>
      <c r="D386" s="285">
        <f>IFERROR(D328/D183,"n/a")</f>
        <v>2.9626153195091</v>
      </c>
      <c r="E386" s="285">
        <f>IFERROR(E328/E183,"n/a")</f>
        <v>3.46264709378343</v>
      </c>
      <c r="F386" s="285">
        <f>IFERROR(F328/F183,"n/a")</f>
        <v>4.09276402395006</v>
      </c>
      <c r="G386" s="285">
        <f>IFERROR(G328/G183,"n/a")</f>
        <v>3.60300157977883</v>
      </c>
      <c r="H386" s="285">
        <f>IFERROR(H328/H183,"n/a")</f>
        <v>3.46101327101244</v>
      </c>
      <c r="I386" s="285">
        <f>IFERROR(I328/I183,"n/a")</f>
        <v>2.46528856993083</v>
      </c>
      <c r="J386" s="34" t="n"/>
      <c r="K386" s="34" t="n"/>
      <c r="L386" s="34" t="n"/>
      <c r="M386" s="34" t="n"/>
      <c r="N386" s="285">
        <f>IFERROR(N328/N183,"n/a")</f>
        <v>2.09111011251952</v>
      </c>
      <c r="O386" s="34" t="n"/>
      <c r="P386" s="34" t="n"/>
      <c r="Q386" s="34" t="n"/>
      <c r="R386" s="34" t="n"/>
      <c r="S386" s="285">
        <f>IFERROR(S328/S183,"n/a")</f>
        <v>2.32383935715623</v>
      </c>
      <c r="T386" s="34" t="n"/>
      <c r="U386" s="34" t="n"/>
      <c r="V386" s="34" t="n"/>
      <c r="W386" s="34" t="n"/>
      <c r="X386" s="285">
        <f>IFERROR(X328/X183,"n/a")</f>
        <v>2.57816110962697</v>
      </c>
      <c r="Y386" s="34" t="n"/>
      <c r="Z386" s="34" t="n"/>
      <c r="AA386" s="34" t="n"/>
      <c r="AB386" s="34" t="n"/>
      <c r="AC386" s="285">
        <f>IFERROR(AC328/AC183,"n/a")</f>
        <v>2.210231319481</v>
      </c>
      <c r="AD386" s="34" t="n"/>
      <c r="AE386" s="34" t="n"/>
      <c r="AF386" s="34" t="n"/>
      <c r="AG386" s="34" t="n"/>
      <c r="AH386" s="285">
        <f>IFERROR(AH328/AH183,"n/a")</f>
        <v>2.1675823683522</v>
      </c>
      <c r="AI386" s="34" t="n"/>
      <c r="AJ386" s="34" t="n"/>
      <c r="AK386" s="34" t="n"/>
      <c r="AL386" s="34" t="n"/>
      <c r="AM386" s="285">
        <f>IFERROR(AM328/AM183,"n/a")</f>
        <v>2.43048896496213</v>
      </c>
      <c r="AN386" s="34" t="n"/>
      <c r="AO386" s="34" t="n"/>
      <c r="AP386" s="34" t="n"/>
      <c r="AQ386" s="34" t="n"/>
      <c r="AR386" s="285">
        <f>IFERROR(AR328/AR183,"n/a")</f>
        <v>2.22670075511124</v>
      </c>
      <c r="AS386" s="34" t="n"/>
      <c r="AT386" s="34" t="n"/>
      <c r="AU386" s="34" t="n"/>
      <c r="AV386" s="34" t="n"/>
      <c r="AW386" s="285">
        <f>IFERROR(AW328/AW183,"n/a")</f>
        <v>1.78201360799908</v>
      </c>
      <c r="AX386" s="34" t="n"/>
      <c r="AY386" s="34" t="n"/>
      <c r="AZ386" s="34" t="n"/>
      <c r="BA386" s="34" t="n"/>
      <c r="BB386" s="285">
        <f>IFERROR(BB328/BB183,"n/a")</f>
        <v>2.25186147046777</v>
      </c>
      <c r="BC386" s="34" t="n"/>
      <c r="BD386" s="34" t="n"/>
      <c r="BE386" s="34" t="n"/>
      <c r="BF386" s="34" t="n"/>
      <c r="BG386" s="285">
        <f>IFERROR(BG328/BG183,"n/a")</f>
        <v>2.74172454799318</v>
      </c>
      <c r="BH386" s="34" t="n"/>
      <c r="BI386" s="34" t="n"/>
      <c r="BJ386" s="34" t="n"/>
      <c r="BK386" s="34" t="n"/>
      <c r="BL386" s="285">
        <f>IFERROR(BL328/BL183,"n/a")</f>
        <v>2.36938377068501</v>
      </c>
      <c r="BM386" s="34" t="n"/>
      <c r="BN386" s="34" t="n"/>
      <c r="BO386" s="34" t="n"/>
      <c r="BP386" s="34" t="n"/>
      <c r="BQ386" s="285">
        <f>IFERROR(BQ328/BQ183,"n/a")</f>
        <v>2.42501995215873</v>
      </c>
      <c r="BR386" s="34" t="n"/>
      <c r="BS386" s="34" t="n"/>
      <c r="BT386" s="34" t="n"/>
      <c r="BU386" s="34" t="n"/>
      <c r="BV386" s="285">
        <f>IFERROR(BV328/BV183,"n/a")</f>
        <v>2.73126334597505</v>
      </c>
      <c r="BW386" s="34" t="n"/>
      <c r="BX386" s="34" t="n"/>
      <c r="BY386" s="34" t="n"/>
      <c r="BZ386" s="35" t="n"/>
      <c r="CA386" s="286">
        <f>IFERROR(CA328/CA183,"n/a")</f>
        <v>3.57637107309696</v>
      </c>
      <c r="CB386" s="286">
        <f>IFERROR(CB328/CB183,"n/a")</f>
        <v>3.08375668940501</v>
      </c>
      <c r="CC386" s="286">
        <f>IFERROR(CC328/CC183,"n/a")</f>
        <v>3.07491576906268</v>
      </c>
      <c r="CD386" s="286">
        <f>IFERROR(CD328/CD183,"n/a")</f>
        <v>3.06788527849694</v>
      </c>
      <c r="CE386" s="286">
        <f>IFERROR(CE328/CE183,"n/a")</f>
        <v>3.06228622183624</v>
      </c>
      <c r="CF386" s="286">
        <f>IFERROR(CF328/CF183,"n/a")</f>
        <v>3.05755328504096</v>
      </c>
      <c r="CG386" s="19" t="n"/>
    </row>
    <row r="387" ht="15" customHeight="1" s="251">
      <c r="CO387" s="11" t="n"/>
      <c r="CP387" s="12" t="n"/>
      <c r="CQ387" s="12" t="n"/>
      <c r="CR387" s="12" t="n"/>
      <c r="CS387" s="13" t="n"/>
    </row>
    <row r="388" ht="15" customHeight="1" s="251">
      <c r="B388" s="10" t="inlineStr">
        <is>
          <t>VALUATION</t>
        </is>
      </c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0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0" t="n"/>
      <c r="CE388" s="10" t="n"/>
      <c r="CF388" s="10" t="n"/>
      <c r="CG388" s="10" t="inlineStr">
        <is>
          <t>VALUATION — share price input $740.00 (user-provided, 13-Oct-2026; not an SEC-sourced price — update to market. The Q3 FY26 10-Q average repurchase price was $1,148.84)</t>
        </is>
      </c>
    </row>
    <row r="389" ht="15" customHeight="1" s="251">
      <c r="B389" s="69" t="inlineStr">
        <is>
          <t>Share price ($) — current</t>
        </is>
      </c>
      <c r="C389" s="44" t="n"/>
      <c r="D389" s="44" t="n"/>
      <c r="E389" s="44" t="n"/>
      <c r="F389" s="44" t="n"/>
      <c r="G389" s="44" t="n"/>
      <c r="H389" s="44" t="n"/>
      <c r="I389" s="44" t="n"/>
      <c r="J389" s="44" t="n"/>
      <c r="K389" s="44" t="n"/>
      <c r="L389" s="44" t="n"/>
      <c r="M389" s="44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44" t="n"/>
      <c r="X389" s="44" t="n"/>
      <c r="Y389" s="44" t="n"/>
      <c r="Z389" s="44" t="n"/>
      <c r="AA389" s="44" t="n"/>
      <c r="AB389" s="44" t="n"/>
      <c r="AC389" s="44" t="n"/>
      <c r="AD389" s="44" t="n"/>
      <c r="AE389" s="44" t="n"/>
      <c r="AF389" s="44" t="n"/>
      <c r="AG389" s="44" t="n"/>
      <c r="AH389" s="44" t="n"/>
      <c r="AI389" s="44" t="n"/>
      <c r="AJ389" s="44" t="n"/>
      <c r="AK389" s="44" t="n"/>
      <c r="AL389" s="44" t="n"/>
      <c r="AM389" s="44" t="n"/>
      <c r="AN389" s="44" t="n"/>
      <c r="AO389" s="44" t="n"/>
      <c r="AP389" s="44" t="n"/>
      <c r="AQ389" s="44" t="n"/>
      <c r="AR389" s="44" t="n"/>
      <c r="AS389" s="44" t="n"/>
      <c r="AT389" s="44" t="n"/>
      <c r="AU389" s="44" t="n"/>
      <c r="AV389" s="44" t="n"/>
      <c r="AW389" s="44" t="n"/>
      <c r="AX389" s="44" t="n"/>
      <c r="AY389" s="44" t="n"/>
      <c r="AZ389" s="44" t="n"/>
      <c r="BA389" s="44" t="n"/>
      <c r="BB389" s="44" t="n"/>
      <c r="BC389" s="44" t="n"/>
      <c r="BD389" s="44" t="n"/>
      <c r="BE389" s="44" t="n"/>
      <c r="BF389" s="44" t="n"/>
      <c r="BG389" s="44" t="n"/>
      <c r="BH389" s="44" t="n"/>
      <c r="BI389" s="44" t="n"/>
      <c r="BJ389" s="44" t="n"/>
      <c r="BK389" s="44" t="n"/>
      <c r="BL389" s="44" t="n"/>
      <c r="BM389" s="44" t="n"/>
      <c r="BN389" s="44" t="n"/>
      <c r="BO389" s="44" t="n"/>
      <c r="BP389" s="44" t="n"/>
      <c r="BQ389" s="44" t="n"/>
      <c r="BR389" s="44" t="n"/>
      <c r="BS389" s="44" t="n"/>
      <c r="BT389" s="44" t="n"/>
      <c r="BU389" s="44" t="n"/>
      <c r="BV389" s="44" t="n"/>
      <c r="BW389" s="44" t="n"/>
      <c r="BX389" s="44" t="n"/>
      <c r="BY389" s="44" t="n"/>
      <c r="BZ389" s="153" t="n"/>
      <c r="CA389" s="288" t="n">
        <v>740</v>
      </c>
      <c r="CB389" s="287">
        <f>CA389</f>
        <v>740</v>
      </c>
      <c r="CC389" s="287">
        <f>CB389</f>
        <v>740</v>
      </c>
      <c r="CD389" s="287">
        <f>CC389</f>
        <v>740</v>
      </c>
      <c r="CE389" s="287">
        <f>CD389</f>
        <v>740</v>
      </c>
      <c r="CF389" s="287">
        <f>CE389</f>
        <v>740</v>
      </c>
      <c r="CG389" s="19" t="n"/>
    </row>
    <row r="390" ht="15" customHeight="1" s="251">
      <c r="B390" s="25" t="inlineStr">
        <is>
          <t>Diluted shares at period end (m)</t>
        </is>
      </c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  <c r="AA390" s="34" t="n"/>
      <c r="AB390" s="34" t="n"/>
      <c r="AC390" s="34" t="n"/>
      <c r="AD390" s="34" t="n"/>
      <c r="AE390" s="34" t="n"/>
      <c r="AF390" s="34" t="n"/>
      <c r="AG390" s="34" t="n"/>
      <c r="AH390" s="34" t="n"/>
      <c r="AI390" s="34" t="n"/>
      <c r="AJ390" s="34" t="n"/>
      <c r="AK390" s="34" t="n"/>
      <c r="AL390" s="34" t="n"/>
      <c r="AM390" s="34" t="n"/>
      <c r="AN390" s="34" t="n"/>
      <c r="AO390" s="34" t="n"/>
      <c r="AP390" s="34" t="n"/>
      <c r="AQ390" s="34" t="n"/>
      <c r="AR390" s="34" t="n"/>
      <c r="AS390" s="34" t="n"/>
      <c r="AT390" s="34" t="n"/>
      <c r="AU390" s="34" t="n"/>
      <c r="AV390" s="34" t="n"/>
      <c r="AW390" s="34" t="n"/>
      <c r="AX390" s="34" t="n"/>
      <c r="AY390" s="34" t="n"/>
      <c r="AZ390" s="34" t="n"/>
      <c r="BA390" s="34" t="n"/>
      <c r="BB390" s="34" t="n"/>
      <c r="BC390" s="34" t="n"/>
      <c r="BD390" s="34" t="n"/>
      <c r="BE390" s="34" t="n"/>
      <c r="BF390" s="34" t="n"/>
      <c r="BG390" s="34" t="n"/>
      <c r="BH390" s="34" t="n"/>
      <c r="BI390" s="34" t="n"/>
      <c r="BJ390" s="34" t="n"/>
      <c r="BK390" s="34" t="n"/>
      <c r="BL390" s="34" t="n"/>
      <c r="BM390" s="34" t="n"/>
      <c r="BN390" s="34" t="n"/>
      <c r="BO390" s="34" t="n"/>
      <c r="BP390" s="34" t="n"/>
      <c r="BQ390" s="34" t="n"/>
      <c r="BR390" s="34" t="n"/>
      <c r="BS390" s="34" t="n"/>
      <c r="BT390" s="34" t="n"/>
      <c r="BU390" s="34" t="n"/>
      <c r="BV390" s="34" t="n"/>
      <c r="BW390" s="34" t="n"/>
      <c r="BX390" s="34" t="n"/>
      <c r="BY390" s="34" t="n"/>
      <c r="BZ390" s="35" t="n"/>
      <c r="CA390" s="254">
        <f>CA281+(BY153-BY152)</f>
        <v>20.9805945945946</v>
      </c>
      <c r="CB390" s="254">
        <f>CB281+N(CB325)</f>
        <v>19.902182938278</v>
      </c>
      <c r="CC390" s="254">
        <f>CC281+N(CC325)</f>
        <v>17.9343357683152</v>
      </c>
      <c r="CD390" s="254">
        <f>CD281+N(CD325)</f>
        <v>16.0329717322285</v>
      </c>
      <c r="CE390" s="254">
        <f>CE281+N(CE325)</f>
        <v>14.1999045792134</v>
      </c>
      <c r="CF390" s="254">
        <f>CF281+N(CF325)</f>
        <v>12.4129901247098</v>
      </c>
      <c r="CG390" s="19" t="n"/>
    </row>
    <row r="391" ht="15" customHeight="1" s="251">
      <c r="B391" s="25" t="inlineStr">
        <is>
          <t>Market capitalisation (USDm)</t>
        </is>
      </c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  <c r="AA391" s="34" t="n"/>
      <c r="AB391" s="34" t="n"/>
      <c r="AC391" s="34" t="n"/>
      <c r="AD391" s="34" t="n"/>
      <c r="AE391" s="34" t="n"/>
      <c r="AF391" s="34" t="n"/>
      <c r="AG391" s="34" t="n"/>
      <c r="AH391" s="34" t="n"/>
      <c r="AI391" s="34" t="n"/>
      <c r="AJ391" s="34" t="n"/>
      <c r="AK391" s="34" t="n"/>
      <c r="AL391" s="34" t="n"/>
      <c r="AM391" s="34" t="n"/>
      <c r="AN391" s="34" t="n"/>
      <c r="AO391" s="34" t="n"/>
      <c r="AP391" s="34" t="n"/>
      <c r="AQ391" s="34" t="n"/>
      <c r="AR391" s="34" t="n"/>
      <c r="AS391" s="34" t="n"/>
      <c r="AT391" s="34" t="n"/>
      <c r="AU391" s="34" t="n"/>
      <c r="AV391" s="34" t="n"/>
      <c r="AW391" s="34" t="n"/>
      <c r="AX391" s="34" t="n"/>
      <c r="AY391" s="34" t="n"/>
      <c r="AZ391" s="34" t="n"/>
      <c r="BA391" s="34" t="n"/>
      <c r="BB391" s="34" t="n"/>
      <c r="BC391" s="34" t="n"/>
      <c r="BD391" s="34" t="n"/>
      <c r="BE391" s="34" t="n"/>
      <c r="BF391" s="34" t="n"/>
      <c r="BG391" s="34" t="n"/>
      <c r="BH391" s="34" t="n"/>
      <c r="BI391" s="34" t="n"/>
      <c r="BJ391" s="34" t="n"/>
      <c r="BK391" s="34" t="n"/>
      <c r="BL391" s="34" t="n"/>
      <c r="BM391" s="34" t="n"/>
      <c r="BN391" s="34" t="n"/>
      <c r="BO391" s="34" t="n"/>
      <c r="BP391" s="34" t="n"/>
      <c r="BQ391" s="34" t="n"/>
      <c r="BR391" s="34" t="n"/>
      <c r="BS391" s="34" t="n"/>
      <c r="BT391" s="34" t="n"/>
      <c r="BU391" s="34" t="n"/>
      <c r="BV391" s="34" t="n"/>
      <c r="BW391" s="34" t="n"/>
      <c r="BX391" s="34" t="n"/>
      <c r="BY391" s="34" t="n"/>
      <c r="BZ391" s="35" t="n"/>
      <c r="CA391" s="268">
        <f>IFERROR(CA389*CA390,"n/a")</f>
        <v>15525.64</v>
      </c>
      <c r="CB391" s="268">
        <f>IFERROR(CB389*CB390,"n/a")</f>
        <v>14727.6153743257</v>
      </c>
      <c r="CC391" s="268">
        <f>IFERROR(CC389*CC390,"n/a")</f>
        <v>13271.4084685532</v>
      </c>
      <c r="CD391" s="268">
        <f>IFERROR(CD389*CD390,"n/a")</f>
        <v>11864.3990818491</v>
      </c>
      <c r="CE391" s="268">
        <f>IFERROR(CE389*CE390,"n/a")</f>
        <v>10507.9293886179</v>
      </c>
      <c r="CF391" s="268">
        <f>IFERROR(CF389*CF390,"n/a")</f>
        <v>9185.61269228525</v>
      </c>
      <c r="CG391" s="19" t="n"/>
    </row>
    <row r="392" ht="15" customHeight="1" s="251">
      <c r="B392" s="25" t="inlineStr">
        <is>
          <t>Net debt (USDm)</t>
        </is>
      </c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  <c r="AA392" s="34" t="n"/>
      <c r="AB392" s="34" t="n"/>
      <c r="AC392" s="34" t="n"/>
      <c r="AD392" s="34" t="n"/>
      <c r="AE392" s="34" t="n"/>
      <c r="AF392" s="34" t="n"/>
      <c r="AG392" s="34" t="n"/>
      <c r="AH392" s="34" t="n"/>
      <c r="AI392" s="34" t="n"/>
      <c r="AJ392" s="34" t="n"/>
      <c r="AK392" s="34" t="n"/>
      <c r="AL392" s="34" t="n"/>
      <c r="AM392" s="34" t="n"/>
      <c r="AN392" s="34" t="n"/>
      <c r="AO392" s="34" t="n"/>
      <c r="AP392" s="34" t="n"/>
      <c r="AQ392" s="34" t="n"/>
      <c r="AR392" s="34" t="n"/>
      <c r="AS392" s="34" t="n"/>
      <c r="AT392" s="34" t="n"/>
      <c r="AU392" s="34" t="n"/>
      <c r="AV392" s="34" t="n"/>
      <c r="AW392" s="34" t="n"/>
      <c r="AX392" s="34" t="n"/>
      <c r="AY392" s="34" t="n"/>
      <c r="AZ392" s="34" t="n"/>
      <c r="BA392" s="34" t="n"/>
      <c r="BB392" s="34" t="n"/>
      <c r="BC392" s="34" t="n"/>
      <c r="BD392" s="34" t="n"/>
      <c r="BE392" s="34" t="n"/>
      <c r="BF392" s="34" t="n"/>
      <c r="BG392" s="34" t="n"/>
      <c r="BH392" s="34" t="n"/>
      <c r="BI392" s="34" t="n"/>
      <c r="BJ392" s="34" t="n"/>
      <c r="BK392" s="34" t="n"/>
      <c r="BL392" s="34" t="n"/>
      <c r="BM392" s="34" t="n"/>
      <c r="BN392" s="34" t="n"/>
      <c r="BO392" s="34" t="n"/>
      <c r="BP392" s="34" t="n"/>
      <c r="BQ392" s="34" t="n"/>
      <c r="BR392" s="34" t="n"/>
      <c r="BS392" s="34" t="n"/>
      <c r="BT392" s="34" t="n"/>
      <c r="BU392" s="34" t="n"/>
      <c r="BV392" s="34" t="n"/>
      <c r="BW392" s="34" t="n"/>
      <c r="BX392" s="34" t="n"/>
      <c r="BY392" s="34" t="n"/>
      <c r="BZ392" s="35" t="n"/>
      <c r="CA392" s="268">
        <f>CA383</f>
        <v>5322.51025580248</v>
      </c>
      <c r="CB392" s="268">
        <f>CB383</f>
        <v>5316.61219162973</v>
      </c>
      <c r="CC392" s="268">
        <f>CC383</f>
        <v>5950.6530513353</v>
      </c>
      <c r="CD392" s="268">
        <f>CD383</f>
        <v>6572.73743221606</v>
      </c>
      <c r="CE392" s="268">
        <f>CE383</f>
        <v>7168.61876985424</v>
      </c>
      <c r="CF392" s="268">
        <f>CF383</f>
        <v>7762.74826474711</v>
      </c>
      <c r="CG392" s="19" t="n"/>
    </row>
    <row r="393" ht="15" customHeight="1" s="251">
      <c r="B393" s="25" t="inlineStr">
        <is>
          <t>Noncontrolling interests (USDm; none)</t>
        </is>
      </c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  <c r="AA393" s="34" t="n"/>
      <c r="AB393" s="34" t="n"/>
      <c r="AC393" s="34" t="n"/>
      <c r="AD393" s="34" t="n"/>
      <c r="AE393" s="34" t="n"/>
      <c r="AF393" s="34" t="n"/>
      <c r="AG393" s="34" t="n"/>
      <c r="AH393" s="34" t="n"/>
      <c r="AI393" s="34" t="n"/>
      <c r="AJ393" s="34" t="n"/>
      <c r="AK393" s="34" t="n"/>
      <c r="AL393" s="34" t="n"/>
      <c r="AM393" s="34" t="n"/>
      <c r="AN393" s="34" t="n"/>
      <c r="AO393" s="34" t="n"/>
      <c r="AP393" s="34" t="n"/>
      <c r="AQ393" s="34" t="n"/>
      <c r="AR393" s="34" t="n"/>
      <c r="AS393" s="34" t="n"/>
      <c r="AT393" s="34" t="n"/>
      <c r="AU393" s="34" t="n"/>
      <c r="AV393" s="34" t="n"/>
      <c r="AW393" s="34" t="n"/>
      <c r="AX393" s="34" t="n"/>
      <c r="AY393" s="34" t="n"/>
      <c r="AZ393" s="34" t="n"/>
      <c r="BA393" s="34" t="n"/>
      <c r="BB393" s="34" t="n"/>
      <c r="BC393" s="34" t="n"/>
      <c r="BD393" s="34" t="n"/>
      <c r="BE393" s="34" t="n"/>
      <c r="BF393" s="34" t="n"/>
      <c r="BG393" s="34" t="n"/>
      <c r="BH393" s="34" t="n"/>
      <c r="BI393" s="34" t="n"/>
      <c r="BJ393" s="34" t="n"/>
      <c r="BK393" s="34" t="n"/>
      <c r="BL393" s="34" t="n"/>
      <c r="BM393" s="34" t="n"/>
      <c r="BN393" s="34" t="n"/>
      <c r="BO393" s="34" t="n"/>
      <c r="BP393" s="34" t="n"/>
      <c r="BQ393" s="34" t="n"/>
      <c r="BR393" s="34" t="n"/>
      <c r="BS393" s="34" t="n"/>
      <c r="BT393" s="34" t="n"/>
      <c r="BU393" s="34" t="n"/>
      <c r="BV393" s="34" t="n"/>
      <c r="BW393" s="34" t="n"/>
      <c r="BX393" s="34" t="n"/>
      <c r="BY393" s="34" t="n"/>
      <c r="BZ393" s="35" t="n"/>
      <c r="CA393" s="267" t="n">
        <v>0</v>
      </c>
      <c r="CB393" s="267" t="n">
        <v>0</v>
      </c>
      <c r="CC393" s="267" t="n">
        <v>0</v>
      </c>
      <c r="CD393" s="267" t="n">
        <v>0</v>
      </c>
      <c r="CE393" s="267" t="n">
        <v>0</v>
      </c>
      <c r="CF393" s="267" t="n">
        <v>0</v>
      </c>
      <c r="CG393" s="19" t="n"/>
    </row>
    <row r="394" ht="15" customHeight="1" s="251">
      <c r="B394" s="16" t="inlineStr">
        <is>
          <t>Enterprise value (USDm)</t>
        </is>
      </c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  <c r="AA394" s="43" t="n"/>
      <c r="AB394" s="43" t="n"/>
      <c r="AC394" s="43" t="n"/>
      <c r="AD394" s="43" t="n"/>
      <c r="AE394" s="43" t="n"/>
      <c r="AF394" s="43" t="n"/>
      <c r="AG394" s="43" t="n"/>
      <c r="AH394" s="43" t="n"/>
      <c r="AI394" s="43" t="n"/>
      <c r="AJ394" s="43" t="n"/>
      <c r="AK394" s="43" t="n"/>
      <c r="AL394" s="43" t="n"/>
      <c r="AM394" s="43" t="n"/>
      <c r="AN394" s="43" t="n"/>
      <c r="AO394" s="43" t="n"/>
      <c r="AP394" s="43" t="n"/>
      <c r="AQ394" s="43" t="n"/>
      <c r="AR394" s="43" t="n"/>
      <c r="AS394" s="43" t="n"/>
      <c r="AT394" s="43" t="n"/>
      <c r="AU394" s="43" t="n"/>
      <c r="AV394" s="43" t="n"/>
      <c r="AW394" s="43" t="n"/>
      <c r="AX394" s="43" t="n"/>
      <c r="AY394" s="43" t="n"/>
      <c r="AZ394" s="43" t="n"/>
      <c r="BA394" s="43" t="n"/>
      <c r="BB394" s="43" t="n"/>
      <c r="BC394" s="43" t="n"/>
      <c r="BD394" s="43" t="n"/>
      <c r="BE394" s="43" t="n"/>
      <c r="BF394" s="43" t="n"/>
      <c r="BG394" s="43" t="n"/>
      <c r="BH394" s="43" t="n"/>
      <c r="BI394" s="43" t="n"/>
      <c r="BJ394" s="43" t="n"/>
      <c r="BK394" s="43" t="n"/>
      <c r="BL394" s="43" t="n"/>
      <c r="BM394" s="43" t="n"/>
      <c r="BN394" s="43" t="n"/>
      <c r="BO394" s="43" t="n"/>
      <c r="BP394" s="43" t="n"/>
      <c r="BQ394" s="43" t="n"/>
      <c r="BR394" s="43" t="n"/>
      <c r="BS394" s="43" t="n"/>
      <c r="BT394" s="43" t="n"/>
      <c r="BU394" s="43" t="n"/>
      <c r="BV394" s="43" t="n"/>
      <c r="BW394" s="43" t="n"/>
      <c r="BX394" s="43" t="n"/>
      <c r="BY394" s="43" t="n"/>
      <c r="BZ394" s="32" t="n"/>
      <c r="CA394" s="271">
        <f>IFERROR(CA391+CA392+CA393,"n/a")</f>
        <v>20848.1502558025</v>
      </c>
      <c r="CB394" s="271">
        <f>IFERROR(CB391+CB392+CB393,"n/a")</f>
        <v>20044.2275659555</v>
      </c>
      <c r="CC394" s="271">
        <f>IFERROR(CC391+CC392+CC393,"n/a")</f>
        <v>19222.0615198885</v>
      </c>
      <c r="CD394" s="271">
        <f>IFERROR(CD391+CD392+CD393,"n/a")</f>
        <v>18437.1365140651</v>
      </c>
      <c r="CE394" s="271">
        <f>IFERROR(CE391+CE392+CE393,"n/a")</f>
        <v>17676.5481584721</v>
      </c>
      <c r="CF394" s="271">
        <f>IFERROR(CF391+CF392+CF393,"n/a")</f>
        <v>16948.3609570324</v>
      </c>
      <c r="CG394" s="153" t="n"/>
    </row>
    <row r="395" ht="15" customHeight="1" s="251">
      <c r="B395" s="25" t="inlineStr">
        <is>
          <t>Multiples</t>
        </is>
      </c>
      <c r="CG395" s="153" t="n"/>
    </row>
    <row r="396" ht="15" customHeight="1" s="251">
      <c r="B396" s="25" t="inlineStr">
        <is>
          <t xml:space="preserve">  EV / Revenue</t>
        </is>
      </c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  <c r="AA396" s="34" t="n"/>
      <c r="AB396" s="34" t="n"/>
      <c r="AC396" s="34" t="n"/>
      <c r="AD396" s="34" t="n"/>
      <c r="AE396" s="34" t="n"/>
      <c r="AF396" s="34" t="n"/>
      <c r="AG396" s="34" t="n"/>
      <c r="AH396" s="34" t="n"/>
      <c r="AI396" s="34" t="n"/>
      <c r="AJ396" s="34" t="n"/>
      <c r="AK396" s="34" t="n"/>
      <c r="AL396" s="34" t="n"/>
      <c r="AM396" s="34" t="n"/>
      <c r="AN396" s="34" t="n"/>
      <c r="AO396" s="34" t="n"/>
      <c r="AP396" s="34" t="n"/>
      <c r="AQ396" s="34" t="n"/>
      <c r="AR396" s="34" t="n"/>
      <c r="AS396" s="34" t="n"/>
      <c r="AT396" s="34" t="n"/>
      <c r="AU396" s="34" t="n"/>
      <c r="AV396" s="34" t="n"/>
      <c r="AW396" s="34" t="n"/>
      <c r="AX396" s="34" t="n"/>
      <c r="AY396" s="34" t="n"/>
      <c r="AZ396" s="34" t="n"/>
      <c r="BA396" s="34" t="n"/>
      <c r="BB396" s="34" t="n"/>
      <c r="BC396" s="34" t="n"/>
      <c r="BD396" s="34" t="n"/>
      <c r="BE396" s="34" t="n"/>
      <c r="BF396" s="34" t="n"/>
      <c r="BG396" s="34" t="n"/>
      <c r="BH396" s="34" t="n"/>
      <c r="BI396" s="34" t="n"/>
      <c r="BJ396" s="34" t="n"/>
      <c r="BK396" s="34" t="n"/>
      <c r="BL396" s="34" t="n"/>
      <c r="BM396" s="34" t="n"/>
      <c r="BN396" s="34" t="n"/>
      <c r="BO396" s="34" t="n"/>
      <c r="BP396" s="34" t="n"/>
      <c r="BQ396" s="34" t="n"/>
      <c r="BR396" s="34" t="n"/>
      <c r="BS396" s="34" t="n"/>
      <c r="BT396" s="34" t="n"/>
      <c r="BU396" s="34" t="n"/>
      <c r="BV396" s="34" t="n"/>
      <c r="BW396" s="34" t="n"/>
      <c r="BX396" s="34" t="n"/>
      <c r="BY396" s="34" t="n"/>
      <c r="BZ396" s="35" t="n"/>
      <c r="CA396" s="291">
        <f>IFERROR(CA394/CA127,"n/a")</f>
        <v>8.24037559517885</v>
      </c>
      <c r="CB396" s="291">
        <f>IFERROR(CB394/CB127,"n/a")</f>
        <v>7.16167771191406</v>
      </c>
      <c r="CC396" s="291">
        <f>IFERROR(CC394/CC127,"n/a")</f>
        <v>6.22433726215965</v>
      </c>
      <c r="CD396" s="291">
        <f>IFERROR(CD394/CD127,"n/a")</f>
        <v>5.45505966693944</v>
      </c>
      <c r="CE396" s="291">
        <f>IFERROR(CE394/CE127,"n/a")</f>
        <v>4.80707252010712</v>
      </c>
      <c r="CF396" s="291">
        <f>IFERROR(CF394/CF127,"n/a")</f>
        <v>4.26217306922171</v>
      </c>
      <c r="CG396" s="19" t="n"/>
    </row>
    <row r="397" ht="15" customHeight="1" s="251">
      <c r="B397" s="25" t="inlineStr">
        <is>
          <t xml:space="preserve">  EV / Adjusted EBITDA</t>
        </is>
      </c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  <c r="AA397" s="34" t="n"/>
      <c r="AB397" s="34" t="n"/>
      <c r="AC397" s="34" t="n"/>
      <c r="AD397" s="34" t="n"/>
      <c r="AE397" s="34" t="n"/>
      <c r="AF397" s="34" t="n"/>
      <c r="AG397" s="34" t="n"/>
      <c r="AH397" s="34" t="n"/>
      <c r="AI397" s="34" t="n"/>
      <c r="AJ397" s="34" t="n"/>
      <c r="AK397" s="34" t="n"/>
      <c r="AL397" s="34" t="n"/>
      <c r="AM397" s="34" t="n"/>
      <c r="AN397" s="34" t="n"/>
      <c r="AO397" s="34" t="n"/>
      <c r="AP397" s="34" t="n"/>
      <c r="AQ397" s="34" t="n"/>
      <c r="AR397" s="34" t="n"/>
      <c r="AS397" s="34" t="n"/>
      <c r="AT397" s="34" t="n"/>
      <c r="AU397" s="34" t="n"/>
      <c r="AV397" s="34" t="n"/>
      <c r="AW397" s="34" t="n"/>
      <c r="AX397" s="34" t="n"/>
      <c r="AY397" s="34" t="n"/>
      <c r="AZ397" s="34" t="n"/>
      <c r="BA397" s="34" t="n"/>
      <c r="BB397" s="34" t="n"/>
      <c r="BC397" s="34" t="n"/>
      <c r="BD397" s="34" t="n"/>
      <c r="BE397" s="34" t="n"/>
      <c r="BF397" s="34" t="n"/>
      <c r="BG397" s="34" t="n"/>
      <c r="BH397" s="34" t="n"/>
      <c r="BI397" s="34" t="n"/>
      <c r="BJ397" s="34" t="n"/>
      <c r="BK397" s="34" t="n"/>
      <c r="BL397" s="34" t="n"/>
      <c r="BM397" s="34" t="n"/>
      <c r="BN397" s="34" t="n"/>
      <c r="BO397" s="34" t="n"/>
      <c r="BP397" s="34" t="n"/>
      <c r="BQ397" s="34" t="n"/>
      <c r="BR397" s="34" t="n"/>
      <c r="BS397" s="34" t="n"/>
      <c r="BT397" s="34" t="n"/>
      <c r="BU397" s="34" t="n"/>
      <c r="BV397" s="34" t="n"/>
      <c r="BW397" s="34" t="n"/>
      <c r="BX397" s="34" t="n"/>
      <c r="BY397" s="34" t="n"/>
      <c r="BZ397" s="35" t="n"/>
      <c r="CA397" s="291">
        <f>IFERROR(CA394/CA183,"n/a")</f>
        <v>13.4863577747556</v>
      </c>
      <c r="CB397" s="291">
        <f>IFERROR(CB394/CB183,"n/a")</f>
        <v>11.1922542840334</v>
      </c>
      <c r="CC397" s="291">
        <f>IFERROR(CC394/CC183,"n/a")</f>
        <v>9.60023681155063</v>
      </c>
      <c r="CD397" s="291">
        <f>IFERROR(CD394/CD183,"n/a")</f>
        <v>8.34406764628982</v>
      </c>
      <c r="CE397" s="291">
        <f>IFERROR(CE394/CE183,"n/a")</f>
        <v>7.34003599931659</v>
      </c>
      <c r="CF397" s="291">
        <f>IFERROR(CF394/CF183,"n/a")</f>
        <v>6.50289232758092</v>
      </c>
      <c r="CG397" s="19" t="n"/>
    </row>
    <row r="398" ht="15" customHeight="1" s="251">
      <c r="B398" s="25" t="inlineStr">
        <is>
          <t xml:space="preserve">  EV / Non-GAAP operating income</t>
        </is>
      </c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  <c r="AA398" s="34" t="n"/>
      <c r="AB398" s="34" t="n"/>
      <c r="AC398" s="34" t="n"/>
      <c r="AD398" s="34" t="n"/>
      <c r="AE398" s="34" t="n"/>
      <c r="AF398" s="34" t="n"/>
      <c r="AG398" s="34" t="n"/>
      <c r="AH398" s="34" t="n"/>
      <c r="AI398" s="34" t="n"/>
      <c r="AJ398" s="34" t="n"/>
      <c r="AK398" s="34" t="n"/>
      <c r="AL398" s="34" t="n"/>
      <c r="AM398" s="34" t="n"/>
      <c r="AN398" s="34" t="n"/>
      <c r="AO398" s="34" t="n"/>
      <c r="AP398" s="34" t="n"/>
      <c r="AQ398" s="34" t="n"/>
      <c r="AR398" s="34" t="n"/>
      <c r="AS398" s="34" t="n"/>
      <c r="AT398" s="34" t="n"/>
      <c r="AU398" s="34" t="n"/>
      <c r="AV398" s="34" t="n"/>
      <c r="AW398" s="34" t="n"/>
      <c r="AX398" s="34" t="n"/>
      <c r="AY398" s="34" t="n"/>
      <c r="AZ398" s="34" t="n"/>
      <c r="BA398" s="34" t="n"/>
      <c r="BB398" s="34" t="n"/>
      <c r="BC398" s="34" t="n"/>
      <c r="BD398" s="34" t="n"/>
      <c r="BE398" s="34" t="n"/>
      <c r="BF398" s="34" t="n"/>
      <c r="BG398" s="34" t="n"/>
      <c r="BH398" s="34" t="n"/>
      <c r="BI398" s="34" t="n"/>
      <c r="BJ398" s="34" t="n"/>
      <c r="BK398" s="34" t="n"/>
      <c r="BL398" s="34" t="n"/>
      <c r="BM398" s="34" t="n"/>
      <c r="BN398" s="34" t="n"/>
      <c r="BO398" s="34" t="n"/>
      <c r="BP398" s="34" t="n"/>
      <c r="BQ398" s="34" t="n"/>
      <c r="BR398" s="34" t="n"/>
      <c r="BS398" s="34" t="n"/>
      <c r="BT398" s="34" t="n"/>
      <c r="BU398" s="34" t="n"/>
      <c r="BV398" s="34" t="n"/>
      <c r="BW398" s="34" t="n"/>
      <c r="BX398" s="34" t="n"/>
      <c r="BY398" s="34" t="n"/>
      <c r="BZ398" s="35" t="n"/>
      <c r="CA398" s="291">
        <f>IFERROR(CA394/CA167,"n/a")</f>
        <v>13.7474751220644</v>
      </c>
      <c r="CB398" s="291">
        <f>IFERROR(CB394/CB167,"n/a")</f>
        <v>11.4113861936913</v>
      </c>
      <c r="CC398" s="291">
        <f>IFERROR(CC394/CC167,"n/a")</f>
        <v>9.77951715876817</v>
      </c>
      <c r="CD398" s="291">
        <f>IFERROR(CD394/CD167,"n/a")</f>
        <v>8.49413898994139</v>
      </c>
      <c r="CE398" s="291">
        <f>IFERROR(CE394/CE167,"n/a")</f>
        <v>7.46848112148264</v>
      </c>
      <c r="CF398" s="291">
        <f>IFERROR(CF394/CF167,"n/a")</f>
        <v>6.61407520213256</v>
      </c>
      <c r="CG398" s="19" t="n"/>
    </row>
    <row r="399" ht="15" customHeight="1" s="251">
      <c r="B399" s="25" t="inlineStr">
        <is>
          <t xml:space="preserve">  EV / IC</t>
        </is>
      </c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  <c r="AA399" s="34" t="n"/>
      <c r="AB399" s="34" t="n"/>
      <c r="AC399" s="34" t="n"/>
      <c r="AD399" s="34" t="n"/>
      <c r="AE399" s="34" t="n"/>
      <c r="AF399" s="34" t="n"/>
      <c r="AG399" s="34" t="n"/>
      <c r="AH399" s="34" t="n"/>
      <c r="AI399" s="34" t="n"/>
      <c r="AJ399" s="34" t="n"/>
      <c r="AK399" s="34" t="n"/>
      <c r="AL399" s="34" t="n"/>
      <c r="AM399" s="34" t="n"/>
      <c r="AN399" s="34" t="n"/>
      <c r="AO399" s="34" t="n"/>
      <c r="AP399" s="34" t="n"/>
      <c r="AQ399" s="34" t="n"/>
      <c r="AR399" s="34" t="n"/>
      <c r="AS399" s="34" t="n"/>
      <c r="AT399" s="34" t="n"/>
      <c r="AU399" s="34" t="n"/>
      <c r="AV399" s="34" t="n"/>
      <c r="AW399" s="34" t="n"/>
      <c r="AX399" s="34" t="n"/>
      <c r="AY399" s="34" t="n"/>
      <c r="AZ399" s="34" t="n"/>
      <c r="BA399" s="34" t="n"/>
      <c r="BB399" s="34" t="n"/>
      <c r="BC399" s="34" t="n"/>
      <c r="BD399" s="34" t="n"/>
      <c r="BE399" s="34" t="n"/>
      <c r="BF399" s="34" t="n"/>
      <c r="BG399" s="34" t="n"/>
      <c r="BH399" s="34" t="n"/>
      <c r="BI399" s="34" t="n"/>
      <c r="BJ399" s="34" t="n"/>
      <c r="BK399" s="34" t="n"/>
      <c r="BL399" s="34" t="n"/>
      <c r="BM399" s="34" t="n"/>
      <c r="BN399" s="34" t="n"/>
      <c r="BO399" s="34" t="n"/>
      <c r="BP399" s="34" t="n"/>
      <c r="BQ399" s="34" t="n"/>
      <c r="BR399" s="34" t="n"/>
      <c r="BS399" s="34" t="n"/>
      <c r="BT399" s="34" t="n"/>
      <c r="BU399" s="34" t="n"/>
      <c r="BV399" s="34" t="n"/>
      <c r="BW399" s="34" t="n"/>
      <c r="BX399" s="34" t="n"/>
      <c r="BY399" s="34" t="n"/>
      <c r="BZ399" s="35" t="n"/>
      <c r="CA399" s="291">
        <f>IFERROR(CA394/CA363,"n/a")</f>
        <v>18.2917956409295</v>
      </c>
      <c r="CB399" s="291">
        <f>IFERROR(CB394/CB363,"n/a")</f>
        <v>17.0904637221116</v>
      </c>
      <c r="CC399" s="291">
        <f>IFERROR(CC394/CC363,"n/a")</f>
        <v>15.898599920296</v>
      </c>
      <c r="CD399" s="291">
        <f>IFERROR(CD394/CD363,"n/a")</f>
        <v>14.7772262261916</v>
      </c>
      <c r="CE399" s="291">
        <f>IFERROR(CE394/CE363,"n/a")</f>
        <v>13.7143225329905</v>
      </c>
      <c r="CF399" s="291">
        <f>IFERROR(CF394/CF363,"n/a")</f>
        <v>12.7180752844712</v>
      </c>
      <c r="CG399" s="19" t="n"/>
    </row>
    <row r="400" ht="15" customHeight="1" s="251">
      <c r="B400" s="25" t="inlineStr">
        <is>
          <t xml:space="preserve">  P / E (GAAP diluted)</t>
        </is>
      </c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  <c r="AA400" s="34" t="n"/>
      <c r="AB400" s="34" t="n"/>
      <c r="AC400" s="34" t="n"/>
      <c r="AD400" s="34" t="n"/>
      <c r="AE400" s="34" t="n"/>
      <c r="AF400" s="34" t="n"/>
      <c r="AG400" s="34" t="n"/>
      <c r="AH400" s="34" t="n"/>
      <c r="AI400" s="34" t="n"/>
      <c r="AJ400" s="34" t="n"/>
      <c r="AK400" s="34" t="n"/>
      <c r="AL400" s="34" t="n"/>
      <c r="AM400" s="34" t="n"/>
      <c r="AN400" s="34" t="n"/>
      <c r="AO400" s="34" t="n"/>
      <c r="AP400" s="34" t="n"/>
      <c r="AQ400" s="34" t="n"/>
      <c r="AR400" s="34" t="n"/>
      <c r="AS400" s="34" t="n"/>
      <c r="AT400" s="34" t="n"/>
      <c r="AU400" s="34" t="n"/>
      <c r="AV400" s="34" t="n"/>
      <c r="AW400" s="34" t="n"/>
      <c r="AX400" s="34" t="n"/>
      <c r="AY400" s="34" t="n"/>
      <c r="AZ400" s="34" t="n"/>
      <c r="BA400" s="34" t="n"/>
      <c r="BB400" s="34" t="n"/>
      <c r="BC400" s="34" t="n"/>
      <c r="BD400" s="34" t="n"/>
      <c r="BE400" s="34" t="n"/>
      <c r="BF400" s="34" t="n"/>
      <c r="BG400" s="34" t="n"/>
      <c r="BH400" s="34" t="n"/>
      <c r="BI400" s="34" t="n"/>
      <c r="BJ400" s="34" t="n"/>
      <c r="BK400" s="34" t="n"/>
      <c r="BL400" s="34" t="n"/>
      <c r="BM400" s="34" t="n"/>
      <c r="BN400" s="34" t="n"/>
      <c r="BO400" s="34" t="n"/>
      <c r="BP400" s="34" t="n"/>
      <c r="BQ400" s="34" t="n"/>
      <c r="BR400" s="34" t="n"/>
      <c r="BS400" s="34" t="n"/>
      <c r="BT400" s="34" t="n"/>
      <c r="BU400" s="34" t="n"/>
      <c r="BV400" s="34" t="n"/>
      <c r="BW400" s="34" t="n"/>
      <c r="BX400" s="34" t="n"/>
      <c r="BY400" s="34" t="n"/>
      <c r="BZ400" s="35" t="n"/>
      <c r="CA400" s="291">
        <f>IFERROR(CA389/CA154,"n/a")</f>
        <v>20.5592111296513</v>
      </c>
      <c r="CB400" s="291">
        <f>IFERROR(CB389/CB154,"n/a")</f>
        <v>15.9739047132214</v>
      </c>
      <c r="CC400" s="291">
        <f>IFERROR(CC389/CC154,"n/a")</f>
        <v>12.7968189244768</v>
      </c>
      <c r="CD400" s="291">
        <f>IFERROR(CD389/CD154,"n/a")</f>
        <v>10.6315945703394</v>
      </c>
      <c r="CE400" s="291">
        <f>IFERROR(CE389/CE154,"n/a")</f>
        <v>8.70887925345259</v>
      </c>
      <c r="CF400" s="291">
        <f>IFERROR(CF389/CF154,"n/a")</f>
        <v>7.0970846690531</v>
      </c>
      <c r="CG400" s="19" t="n"/>
    </row>
    <row r="401" ht="15" customHeight="1" s="251">
      <c r="B401" s="25" t="inlineStr">
        <is>
          <t xml:space="preserve">  P / E (non-GAAP EPS)</t>
        </is>
      </c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  <c r="AA401" s="34" t="n"/>
      <c r="AB401" s="34" t="n"/>
      <c r="AC401" s="34" t="n"/>
      <c r="AD401" s="34" t="n"/>
      <c r="AE401" s="34" t="n"/>
      <c r="AF401" s="34" t="n"/>
      <c r="AG401" s="34" t="n"/>
      <c r="AH401" s="34" t="n"/>
      <c r="AI401" s="34" t="n"/>
      <c r="AJ401" s="34" t="n"/>
      <c r="AK401" s="34" t="n"/>
      <c r="AL401" s="34" t="n"/>
      <c r="AM401" s="34" t="n"/>
      <c r="AN401" s="34" t="n"/>
      <c r="AO401" s="34" t="n"/>
      <c r="AP401" s="34" t="n"/>
      <c r="AQ401" s="34" t="n"/>
      <c r="AR401" s="34" t="n"/>
      <c r="AS401" s="34" t="n"/>
      <c r="AT401" s="34" t="n"/>
      <c r="AU401" s="34" t="n"/>
      <c r="AV401" s="34" t="n"/>
      <c r="AW401" s="34" t="n"/>
      <c r="AX401" s="34" t="n"/>
      <c r="AY401" s="34" t="n"/>
      <c r="AZ401" s="34" t="n"/>
      <c r="BA401" s="34" t="n"/>
      <c r="BB401" s="34" t="n"/>
      <c r="BC401" s="34" t="n"/>
      <c r="BD401" s="34" t="n"/>
      <c r="BE401" s="34" t="n"/>
      <c r="BF401" s="34" t="n"/>
      <c r="BG401" s="34" t="n"/>
      <c r="BH401" s="34" t="n"/>
      <c r="BI401" s="34" t="n"/>
      <c r="BJ401" s="34" t="n"/>
      <c r="BK401" s="34" t="n"/>
      <c r="BL401" s="34" t="n"/>
      <c r="BM401" s="34" t="n"/>
      <c r="BN401" s="34" t="n"/>
      <c r="BO401" s="34" t="n"/>
      <c r="BP401" s="34" t="n"/>
      <c r="BQ401" s="34" t="n"/>
      <c r="BR401" s="34" t="n"/>
      <c r="BS401" s="34" t="n"/>
      <c r="BT401" s="34" t="n"/>
      <c r="BU401" s="34" t="n"/>
      <c r="BV401" s="34" t="n"/>
      <c r="BW401" s="34" t="n"/>
      <c r="BX401" s="34" t="n"/>
      <c r="BY401" s="34" t="n"/>
      <c r="BZ401" s="35" t="n"/>
      <c r="CA401" s="291">
        <f>IFERROR(CA389/CA205,"n/a")</f>
        <v>17.4404902191845</v>
      </c>
      <c r="CB401" s="291">
        <f>IFERROR(CB389/CB205,"n/a")</f>
        <v>13.8441265997176</v>
      </c>
      <c r="CC401" s="291">
        <f>IFERROR(CC389/CC205,"n/a")</f>
        <v>11.1829795410917</v>
      </c>
      <c r="CD401" s="291">
        <f>IFERROR(CD389/CD205,"n/a")</f>
        <v>9.26935675343766</v>
      </c>
      <c r="CE401" s="291">
        <f>IFERROR(CE389/CE205,"n/a")</f>
        <v>7.58719672305075</v>
      </c>
      <c r="CF401" s="291">
        <f>IFERROR(CF389/CF205,"n/a")</f>
        <v>6.17895069416315</v>
      </c>
      <c r="CG401" s="19" t="n"/>
    </row>
    <row r="402" ht="15" customHeight="1" s="251">
      <c r="B402" s="25" t="inlineStr">
        <is>
          <t xml:space="preserve">  FCF yield</t>
        </is>
      </c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  <c r="AA402" s="34" t="n"/>
      <c r="AB402" s="34" t="n"/>
      <c r="AC402" s="34" t="n"/>
      <c r="AD402" s="34" t="n"/>
      <c r="AE402" s="34" t="n"/>
      <c r="AF402" s="34" t="n"/>
      <c r="AG402" s="34" t="n"/>
      <c r="AH402" s="34" t="n"/>
      <c r="AI402" s="34" t="n"/>
      <c r="AJ402" s="34" t="n"/>
      <c r="AK402" s="34" t="n"/>
      <c r="AL402" s="34" t="n"/>
      <c r="AM402" s="34" t="n"/>
      <c r="AN402" s="34" t="n"/>
      <c r="AO402" s="34" t="n"/>
      <c r="AP402" s="34" t="n"/>
      <c r="AQ402" s="34" t="n"/>
      <c r="AR402" s="34" t="n"/>
      <c r="AS402" s="34" t="n"/>
      <c r="AT402" s="34" t="n"/>
      <c r="AU402" s="34" t="n"/>
      <c r="AV402" s="34" t="n"/>
      <c r="AW402" s="34" t="n"/>
      <c r="AX402" s="34" t="n"/>
      <c r="AY402" s="34" t="n"/>
      <c r="AZ402" s="34" t="n"/>
      <c r="BA402" s="34" t="n"/>
      <c r="BB402" s="34" t="n"/>
      <c r="BC402" s="34" t="n"/>
      <c r="BD402" s="34" t="n"/>
      <c r="BE402" s="34" t="n"/>
      <c r="BF402" s="34" t="n"/>
      <c r="BG402" s="34" t="n"/>
      <c r="BH402" s="34" t="n"/>
      <c r="BI402" s="34" t="n"/>
      <c r="BJ402" s="34" t="n"/>
      <c r="BK402" s="34" t="n"/>
      <c r="BL402" s="34" t="n"/>
      <c r="BM402" s="34" t="n"/>
      <c r="BN402" s="34" t="n"/>
      <c r="BO402" s="34" t="n"/>
      <c r="BP402" s="34" t="n"/>
      <c r="BQ402" s="34" t="n"/>
      <c r="BR402" s="34" t="n"/>
      <c r="BS402" s="34" t="n"/>
      <c r="BT402" s="34" t="n"/>
      <c r="BU402" s="34" t="n"/>
      <c r="BV402" s="34" t="n"/>
      <c r="BW402" s="34" t="n"/>
      <c r="BX402" s="34" t="n"/>
      <c r="BY402" s="34" t="n"/>
      <c r="BZ402" s="35" t="n"/>
      <c r="CA402" s="256">
        <f>IFERROR(CA258/CA391,"n/a")</f>
        <v>0.0645626038087653</v>
      </c>
      <c r="CB402" s="256">
        <f>IFERROR(CB258/CB391,"n/a")</f>
        <v>0.0758404164393527</v>
      </c>
      <c r="CC402" s="256">
        <f>IFERROR(CC258/CC391,"n/a")</f>
        <v>0.0964573461571777</v>
      </c>
      <c r="CD402" s="256">
        <f>IFERROR(CD258/CD391,"n/a")</f>
        <v>0.116891203729651</v>
      </c>
      <c r="CE402" s="256">
        <f>IFERROR(CE258/CE391,"n/a")</f>
        <v>0.143508200496289</v>
      </c>
      <c r="CF402" s="256">
        <f>IFERROR(CF258/CF391,"n/a")</f>
        <v>0.177455286496242</v>
      </c>
      <c r="CG402" s="19" t="n"/>
    </row>
    <row r="403" ht="15" customHeight="1" s="251">
      <c r="B403" s="25" t="inlineStr">
        <is>
          <t xml:space="preserve">  Dividend yield</t>
        </is>
      </c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  <c r="AC403" s="34" t="n"/>
      <c r="AD403" s="34" t="n"/>
      <c r="AE403" s="34" t="n"/>
      <c r="AF403" s="34" t="n"/>
      <c r="AG403" s="34" t="n"/>
      <c r="AH403" s="34" t="n"/>
      <c r="AI403" s="34" t="n"/>
      <c r="AJ403" s="34" t="n"/>
      <c r="AK403" s="34" t="n"/>
      <c r="AL403" s="34" t="n"/>
      <c r="AM403" s="34" t="n"/>
      <c r="AN403" s="34" t="n"/>
      <c r="AO403" s="34" t="n"/>
      <c r="AP403" s="34" t="n"/>
      <c r="AQ403" s="34" t="n"/>
      <c r="AR403" s="34" t="n"/>
      <c r="AS403" s="34" t="n"/>
      <c r="AT403" s="34" t="n"/>
      <c r="AU403" s="34" t="n"/>
      <c r="AV403" s="34" t="n"/>
      <c r="AW403" s="34" t="n"/>
      <c r="AX403" s="34" t="n"/>
      <c r="AY403" s="34" t="n"/>
      <c r="AZ403" s="34" t="n"/>
      <c r="BA403" s="34" t="n"/>
      <c r="BB403" s="34" t="n"/>
      <c r="BC403" s="34" t="n"/>
      <c r="BD403" s="34" t="n"/>
      <c r="BE403" s="34" t="n"/>
      <c r="BF403" s="34" t="n"/>
      <c r="BG403" s="34" t="n"/>
      <c r="BH403" s="34" t="n"/>
      <c r="BI403" s="34" t="n"/>
      <c r="BJ403" s="34" t="n"/>
      <c r="BK403" s="34" t="n"/>
      <c r="BL403" s="34" t="n"/>
      <c r="BM403" s="34" t="n"/>
      <c r="BN403" s="34" t="n"/>
      <c r="BO403" s="34" t="n"/>
      <c r="BP403" s="34" t="n"/>
      <c r="BQ403" s="34" t="n"/>
      <c r="BR403" s="34" t="n"/>
      <c r="BS403" s="34" t="n"/>
      <c r="BT403" s="34" t="n"/>
      <c r="BU403" s="34" t="n"/>
      <c r="BV403" s="34" t="n"/>
      <c r="BW403" s="34" t="n"/>
      <c r="BX403" s="34" t="n"/>
      <c r="BY403" s="34" t="n"/>
      <c r="BZ403" s="35" t="n"/>
      <c r="CA403" s="256">
        <f>IFERROR(CA158/CA389,"n/a")</f>
        <v>0</v>
      </c>
      <c r="CB403" s="256">
        <f>IFERROR(CB158/CB389,"n/a")</f>
        <v>0</v>
      </c>
      <c r="CC403" s="256">
        <f>IFERROR(CC158/CC389,"n/a")</f>
        <v>0</v>
      </c>
      <c r="CD403" s="256">
        <f>IFERROR(CD158/CD389,"n/a")</f>
        <v>0</v>
      </c>
      <c r="CE403" s="256">
        <f>IFERROR(CE158/CE389,"n/a")</f>
        <v>0</v>
      </c>
      <c r="CF403" s="256">
        <f>IFERROR(CF158/CF389,"n/a")</f>
        <v>0</v>
      </c>
      <c r="CG403" s="19" t="n"/>
    </row>
    <row r="404" ht="15" customHeight="1" s="251"/>
    <row r="405" ht="15" customHeight="1" s="251"/>
    <row r="406" ht="15" customHeight="1" s="251"/>
    <row r="407" ht="15" customHeight="1" s="251"/>
    <row r="408" ht="15" customHeight="1" s="251"/>
    <row r="409" ht="15" customHeight="1" s="251"/>
    <row r="410" ht="15" customHeight="1" s="251"/>
    <row r="411" ht="15" customHeight="1" s="251"/>
    <row r="412" ht="15" customHeight="1" s="251"/>
    <row r="413" ht="15" customHeight="1" s="251"/>
    <row r="414" ht="15" customHeight="1" s="251"/>
    <row r="415" ht="15" customHeight="1" s="251"/>
    <row r="416" ht="15" customHeight="1" s="251"/>
    <row r="417" ht="15" customHeight="1" s="251"/>
    <row r="418" ht="15" customHeight="1" s="251"/>
    <row r="419" ht="15" customHeight="1" s="251"/>
    <row r="420" ht="15" customHeight="1" s="251"/>
    <row r="421" ht="15" customHeight="1" s="251"/>
    <row r="422" ht="15" customHeight="1" s="251"/>
    <row r="423" ht="15" customHeight="1" s="251"/>
    <row r="424" ht="15" customHeight="1" s="251"/>
    <row r="425" ht="15" customHeight="1" s="251"/>
    <row r="426" ht="15" customHeight="1" s="251"/>
    <row r="427" ht="15" customHeight="1" s="251"/>
    <row r="428" ht="15" customHeight="1" s="251"/>
    <row r="429" ht="15" customHeight="1" s="251"/>
    <row r="430" ht="15" customHeight="1" s="251"/>
    <row r="431" ht="15" customHeight="1" s="251"/>
    <row r="432" ht="15" customHeight="1" s="251"/>
    <row r="433" ht="15" customHeight="1" s="251"/>
    <row r="434" ht="15" customHeight="1" s="251"/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CG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Fair Isaac Corporation (FICO) — Bull / Base / Bear Case P&amp;L Summary</t>
        </is>
      </c>
      <c r="J2" s="152" t="inlineStr">
        <is>
          <t>Share price ($):</t>
        </is>
      </c>
      <c r="K2" s="74">
        <f>Model!$CB$389</f>
        <v>740</v>
      </c>
    </row>
    <row r="3" ht="15" customHeight="1" s="251">
      <c r="B3" s="4" t="inlineStr">
        <is>
          <t>Non-GAAP figures (company definition: non-GAAP net income / EPS; model non-GAAP operating income and adjusted EBITDA) · USD millions · fiscal years ended 30 September · Live panel linked to Model — toggle scenario via Model!CG2. Bull and Bear panels are value snapshots generated from the Model with the switch set to each case. FY2026E = Q1–Q3 actual + Q4 calibrated to the FY26 guidance (revenue $2.53bn, non-GAAP EPS $42.43).</t>
        </is>
      </c>
      <c r="J3" s="152" t="inlineStr">
        <is>
          <t>As of:</t>
        </is>
      </c>
      <c r="K3" s="294" t="str">
        <f>TODAY()</f>
        <v>2026-10-13 00:00:00</v>
      </c>
    </row>
    <row r="5" ht="15" customHeight="1" s="251">
      <c r="B5" s="10" t="inlineStr">
        <is>
          <t>Scenario:</t>
        </is>
      </c>
      <c r="C5" s="75" t="str">
        <f>Model!$CG$2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2026E</t>
        </is>
      </c>
      <c r="D7" s="150" t="inlineStr">
        <is>
          <t>2027E</t>
        </is>
      </c>
      <c r="E7" s="150" t="inlineStr">
        <is>
          <t>2028E</t>
        </is>
      </c>
      <c r="F7" s="150" t="inlineStr">
        <is>
          <t>2029E</t>
        </is>
      </c>
      <c r="G7" s="150" t="inlineStr">
        <is>
          <t>2030E</t>
        </is>
      </c>
      <c r="H7" s="150" t="inlineStr">
        <is>
          <t>2031E</t>
        </is>
      </c>
      <c r="I7" s="150" t="inlineStr">
        <is>
          <t>26-'31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2026E</t>
        </is>
      </c>
      <c r="P7" s="150" t="inlineStr">
        <is>
          <t>2027E</t>
        </is>
      </c>
      <c r="Q7" s="150" t="inlineStr">
        <is>
          <t>2028E</t>
        </is>
      </c>
      <c r="R7" s="150" t="inlineStr">
        <is>
          <t>2029E</t>
        </is>
      </c>
      <c r="S7" s="150" t="inlineStr">
        <is>
          <t>2030E</t>
        </is>
      </c>
      <c r="T7" s="150" t="inlineStr">
        <is>
          <t>2031E</t>
        </is>
      </c>
      <c r="U7" s="150" t="inlineStr">
        <is>
          <t>26-'31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2026E</t>
        </is>
      </c>
      <c r="AB7" s="150" t="inlineStr">
        <is>
          <t>2027E</t>
        </is>
      </c>
      <c r="AC7" s="150" t="inlineStr">
        <is>
          <t>2028E</t>
        </is>
      </c>
      <c r="AD7" s="150" t="inlineStr">
        <is>
          <t>2029E</t>
        </is>
      </c>
      <c r="AE7" s="150" t="inlineStr">
        <is>
          <t>2030E</t>
        </is>
      </c>
      <c r="AF7" s="150" t="inlineStr">
        <is>
          <t>2031E</t>
        </is>
      </c>
      <c r="AG7" s="150" t="inlineStr">
        <is>
          <t>26-'31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Revenue</t>
        </is>
      </c>
      <c r="C9" s="80">
        <f>Model!CA127</f>
        <v>2530</v>
      </c>
      <c r="D9" s="81">
        <f>Model!CB127</f>
        <v>2798.81731240295</v>
      </c>
      <c r="E9" s="81">
        <f>Model!CC127</f>
        <v>3088.21015158473</v>
      </c>
      <c r="F9" s="81">
        <f>Model!CD127</f>
        <v>3379.82307064467</v>
      </c>
      <c r="G9" s="81">
        <f>Model!CE127</f>
        <v>3677.19606569992</v>
      </c>
      <c r="H9" s="81">
        <f>Model!CF127</f>
        <v>3976.46005494732</v>
      </c>
      <c r="I9" s="295">
        <f>IFERROR((H9/C9)^(1/5)-1,"n/m")</f>
        <v>0.0946498467468091</v>
      </c>
      <c r="N9" s="79" t="inlineStr">
        <is>
          <t>Revenue</t>
        </is>
      </c>
      <c r="O9" s="80" t="n">
        <v>2530</v>
      </c>
      <c r="P9" s="81" t="n">
        <v>2927.76002730664</v>
      </c>
      <c r="Q9" s="81" t="n">
        <v>3383.65750850715</v>
      </c>
      <c r="R9" s="81" t="n">
        <v>3884.86330115829</v>
      </c>
      <c r="S9" s="81" t="n">
        <v>4440.29238136082</v>
      </c>
      <c r="T9" s="81" t="n">
        <v>5050.90553753036</v>
      </c>
      <c r="U9" s="295" t="n">
        <v>0.148285141056326</v>
      </c>
      <c r="Z9" s="79" t="inlineStr">
        <is>
          <t>Revenue</t>
        </is>
      </c>
      <c r="AA9" s="80" t="n">
        <v>2530</v>
      </c>
      <c r="AB9" s="81" t="n">
        <v>2549.33964219395</v>
      </c>
      <c r="AC9" s="81" t="n">
        <v>2550.66254786974</v>
      </c>
      <c r="AD9" s="81" t="n">
        <v>2523.39341512143</v>
      </c>
      <c r="AE9" s="81" t="n">
        <v>2476.39248438763</v>
      </c>
      <c r="AF9" s="81" t="n">
        <v>2411.71047349042</v>
      </c>
      <c r="AG9" s="295" t="n">
        <v>-0.009530903658316769</v>
      </c>
    </row>
    <row r="10" ht="15" customHeight="1" s="251">
      <c r="B10" s="83" t="inlineStr">
        <is>
          <t xml:space="preserve">   Revenue y/y %</t>
        </is>
      </c>
      <c r="C10" s="296" t="n"/>
      <c r="D10" s="297">
        <f>IFERROR(D9/C9-1,"")</f>
        <v>0.106251902135555</v>
      </c>
      <c r="E10" s="297">
        <f>IFERROR(E9/D9-1,"")</f>
        <v>0.103398259650363</v>
      </c>
      <c r="F10" s="297">
        <f>IFERROR(F9/E9-1,"")</f>
        <v>0.0944278092312785</v>
      </c>
      <c r="G10" s="297">
        <f>IFERROR(G9/F9-1,"")</f>
        <v>0.0879847816999895</v>
      </c>
      <c r="H10" s="297">
        <f>IFERROR(H9/G9-1,"")</f>
        <v>0.0813837456313145</v>
      </c>
      <c r="N10" s="83" t="inlineStr">
        <is>
          <t xml:space="preserve">   Revenue y/y %</t>
        </is>
      </c>
      <c r="O10" s="296" t="n"/>
      <c r="P10" s="297" t="n">
        <v>0.157217402097485</v>
      </c>
      <c r="Q10" s="297" t="n">
        <v>0.15571545377642</v>
      </c>
      <c r="R10" s="297" t="n">
        <v>0.148125450460341</v>
      </c>
      <c r="S10" s="297" t="n">
        <v>0.142972618891615</v>
      </c>
      <c r="T10" s="297" t="n">
        <v>0.13751642993888</v>
      </c>
      <c r="Z10" s="83" t="inlineStr">
        <is>
          <t xml:space="preserve">   Revenue y/y %</t>
        </is>
      </c>
      <c r="AA10" s="296" t="n"/>
      <c r="AB10" s="297" t="n">
        <v>0.00764412734938769</v>
      </c>
      <c r="AC10" s="297" t="n">
        <v>0.000518920921281918</v>
      </c>
      <c r="AD10" s="297" t="n">
        <v>-0.0106909997839916</v>
      </c>
      <c r="AE10" s="297" t="n">
        <v>-0.0186260812333695</v>
      </c>
      <c r="AF10" s="297" t="n">
        <v>-0.0261194504930025</v>
      </c>
    </row>
    <row r="11" ht="15" customHeight="1" s="251">
      <c r="B11" s="79" t="inlineStr">
        <is>
          <t xml:space="preserve">   Scores segment revenue y/y %</t>
        </is>
      </c>
      <c r="C11" s="86">
        <f>Model!CA216</f>
        <v>0.437593148238992</v>
      </c>
      <c r="D11" s="87">
        <f>Model!CB216</f>
        <v>0.134972220008537</v>
      </c>
      <c r="E11" s="87">
        <f>Model!CC216</f>
        <v>0.109985247109634</v>
      </c>
      <c r="F11" s="87">
        <f>Model!CD216</f>
        <v>0.0929625125425531</v>
      </c>
      <c r="G11" s="87">
        <f>Model!CE216</f>
        <v>0.0833035334041616</v>
      </c>
      <c r="H11" s="87">
        <f>Model!CF216</f>
        <v>0.0746941920546502</v>
      </c>
      <c r="N11" s="79" t="inlineStr">
        <is>
          <t xml:space="preserve">   Scores segment revenue y/y %</t>
        </is>
      </c>
      <c r="O11" s="86" t="n">
        <v>0.437593148238992</v>
      </c>
      <c r="P11" s="87" t="n">
        <v>0.18087373455632</v>
      </c>
      <c r="Q11" s="87" t="n">
        <v>0.156510457193854</v>
      </c>
      <c r="R11" s="87" t="n">
        <v>0.139884127284474</v>
      </c>
      <c r="S11" s="87" t="n">
        <v>0.130593056941672</v>
      </c>
      <c r="T11" s="87" t="n">
        <v>0.122234329171579</v>
      </c>
      <c r="Z11" s="79" t="inlineStr">
        <is>
          <t xml:space="preserve">   Scores segment revenue y/y %</t>
        </is>
      </c>
      <c r="AA11" s="86" t="n">
        <v>0.437593148238992</v>
      </c>
      <c r="AB11" s="87" t="n">
        <v>0.025901514547783</v>
      </c>
      <c r="AC11" s="87" t="n">
        <v>0</v>
      </c>
      <c r="AD11" s="87" t="n">
        <v>-0.0173366608820966</v>
      </c>
      <c r="AE11" s="87" t="n">
        <v>-0.0272896728595837</v>
      </c>
      <c r="AF11" s="87" t="n">
        <v>-0.0358622462502785</v>
      </c>
    </row>
    <row r="12" ht="15" customHeight="1" s="251">
      <c r="B12" s="79" t="inlineStr">
        <is>
          <t>Adjusted EBITDA (model)</t>
        </is>
      </c>
      <c r="C12" s="80">
        <f>Model!CA183</f>
        <v>1545.86958198803</v>
      </c>
      <c r="D12" s="81">
        <f>Model!CB183</f>
        <v>1790.90173054324</v>
      </c>
      <c r="E12" s="81">
        <f>Model!CC183</f>
        <v>2002.24868377843</v>
      </c>
      <c r="F12" s="81">
        <f>Model!CD183</f>
        <v>2209.61014407202</v>
      </c>
      <c r="G12" s="81">
        <f>Model!CE183</f>
        <v>2408.23725661808</v>
      </c>
      <c r="H12" s="81">
        <f>Model!CF183</f>
        <v>2606.28042158237</v>
      </c>
      <c r="I12" s="295">
        <f>IFERROR((H12/C12)^(1/5)-1,"n/m")</f>
        <v>0.110119312357689</v>
      </c>
      <c r="N12" s="79" t="inlineStr">
        <is>
          <t>Adjusted EBITDA (model)</t>
        </is>
      </c>
      <c r="O12" s="80" t="n">
        <v>1543.94549346998</v>
      </c>
      <c r="P12" s="81" t="n">
        <v>1914.19992356222</v>
      </c>
      <c r="Q12" s="81" t="n">
        <v>2233.15941275707</v>
      </c>
      <c r="R12" s="81" t="n">
        <v>2576.31256609092</v>
      </c>
      <c r="S12" s="81" t="n">
        <v>2939.15890450208</v>
      </c>
      <c r="T12" s="81" t="n">
        <v>3333.48928192248</v>
      </c>
      <c r="U12" s="295" t="n">
        <v>0.166415869592161</v>
      </c>
      <c r="Z12" s="79" t="inlineStr">
        <is>
          <t>Adjusted EBITDA (model)</t>
        </is>
      </c>
      <c r="AA12" s="80" t="n">
        <v>1547.79367050608</v>
      </c>
      <c r="AB12" s="81" t="n">
        <v>1521.93202249247</v>
      </c>
      <c r="AC12" s="81" t="n">
        <v>1538.69194138006</v>
      </c>
      <c r="AD12" s="81" t="n">
        <v>1531.92268381059</v>
      </c>
      <c r="AE12" s="81" t="n">
        <v>1503.17280590245</v>
      </c>
      <c r="AF12" s="81" t="n">
        <v>1463.06940503417</v>
      </c>
      <c r="AG12" s="295" t="n">
        <v>-0.0111956405642282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0.611015645054557</v>
      </c>
      <c r="D13" s="89">
        <f>IFERROR(D12/D9,"")</f>
        <v>0.639878037986569</v>
      </c>
      <c r="E13" s="89">
        <f>IFERROR(E12/E9,"")</f>
        <v>0.648352471333913</v>
      </c>
      <c r="F13" s="89">
        <f>IFERROR(F12/F9,"")</f>
        <v>0.653765033815974</v>
      </c>
      <c r="G13" s="89">
        <f>IFERROR(G12/G9,"")</f>
        <v>0.654911300238131</v>
      </c>
      <c r="H13" s="89">
        <f>IFERROR(H12/H9,"")</f>
        <v>0.655427285970033</v>
      </c>
      <c r="J13" s="90">
        <f>IFERROR(AVERAGE(Model!C184,Model!D184,Model!E184,Model!F184,Model!G184,Model!H184,Model!I184,Model!N184,Model!S184,Model!X184,Model!AC184,Model!AH184,Model!AM184,Model!AR184,Model!AW184,Model!BB184,Model!BG184,Model!BL184,Model!BQ184,Model!BV184),"")</f>
        <v>0.352124414133256</v>
      </c>
      <c r="K13" s="90">
        <f>IFERROR(MIN(Model!C184,Model!D184,Model!E184,Model!F184,Model!G184,Model!H184,Model!I184,Model!N184,Model!S184,Model!X184,Model!AC184,Model!AH184,Model!AM184,Model!AR184,Model!AW184,Model!BB184,Model!BG184,Model!BL184,Model!BQ184,Model!BV184),"")</f>
        <v>0.271080309649563</v>
      </c>
      <c r="L13" s="90">
        <f>IFERROR(MAX(Model!C184,Model!D184,Model!E184,Model!F184,Model!G184,Model!H184,Model!I184,Model!N184,Model!S184,Model!X184,Model!AC184,Model!AH184,Model!AM184,Model!AR184,Model!AW184,Model!BB184,Model!BG184,Model!BL184,Model!BQ184,Model!BV184),"")</f>
        <v>0.561957115209489</v>
      </c>
      <c r="N13" s="83" t="inlineStr">
        <is>
          <t xml:space="preserve">   Adjusted EBITDA margin %</t>
        </is>
      </c>
      <c r="O13" s="88" t="n">
        <v>0.610255135758886</v>
      </c>
      <c r="P13" s="89" t="n">
        <v>0.653810389413361</v>
      </c>
      <c r="Q13" s="89" t="n">
        <v>0.659983880502825</v>
      </c>
      <c r="R13" s="89" t="n">
        <v>0.663166852054428</v>
      </c>
      <c r="S13" s="89" t="n">
        <v>0.661929137108154</v>
      </c>
      <c r="T13" s="89" t="n">
        <v>0.659978543877578</v>
      </c>
      <c r="V13" s="90" t="n">
        <v>0.352124414133256</v>
      </c>
      <c r="W13" s="90" t="n">
        <v>0.271080309649563</v>
      </c>
      <c r="X13" s="90" t="n">
        <v>0.561957115209489</v>
      </c>
      <c r="Z13" s="83" t="inlineStr">
        <is>
          <t xml:space="preserve">   Adjusted EBITDA margin %</t>
        </is>
      </c>
      <c r="AA13" s="88" t="n">
        <v>0.611776154350228</v>
      </c>
      <c r="AB13" s="89" t="n">
        <v>0.596990686255795</v>
      </c>
      <c r="AC13" s="89" t="n">
        <v>0.603251865937791</v>
      </c>
      <c r="AD13" s="89" t="n">
        <v>0.60708832583558</v>
      </c>
      <c r="AE13" s="89" t="n">
        <v>0.607001036943527</v>
      </c>
      <c r="AF13" s="89" t="n">
        <v>0.606652175340392</v>
      </c>
      <c r="AH13" s="90" t="n">
        <v>0.352124414133256</v>
      </c>
      <c r="AI13" s="90" t="n">
        <v>0.271080309649563</v>
      </c>
      <c r="AJ13" s="90" t="n">
        <v>0.561957115209489</v>
      </c>
    </row>
    <row r="15" ht="15" customHeight="1" s="251">
      <c r="B15" s="79" t="inlineStr">
        <is>
          <t>Operating income (GAAP)</t>
        </is>
      </c>
      <c r="C15" s="80">
        <f>Model!CA135</f>
        <v>1301.49758198803</v>
      </c>
      <c r="D15" s="81">
        <f>Model!CB135</f>
        <v>1549.99634555101</v>
      </c>
      <c r="E15" s="81">
        <f>Model!CC135</f>
        <v>1743.19187165166</v>
      </c>
      <c r="F15" s="81">
        <f>Model!CD135</f>
        <v>1927.22429842045</v>
      </c>
      <c r="G15" s="81">
        <f>Model!CE135</f>
        <v>2102.06157136208</v>
      </c>
      <c r="H15" s="81">
        <f>Model!CF135</f>
        <v>2276.16361718658</v>
      </c>
      <c r="I15" s="295">
        <f>IFERROR((H15/C15)^(1/5)-1,"n/m")</f>
        <v>0.118283771097282</v>
      </c>
      <c r="N15" s="79" t="inlineStr">
        <is>
          <t>Operating income (GAAP)</t>
        </is>
      </c>
      <c r="O15" s="80" t="n">
        <v>1299.57349346998</v>
      </c>
      <c r="P15" s="81" t="n">
        <v>1662.97912137769</v>
      </c>
      <c r="Q15" s="81" t="n">
        <v>1950.4668120765</v>
      </c>
      <c r="R15" s="81" t="n">
        <v>2253.52350199825</v>
      </c>
      <c r="S15" s="81" t="n">
        <v>2571.93551399321</v>
      </c>
      <c r="T15" s="81" t="n">
        <v>2917.41683892005</v>
      </c>
      <c r="U15" s="295" t="n">
        <v>0.175545729453546</v>
      </c>
      <c r="Z15" s="79" t="inlineStr">
        <is>
          <t>Operating income (GAAP)</t>
        </is>
      </c>
      <c r="AA15" s="80" t="n">
        <v>1303.42167050608</v>
      </c>
      <c r="AB15" s="81" t="n">
        <v>1300.98485111695</v>
      </c>
      <c r="AC15" s="81" t="n">
        <v>1322.63893755048</v>
      </c>
      <c r="AD15" s="81" t="n">
        <v>1318.05121060088</v>
      </c>
      <c r="AE15" s="81" t="n">
        <v>1293.06140715144</v>
      </c>
      <c r="AF15" s="81" t="n">
        <v>1258.13256715494</v>
      </c>
      <c r="AG15" s="295" t="n">
        <v>-0.00704791192955234</v>
      </c>
    </row>
    <row r="16" ht="15" customHeight="1" s="251">
      <c r="B16" s="83" t="inlineStr">
        <is>
          <t xml:space="preserve">   Operating income y/y %</t>
        </is>
      </c>
      <c r="C16" s="296" t="n"/>
      <c r="D16" s="297">
        <f>IFERROR(D15/C15-1,"")</f>
        <v>0.19093294294362</v>
      </c>
      <c r="E16" s="297">
        <f>IFERROR(E15/D15-1,"")</f>
        <v>0.124642568774554</v>
      </c>
      <c r="F16" s="297">
        <f>IFERROR(F15/E15-1,"")</f>
        <v>0.105572100100731</v>
      </c>
      <c r="G16" s="297">
        <f>IFERROR(G15/F15-1,"")</f>
        <v>0.0907197325630109</v>
      </c>
      <c r="H16" s="297">
        <f>IFERROR(H15/G15-1,"")</f>
        <v>0.0828244273128902</v>
      </c>
      <c r="N16" s="83" t="inlineStr">
        <is>
          <t xml:space="preserve">   Operating income y/y %</t>
        </is>
      </c>
      <c r="O16" s="296" t="n"/>
      <c r="P16" s="297" t="n">
        <v>0.279634533740286</v>
      </c>
      <c r="Q16" s="297" t="n">
        <v>0.172875105287334</v>
      </c>
      <c r="R16" s="297" t="n">
        <v>0.15537649143546</v>
      </c>
      <c r="S16" s="297" t="n">
        <v>0.141295181395984</v>
      </c>
      <c r="T16" s="297" t="n">
        <v>0.134327366703859</v>
      </c>
      <c r="Z16" s="83" t="inlineStr">
        <is>
          <t xml:space="preserve">   Operating income y/y %</t>
        </is>
      </c>
      <c r="AA16" s="296" t="n"/>
      <c r="AB16" s="297" t="n">
        <v>-0.00186955568122271</v>
      </c>
      <c r="AC16" s="297" t="n">
        <v>0.0166443801516505</v>
      </c>
      <c r="AD16" s="297" t="n">
        <v>-0.00346861627867967</v>
      </c>
      <c r="AE16" s="297" t="n">
        <v>-0.0189596604809077</v>
      </c>
      <c r="AF16" s="297" t="n">
        <v>-0.0270125144895064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0.514425921734399</v>
      </c>
      <c r="D17" s="89">
        <f>IFERROR(D15/D9,"")</f>
        <v>0.5538040438303</v>
      </c>
      <c r="E17" s="89">
        <f>IFERROR(E15/E9,"")</f>
        <v>0.564466725412819</v>
      </c>
      <c r="F17" s="89">
        <f>IFERROR(F15/F9,"")</f>
        <v>0.570214552104601</v>
      </c>
      <c r="G17" s="89">
        <f>IFERROR(G15/G9,"")</f>
        <v>0.571647944195756</v>
      </c>
      <c r="H17" s="89">
        <f>IFERROR(H15/H9,"")</f>
        <v>0.572409526496989</v>
      </c>
      <c r="J17" s="90">
        <f>IFERROR(AVERAGE(Model!C226,Model!D226,Model!E226,Model!F226,Model!G226,Model!H226,Model!I226,Model!N226,Model!S226,Model!X226,Model!AC226,Model!AH226,Model!AM226,Model!AR226,Model!AW226,Model!BB226,Model!BG226,Model!BL226,Model!BQ226,Model!BV226),"")</f>
        <v>0.253335160999217</v>
      </c>
      <c r="K17" s="90">
        <f>IFERROR(MIN(Model!C226,Model!D226,Model!E226,Model!F226,Model!G226,Model!H226,Model!I226,Model!N226,Model!S226,Model!X226,Model!AC226,Model!AH226,Model!AM226,Model!AR226,Model!AW226,Model!BB226,Model!BG226,Model!BL226,Model!BQ226,Model!BV226),"")</f>
        <v>0.163934328507679</v>
      </c>
      <c r="L17" s="90">
        <f>IFERROR(MAX(Model!C226,Model!D226,Model!E226,Model!F226,Model!G226,Model!H226,Model!I226,Model!N226,Model!S226,Model!X226,Model!AC226,Model!AH226,Model!AM226,Model!AR226,Model!AW226,Model!BB226,Model!BG226,Model!BL226,Model!BQ226,Model!BV226),"")</f>
        <v>0.464545884234472</v>
      </c>
      <c r="N17" s="83" t="inlineStr">
        <is>
          <t xml:space="preserve">   Operating margin (GAAP) %</t>
        </is>
      </c>
      <c r="O17" s="88" t="n">
        <v>0.513665412438727</v>
      </c>
      <c r="P17" s="89" t="n">
        <v>0.5680039025970079</v>
      </c>
      <c r="Q17" s="89" t="n">
        <v>0.576437422278306</v>
      </c>
      <c r="R17" s="89" t="n">
        <v>0.580077940278196</v>
      </c>
      <c r="S17" s="89" t="n">
        <v>0.579226612371186</v>
      </c>
      <c r="T17" s="89" t="n">
        <v>0.577602732270959</v>
      </c>
      <c r="V17" s="90" t="n">
        <v>0.253335160999217</v>
      </c>
      <c r="W17" s="90" t="n">
        <v>0.163934328507679</v>
      </c>
      <c r="X17" s="90" t="n">
        <v>0.464545884234472</v>
      </c>
      <c r="Z17" s="83" t="inlineStr">
        <is>
          <t xml:space="preserve">   Operating margin (GAAP) %</t>
        </is>
      </c>
      <c r="AA17" s="88" t="n">
        <v>0.51518643103007</v>
      </c>
      <c r="AB17" s="89" t="n">
        <v>0.510322292716294</v>
      </c>
      <c r="AC17" s="89" t="n">
        <v>0.51854720596228</v>
      </c>
      <c r="AD17" s="89" t="n">
        <v>0.522332824799518</v>
      </c>
      <c r="AE17" s="89" t="n">
        <v>0.522155278415486</v>
      </c>
      <c r="AF17" s="89" t="n">
        <v>0.521676453697225</v>
      </c>
      <c r="AH17" s="90" t="n">
        <v>0.253335160999217</v>
      </c>
      <c r="AI17" s="90" t="n">
        <v>0.163934328507679</v>
      </c>
      <c r="AJ17" s="90" t="n">
        <v>0.464545884234472</v>
      </c>
    </row>
    <row r="19" ht="15" customHeight="1" s="251">
      <c r="B19" s="79" t="inlineStr">
        <is>
          <t>Non-GAAP Net Income</t>
        </is>
      </c>
      <c r="C19" s="80">
        <f>Model!CA201</f>
        <v>972.859408581081</v>
      </c>
      <c r="D19" s="81">
        <f>Model!CB201</f>
        <v>1094.42929303116</v>
      </c>
      <c r="E19" s="81">
        <f>Model!CC201</f>
        <v>1251.8588512121</v>
      </c>
      <c r="F19" s="81">
        <f>Model!CD201</f>
        <v>1355.85500801231</v>
      </c>
      <c r="G19" s="81">
        <f>Model!CE201</f>
        <v>1474.34746238339</v>
      </c>
      <c r="H19" s="81">
        <f>Model!CF201</f>
        <v>1593.59922547257</v>
      </c>
      <c r="I19" s="295">
        <f>IFERROR((H19/C19)^(1/5)-1,"n/m")</f>
        <v>0.103737518226021</v>
      </c>
      <c r="N19" s="79" t="inlineStr">
        <is>
          <t>Non-GAAP Net Income</t>
        </is>
      </c>
      <c r="O19" s="80" t="n">
        <v>971.425962635135</v>
      </c>
      <c r="P19" s="81" t="n">
        <v>1177.82015186071</v>
      </c>
      <c r="Q19" s="81" t="n">
        <v>1388.01634233873</v>
      </c>
      <c r="R19" s="81" t="n">
        <v>1570.14819154262</v>
      </c>
      <c r="S19" s="81" t="n">
        <v>1787.50956847783</v>
      </c>
      <c r="T19" s="81" t="n">
        <v>2025.20073868867</v>
      </c>
      <c r="U19" s="295" t="n">
        <v>0.158274977163439</v>
      </c>
      <c r="Z19" s="79" t="inlineStr">
        <is>
          <t>Non-GAAP Net Income</t>
        </is>
      </c>
      <c r="AA19" s="80" t="n">
        <v>974.292854527027</v>
      </c>
      <c r="AB19" s="81" t="n">
        <v>902.5080076596061</v>
      </c>
      <c r="AC19" s="81" t="n">
        <v>951.289007795649</v>
      </c>
      <c r="AD19" s="81" t="n">
        <v>941.289784440464</v>
      </c>
      <c r="AE19" s="81" t="n">
        <v>920.263228752612</v>
      </c>
      <c r="AF19" s="81" t="n">
        <v>891.651890588344</v>
      </c>
      <c r="AG19" s="295" t="n">
        <v>-0.0175710233468311</v>
      </c>
    </row>
    <row r="21" ht="15" customHeight="1" s="251">
      <c r="B21" s="79" t="inlineStr">
        <is>
          <t>FDSO (m)</t>
        </is>
      </c>
      <c r="C21" s="91">
        <f>Model!CA153</f>
        <v>22.9285743243243</v>
      </c>
      <c r="D21" s="92">
        <f>Model!CB153</f>
        <v>20.4748887664363</v>
      </c>
      <c r="E21" s="92">
        <f>Model!CC153</f>
        <v>18.9182593532966</v>
      </c>
      <c r="F21" s="92">
        <f>Model!CD153</f>
        <v>16.9836537502718</v>
      </c>
      <c r="G21" s="92">
        <f>Model!CE153</f>
        <v>15.1164381557209</v>
      </c>
      <c r="H21" s="92">
        <f>Model!CF153</f>
        <v>13.3064473519616</v>
      </c>
      <c r="I21" s="295">
        <f>IFERROR((H21/C21)^(1/5)-1,"n/m")</f>
        <v>-0.103114477543406</v>
      </c>
      <c r="N21" s="79" t="inlineStr">
        <is>
          <t>FDSO (m)</t>
        </is>
      </c>
      <c r="O21" s="91" t="n">
        <v>22.8947905405405</v>
      </c>
      <c r="P21" s="92" t="n">
        <v>19.7529936661084</v>
      </c>
      <c r="Q21" s="92" t="n">
        <v>17.4410052204016</v>
      </c>
      <c r="R21" s="92" t="n">
        <v>14.8348144663543</v>
      </c>
      <c r="S21" s="92" t="n">
        <v>12.1695778919486</v>
      </c>
      <c r="T21" s="92" t="n">
        <v>9.43353578562018</v>
      </c>
      <c r="U21" s="295" t="n">
        <v>-0.162494697574716</v>
      </c>
      <c r="Z21" s="79" t="inlineStr">
        <is>
          <t>FDSO (m)</t>
        </is>
      </c>
      <c r="AA21" s="91" t="n">
        <v>22.9623581081081</v>
      </c>
      <c r="AB21" s="92" t="n">
        <v>21.3928648648649</v>
      </c>
      <c r="AC21" s="92" t="n">
        <v>21.2796823569641</v>
      </c>
      <c r="AD21" s="92" t="n">
        <v>20.6870176493631</v>
      </c>
      <c r="AE21" s="92" t="n">
        <v>19.9502994722485</v>
      </c>
      <c r="AF21" s="92" t="n">
        <v>19.3410952813375</v>
      </c>
      <c r="AG21" s="295" t="n">
        <v>-0.0337424157688724</v>
      </c>
    </row>
    <row r="23" ht="15" customHeight="1" s="251">
      <c r="B23" s="79" t="inlineStr">
        <is>
          <t>Non-GAAP EPS — Diluted ($)</t>
        </is>
      </c>
      <c r="C23" s="93">
        <f>Model!CA205</f>
        <v>42.43</v>
      </c>
      <c r="D23" s="94">
        <f>Model!CB205</f>
        <v>53.452270511243</v>
      </c>
      <c r="E23" s="94">
        <f>Model!CC205</f>
        <v>66.171989073295</v>
      </c>
      <c r="F23" s="94">
        <f>Model!CD205</f>
        <v>79.832939834316</v>
      </c>
      <c r="G23" s="94">
        <f>Model!CE205</f>
        <v>97.5327287549824</v>
      </c>
      <c r="H23" s="94">
        <f>Model!CF205</f>
        <v>119.761434688098</v>
      </c>
      <c r="I23" s="295">
        <f>IFERROR((H23/C23)^(1/5)-1,"n/m")</f>
        <v>0.230633665713383</v>
      </c>
      <c r="N23" s="79" t="inlineStr">
        <is>
          <t>Non-GAAP EPS — Diluted ($)</t>
        </is>
      </c>
      <c r="O23" s="93" t="n">
        <v>42.43</v>
      </c>
      <c r="P23" s="94" t="n">
        <v>59.6274251776619</v>
      </c>
      <c r="Q23" s="94" t="n">
        <v>79.5835059274619</v>
      </c>
      <c r="R23" s="94" t="n">
        <v>105.842118558594</v>
      </c>
      <c r="S23" s="94" t="n">
        <v>146.883448575521</v>
      </c>
      <c r="T23" s="94" t="n">
        <v>214.680983325016</v>
      </c>
      <c r="U23" s="295" t="n">
        <v>0.383006141942333</v>
      </c>
      <c r="Z23" s="79" t="inlineStr">
        <is>
          <t>Non-GAAP EPS — Diluted ($)</t>
        </is>
      </c>
      <c r="AA23" s="93" t="n">
        <v>42.43</v>
      </c>
      <c r="AB23" s="94" t="n">
        <v>42.1873373837772</v>
      </c>
      <c r="AC23" s="94" t="n">
        <v>44.7040981081338</v>
      </c>
      <c r="AD23" s="94" t="n">
        <v>45.5014734552347</v>
      </c>
      <c r="AE23" s="94" t="n">
        <v>46.1277902135117</v>
      </c>
      <c r="AF23" s="94" t="n">
        <v>46.1014165753432</v>
      </c>
      <c r="AG23" s="295" t="n">
        <v>0.0167361091762184</v>
      </c>
    </row>
    <row r="24" ht="15" customHeight="1" s="251">
      <c r="B24" s="83" t="inlineStr">
        <is>
          <t xml:space="preserve">   EPS y/y %</t>
        </is>
      </c>
      <c r="C24" s="296" t="n"/>
      <c r="D24" s="297">
        <f>IFERROR(D23/C23-1,"")</f>
        <v>0.259775406816945</v>
      </c>
      <c r="E24" s="297">
        <f>IFERROR(E23/D23-1,"")</f>
        <v>0.237964046061928</v>
      </c>
      <c r="F24" s="297">
        <f>IFERROR(F23/E23-1,"")</f>
        <v>0.206446125503188</v>
      </c>
      <c r="G24" s="297">
        <f>IFERROR(G23/F23-1,"")</f>
        <v>0.221710348602973</v>
      </c>
      <c r="H24" s="297">
        <f>IFERROR(H23/G23-1,"")</f>
        <v>0.227910222720806</v>
      </c>
      <c r="N24" s="83" t="inlineStr">
        <is>
          <t xml:space="preserve">   EPS y/y %</t>
        </is>
      </c>
      <c r="O24" s="296" t="n"/>
      <c r="P24" s="297" t="n">
        <v>0.40531287244077</v>
      </c>
      <c r="Q24" s="297" t="n">
        <v>0.334679565490884</v>
      </c>
      <c r="R24" s="297" t="n">
        <v>0.329950437909414</v>
      </c>
      <c r="S24" s="297" t="n">
        <v>0.387759906697312</v>
      </c>
      <c r="T24" s="297" t="n">
        <v>0.461573685850905</v>
      </c>
      <c r="Z24" s="83" t="inlineStr">
        <is>
          <t xml:space="preserve">   EPS y/y %</t>
        </is>
      </c>
      <c r="AA24" s="296" t="n"/>
      <c r="AB24" s="297" t="n">
        <v>-0.00571912835783295</v>
      </c>
      <c r="AC24" s="297" t="n">
        <v>0.059656780456699</v>
      </c>
      <c r="AD24" s="297" t="n">
        <v>0.0178367393783914</v>
      </c>
      <c r="AE24" s="297" t="n">
        <v>0.0137647577257742</v>
      </c>
      <c r="AF24" s="297" t="n">
        <v>-0.00057175160670897</v>
      </c>
    </row>
    <row r="26" ht="15" customHeight="1" s="251">
      <c r="B26" s="83" t="inlineStr">
        <is>
          <t>P / E (x) — assumed (non-GAAP EPS)</t>
        </is>
      </c>
      <c r="C26" s="298" t="n"/>
      <c r="D26" s="298" t="n"/>
      <c r="E26" s="298" t="n"/>
      <c r="F26" s="298" t="n"/>
      <c r="G26" s="298" t="n">
        <v>30</v>
      </c>
      <c r="H26" s="298" t="n">
        <v>30</v>
      </c>
      <c r="N26" s="83" t="inlineStr">
        <is>
          <t>P / E (x) — assumed (non-GAAP EPS)</t>
        </is>
      </c>
      <c r="O26" s="298" t="n"/>
      <c r="P26" s="298" t="n"/>
      <c r="Q26" s="298" t="n"/>
      <c r="R26" s="298" t="n"/>
      <c r="S26" s="298" t="n">
        <v>38</v>
      </c>
      <c r="T26" s="298" t="n">
        <v>38</v>
      </c>
      <c r="Z26" s="83" t="inlineStr">
        <is>
          <t>P / E (x) — assumed (non-GAAP EPS)</t>
        </is>
      </c>
      <c r="AA26" s="298" t="n"/>
      <c r="AB26" s="298" t="n"/>
      <c r="AC26" s="298" t="n"/>
      <c r="AD26" s="298" t="n">
        <v>20</v>
      </c>
      <c r="AE26" s="298" t="n">
        <v>20</v>
      </c>
      <c r="AF26" s="298" t="n">
        <v>20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2925.98186264947</v>
      </c>
      <c r="H27" s="96">
        <f>H26*H23</f>
        <v>3592.84304064295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5581.5710458698</v>
      </c>
      <c r="T27" s="96">
        <f>T26*T23</f>
        <v>8157.87736635061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910.029469104694</v>
      </c>
      <c r="AE27" s="96">
        <f>AE26*AE23</f>
        <v>922.555804270234</v>
      </c>
      <c r="AF27" s="96">
        <f>AF26*AF23</f>
        <v>922.028331506864</v>
      </c>
    </row>
    <row r="28" ht="15" customHeight="1" s="251">
      <c r="B28" t="inlineStr">
        <is>
          <t xml:space="preserve">   Upside / (Downside) vs current</t>
        </is>
      </c>
      <c r="E28" s="299" t="n"/>
      <c r="F28" s="299" t="n"/>
      <c r="G28" s="299">
        <f>IFERROR(G27/$K$2-1,"")</f>
        <v>2.95402954412091</v>
      </c>
      <c r="H28" s="299">
        <f>IFERROR(H27/$K$2-1,"")</f>
        <v>3.85519329816615</v>
      </c>
      <c r="N28" t="inlineStr">
        <is>
          <t xml:space="preserve">   Upside / (Downside) vs current</t>
        </is>
      </c>
      <c r="O28" s="299" t="n"/>
      <c r="P28" s="299" t="n"/>
      <c r="Q28" s="299" t="n"/>
      <c r="R28" s="299" t="n"/>
      <c r="S28" s="299">
        <f>IFERROR(S27/$K$2-1,"")</f>
        <v>6.54266357549973</v>
      </c>
      <c r="T28" s="299">
        <f>IFERROR(T27/$K$2-1,"")</f>
        <v>10.0241586031765</v>
      </c>
      <c r="Z28" t="inlineStr">
        <is>
          <t xml:space="preserve">   Upside / (Downside) vs current</t>
        </is>
      </c>
      <c r="AA28" s="299" t="n"/>
      <c r="AB28" s="299" t="n"/>
      <c r="AC28" s="299" t="n"/>
      <c r="AD28" s="299">
        <f>IFERROR(AD27/$K$2-1,"")</f>
        <v>0.229769552844181</v>
      </c>
      <c r="AE28" s="299">
        <f>IFERROR(AE27/$K$2-1,"")</f>
        <v>0.246697032797613</v>
      </c>
      <c r="AF28" s="299">
        <f>IFERROR(AF27/$K$2-1,"")</f>
        <v>0.245984231766032</v>
      </c>
    </row>
    <row r="29" ht="15" customHeight="1" s="251">
      <c r="B29" s="75" t="inlineStr">
        <is>
          <t>IRR (to 30-Sep of Y-1)</t>
        </is>
      </c>
      <c r="C29" s="300" t="n"/>
      <c r="D29" s="300" t="n"/>
      <c r="E29" s="300" t="n"/>
      <c r="F29" s="300" t="n"/>
      <c r="G29" s="300">
        <f>IFERROR((G27/$K$2)^(1/((DATE(2030-1,9,30)-$K$3)/365.25))-1,"")</f>
        <v>0.589850389958512</v>
      </c>
      <c r="H29" s="300">
        <f>IFERROR((H27/$K$2)^(1/((DATE(2031-1,9,30)-$K$3)/365.25))-1,"")</f>
        <v>0.489675944374185</v>
      </c>
      <c r="N29" s="75" t="inlineStr">
        <is>
          <t>IRR (to 30-Sep of Y-1)</t>
        </is>
      </c>
      <c r="O29" s="300" t="n"/>
      <c r="P29" s="300" t="n"/>
      <c r="Q29" s="300" t="n"/>
      <c r="R29" s="300" t="n"/>
      <c r="S29" s="300">
        <f>IFERROR((S27/$K$2)^(1/((DATE(2030-1,9,30)-$K$3)/365.25))-1,"")</f>
        <v>0.976750705284186</v>
      </c>
      <c r="T29" s="300">
        <f>IFERROR((T27/$K$2)^(1/((DATE(2031-1,9,30)-$K$3)/365.25))-1,"")</f>
        <v>0.832001739259841</v>
      </c>
      <c r="Z29" s="75" t="inlineStr">
        <is>
          <t>IRR (to 30-Sep of Y-1)</t>
        </is>
      </c>
      <c r="AA29" s="300" t="n"/>
      <c r="AB29" s="300" t="n"/>
      <c r="AC29" s="300" t="n"/>
      <c r="AD29" s="300">
        <f>IFERROR((AD27/$K$2)^(1/((DATE(2029-1,9,30)-$K$3)/365.25))-1,"")</f>
        <v>0.11094807316681</v>
      </c>
      <c r="AE29" s="300">
        <f>IFERROR((AE27/$K$2)^(1/((DATE(2030-1,9,30)-$K$3)/365.25))-1,"")</f>
        <v>0.0771993972252574</v>
      </c>
      <c r="AF29" s="300">
        <f>IFERROR((AF27/$K$2)^(1/((DATE(2031-1,9,30)-$K$3)/365.25))-1,"")</f>
        <v>0.0570426532676367</v>
      </c>
    </row>
    <row r="31" ht="15" customHeight="1" s="251">
      <c r="B31" s="79" t="inlineStr">
        <is>
          <t>Free Cash Flow</t>
        </is>
      </c>
      <c r="C31" s="80">
        <f>Model!CA258</f>
        <v>1002.37574419752</v>
      </c>
      <c r="D31" s="81">
        <f>Model!CB258</f>
        <v>1116.94848314748</v>
      </c>
      <c r="E31" s="81">
        <f>Model!CC258</f>
        <v>1280.12484064454</v>
      </c>
      <c r="F31" s="81">
        <f>Model!CD258</f>
        <v>1386.84389020631</v>
      </c>
      <c r="G31" s="81">
        <f>Model!CE258</f>
        <v>1507.97403750263</v>
      </c>
      <c r="H31" s="81">
        <f>Model!CF258</f>
        <v>1630.035531953</v>
      </c>
      <c r="I31" s="295">
        <f>IFERROR((H31/C31)^(1/5)-1,"n/m")</f>
        <v>0.102131219225373</v>
      </c>
      <c r="N31" s="79" t="inlineStr">
        <is>
          <t>Free Cash Flow</t>
        </is>
      </c>
      <c r="O31" s="80" t="n">
        <v>1000.94229825157</v>
      </c>
      <c r="P31" s="81" t="n">
        <v>1196.45643524663</v>
      </c>
      <c r="Q31" s="81" t="n">
        <v>1412.51131455027</v>
      </c>
      <c r="R31" s="81" t="n">
        <v>1597.67362704971</v>
      </c>
      <c r="S31" s="81" t="n">
        <v>1818.23377894171</v>
      </c>
      <c r="T31" s="81" t="n">
        <v>2059.61750397177</v>
      </c>
      <c r="U31" s="295" t="n">
        <v>0.155248747587033</v>
      </c>
      <c r="Z31" s="79" t="inlineStr">
        <is>
          <t>Free Cash Flow</t>
        </is>
      </c>
      <c r="AA31" s="80" t="n">
        <v>1003.80919014347</v>
      </c>
      <c r="AB31" s="81" t="n">
        <v>932.539824801495</v>
      </c>
      <c r="AC31" s="81" t="n">
        <v>985.824804726002</v>
      </c>
      <c r="AD31" s="81" t="n">
        <v>976.699338376421</v>
      </c>
      <c r="AE31" s="81" t="n">
        <v>956.004100260869</v>
      </c>
      <c r="AF31" s="81" t="n">
        <v>927.472110999691</v>
      </c>
      <c r="AG31" s="295" t="n">
        <v>-0.0156944398253176</v>
      </c>
    </row>
    <row r="32" ht="15" customHeight="1" s="251">
      <c r="B32" s="83" t="inlineStr">
        <is>
          <t xml:space="preserve">   FCF %</t>
        </is>
      </c>
      <c r="C32" s="88">
        <f>IFERROR(C31/C9,"")</f>
        <v>0.39619594632313</v>
      </c>
      <c r="D32" s="89">
        <f>IFERROR(D31/D9,"")</f>
        <v>0.399078738793604</v>
      </c>
      <c r="E32" s="89">
        <f>IFERROR(E31/E9,"")</f>
        <v>0.414519989835418</v>
      </c>
      <c r="F32" s="89">
        <f>IFERROR(F31/F9,"")</f>
        <v>0.410330322392225</v>
      </c>
      <c r="G32" s="89">
        <f>IFERROR(G31/G9,"")</f>
        <v>0.410088015585755</v>
      </c>
      <c r="H32" s="89">
        <f>IFERROR(H31/H9,"")</f>
        <v>0.409921263995847</v>
      </c>
      <c r="J32" s="90">
        <f>IFERROR(AVERAGE(Model!C263,Model!D263,Model!E263,Model!F263,Model!G263,Model!H263,Model!I263,Model!N263,Model!S263,Model!X263,Model!AC263,Model!AH263,Model!AM263,Model!AR263,Model!AW263,Model!BB263,Model!BG263,Model!BL263,Model!BQ263,Model!BV263),"")</f>
        <v>0.227558812869796</v>
      </c>
      <c r="K32" s="90">
        <f>IFERROR(MIN(Model!C263,Model!D263,Model!E263,Model!F263,Model!G263,Model!H263,Model!I263,Model!N263,Model!S263,Model!X263,Model!AC263,Model!AH263,Model!AM263,Model!AR263,Model!AW263,Model!BB263,Model!BG263,Model!BL263,Model!BQ263,Model!BV263),"")</f>
        <v>0.128732052824277</v>
      </c>
      <c r="L32" s="90">
        <f>IFERROR(MAX(Model!C263,Model!D263,Model!E263,Model!F263,Model!G263,Model!H263,Model!I263,Model!N263,Model!S263,Model!X263,Model!AC263,Model!AH263,Model!AM263,Model!AR263,Model!AW263,Model!BB263,Model!BG263,Model!BL263,Model!BQ263,Model!BV263),"")</f>
        <v>0.371395606642125</v>
      </c>
      <c r="N32" s="83" t="inlineStr">
        <is>
          <t xml:space="preserve">   FCF %</t>
        </is>
      </c>
      <c r="O32" s="88" t="n">
        <v>0.395629366897855</v>
      </c>
      <c r="P32" s="89" t="n">
        <v>0.40865932456469</v>
      </c>
      <c r="Q32" s="89" t="n">
        <v>0.417451030726057</v>
      </c>
      <c r="R32" s="89" t="n">
        <v>0.411256073430784</v>
      </c>
      <c r="S32" s="89" t="n">
        <v>0.409485147098461</v>
      </c>
      <c r="T32" s="89" t="n">
        <v>0.407771930927622</v>
      </c>
      <c r="V32" s="90" t="n">
        <v>0.227558812869796</v>
      </c>
      <c r="W32" s="90" t="n">
        <v>0.128732052824277</v>
      </c>
      <c r="X32" s="90" t="n">
        <v>0.371395606642125</v>
      </c>
      <c r="Z32" s="83" t="inlineStr">
        <is>
          <t xml:space="preserve">   FCF %</t>
        </is>
      </c>
      <c r="AA32" s="88" t="n">
        <v>0.396762525748405</v>
      </c>
      <c r="AB32" s="89" t="n">
        <v>0.365796620178453</v>
      </c>
      <c r="AC32" s="89" t="n">
        <v>0.386497541805106</v>
      </c>
      <c r="AD32" s="89" t="n">
        <v>0.387057892964114</v>
      </c>
      <c r="AE32" s="89" t="n">
        <v>0.386047085140171</v>
      </c>
      <c r="AF32" s="89" t="n">
        <v>0.38457025467795</v>
      </c>
      <c r="AH32" s="90" t="n">
        <v>0.227558812869796</v>
      </c>
      <c r="AI32" s="90" t="n">
        <v>0.128732052824277</v>
      </c>
      <c r="AJ32" s="90" t="n">
        <v>0.371395606642125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43.7173166555814</v>
      </c>
      <c r="D33" s="100">
        <f>IFERROR(D31/D21,"")</f>
        <v>54.5521148314342</v>
      </c>
      <c r="E33" s="100">
        <f>IFERROR(E31/E21,"")</f>
        <v>67.6661006035669</v>
      </c>
      <c r="F33" s="100">
        <f>IFERROR(F31/F21,"")</f>
        <v>81.6575697195965</v>
      </c>
      <c r="G33" s="100">
        <f>IFERROR(G31/G21,"")</f>
        <v>99.7572326210936</v>
      </c>
      <c r="H33" s="100">
        <f>IFERROR(H31/H21,"")</f>
        <v>122.499679203458</v>
      </c>
      <c r="N33" s="83" t="inlineStr">
        <is>
          <t xml:space="preserve">   FCF / share ($)</t>
        </is>
      </c>
      <c r="O33" s="99" t="n">
        <v>43.7192162330192</v>
      </c>
      <c r="P33" s="100" t="n">
        <v>60.5708914542647</v>
      </c>
      <c r="Q33" s="100" t="n">
        <v>80.98795319996729</v>
      </c>
      <c r="R33" s="100" t="n">
        <v>107.697580625176</v>
      </c>
      <c r="S33" s="100" t="n">
        <v>149.408122047081</v>
      </c>
      <c r="T33" s="100" t="n">
        <v>218.329325374618</v>
      </c>
      <c r="Z33" s="83" t="inlineStr">
        <is>
          <t xml:space="preserve">   FCF / share ($)</t>
        </is>
      </c>
      <c r="AA33" s="99" t="n">
        <v>43.7154226677188</v>
      </c>
      <c r="AB33" s="100" t="n">
        <v>43.5911613845173</v>
      </c>
      <c r="AC33" s="100" t="n">
        <v>46.3270451216756</v>
      </c>
      <c r="AD33" s="100" t="n">
        <v>47.2131534342502</v>
      </c>
      <c r="AE33" s="100" t="n">
        <v>47.9192857024879</v>
      </c>
      <c r="AF33" s="100" t="n">
        <v>47.9534430449047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0.034093592272224</v>
      </c>
      <c r="H34" s="101">
        <f>IFERROR(H33/H$27,"")</f>
        <v>0.0340954719751789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0.0267681125653034</v>
      </c>
      <c r="T34" s="101">
        <f>IFERROR(T33/T$27,"")</f>
        <v>0.0267630065481466</v>
      </c>
      <c r="Z34" s="83" t="inlineStr">
        <is>
          <t xml:space="preserve">   FCF Yield (on PT)</t>
        </is>
      </c>
      <c r="AC34" s="101" t="n"/>
      <c r="AD34" s="101">
        <f>IFERROR(AD33/AD$27,"")</f>
        <v>0.0518809060993371</v>
      </c>
      <c r="AE34" s="101">
        <f>IFERROR(AE33/AE$27,"")</f>
        <v>0.0519418830608229</v>
      </c>
      <c r="AF34" s="101">
        <f>IFERROR(AF33/AF$27,"")</f>
        <v>0.0520086437762002</v>
      </c>
    </row>
    <row r="35" ht="15" customHeight="1" s="251">
      <c r="B35" s="79" t="inlineStr">
        <is>
          <t>Adjusted EBITDA (leverage basis)</t>
        </is>
      </c>
      <c r="C35" s="80">
        <f>Model!CA183</f>
        <v>1545.86958198803</v>
      </c>
      <c r="D35" s="81">
        <f>Model!CB183</f>
        <v>1790.90173054324</v>
      </c>
      <c r="E35" s="81">
        <f>Model!CC183</f>
        <v>2002.24868377843</v>
      </c>
      <c r="F35" s="81">
        <f>Model!CD183</f>
        <v>2209.61014407202</v>
      </c>
      <c r="G35" s="81">
        <f>Model!CE183</f>
        <v>2408.23725661808</v>
      </c>
      <c r="H35" s="81">
        <f>Model!CF183</f>
        <v>2606.28042158237</v>
      </c>
      <c r="I35" s="295">
        <f>IFERROR((H35/C35)^(1/5)-1,"n/m")</f>
        <v>0.110119312357689</v>
      </c>
      <c r="N35" s="79" t="inlineStr">
        <is>
          <t>Adjusted EBITDA (leverage basis)</t>
        </is>
      </c>
      <c r="O35" s="80" t="n">
        <v>1543.94549346998</v>
      </c>
      <c r="P35" s="81" t="n">
        <v>1914.19992356222</v>
      </c>
      <c r="Q35" s="81" t="n">
        <v>2233.15941275707</v>
      </c>
      <c r="R35" s="81" t="n">
        <v>2576.31256609092</v>
      </c>
      <c r="S35" s="81" t="n">
        <v>2939.15890450208</v>
      </c>
      <c r="T35" s="81" t="n">
        <v>3333.48928192248</v>
      </c>
      <c r="U35" s="295" t="n">
        <v>0.166415869592161</v>
      </c>
      <c r="Z35" s="79" t="inlineStr">
        <is>
          <t>Adjusted EBITDA (leverage basis)</t>
        </is>
      </c>
      <c r="AA35" s="80" t="n">
        <v>1547.79367050608</v>
      </c>
      <c r="AB35" s="81" t="n">
        <v>1521.93202249247</v>
      </c>
      <c r="AC35" s="81" t="n">
        <v>1538.69194138006</v>
      </c>
      <c r="AD35" s="81" t="n">
        <v>1531.92268381059</v>
      </c>
      <c r="AE35" s="81" t="n">
        <v>1503.17280590245</v>
      </c>
      <c r="AF35" s="81" t="n">
        <v>1463.06940503417</v>
      </c>
      <c r="AG35" s="295" t="n">
        <v>-0.0111956405642282</v>
      </c>
    </row>
    <row r="36" ht="15" customHeight="1" s="251">
      <c r="B36" s="83" t="inlineStr">
        <is>
          <t xml:space="preserve">   Adjusted EBITDA % of revenue</t>
        </is>
      </c>
      <c r="C36" s="88">
        <f>IFERROR(C35/C9,"")</f>
        <v>0.611015645054557</v>
      </c>
      <c r="D36" s="89">
        <f>IFERROR(D35/D9,"")</f>
        <v>0.639878037986569</v>
      </c>
      <c r="E36" s="89">
        <f>IFERROR(E35/E9,"")</f>
        <v>0.648352471333913</v>
      </c>
      <c r="F36" s="89">
        <f>IFERROR(F35/F9,"")</f>
        <v>0.653765033815974</v>
      </c>
      <c r="G36" s="89">
        <f>IFERROR(G35/G9,"")</f>
        <v>0.654911300238131</v>
      </c>
      <c r="H36" s="89">
        <f>IFERROR(H35/H9,"")</f>
        <v>0.655427285970033</v>
      </c>
      <c r="J36" s="90">
        <f>IFERROR(AVERAGE(Model!C225,Model!D225,Model!E225,Model!F225,Model!G225,Model!H225,Model!I225,Model!N225,Model!S225,Model!X225,Model!AC225,Model!AH225,Model!AM225,Model!AR225,Model!AW225,Model!BB225,Model!BG225,Model!BL225,Model!BQ225,Model!BV225),"")</f>
        <v>0.352124414133256</v>
      </c>
      <c r="K36" s="90">
        <f>IFERROR(MIN(Model!C225,Model!D225,Model!E225,Model!F225,Model!G225,Model!H225,Model!I225,Model!N225,Model!S225,Model!X225,Model!AC225,Model!AH225,Model!AM225,Model!AR225,Model!AW225,Model!BB225,Model!BG225,Model!BL225,Model!BQ225,Model!BV225),"")</f>
        <v>0.271080309649563</v>
      </c>
      <c r="L36" s="90">
        <f>IFERROR(MAX(Model!C225,Model!D225,Model!E225,Model!F225,Model!G225,Model!H225,Model!I225,Model!N225,Model!S225,Model!X225,Model!AC225,Model!AH225,Model!AM225,Model!AR225,Model!AW225,Model!BB225,Model!BG225,Model!BL225,Model!BQ225,Model!BV225),"")</f>
        <v>0.561957115209489</v>
      </c>
      <c r="N36" s="83" t="inlineStr">
        <is>
          <t xml:space="preserve">   Adjusted EBITDA % of revenue</t>
        </is>
      </c>
      <c r="O36" s="88" t="n">
        <v>0.610255135758886</v>
      </c>
      <c r="P36" s="89" t="n">
        <v>0.653810389413361</v>
      </c>
      <c r="Q36" s="89" t="n">
        <v>0.659983880502825</v>
      </c>
      <c r="R36" s="89" t="n">
        <v>0.663166852054428</v>
      </c>
      <c r="S36" s="89" t="n">
        <v>0.661929137108154</v>
      </c>
      <c r="T36" s="89" t="n">
        <v>0.659978543877578</v>
      </c>
      <c r="V36" s="90" t="n">
        <v>0.352124414133256</v>
      </c>
      <c r="W36" s="90" t="n">
        <v>0.271080309649563</v>
      </c>
      <c r="X36" s="90" t="n">
        <v>0.561957115209489</v>
      </c>
      <c r="Z36" s="83" t="inlineStr">
        <is>
          <t xml:space="preserve">   Adjusted EBITDA % of revenue</t>
        </is>
      </c>
      <c r="AA36" s="88" t="n">
        <v>0.611776154350228</v>
      </c>
      <c r="AB36" s="89" t="n">
        <v>0.596990686255795</v>
      </c>
      <c r="AC36" s="89" t="n">
        <v>0.603251865937791</v>
      </c>
      <c r="AD36" s="89" t="n">
        <v>0.60708832583558</v>
      </c>
      <c r="AE36" s="89" t="n">
        <v>0.607001036943527</v>
      </c>
      <c r="AF36" s="89" t="n">
        <v>0.606652175340392</v>
      </c>
      <c r="AH36" s="90" t="n">
        <v>0.352124414133256</v>
      </c>
      <c r="AI36" s="90" t="n">
        <v>0.271080309649563</v>
      </c>
      <c r="AJ36" s="90" t="n">
        <v>0.561957115209489</v>
      </c>
    </row>
    <row r="38" ht="15" customHeight="1" s="251">
      <c r="B38" s="79" t="inlineStr">
        <is>
          <t>Net Debt</t>
        </is>
      </c>
      <c r="C38" s="80">
        <f>Model!CA383</f>
        <v>5322.51025580248</v>
      </c>
      <c r="D38" s="81">
        <f>Model!CB383</f>
        <v>5316.61219162973</v>
      </c>
      <c r="E38" s="81">
        <f>Model!CC383</f>
        <v>5950.6530513353</v>
      </c>
      <c r="F38" s="81">
        <f>Model!CD383</f>
        <v>6572.73743221606</v>
      </c>
      <c r="G38" s="81">
        <f>Model!CE383</f>
        <v>7168.61876985424</v>
      </c>
      <c r="H38" s="81">
        <f>Model!CF383</f>
        <v>7762.74826474711</v>
      </c>
      <c r="N38" s="79" t="inlineStr">
        <is>
          <t>Net Debt</t>
        </is>
      </c>
      <c r="O38" s="80" t="n">
        <v>5523.94370174843</v>
      </c>
      <c r="P38" s="81" t="n">
        <v>6165.05675157723</v>
      </c>
      <c r="Q38" s="81" t="n">
        <v>7201.67509146048</v>
      </c>
      <c r="R38" s="81" t="n">
        <v>8316.922839795479</v>
      </c>
      <c r="S38" s="81" t="n">
        <v>9496.173439631741</v>
      </c>
      <c r="T38" s="81" t="n">
        <v>10777.7471662481</v>
      </c>
      <c r="Z38" s="79" t="inlineStr">
        <is>
          <t>Net Debt</t>
        </is>
      </c>
      <c r="AA38" s="80" t="n">
        <v>5121.07680985654</v>
      </c>
      <c r="AB38" s="81" t="n">
        <v>4255.31321217402</v>
      </c>
      <c r="AC38" s="81" t="n">
        <v>3790.63685345015</v>
      </c>
      <c r="AD38" s="81" t="n">
        <v>3773.71370952648</v>
      </c>
      <c r="AE38" s="81" t="n">
        <v>3701.83901475612</v>
      </c>
      <c r="AF38" s="81" t="n">
        <v>3601.58051258543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3.44305258206685</v>
      </c>
      <c r="D39" s="103">
        <f>IFERROR(D38/D35,"")</f>
        <v>2.96867890680803</v>
      </c>
      <c r="E39" s="103">
        <f>IFERROR(E38/E35,"")</f>
        <v>2.97198499843978</v>
      </c>
      <c r="F39" s="103">
        <f>IFERROR(F38/F35,"")</f>
        <v>2.97461407382181</v>
      </c>
      <c r="G39" s="103">
        <f>IFERROR(G38/G35,"")</f>
        <v>2.9767078597236</v>
      </c>
      <c r="H39" s="103">
        <f>IFERROR(H38/H35,"")</f>
        <v>2.97847775721465</v>
      </c>
      <c r="N39" s="83" t="inlineStr">
        <is>
          <t xml:space="preserve">   Net Debt / Adjusted EBITDA (x)</t>
        </is>
      </c>
      <c r="O39" s="102" t="n">
        <v>3.57781004906689</v>
      </c>
      <c r="P39" s="103" t="n">
        <v>3.22069637329438</v>
      </c>
      <c r="Q39" s="103" t="n">
        <v>3.22488177526442</v>
      </c>
      <c r="R39" s="103" t="n">
        <v>3.22822740891836</v>
      </c>
      <c r="S39" s="103" t="n">
        <v>3.23091528841327</v>
      </c>
      <c r="T39" s="103" t="n">
        <v>3.23317288724935</v>
      </c>
      <c r="Z39" s="83" t="inlineStr">
        <is>
          <t xml:space="preserve">   Net Debt / Adjusted EBITDA (x)</t>
        </is>
      </c>
      <c r="AA39" s="102" t="n">
        <v>3.30863015364452</v>
      </c>
      <c r="AB39" s="103" t="n">
        <v>2.79599426865669</v>
      </c>
      <c r="AC39" s="103" t="n">
        <v>2.46354500956852</v>
      </c>
      <c r="AD39" s="103" t="n">
        <v>2.46338392231358</v>
      </c>
      <c r="AE39" s="103" t="n">
        <v>2.46268359846603</v>
      </c>
      <c r="AF39" s="103" t="n">
        <v>2.46166073885012</v>
      </c>
    </row>
    <row r="40" ht="15" customHeight="1" s="251">
      <c r="B40" s="252" t="inlineStr">
        <is>
          <t xml:space="preserve">   Share repurchases ($m; FY2026E = Q4)</t>
        </is>
      </c>
      <c r="C40" s="102" t="n"/>
      <c r="D40" s="248">
        <f>Model!CB276</f>
        <v>1035.29299572822</v>
      </c>
      <c r="E40" s="248">
        <f>Model!CC276</f>
        <v>1827.99013489306</v>
      </c>
      <c r="F40" s="248">
        <f>Model!CD276</f>
        <v>1912.25464054385</v>
      </c>
      <c r="G40" s="248">
        <f>Model!CE276</f>
        <v>1996.47631677561</v>
      </c>
      <c r="H40" s="248">
        <f>Model!CF276</f>
        <v>2106.01246486777</v>
      </c>
      <c r="N40" s="252" t="inlineStr">
        <is>
          <t xml:space="preserve">   Share repurchases ($m; FY2026E = Q4)</t>
        </is>
      </c>
      <c r="O40" s="102" t="n"/>
      <c r="P40" s="248" t="n">
        <v>1757.17012409239</v>
      </c>
      <c r="Q40" s="248" t="n">
        <v>2352.31798412727</v>
      </c>
      <c r="R40" s="248" t="n">
        <v>2598.06629654301</v>
      </c>
      <c r="S40" s="248" t="n">
        <v>2862.63385304898</v>
      </c>
      <c r="T40" s="248" t="n">
        <v>3184.358631237</v>
      </c>
      <c r="Z40" s="83" t="n"/>
      <c r="AA40" s="102" t="n"/>
      <c r="AB40" s="103" t="n">
        <v>0</v>
      </c>
      <c r="AC40" s="103" t="n">
        <v>454.324594278821</v>
      </c>
      <c r="AD40" s="103" t="n">
        <v>893.93403150838</v>
      </c>
      <c r="AE40" s="103" t="n">
        <v>819.9792760525499</v>
      </c>
      <c r="AF40" s="103" t="n">
        <v>765.3920317833461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Model!CB275</f>
        <v>799.2</v>
      </c>
      <c r="E41" s="249">
        <f>Model!CC275</f>
        <v>863.136</v>
      </c>
      <c r="F41" s="249">
        <f>Model!CD275</f>
        <v>932.18688</v>
      </c>
      <c r="G41" s="249">
        <f>Model!CE275</f>
        <v>1006.7618304</v>
      </c>
      <c r="H41" s="249">
        <f>Model!CF275</f>
        <v>1087.302776832</v>
      </c>
      <c r="N41" s="252" t="inlineStr">
        <is>
          <t xml:space="preserve">   Implied avg buyback price ($)</t>
        </is>
      </c>
      <c r="O41" s="102" t="n"/>
      <c r="P41" s="249" t="n">
        <v>799.2</v>
      </c>
      <c r="Q41" s="249" t="n">
        <v>863.136</v>
      </c>
      <c r="R41" s="249" t="n">
        <v>932.18688</v>
      </c>
      <c r="S41" s="249" t="n">
        <v>1006.7618304</v>
      </c>
      <c r="T41" s="249" t="n">
        <v>1087.302776832</v>
      </c>
      <c r="Z41" s="83" t="n"/>
      <c r="AA41" s="102" t="n"/>
      <c r="AB41" s="103" t="n">
        <v>799.2</v>
      </c>
      <c r="AC41" s="103" t="n">
        <v>863.136</v>
      </c>
      <c r="AD41" s="103" t="n">
        <v>932.18688</v>
      </c>
      <c r="AE41" s="103" t="n">
        <v>1006.7618304</v>
      </c>
      <c r="AF41" s="103" t="n">
        <v>1087.302776832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Model!CB277</f>
        <v>1.29541165631659</v>
      </c>
      <c r="E42" s="250">
        <f>Model!CC277</f>
        <v>2.11784716996285</v>
      </c>
      <c r="F42" s="250">
        <f>Model!CD277</f>
        <v>2.05136403608668</v>
      </c>
      <c r="G42" s="250">
        <f>Model!CE277</f>
        <v>1.98306715301511</v>
      </c>
      <c r="H42" s="250">
        <f>Model!CF277</f>
        <v>1.93691445450357</v>
      </c>
      <c r="N42" s="252" t="inlineStr">
        <is>
          <t xml:space="preserve">   Shares repurchased (m)</t>
        </is>
      </c>
      <c r="O42" s="102" t="n"/>
      <c r="P42" s="250" t="n">
        <v>2.19866131643192</v>
      </c>
      <c r="Q42" s="250" t="n">
        <v>2.72531557498154</v>
      </c>
      <c r="R42" s="250" t="n">
        <v>2.78706593311312</v>
      </c>
      <c r="S42" s="250" t="n">
        <v>2.8434072156983</v>
      </c>
      <c r="T42" s="250" t="n">
        <v>2.92867699695852</v>
      </c>
      <c r="Z42" s="83" t="n"/>
      <c r="AA42" s="102" t="n"/>
      <c r="AB42" s="103" t="n">
        <v>0</v>
      </c>
      <c r="AC42" s="103" t="n">
        <v>0.526365015801474</v>
      </c>
      <c r="AD42" s="103" t="n">
        <v>0.958964399400665</v>
      </c>
      <c r="AE42" s="103" t="n">
        <v>0.814471954828443</v>
      </c>
      <c r="AF42" s="103" t="n">
        <v>0.703936426993608</v>
      </c>
    </row>
    <row r="44" ht="15" customHeight="1" s="251">
      <c r="B44" s="79" t="inlineStr">
        <is>
          <t>ROIC</t>
        </is>
      </c>
      <c r="C44" s="86">
        <f>Model!CA366</f>
        <v>0.877412183740958</v>
      </c>
      <c r="D44" s="87">
        <f>Model!CB366</f>
        <v>1.00206009840735</v>
      </c>
      <c r="E44" s="87">
        <f>Model!CC366</f>
        <v>1.08879164658819</v>
      </c>
      <c r="F44" s="87">
        <f>Model!CD366</f>
        <v>1.16570526580519</v>
      </c>
      <c r="G44" s="87">
        <f>Model!CE366</f>
        <v>1.23014354885647</v>
      </c>
      <c r="H44" s="87">
        <f>Model!CF366</f>
        <v>1.28778103766247</v>
      </c>
      <c r="J44" s="90">
        <f>IFERROR(AVERAGE(Model!C366,Model!D366,Model!E366,Model!F366,Model!G366,Model!H366,Model!I366,Model!N366,Model!S366,Model!X366,Model!AC366,Model!AH366,Model!AM366,Model!AR366,Model!AW366,Model!BB366,Model!BG366,Model!BL366,Model!BQ366,Model!BV366),"")</f>
        <v>0.230577749886878</v>
      </c>
      <c r="K44" s="90">
        <f>IFERROR(MIN(Model!C366,Model!D366,Model!E366,Model!F366,Model!G366,Model!H366,Model!I366,Model!N366,Model!S366,Model!X366,Model!AC366,Model!AH366,Model!AM366,Model!AR366,Model!AW366,Model!BB366,Model!BG366,Model!BL366,Model!BQ366,Model!BV366),"")</f>
        <v>0.0896893615840871</v>
      </c>
      <c r="L44" s="90">
        <f>IFERROR(MAX(Model!C366,Model!D366,Model!E366,Model!F366,Model!G366,Model!H366,Model!I366,Model!N366,Model!S366,Model!X366,Model!AC366,Model!AH366,Model!AM366,Model!AR366,Model!AW366,Model!BB366,Model!BG366,Model!BL366,Model!BQ366,Model!BV366),"")</f>
        <v>0.639138389897234</v>
      </c>
      <c r="N44" s="79" t="inlineStr">
        <is>
          <t>ROIC</t>
        </is>
      </c>
      <c r="O44" s="86" t="n">
        <v>0.87615452717739</v>
      </c>
      <c r="P44" s="87" t="n">
        <v>1.06869937110555</v>
      </c>
      <c r="Q44" s="87" t="n">
        <v>1.20231381747401</v>
      </c>
      <c r="R44" s="87" t="n">
        <v>1.33246768382066</v>
      </c>
      <c r="S44" s="87" t="n">
        <v>1.45405907542048</v>
      </c>
      <c r="T44" s="87" t="n">
        <v>1.57217313746254</v>
      </c>
      <c r="V44" s="90" t="n">
        <v>0.230577749886878</v>
      </c>
      <c r="W44" s="90" t="n">
        <v>0.08968936158408709</v>
      </c>
      <c r="X44" s="90" t="n">
        <v>0.639138389897234</v>
      </c>
      <c r="Z44" s="79" t="inlineStr">
        <is>
          <t>ROIC</t>
        </is>
      </c>
      <c r="AA44" s="86" t="n">
        <v>0.8786698403733491</v>
      </c>
      <c r="AB44" s="87" t="n">
        <v>0.8514717620287811</v>
      </c>
      <c r="AC44" s="87" t="n">
        <v>0.847299717829427</v>
      </c>
      <c r="AD44" s="87" t="n">
        <v>0.830950530175475</v>
      </c>
      <c r="AE44" s="87" t="n">
        <v>0.803331315416755</v>
      </c>
      <c r="AF44" s="87" t="n">
        <v>0.771245803386418</v>
      </c>
      <c r="AH44" s="90" t="n">
        <v>0.230577749886878</v>
      </c>
      <c r="AI44" s="90" t="n">
        <v>0.08968936158408709</v>
      </c>
      <c r="AJ44" s="90" t="n">
        <v>0.639138389897234</v>
      </c>
    </row>
    <row r="45" ht="15" customHeight="1" s="251">
      <c r="B45" s="79" t="inlineStr">
        <is>
          <t>RONTA</t>
        </is>
      </c>
      <c r="C45" s="86">
        <f>Model!CA377</f>
        <v>1.51300221130922</v>
      </c>
      <c r="D45" s="87">
        <f>Model!CB377</f>
        <v>1.69334930282852</v>
      </c>
      <c r="E45" s="87">
        <f>Model!CC377</f>
        <v>1.80266900733732</v>
      </c>
      <c r="F45" s="87">
        <f>Model!CD377</f>
        <v>1.89161033243568</v>
      </c>
      <c r="G45" s="87">
        <f>Model!CE377</f>
        <v>1.95718048286535</v>
      </c>
      <c r="H45" s="87">
        <f>Model!CF377</f>
        <v>2.00992098673699</v>
      </c>
      <c r="J45" s="90">
        <f>IFERROR(AVERAGE(Model!C377,Model!D377,Model!E377,Model!F377,Model!G377,Model!H377,Model!I377,Model!N377,Model!S377,Model!X377,Model!AC377,Model!AH377,Model!AM377,Model!AR377,Model!AW377,Model!BB377,Model!BG377,Model!BL377,Model!BQ377,Model!BV377),"")</f>
        <v>0.58673448586864</v>
      </c>
      <c r="K45" s="90">
        <f>IFERROR(MIN(Model!C377,Model!D377,Model!E377,Model!F377,Model!G377,Model!H377,Model!I377,Model!N377,Model!S377,Model!X377,Model!AC377,Model!AH377,Model!AM377,Model!AR377,Model!AW377,Model!BB377,Model!BG377,Model!BL377,Model!BQ377,Model!BV377),"")</f>
        <v>0.156349705982802</v>
      </c>
      <c r="L45" s="90">
        <f>IFERROR(MAX(Model!C377,Model!D377,Model!E377,Model!F377,Model!G377,Model!H377,Model!I377,Model!N377,Model!S377,Model!X377,Model!AC377,Model!AH377,Model!AM377,Model!AR377,Model!AW377,Model!BB377,Model!BG377,Model!BL377,Model!BQ377,Model!BV377),"")</f>
        <v>1.12824124184558</v>
      </c>
      <c r="N45" s="79" t="inlineStr">
        <is>
          <t>RONTA</t>
        </is>
      </c>
      <c r="O45" s="86" t="n">
        <v>1.51083351887821</v>
      </c>
      <c r="P45" s="87" t="n">
        <v>1.79947745788627</v>
      </c>
      <c r="Q45" s="87" t="n">
        <v>1.97461116010443</v>
      </c>
      <c r="R45" s="87" t="n">
        <v>2.1335536309959</v>
      </c>
      <c r="S45" s="87" t="n">
        <v>2.26928170972733</v>
      </c>
      <c r="T45" s="87" t="n">
        <v>2.39155689587734</v>
      </c>
      <c r="V45" s="90" t="n">
        <v>0.58673448586864</v>
      </c>
      <c r="W45" s="90" t="n">
        <v>0.156349705982802</v>
      </c>
      <c r="X45" s="90" t="n">
        <v>1.12824124184558</v>
      </c>
      <c r="Z45" s="79" t="inlineStr">
        <is>
          <t>RONTA</t>
        </is>
      </c>
      <c r="AA45" s="86" t="n">
        <v>1.51517090385889</v>
      </c>
      <c r="AB45" s="87" t="n">
        <v>1.44913399207208</v>
      </c>
      <c r="AC45" s="87" t="n">
        <v>1.06403301717061</v>
      </c>
      <c r="AD45" s="87" t="n">
        <v>1.02126548392646</v>
      </c>
      <c r="AE45" s="87" t="n">
        <v>0.917692102986706</v>
      </c>
      <c r="AF45" s="87" t="n">
        <v>0.8048558744538949</v>
      </c>
      <c r="AH45" s="90" t="n">
        <v>0.58673448586864</v>
      </c>
      <c r="AI45" s="90" t="n">
        <v>0.156349705982802</v>
      </c>
      <c r="AJ45" s="90" t="n">
        <v>1.12824124184558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44230.4238715018</v>
      </c>
      <c r="H47" s="104">
        <f>H27*H21</f>
        <v>47807.976764177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67925.3636021575</v>
      </c>
      <c r="T47" s="104">
        <f>T27*T21</f>
        <v>76957.6280701694</v>
      </c>
      <c r="Z47" s="83" t="inlineStr">
        <is>
          <t>Implied Market Cap (USDm)</t>
        </is>
      </c>
      <c r="AC47" s="104" t="n"/>
      <c r="AD47" s="104">
        <f>AD27*AD21</f>
        <v>18825.7956888093</v>
      </c>
      <c r="AE47" s="104">
        <f>AE27*AE21</f>
        <v>18405.2645750522</v>
      </c>
      <c r="AF47" s="104">
        <f>AF27*AF21</f>
        <v>17833.0378117669</v>
      </c>
    </row>
    <row r="48" ht="15" customHeight="1" s="251">
      <c r="B48" s="83" t="inlineStr">
        <is>
          <t>(+) Net Debt &amp; NCI</t>
        </is>
      </c>
      <c r="E48" s="104" t="n"/>
      <c r="F48" s="104">
        <f>F38+Model!CD393</f>
        <v>6572.73743221606</v>
      </c>
      <c r="G48" s="104">
        <f>G38+Model!CE393</f>
        <v>7168.61876985424</v>
      </c>
      <c r="H48" s="104">
        <f>H38+Model!CF393</f>
        <v>7762.74826474711</v>
      </c>
      <c r="N48" s="83" t="inlineStr">
        <is>
          <t>(+) Net Debt &amp; NCI</t>
        </is>
      </c>
      <c r="Q48" s="104" t="n"/>
      <c r="R48" s="104">
        <f>R38+Model!CD393</f>
        <v>8316.92283979548</v>
      </c>
      <c r="S48" s="104">
        <f>S38+Model!CE393</f>
        <v>9496.17343963174</v>
      </c>
      <c r="T48" s="104">
        <f>T38+Model!CF393</f>
        <v>10777.7471662481</v>
      </c>
      <c r="Z48" s="83" t="inlineStr">
        <is>
          <t>(+) Net Debt &amp; NCI</t>
        </is>
      </c>
      <c r="AC48" s="104" t="n"/>
      <c r="AD48" s="104">
        <f>AD38+Model!CD393</f>
        <v>3773.71370952648</v>
      </c>
      <c r="AE48" s="104">
        <f>AE38+Model!CE393</f>
        <v>3701.83901475612</v>
      </c>
      <c r="AF48" s="104">
        <f>AF38+Model!CF393</f>
        <v>3601.58051258543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6572.73743221606</v>
      </c>
      <c r="G49" s="104">
        <f>G47+G48</f>
        <v>51399.0426413561</v>
      </c>
      <c r="H49" s="104">
        <f>H47+H48</f>
        <v>55570.7250289241</v>
      </c>
      <c r="N49" s="83" t="inlineStr">
        <is>
          <t>Implied Enterprise Value (USDm)</t>
        </is>
      </c>
      <c r="Q49" s="104" t="n"/>
      <c r="R49" s="104">
        <f>R47+R48</f>
        <v>8316.92283979548</v>
      </c>
      <c r="S49" s="104">
        <f>S47+S48</f>
        <v>77421.5370417893</v>
      </c>
      <c r="T49" s="104">
        <f>T47+T48</f>
        <v>87735.3752364175</v>
      </c>
      <c r="Z49" s="83" t="inlineStr">
        <is>
          <t>Implied Enterprise Value (USDm)</t>
        </is>
      </c>
      <c r="AC49" s="104" t="n"/>
      <c r="AD49" s="104">
        <f>AD47+AD48</f>
        <v>22599.5093983358</v>
      </c>
      <c r="AE49" s="104">
        <f>AE47+AE48</f>
        <v>22107.1035898084</v>
      </c>
      <c r="AF49" s="104">
        <f>AF47+AF48</f>
        <v>21434.6183243523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2.97461407382181</v>
      </c>
      <c r="G50" s="105">
        <f>IFERROR(G49/G35,"")</f>
        <v>21.3430144808641</v>
      </c>
      <c r="H50" s="105">
        <f>IFERROR(H49/H35,"")</f>
        <v>21.3218518501494</v>
      </c>
      <c r="N50" s="83" t="inlineStr">
        <is>
          <t>Implied EV / Adjusted EBITDA (x)</t>
        </is>
      </c>
      <c r="Q50" s="105" t="n"/>
      <c r="R50" s="105">
        <f>IFERROR(R49/R35,"")</f>
        <v>3.22822740891835</v>
      </c>
      <c r="S50" s="105">
        <f>IFERROR(S49/S35,"")</f>
        <v>26.3413920639671</v>
      </c>
      <c r="T50" s="105">
        <f>IFERROR(T49/T35,"")</f>
        <v>26.3193812298142</v>
      </c>
      <c r="Z50" s="83" t="inlineStr">
        <is>
          <t>Implied EV / Adjusted EBITDA (x)</t>
        </is>
      </c>
      <c r="AC50" s="105" t="n"/>
      <c r="AD50" s="105">
        <f>IFERROR(AD49/AD35,"")</f>
        <v>14.7523825041356</v>
      </c>
      <c r="AE50" s="105">
        <f>IFERROR(AE49/AE35,"")</f>
        <v>14.7069608384354</v>
      </c>
      <c r="AF50" s="105">
        <f>IFERROR(AF49/AF35,"")</f>
        <v>14.6504453244662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FAIR ISAAC CORPORATION (FICO)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1.1</v>
      </c>
      <c r="D7" s="198" t="inlineStr">
        <is>
          <t>Assumption: credit-data and analytics peers (EFX, TRU, MCO, SPGI, VRSK) ~0.9–1.2; higher financial leverage (net debt ~3.5x EBITDA) and mortgage-score pricing risk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0.0975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0.06</v>
      </c>
      <c r="D9" s="198" t="inlineStr">
        <is>
          <t>2025 Senior Notes 6.00% (due 2033) and 2026 Senior Notes 6.25% (due 2034); term loan 5.86% and revolver 5.64% at 30-Jun-2026 (Q3 FY26 10-Q)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0.25</v>
      </c>
      <c r="D10" s="198" t="inlineStr">
        <is>
          <t>Model non-GAAP effective tax rate FY2027E+ (9M FY26 25.4%; FY2025 24.3%)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0.045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0.25</v>
      </c>
      <c r="D12" s="198" t="inlineStr">
        <is>
          <t>Debt ~$5.6bn at 30-Jun-2026 vs ~$16bn market cap ($740 × ~21.8m diluted shares)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0.084375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2026-10-13 00:00:00</v>
      </c>
      <c r="D15" s="198" t="inlineStr">
        <is>
          <t>Periods = (30-Sep of fiscal year − today) / 365.25; cash flows assumed at fiscal year-end (30 September); FY2026E (ended 30-Sep-2026) is the base year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2027E</t>
        </is>
      </c>
      <c r="E17" s="203" t="inlineStr">
        <is>
          <t>2028E</t>
        </is>
      </c>
      <c r="F17" s="203" t="inlineStr">
        <is>
          <t>2029E</t>
        </is>
      </c>
      <c r="G17" s="203" t="inlineStr">
        <is>
          <t>2030E</t>
        </is>
      </c>
      <c r="H17" s="203" t="inlineStr">
        <is>
          <t>2031E</t>
        </is>
      </c>
      <c r="I17" s="203" t="inlineStr">
        <is>
          <t>2032E</t>
        </is>
      </c>
      <c r="J17" s="203" t="inlineStr">
        <is>
          <t>2033E</t>
        </is>
      </c>
      <c r="K17" s="203" t="inlineStr">
        <is>
          <t>2034E</t>
        </is>
      </c>
      <c r="L17" s="203" t="inlineStr">
        <is>
          <t>2035E</t>
        </is>
      </c>
      <c r="M17" s="203" t="inlineStr">
        <is>
          <t>2036E</t>
        </is>
      </c>
      <c r="N17" s="203" t="inlineStr">
        <is>
          <t>Terminal</t>
        </is>
      </c>
      <c r="O17" s="192" t="n"/>
      <c r="P17" s="204" t="inlineStr">
        <is>
          <t>CAGR 27–31E</t>
        </is>
      </c>
      <c r="Q17" s="204" t="inlineStr">
        <is>
          <t>CAGR 27–36E</t>
        </is>
      </c>
    </row>
    <row r="18" ht="15.75" customHeight="1" s="251">
      <c r="A18" s="192" t="n"/>
      <c r="B18" s="197" t="inlineStr">
        <is>
          <t>Adj. EBITA after SBC less restructuring &amp; acquisition costs</t>
        </is>
      </c>
      <c r="C18" s="192" t="n"/>
      <c r="D18" s="173">
        <f>Model!CB189-Model!CB191</f>
        <v>1561.99634555101</v>
      </c>
      <c r="E18" s="173">
        <f>Model!CC189-Model!CC191</f>
        <v>1755.19187165166</v>
      </c>
      <c r="F18" s="173">
        <f>Model!CD189-Model!CD191</f>
        <v>1939.22429842045</v>
      </c>
      <c r="G18" s="173">
        <f>Model!CE189-Model!CE191</f>
        <v>2114.06157136208</v>
      </c>
      <c r="H18" s="173">
        <f>Model!CF189-Model!CF191</f>
        <v>2288.16361718658</v>
      </c>
      <c r="I18" s="174">
        <f>H18*(1+I$26)</f>
        <v>2471.21670656151</v>
      </c>
      <c r="J18" s="174">
        <f>I18*(1+J$26)</f>
        <v>2650.37991778722</v>
      </c>
      <c r="K18" s="174">
        <f>J18*(1+K$26)</f>
        <v>2822.65461244339</v>
      </c>
      <c r="L18" s="174">
        <f>K18*(1+L$26)</f>
        <v>2984.95725265888</v>
      </c>
      <c r="M18" s="174">
        <f>L18*(1+M$26)</f>
        <v>3134.20511529183</v>
      </c>
      <c r="N18" s="192" t="n"/>
      <c r="O18" s="192" t="n"/>
      <c r="P18" s="176">
        <f>(H18/D18)^(1/(COLUMNS(D18:H18)-1))-1</f>
        <v>0.100149651685442</v>
      </c>
      <c r="Q18" s="176">
        <f>(M18/D18)^(1/(COLUMNS(D18:M18)-1))-1</f>
        <v>0.0804514753174661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0.75</v>
      </c>
      <c r="E19" s="177">
        <f>1-$C$10</f>
        <v>0.75</v>
      </c>
      <c r="F19" s="177">
        <f>1-$C$10</f>
        <v>0.75</v>
      </c>
      <c r="G19" s="177">
        <f>1-$C$10</f>
        <v>0.75</v>
      </c>
      <c r="H19" s="177">
        <f>1-$C$10</f>
        <v>0.75</v>
      </c>
      <c r="I19" s="177">
        <f>1-$C$10</f>
        <v>0.75</v>
      </c>
      <c r="J19" s="177">
        <f>1-$C$10</f>
        <v>0.75</v>
      </c>
      <c r="K19" s="177">
        <f>1-$C$10</f>
        <v>0.75</v>
      </c>
      <c r="L19" s="177">
        <f>1-$C$10</f>
        <v>0.75</v>
      </c>
      <c r="M19" s="177">
        <f>1-$C$10</f>
        <v>0.75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1171.49725916326</v>
      </c>
      <c r="E20" s="174">
        <f>E18*E19</f>
        <v>1316.39390373874</v>
      </c>
      <c r="F20" s="174">
        <f>F18*F19</f>
        <v>1454.41822381533</v>
      </c>
      <c r="G20" s="174">
        <f>G18*G19</f>
        <v>1585.54617852156</v>
      </c>
      <c r="H20" s="174">
        <f>H18*H19</f>
        <v>1716.12271288994</v>
      </c>
      <c r="I20" s="174">
        <f>I18*I19</f>
        <v>1853.41252992113</v>
      </c>
      <c r="J20" s="174">
        <f>J18*J19</f>
        <v>1987.78493834041</v>
      </c>
      <c r="K20" s="174">
        <f>K18*K19</f>
        <v>2116.99095933254</v>
      </c>
      <c r="L20" s="174">
        <f>L18*L19</f>
        <v>2238.71793949416</v>
      </c>
      <c r="M20" s="174">
        <f>M18*M19</f>
        <v>2350.65383646887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depreciation &amp; software amortization</t>
        </is>
      </c>
      <c r="C21" s="192" t="n"/>
      <c r="D21" s="173">
        <f>Model!CB114</f>
        <v>22.3905384992236</v>
      </c>
      <c r="E21" s="173">
        <f>Model!CC114</f>
        <v>24.7056812126778</v>
      </c>
      <c r="F21" s="173">
        <f>Model!CD114</f>
        <v>27.0385845651573</v>
      </c>
      <c r="G21" s="173">
        <f>Model!CE114</f>
        <v>29.4175685255994</v>
      </c>
      <c r="H21" s="173">
        <f>Model!CF114</f>
        <v>31.8116804395785</v>
      </c>
      <c r="I21" s="174">
        <f>H21*(1+I$26)</f>
        <v>34.3566148747448</v>
      </c>
      <c r="J21" s="174">
        <f>I21*(1+J$26)</f>
        <v>36.8474694531638</v>
      </c>
      <c r="K21" s="174">
        <f>J21*(1+K$26)</f>
        <v>39.2425549676195</v>
      </c>
      <c r="L21" s="174">
        <f>K21*(1+L$26)</f>
        <v>41.4990018782576</v>
      </c>
      <c r="M21" s="174">
        <f>L21*(1+M$26)</f>
        <v>43.5739519721705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(PP&amp;E + capitalized software) and acquisitions (M&amp;A lever 2027E–31E)</t>
        </is>
      </c>
      <c r="C22" s="192" t="n"/>
      <c r="D22" s="173">
        <f>Model!CB268+Model!CB240</f>
        <v>-44.7810769984473</v>
      </c>
      <c r="E22" s="173">
        <f>Model!CC268+Model!CC240</f>
        <v>-49.4113624253556</v>
      </c>
      <c r="F22" s="173">
        <f>Model!CD268+Model!CD240</f>
        <v>-54.0771691303147</v>
      </c>
      <c r="G22" s="173">
        <f>Model!CE268+Model!CE240</f>
        <v>-58.8351370511988</v>
      </c>
      <c r="H22" s="173">
        <f>Model!CF268+Model!CF240</f>
        <v>-63.6233608791571</v>
      </c>
      <c r="I22" s="174">
        <f>Model!CF268*(1+I$26)</f>
        <v>-68.7132297494896</v>
      </c>
      <c r="J22" s="174">
        <f>I22*(1+J$26)</f>
        <v>-73.6949389063276</v>
      </c>
      <c r="K22" s="174">
        <f>J22*(1+K$26)</f>
        <v>-78.4851099352389</v>
      </c>
      <c r="L22" s="174">
        <f>K22*(1+L$26)</f>
        <v>-82.9980037565152</v>
      </c>
      <c r="M22" s="174">
        <f>L22*(1+M$26)</f>
        <v>-87.1479039443409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Model!CB236</f>
        <v>-10.6864087752516</v>
      </c>
      <c r="E23" s="173">
        <f>Model!CC236</f>
        <v>-11.5043564288426</v>
      </c>
      <c r="F23" s="173">
        <f>Model!CD236</f>
        <v>-11.5926122070129</v>
      </c>
      <c r="G23" s="173">
        <f>Model!CE236</f>
        <v>-11.8215949541146</v>
      </c>
      <c r="H23" s="173">
        <f>Model!CF236</f>
        <v>-11.8967684492593</v>
      </c>
      <c r="I23" s="174">
        <f>H23*(1+I$26)</f>
        <v>-12.8485099252</v>
      </c>
      <c r="J23" s="174">
        <f>I23*(1+J$26)</f>
        <v>-13.780026894777</v>
      </c>
      <c r="K23" s="174">
        <f>J23*(1+K$26)</f>
        <v>-14.6757286429376</v>
      </c>
      <c r="L23" s="174">
        <f>K23*(1+L$26)</f>
        <v>-15.5195830399065</v>
      </c>
      <c r="M23" s="174">
        <f>L23*(1+M$26)</f>
        <v>-16.2955621919018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1138.42031188878</v>
      </c>
      <c r="E24" s="219">
        <f>E20+E21+E22+E23</f>
        <v>1280.18386609722</v>
      </c>
      <c r="F24" s="219">
        <f>F20+F21+F22+F23</f>
        <v>1415.78702704316</v>
      </c>
      <c r="G24" s="219">
        <f>G20+G21+G22+G23</f>
        <v>1544.30701504185</v>
      </c>
      <c r="H24" s="219">
        <f>H20+H21+H22+H23</f>
        <v>1672.4142640011</v>
      </c>
      <c r="I24" s="219">
        <f>I20+I21+I22+I23</f>
        <v>1806.20740512119</v>
      </c>
      <c r="J24" s="219">
        <f>J20+J21+J22+J23</f>
        <v>1937.15744199247</v>
      </c>
      <c r="K24" s="219">
        <f>K20+K21+K22+K23</f>
        <v>2063.07267572199</v>
      </c>
      <c r="L24" s="219">
        <f>L20+L21+L22+L23</f>
        <v>2181.699354576</v>
      </c>
      <c r="M24" s="219">
        <f>M20+M21+M22+M23</f>
        <v>2290.7843223048</v>
      </c>
      <c r="N24" s="219">
        <f>M24*(1+$C$27)</f>
        <v>2382.41569519699</v>
      </c>
      <c r="O24" s="192" t="n"/>
      <c r="P24" s="181">
        <f>(H24/D24)^(1/(COLUMNS(D24:H24)-1))-1</f>
        <v>0.100931522252636</v>
      </c>
      <c r="Q24" s="181">
        <f>(M24/D24)^(1/(COLUMNS(D24:M24)-1))-1</f>
        <v>0.0807926840478284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53688.2410185237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(2032E–36E; 8.0% → 5.0%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0.08</v>
      </c>
      <c r="J26" s="183">
        <f>I26+($M$26-$I$26)/4</f>
        <v>0.0725</v>
      </c>
      <c r="K26" s="183">
        <f>J26+($M$26-$I$26)/4</f>
        <v>0.065</v>
      </c>
      <c r="L26" s="183">
        <f>K26+($M$26-$I$26)/4</f>
        <v>0.0575</v>
      </c>
      <c r="M26" s="182" t="n">
        <v>0.05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0.04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(DATE(2027,9,30)-$C$15)/365.25</f>
        <v>0.9637234770705</v>
      </c>
      <c r="E29" s="177">
        <f>(DATE(2028,9,30)-$C$15)/365.25</f>
        <v>1.96577686516085</v>
      </c>
      <c r="F29" s="177">
        <f>(DATE(2029,9,30)-$C$15)/365.25</f>
        <v>2.96509240246407</v>
      </c>
      <c r="G29" s="177">
        <f>(DATE(2030,9,30)-$C$15)/365.25</f>
        <v>3.96440793976728</v>
      </c>
      <c r="H29" s="177">
        <f>(DATE(2031,9,30)-$C$15)/365.25</f>
        <v>4.9637234770705</v>
      </c>
      <c r="I29" s="177">
        <f>(DATE(2032,9,30)-$C$15)/365.25</f>
        <v>5.96577686516085</v>
      </c>
      <c r="J29" s="177">
        <f>(DATE(2033,9,30)-$C$15)/365.25</f>
        <v>6.96509240246407</v>
      </c>
      <c r="K29" s="177">
        <f>(DATE(2034,9,30)-$C$15)/365.25</f>
        <v>7.96440793976728</v>
      </c>
      <c r="L29" s="177">
        <f>(DATE(2035,9,30)-$C$15)/365.25</f>
        <v>8.9637234770705</v>
      </c>
      <c r="M29" s="177">
        <f>(DATE(2036,9,30)-$C$15)/365.25</f>
        <v>9.96577686516085</v>
      </c>
      <c r="N29" s="177">
        <f>M29</f>
        <v>9.96577686516085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0.924904075952679</v>
      </c>
      <c r="E30" s="185">
        <f>1/(1+$C$13)^E29</f>
        <v>0.852795617209345</v>
      </c>
      <c r="F30" s="185">
        <f>1/(1+$C$13)^F29</f>
        <v>0.786483366896872</v>
      </c>
      <c r="G30" s="185">
        <f>1/(1+$C$13)^G29</f>
        <v>0.72532746876629</v>
      </c>
      <c r="H30" s="185">
        <f>1/(1+$C$13)^H29</f>
        <v>0.668926971745987</v>
      </c>
      <c r="I30" s="185">
        <f>1/(1+$C$13)^I29</f>
        <v>0.616775300887833</v>
      </c>
      <c r="J30" s="185">
        <f>1/(1+$C$13)^J29</f>
        <v>0.568815675728333</v>
      </c>
      <c r="K30" s="185">
        <f>1/(1+$C$13)^K29</f>
        <v>0.524585327085141</v>
      </c>
      <c r="L30" s="185">
        <f>1/(1+$C$13)^L29</f>
        <v>0.483794271387934</v>
      </c>
      <c r="M30" s="185">
        <f>1/(1+$C$13)^M29</f>
        <v>0.44607613372841</v>
      </c>
      <c r="N30" s="185">
        <f>1/(1+$C$13)^N29</f>
        <v>0.44607613372841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1052.92958661325</v>
      </c>
      <c r="E31" s="222">
        <f>E24*E30</f>
        <v>1091.73519022983</v>
      </c>
      <c r="F31" s="222">
        <f>F24*F30</f>
        <v>1113.49294783782</v>
      </c>
      <c r="G31" s="222">
        <f>G24*G30</f>
        <v>1120.12829821833</v>
      </c>
      <c r="H31" s="222">
        <f>H24*H30</f>
        <v>1118.72300912305</v>
      </c>
      <c r="I31" s="222">
        <f>I24*I30</f>
        <v>1114.02411575945</v>
      </c>
      <c r="J31" s="222">
        <f>J24*J30</f>
        <v>1101.88551935912</v>
      </c>
      <c r="K31" s="222">
        <f>K24*K30</f>
        <v>1082.25765439403</v>
      </c>
      <c r="L31" s="222">
        <f>L24*L30</f>
        <v>1055.49364963462</v>
      </c>
      <c r="M31" s="222">
        <f>M24*M30</f>
        <v>1021.86421369938</v>
      </c>
      <c r="N31" s="222">
        <f>N25*N30</f>
        <v>23949.0429802221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FICO's non-GAAP measures exclude share-based compensation (~7% of revenue); the model NOPAT deducts it (row 18 = adjusted EBITDA − depreciation − SBC − restructuring) and taxes the result at the non-GAAP rate. Acquired-intangible amortization is nil. Restructuring (the Oct-2026 workforce reduction, mostly in FY2026) is a cash cost. Row 22 includes capitalized internal-use software and any M&amp;A from the lever (Base $0); the fade period and terminal value assume no acquisitions. Operating leases (~$17m) are left in operating costs and excluded from net debt.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Model!CA363</f>
        <v>1139.75416438356</v>
      </c>
      <c r="E34" s="174">
        <f>D38</f>
        <v>1172.83111165804</v>
      </c>
      <c r="F34" s="174">
        <f>E38</f>
        <v>1209.04114929956</v>
      </c>
      <c r="G34" s="174">
        <f>F38</f>
        <v>1247.67234607173</v>
      </c>
      <c r="H34" s="174">
        <f>G38</f>
        <v>1288.91150955144</v>
      </c>
      <c r="I34" s="174">
        <f>H38</f>
        <v>1332.61995844028</v>
      </c>
      <c r="J34" s="174">
        <f>I38</f>
        <v>1379.82508324022</v>
      </c>
      <c r="K34" s="174">
        <f>J38</f>
        <v>1430.45257958816</v>
      </c>
      <c r="L34" s="174">
        <f>K38</f>
        <v>1484.37086319872</v>
      </c>
      <c r="M34" s="174">
        <f>L38</f>
        <v>1541.38944811689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44.7810769984473</v>
      </c>
      <c r="E35" s="174">
        <f>-E22</f>
        <v>49.4113624253556</v>
      </c>
      <c r="F35" s="174">
        <f>-F22</f>
        <v>54.0771691303147</v>
      </c>
      <c r="G35" s="174">
        <f>-G22</f>
        <v>58.8351370511988</v>
      </c>
      <c r="H35" s="174">
        <f>-H22</f>
        <v>63.6233608791571</v>
      </c>
      <c r="I35" s="174">
        <f>-I22</f>
        <v>68.7132297494896</v>
      </c>
      <c r="J35" s="174">
        <f>-J22</f>
        <v>73.6949389063276</v>
      </c>
      <c r="K35" s="174">
        <f>-K22</f>
        <v>78.4851099352389</v>
      </c>
      <c r="L35" s="174">
        <f>-L22</f>
        <v>82.9980037565152</v>
      </c>
      <c r="M35" s="174">
        <f>-M22</f>
        <v>87.1479039443409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-22.3905384992236</v>
      </c>
      <c r="E36" s="174">
        <f>-E21</f>
        <v>-24.7056812126778</v>
      </c>
      <c r="F36" s="174">
        <f>-F21</f>
        <v>-27.0385845651573</v>
      </c>
      <c r="G36" s="174">
        <f>-G21</f>
        <v>-29.4175685255994</v>
      </c>
      <c r="H36" s="174">
        <f>-H21</f>
        <v>-31.8116804395785</v>
      </c>
      <c r="I36" s="174">
        <f>-I21</f>
        <v>-34.3566148747448</v>
      </c>
      <c r="J36" s="174">
        <f>-J21</f>
        <v>-36.8474694531638</v>
      </c>
      <c r="K36" s="174">
        <f>-K21</f>
        <v>-39.2425549676195</v>
      </c>
      <c r="L36" s="174">
        <f>-L21</f>
        <v>-41.4990018782576</v>
      </c>
      <c r="M36" s="174">
        <f>-M21</f>
        <v>-43.5739519721705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10.6864087752516</v>
      </c>
      <c r="E37" s="174">
        <f>-E23</f>
        <v>11.5043564288426</v>
      </c>
      <c r="F37" s="174">
        <f>-F23</f>
        <v>11.5926122070129</v>
      </c>
      <c r="G37" s="174">
        <f>-G23</f>
        <v>11.8215949541146</v>
      </c>
      <c r="H37" s="174">
        <f>-H23</f>
        <v>11.8967684492593</v>
      </c>
      <c r="I37" s="174">
        <f>-I23</f>
        <v>12.8485099252</v>
      </c>
      <c r="J37" s="174">
        <f>-J23</f>
        <v>13.780026894777</v>
      </c>
      <c r="K37" s="174">
        <f>-K23</f>
        <v>14.6757286429376</v>
      </c>
      <c r="L37" s="174">
        <f>-L23</f>
        <v>15.5195830399065</v>
      </c>
      <c r="M37" s="174">
        <f>-M23</f>
        <v>16.2955621919018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1172.83111165804</v>
      </c>
      <c r="E38" s="224">
        <f>SUM(E34:E37)</f>
        <v>1209.04114929956</v>
      </c>
      <c r="F38" s="224">
        <f>SUM(F34:F37)</f>
        <v>1247.67234607173</v>
      </c>
      <c r="G38" s="224">
        <f>SUM(G34:G37)</f>
        <v>1288.91150955144</v>
      </c>
      <c r="H38" s="224">
        <f>SUM(H34:H37)</f>
        <v>1332.61995844028</v>
      </c>
      <c r="I38" s="224">
        <f>SUM(I34:I37)</f>
        <v>1379.82508324022</v>
      </c>
      <c r="J38" s="224">
        <f>SUM(J34:J37)</f>
        <v>1430.45257958816</v>
      </c>
      <c r="K38" s="224">
        <f>SUM(K34:K37)</f>
        <v>1484.37086319872</v>
      </c>
      <c r="L38" s="224">
        <f>SUM(L34:L37)</f>
        <v>1541.38944811689</v>
      </c>
      <c r="M38" s="224">
        <f>SUM(M34:M37)</f>
        <v>1601.25896228096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1171.49725916326</v>
      </c>
      <c r="E39" s="174">
        <f>E20</f>
        <v>1316.39390373874</v>
      </c>
      <c r="F39" s="174">
        <f>F20</f>
        <v>1454.41822381533</v>
      </c>
      <c r="G39" s="174">
        <f>G20</f>
        <v>1585.54617852156</v>
      </c>
      <c r="H39" s="174">
        <f>H20</f>
        <v>1716.12271288994</v>
      </c>
      <c r="I39" s="174">
        <f>I20</f>
        <v>1853.41252992113</v>
      </c>
      <c r="J39" s="174">
        <f>J20</f>
        <v>1987.78493834041</v>
      </c>
      <c r="K39" s="174">
        <f>K20</f>
        <v>2116.99095933254</v>
      </c>
      <c r="L39" s="174">
        <f>L20</f>
        <v>2238.71793949416</v>
      </c>
      <c r="M39" s="174">
        <f>M20</f>
        <v>2350.65383646887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1.01314945770863</v>
      </c>
      <c r="E40" s="180">
        <f>IFERROR(E39/AVERAGE(E34,E38),"")</f>
        <v>1.10534382999154</v>
      </c>
      <c r="F40" s="180">
        <f>IFERROR(F39/AVERAGE(F34,F38),"")</f>
        <v>1.18403568552509</v>
      </c>
      <c r="G40" s="180">
        <f>IFERROR(G39/AVERAGE(G34,G38),"")</f>
        <v>1.25014292352818</v>
      </c>
      <c r="H40" s="180">
        <f>IFERROR(H39/AVERAGE(H34,H38),"")</f>
        <v>1.30925204129219</v>
      </c>
      <c r="I40" s="180">
        <f>IFERROR(I39/AVERAGE(I34,I38),"")</f>
        <v>1.36659913947812</v>
      </c>
      <c r="J40" s="180">
        <f>IFERROR(J39/AVERAGE(J34,J38),"")</f>
        <v>1.41465376509439</v>
      </c>
      <c r="K40" s="180">
        <f>IFERROR(K39/AVERAGE(K34,K38),"")</f>
        <v>1.45256891258461</v>
      </c>
      <c r="L40" s="180">
        <f>IFERROR(L39/AVERAGE(L34,L38),"")</f>
        <v>1.47977216246899</v>
      </c>
      <c r="M40" s="180">
        <f>IFERROR(M39/AVERAGE(M34,M38),"")</f>
        <v>1.49596997786417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0.0282347628351265</v>
      </c>
      <c r="E41" s="175">
        <f>IFERROR(SUM(E35:E37)/E39,"")</f>
        <v>0.027506992807152</v>
      </c>
      <c r="F41" s="175">
        <f>IFERROR(SUM(F35:F37)/F39,"")</f>
        <v>0.0265612711251858</v>
      </c>
      <c r="G41" s="175">
        <f>IFERROR(SUM(G35:G37)/G39,"")</f>
        <v>0.0260094370245131</v>
      </c>
      <c r="H41" s="175">
        <f>IFERROR(SUM(H35:H37)/H39,"")</f>
        <v>0.0254693027255802</v>
      </c>
      <c r="I41" s="175">
        <f>IFERROR(SUM(I35:I37)/I39,"")</f>
        <v>0.0254693027255802</v>
      </c>
      <c r="J41" s="175">
        <f>IFERROR(SUM(J35:J37)/J39,"")</f>
        <v>0.0254693027255802</v>
      </c>
      <c r="K41" s="175">
        <f>IFERROR(SUM(K35:K37)/K39,"")</f>
        <v>0.0254693027255802</v>
      </c>
      <c r="L41" s="175">
        <f>IFERROR(SUM(L35:L37)/L39,"")</f>
        <v>0.0254693027255802</v>
      </c>
      <c r="M41" s="175">
        <f>IFERROR(SUM(M35:M37)/M39,"")</f>
        <v>0.0254693027255802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1.57051806368557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FY2026E book IC (stockholders' deficit + net debt at 30-Sep-2026), rolled forward with capex + M&amp;A − depreciation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10872.5341848689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23949.0429802221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34821.577165091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NCI (Model FY2026E year end, 30-Sep-2026)</t>
        </is>
      </c>
      <c r="C48" s="173">
        <f>Model!CA383+Model!CA393</f>
        <v>5322.51025580248</v>
      </c>
      <c r="D48" s="198" t="inlineStr">
        <is>
          <t>FICO: no noncontrolling interests; net debt (debt − cash − marketable securities) at the base-year end (≈ valuation date) so that FY2027E+ cash flows are not double counted.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29499.0669092885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FY2026E period end)</t>
        </is>
      </c>
      <c r="C50" s="186">
        <f>Model!CA390</f>
        <v>20.9805945945946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1406.01672542153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Model!CA389</f>
        <v>740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0.900022601920983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0.161612164467668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1178.78731914841</v>
      </c>
      <c r="D55" s="175">
        <f>C55/C52-1</f>
        <v>0.592955836687042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0.074375</v>
      </c>
      <c r="E61" s="228">
        <f>F61-0.005</f>
        <v>0.079375</v>
      </c>
      <c r="F61" s="228">
        <f>$C$13</f>
        <v>0.084375</v>
      </c>
      <c r="G61" s="228">
        <f>F61+0.005</f>
        <v>0.089375</v>
      </c>
      <c r="H61" s="234">
        <f>F61+0.01</f>
        <v>0.094375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0.03</v>
      </c>
      <c r="C62" s="192" t="n"/>
      <c r="D62" s="225">
        <f t="array" ref="D62">IFERROR((SUMPRODUCT($D$24:$M$24/(1+D$61)^$D$29:$M$29)+($M$24*(1+$B62)/(D$61-$B62))/(1+D$61)^$M$29-$C$48)/$C$50,"")</f>
        <v>1531.31818819621</v>
      </c>
      <c r="E62" s="225">
        <f t="array" ref="E62">IFERROR((SUMPRODUCT($D$24:$M$24/(1+E$61)^$D$29:$M$29)+($M$24*(1+$B62)/(E$61-$B62))/(1+E$61)^$M$29-$C$48)/$C$50,"")</f>
        <v>1341.66542865997</v>
      </c>
      <c r="F62" s="225">
        <f t="array" ref="F62">IFERROR((SUMPRODUCT($D$24:$M$24/(1+F$61)^$D$29:$M$29)+($M$24*(1+$B62)/(F$61-$B62))/(1+F$61)^$M$29-$C$48)/$C$50,"")</f>
        <v>1187.13109148003</v>
      </c>
      <c r="G62" s="225">
        <f t="array" ref="G62">IFERROR((SUMPRODUCT($D$24:$M$24/(1+G$61)^$D$29:$M$29)+($M$24*(1+$B62)/(G$61-$B62))/(1+G$61)^$M$29-$C$48)/$C$50,"")</f>
        <v>1058.83495734727</v>
      </c>
      <c r="H62" s="235">
        <f t="array" ref="H62">IFERROR((SUMPRODUCT($D$24:$M$24/(1+H$61)^$D$29:$M$29)+($M$24*(1+$B62)/(H$61-$B62))/(1+H$61)^$M$29-$C$48)/$C$50,"")</f>
        <v>950.656041981416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0.035</v>
      </c>
      <c r="C63" s="192" t="n"/>
      <c r="D63" s="225">
        <f t="array" ref="D63">IFERROR((SUMPRODUCT($D$24:$M$24/(1+D$61)^$D$29:$M$29)+($M$24*(1+$B63)/(D$61-$B63))/(1+D$61)^$M$29-$C$48)/$C$50,"")</f>
        <v>1695.54372410307</v>
      </c>
      <c r="E63" s="225">
        <f t="array" ref="E63">IFERROR((SUMPRODUCT($D$24:$M$24/(1+E$61)^$D$29:$M$29)+($M$24*(1+$B63)/(E$61-$B63))/(1+E$61)^$M$29-$C$48)/$C$50,"")</f>
        <v>1467.29011996994</v>
      </c>
      <c r="F63" s="225">
        <f t="array" ref="F63">IFERROR((SUMPRODUCT($D$24:$M$24/(1+F$61)^$D$29:$M$29)+($M$24*(1+$B63)/(F$61-$B63))/(1+F$61)^$M$29-$C$48)/$C$50,"")</f>
        <v>1285.49109154235</v>
      </c>
      <c r="G63" s="225">
        <f t="array" ref="G63">IFERROR((SUMPRODUCT($D$24:$M$24/(1+G$61)^$D$29:$M$29)+($M$24*(1+$B63)/(G$61-$B63))/(1+G$61)^$M$29-$C$48)/$C$50,"")</f>
        <v>1137.32403203126</v>
      </c>
      <c r="H63" s="235">
        <f t="array" ref="H63">IFERROR((SUMPRODUCT($D$24:$M$24/(1+H$61)^$D$29:$M$29)+($M$24*(1+$B63)/(H$61-$B63))/(1+H$61)^$M$29-$C$48)/$C$50,"")</f>
        <v>1014.28582875373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0.04</v>
      </c>
      <c r="C64" s="192" t="n"/>
      <c r="D64" s="225">
        <f t="array" ref="D64">IFERROR((SUMPRODUCT($D$24:$M$24/(1+D$61)^$D$29:$M$29)+($M$24*(1+$B64)/(D$61-$B64))/(1+D$61)^$M$29-$C$48)/$C$50,"")</f>
        <v>1907.54396136465</v>
      </c>
      <c r="E64" s="225">
        <f t="array" ref="E64">IFERROR((SUMPRODUCT($D$24:$M$24/(1+E$61)^$D$29:$M$29)+($M$24*(1+$B64)/(E$61-$B64))/(1+E$61)^$M$29-$C$48)/$C$50,"")</f>
        <v>1624.8194947872</v>
      </c>
      <c r="F64" s="226">
        <f t="array" ref="F64">IFERROR((SUMPRODUCT($D$24:$M$24/(1+F$61)^$D$29:$M$29)+($M$24*(1+$B64)/(F$61-$B64))/(1+F$61)^$M$29-$C$48)/$C$50,"")</f>
        <v>1406.01672542153</v>
      </c>
      <c r="G64" s="225">
        <f t="array" ref="G64">IFERROR((SUMPRODUCT($D$24:$M$24/(1+G$61)^$D$29:$M$29)+($M$24*(1+$B64)/(G$61-$B64))/(1+G$61)^$M$29-$C$48)/$C$50,"")</f>
        <v>1231.70962817023</v>
      </c>
      <c r="H64" s="235">
        <f t="array" ref="H64">IFERROR((SUMPRODUCT($D$24:$M$24/(1+H$61)^$D$29:$M$29)+($M$24*(1+$B64)/(H$61-$B64))/(1+H$61)^$M$29-$C$48)/$C$50,"")</f>
        <v>1089.61764527728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0.045</v>
      </c>
      <c r="C65" s="192" t="n"/>
      <c r="D65" s="225">
        <f t="array" ref="D65">IFERROR((SUMPRODUCT($D$24:$M$24/(1+D$61)^$D$29:$M$29)+($M$24*(1+$B65)/(D$61-$B65))/(1+D$61)^$M$29-$C$48)/$C$50,"")</f>
        <v>2191.71449216209</v>
      </c>
      <c r="E65" s="225">
        <f t="array" ref="E65">IFERROR((SUMPRODUCT($D$24:$M$24/(1+E$61)^$D$29:$M$29)+($M$24*(1+$B65)/(E$61-$B65))/(1+E$61)^$M$29-$C$48)/$C$50,"")</f>
        <v>1828.17559682403</v>
      </c>
      <c r="F65" s="225">
        <f t="array" ref="F65">IFERROR((SUMPRODUCT($D$24:$M$24/(1+F$61)^$D$29:$M$29)+($M$24*(1+$B65)/(F$61-$B65))/(1+F$61)^$M$29-$C$48)/$C$50,"")</f>
        <v>1557.15204409542</v>
      </c>
      <c r="G65" s="225">
        <f t="array" ref="G65">IFERROR((SUMPRODUCT($D$24:$M$24/(1+G$61)^$D$29:$M$29)+($M$24*(1+$B65)/(G$61-$B65))/(1+G$61)^$M$29-$C$48)/$C$50,"")</f>
        <v>1347.3652178053</v>
      </c>
      <c r="H65" s="235">
        <f t="array" ref="H65">IFERROR((SUMPRODUCT($D$24:$M$24/(1+H$61)^$D$29:$M$29)+($M$24*(1+$B65)/(H$61-$B65))/(1+H$61)^$M$29-$C$48)/$C$50,"")</f>
        <v>1180.20653856508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0.05</v>
      </c>
      <c r="C66" s="229" t="n"/>
      <c r="D66" s="230">
        <f t="array" ref="D66">IFERROR((SUMPRODUCT($D$24:$M$24/(1+D$61)^$D$29:$M$29)+($M$24*(1+$B66)/(D$61-$B66))/(1+D$61)^$M$29-$C$48)/$C$50,"")</f>
        <v>2592.46780482514</v>
      </c>
      <c r="E66" s="230">
        <f t="array" ref="E66">IFERROR((SUMPRODUCT($D$24:$M$24/(1+E$61)^$D$29:$M$29)+($M$24*(1+$B66)/(E$61-$B66))/(1+E$61)^$M$29-$C$48)/$C$50,"")</f>
        <v>2100.75930806489</v>
      </c>
      <c r="F66" s="230">
        <f t="array" ref="F66">IFERROR((SUMPRODUCT($D$24:$M$24/(1+F$61)^$D$29:$M$29)+($M$24*(1+$B66)/(F$61-$B66))/(1+F$61)^$M$29-$C$48)/$C$50,"")</f>
        <v>1752.25400092899</v>
      </c>
      <c r="G66" s="230">
        <f t="array" ref="G66">IFERROR((SUMPRODUCT($D$24:$M$24/(1+G$61)^$D$29:$M$29)+($M$24*(1+$B66)/(G$61-$B66))/(1+G$61)^$M$29-$C$48)/$C$50,"")</f>
        <v>1492.39365560166</v>
      </c>
      <c r="H66" s="236">
        <f t="array" ref="H66">IFERROR((SUMPRODUCT($D$24:$M$24/(1+H$61)^$D$29:$M$29)+($M$24*(1+$B66)/(H$61-$B66))/(1+H$61)^$M$29-$C$48)/$C$50,"")</f>
        <v>1291.20983034028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(Fair Isaac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0.084375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0.11</v>
      </c>
      <c r="D78" s="198" t="inlineStr">
        <is>
          <t>Model non-GAAP operating income CAGR FY2026–31E: B2B Scores pricing and platform software growth with stable Scores margins → ~10–12%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0.6</v>
      </c>
      <c r="D79" s="198" t="inlineStr">
        <is>
          <t>Capital-light model: the FICO Score is embedded in US lending (90% of top lenders, release boilerplate) and Scores earn ~90% segment margins; book invested capital is small because of buybacks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15</v>
      </c>
      <c r="D80" s="198" t="inlineStr">
        <is>
          <t>Long competitive-advantage period from the score's entrenchment with lenders and the GSEs; risks: FHFA approval of alternative scores and bureau competition (VantageScore) — 10-K risk factors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11.8518518518519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0.859375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-43.7217705510388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-0.419555035985321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18.343689016883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301">
        <f>C83+C87</f>
        <v>30.1955408687349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FY2029E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FY2029E Adj. EBITA after SBC less restructuring &amp; acquisition costs</t>
        </is>
      </c>
      <c r="C91" s="209">
        <f>Model!CD189-Model!CD191</f>
        <v>1939.22429842045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0.25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FY2029E NOPAT</t>
        </is>
      </c>
      <c r="C93" s="211">
        <f>C91*(1-C92)</f>
        <v>1454.41822381533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302">
        <f>C88</f>
        <v>30.1955408687349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(FY2029E basis)</t>
        </is>
      </c>
      <c r="C95" s="211">
        <f>C93*C94</f>
        <v>43916.9449174487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FY2028E year-end net debt + NCI (Model)</t>
        </is>
      </c>
      <c r="C96" s="209">
        <f>Model!CC383+Model!CC393</f>
        <v>5950.6530513353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37966.2918661134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FY2029E (m, Model)</t>
        </is>
      </c>
      <c r="C98" s="212">
        <f>Model!CD390</f>
        <v>16.0329717322285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FY2029 ($)</t>
        </is>
      </c>
      <c r="C99" s="213">
        <f>C97/C98</f>
        <v>2368.01339765329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740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2.20001810493687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15525.64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FY2026E year-end net debt + NCI</t>
        </is>
      </c>
      <c r="C106" s="211">
        <f>C48</f>
        <v>5322.51025580248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20848.1502558025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FICO market-implied EV/NOPAT (on FY2029E NOPAT)</t>
        </is>
      </c>
      <c r="C108" s="303">
        <f>C107/C93</f>
        <v>14.3343571432377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15.8611837254972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1.10651517657907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Fair Isaac Corporation — Operating Performance (FY2012–FY2025) and Model Forecast (FY2026E–FY2031E)</t>
        </is>
      </c>
    </row>
    <row r="3" ht="15" customHeight="1" s="251">
      <c r="B3" s="4" t="inlineStr">
        <is>
          <t>USDm · fiscal years ended 30 September · Linked to Model. Bars = contribution of each segment to total revenue growth (pp). Adjusted EBITDA = model definition (FICO publishes no EBITDA; excludes SBC). ROIC / RONTA on adjusted EBITA after SBC.</t>
        </is>
      </c>
    </row>
    <row r="7" ht="15" customHeight="1" s="251">
      <c r="C7" s="10" t="n">
        <v>2012</v>
      </c>
      <c r="D7" s="10" t="n">
        <v>2013</v>
      </c>
      <c r="E7" s="10" t="n">
        <v>2014</v>
      </c>
      <c r="F7" s="10" t="n">
        <v>2015</v>
      </c>
      <c r="G7" s="10" t="n">
        <v>2016</v>
      </c>
      <c r="H7" s="10" t="n">
        <v>2017</v>
      </c>
      <c r="I7" s="10" t="n">
        <v>2018</v>
      </c>
      <c r="J7" s="10" t="n">
        <v>2019</v>
      </c>
      <c r="K7" s="10" t="n">
        <v>2020</v>
      </c>
      <c r="L7" s="10" t="n">
        <v>2021</v>
      </c>
      <c r="M7" s="10" t="n">
        <v>2022</v>
      </c>
      <c r="N7" s="10" t="n">
        <v>2023</v>
      </c>
      <c r="O7" s="10" t="n">
        <v>2024</v>
      </c>
      <c r="P7" s="10" t="n">
        <v>2025</v>
      </c>
      <c r="Q7" s="10" t="inlineStr">
        <is>
          <t>2026E</t>
        </is>
      </c>
      <c r="R7" s="10" t="inlineStr">
        <is>
          <t>2027E</t>
        </is>
      </c>
      <c r="S7" s="10" t="inlineStr">
        <is>
          <t>2028E</t>
        </is>
      </c>
      <c r="T7" s="10" t="inlineStr">
        <is>
          <t>2029E</t>
        </is>
      </c>
      <c r="U7" s="10" t="inlineStr">
        <is>
          <t>2030E</t>
        </is>
      </c>
      <c r="V7" s="10" t="inlineStr">
        <is>
          <t>2031E</t>
        </is>
      </c>
    </row>
    <row r="8" ht="15" customHeight="1" s="251">
      <c r="B8" t="inlineStr">
        <is>
          <t>Scores contribution to growth (pp)</t>
        </is>
      </c>
      <c r="C8" s="108">
        <f>IFERROR(Model!I67+0,0)</f>
        <v>0.0113864669516511</v>
      </c>
      <c r="D8" s="108">
        <f>IFERROR(Model!N67+0,0)</f>
        <v>0.00767271367177047</v>
      </c>
      <c r="E8" s="108">
        <f>IFERROR(Model!S67+0,0)</f>
        <v>0.00760783596343505</v>
      </c>
      <c r="F8" s="108">
        <f>IFERROR(Model!X67+0,0)</f>
        <v>0.0260309131352307</v>
      </c>
      <c r="G8" s="108">
        <f>IFERROR(Model!AC67+0,0)</f>
        <v>0.0405970092312534</v>
      </c>
      <c r="H8" s="108">
        <f>IFERROR(Model!AH67+0,0)</f>
        <v>0.0287000939461466</v>
      </c>
      <c r="I8" s="108">
        <f>IFERROR(Model!AM67+0,0)</f>
        <v>0.0818456739067702</v>
      </c>
      <c r="J8" s="108">
        <f>IFERROR(Model!AR67+0,0)</f>
        <v>0.0760589844790431</v>
      </c>
      <c r="K8" s="108">
        <f>IFERROR(Model!AW67+0,0)</f>
        <v>0.0925537224491696</v>
      </c>
      <c r="L8" s="108">
        <f>IFERROR(Model!BB67+0,0)</f>
        <v>0.0970212318915587</v>
      </c>
      <c r="M8" s="108">
        <f>IFERROR(Model!BG67+0,0)</f>
        <v>0.0398743368962186</v>
      </c>
      <c r="N8" s="108">
        <f>IFERROR(Model!BL67+0,0)</f>
        <v>0.0487812847154152</v>
      </c>
      <c r="O8" s="108">
        <f>IFERROR(Model!BQ67+0,0)</f>
        <v>0.0963439104044314</v>
      </c>
      <c r="P8" s="108">
        <f>IFERROR(Model!BV67+0,0)</f>
        <v>0.144932303790452</v>
      </c>
      <c r="Q8" s="108">
        <f>IFERROR(Model!CA67+0,0)</f>
        <v>0.256852868372244</v>
      </c>
      <c r="R8" s="108">
        <f>IFERROR(Model!CB67+0,0)</f>
        <v>0.0896223763600869</v>
      </c>
      <c r="S8" s="108">
        <f>IFERROR(Model!CC67+0,0)</f>
        <v>0.074926888876488</v>
      </c>
      <c r="T8" s="108">
        <f>IFERROR(Model!CD67+0,0)</f>
        <v>0.0637083020283869</v>
      </c>
      <c r="U8" s="108">
        <f>IFERROR(Model!CE67+0,0)</f>
        <v>0.057012455535977</v>
      </c>
      <c r="V8" s="108">
        <f>IFERROR(Model!CF67+0,0)</f>
        <v>0.0509003181298278</v>
      </c>
    </row>
    <row r="9" ht="15" customHeight="1" s="251">
      <c r="B9" t="inlineStr">
        <is>
          <t>Software contribution to growth (pp)</t>
        </is>
      </c>
      <c r="C9" s="108">
        <f>IFERROR(Model!I68+0,0)</f>
        <v>0.0801764773279242</v>
      </c>
      <c r="D9" s="108">
        <f>IFERROR(Model!N68+0,0)</f>
        <v>0.091408778234921</v>
      </c>
      <c r="E9" s="108">
        <f>IFERROR(Model!S68+0,0)</f>
        <v>0.0536489634727027</v>
      </c>
      <c r="F9" s="108">
        <f>IFERROR(Model!X68+0,0)</f>
        <v>0.0370830877646597</v>
      </c>
      <c r="G9" s="108">
        <f>IFERROR(Model!AC68+0,0)</f>
        <v>0.0101611743709026</v>
      </c>
      <c r="H9" s="108">
        <f>IFERROR(Model!AH68+0,0)</f>
        <v>0.0289531131574529</v>
      </c>
      <c r="I9" s="108">
        <f>IFERROR(Model!AM68+0,0)</f>
        <v>0.0257592775558938</v>
      </c>
      <c r="J9" s="108">
        <f>IFERROR(Model!AR68+0,0)</f>
        <v>0.0475352914114143</v>
      </c>
      <c r="K9" s="108">
        <f>IFERROR(Model!AW68+0,0)</f>
        <v>0.0233681555543871</v>
      </c>
      <c r="L9" s="108">
        <f>IFERROR(Model!BB68+0,0)</f>
        <v>-0.08004715108276</v>
      </c>
      <c r="M9" s="108">
        <f>IFERROR(Model!BG68+0,0)</f>
        <v>0.00625732984134117</v>
      </c>
      <c r="N9" s="108">
        <f>IFERROR(Model!BL68+0,0)</f>
        <v>0.05017316865974</v>
      </c>
      <c r="O9" s="108">
        <f>IFERROR(Model!BQ68+0,0)</f>
        <v>0.0384174497557739</v>
      </c>
      <c r="P9" s="108">
        <f>IFERROR(Model!BV68+0,0)</f>
        <v>0.0142169609077243</v>
      </c>
      <c r="Q9" s="108">
        <f>IFERROR(Model!CA68+0,0)</f>
        <v>0.0139489774548802</v>
      </c>
      <c r="R9" s="108">
        <f>IFERROR(Model!CB68+0,0)</f>
        <v>0.0166295257754683</v>
      </c>
      <c r="S9" s="108">
        <f>IFERROR(Model!CC68+0,0)</f>
        <v>0.0284713707738748</v>
      </c>
      <c r="T9" s="108">
        <f>IFERROR(Model!CD68+0,0)</f>
        <v>0.0307195072028915</v>
      </c>
      <c r="U9" s="108">
        <f>IFERROR(Model!CE68+0,0)</f>
        <v>0.0309723261640124</v>
      </c>
      <c r="V9" s="108">
        <f>IFERROR(Model!CF68+0,0)</f>
        <v>0.0304834275014866</v>
      </c>
    </row>
    <row r="11" ht="15" customHeight="1" s="251">
      <c r="C11" s="10">
        <f>C7</f>
        <v>2012</v>
      </c>
      <c r="D11" s="10">
        <f>D7</f>
        <v>2013</v>
      </c>
      <c r="E11" s="10">
        <f>E7</f>
        <v>2014</v>
      </c>
      <c r="F11" s="10">
        <f>F7</f>
        <v>2015</v>
      </c>
      <c r="G11" s="10">
        <f>G7</f>
        <v>2016</v>
      </c>
      <c r="H11" s="10">
        <f>H7</f>
        <v>2017</v>
      </c>
      <c r="I11" s="10">
        <f>I7</f>
        <v>2018</v>
      </c>
      <c r="J11" s="10">
        <f>J7</f>
        <v>2019</v>
      </c>
      <c r="K11" s="10">
        <f>K7</f>
        <v>2020</v>
      </c>
      <c r="L11" s="10">
        <f>L7</f>
        <v>2021</v>
      </c>
      <c r="M11" s="10">
        <f>M7</f>
        <v>2022</v>
      </c>
      <c r="N11" s="10">
        <f>N7</f>
        <v>2023</v>
      </c>
      <c r="O11" s="10">
        <f>O7</f>
        <v>2024</v>
      </c>
      <c r="P11" s="10">
        <f>P7</f>
        <v>2025</v>
      </c>
      <c r="Q11" s="10" t="str">
        <f>Q7</f>
        <v>2026E</v>
      </c>
      <c r="R11" s="10" t="str">
        <f>R7</f>
        <v>2027E</v>
      </c>
      <c r="S11" s="10" t="str">
        <f>S7</f>
        <v>2028E</v>
      </c>
      <c r="T11" s="10" t="str">
        <f>T7</f>
        <v>2029E</v>
      </c>
      <c r="U11" s="10" t="str">
        <f>U7</f>
        <v>2030E</v>
      </c>
      <c r="V11" s="10" t="str">
        <f>V7</f>
        <v>2031E</v>
      </c>
    </row>
    <row r="12" ht="15" customHeight="1" s="251">
      <c r="B12" t="inlineStr">
        <is>
          <t>Adjusted EBITDA</t>
        </is>
      </c>
      <c r="C12" s="106">
        <f>Model!I183</f>
        <v>215.563</v>
      </c>
      <c r="D12" s="106">
        <f>Model!N183</f>
        <v>224.761</v>
      </c>
      <c r="E12" s="106">
        <f>Model!S183</f>
        <v>234.956</v>
      </c>
      <c r="F12" s="106">
        <f>Model!X183</f>
        <v>235.827</v>
      </c>
      <c r="G12" s="106">
        <f>Model!AC183</f>
        <v>258.344</v>
      </c>
      <c r="H12" s="106">
        <f>Model!AH183</f>
        <v>279.021</v>
      </c>
      <c r="I12" s="106">
        <f>Model!AM183</f>
        <v>314.317</v>
      </c>
      <c r="J12" s="106">
        <f>Model!AR183</f>
        <v>370.409</v>
      </c>
      <c r="K12" s="106">
        <f>Model!AW183</f>
        <v>468.254</v>
      </c>
      <c r="L12" s="106">
        <f>Model!BB183</f>
        <v>559.101</v>
      </c>
      <c r="M12" s="106">
        <f>Model!BG183</f>
        <v>676.096</v>
      </c>
      <c r="N12" s="106">
        <f>Model!BL183</f>
        <v>785.714</v>
      </c>
      <c r="O12" s="106">
        <f>Model!BQ183</f>
        <v>910.929</v>
      </c>
      <c r="P12" s="106">
        <f>Model!BV183</f>
        <v>1118.783</v>
      </c>
      <c r="Q12" s="106">
        <f>Model!CA183</f>
        <v>1545.86958198803</v>
      </c>
      <c r="R12" s="106">
        <f>Model!CB183</f>
        <v>1790.90173054324</v>
      </c>
      <c r="S12" s="106">
        <f>Model!CC183</f>
        <v>2002.24868377843</v>
      </c>
      <c r="T12" s="106">
        <f>Model!CD183</f>
        <v>2209.61014407202</v>
      </c>
      <c r="U12" s="106">
        <f>Model!CE183</f>
        <v>2408.23725661808</v>
      </c>
      <c r="V12" s="106">
        <f>Model!CF183</f>
        <v>2606.28042158237</v>
      </c>
    </row>
    <row r="13" ht="15" customHeight="1" s="251">
      <c r="B13" t="inlineStr">
        <is>
          <t>Operating income (GAAP)</t>
        </is>
      </c>
      <c r="C13" s="106">
        <f>Model!I135</f>
        <v>168.358</v>
      </c>
      <c r="D13" s="106">
        <f>Model!N135</f>
        <v>161.593</v>
      </c>
      <c r="E13" s="106">
        <f>Model!S135</f>
        <v>161.868</v>
      </c>
      <c r="F13" s="106">
        <f>Model!X135</f>
        <v>137.505</v>
      </c>
      <c r="G13" s="106">
        <f>Model!AC135</f>
        <v>169.592</v>
      </c>
      <c r="H13" s="106">
        <f>Model!AH135</f>
        <v>177.2</v>
      </c>
      <c r="I13" s="106">
        <f>Model!AM135</f>
        <v>206.437</v>
      </c>
      <c r="J13" s="106">
        <f>Model!AR135</f>
        <v>253.548</v>
      </c>
      <c r="K13" s="106">
        <f>Model!AW135</f>
        <v>295.969</v>
      </c>
      <c r="L13" s="106">
        <f>Model!BB135</f>
        <v>505.489</v>
      </c>
      <c r="M13" s="106">
        <f>Model!BG135</f>
        <v>542.414</v>
      </c>
      <c r="N13" s="106">
        <f>Model!BL135</f>
        <v>642.83</v>
      </c>
      <c r="O13" s="106">
        <f>Model!BQ135</f>
        <v>733.629</v>
      </c>
      <c r="P13" s="106">
        <f>Model!BV135</f>
        <v>924.85</v>
      </c>
      <c r="Q13" s="106">
        <f>Model!CA135</f>
        <v>1301.49758198803</v>
      </c>
      <c r="R13" s="106">
        <f>Model!CB135</f>
        <v>1549.99634555101</v>
      </c>
      <c r="S13" s="106">
        <f>Model!CC135</f>
        <v>1743.19187165166</v>
      </c>
      <c r="T13" s="106">
        <f>Model!CD135</f>
        <v>1927.22429842045</v>
      </c>
      <c r="U13" s="106">
        <f>Model!CE135</f>
        <v>2102.06157136208</v>
      </c>
      <c r="V13" s="106">
        <f>Model!CF135</f>
        <v>2276.16361718658</v>
      </c>
    </row>
    <row r="14" ht="15" customHeight="1" s="251">
      <c r="B14" t="inlineStr">
        <is>
          <t>Adj. EBITDA Margin %</t>
        </is>
      </c>
      <c r="C14" s="108">
        <f>Model!I225</f>
        <v>0.318680766325214</v>
      </c>
      <c r="D14" s="108">
        <f>Model!N225</f>
        <v>0.302324048616977</v>
      </c>
      <c r="E14" s="108">
        <f>Model!S225</f>
        <v>0.2977952686046</v>
      </c>
      <c r="F14" s="108">
        <f>Model!X225</f>
        <v>0.281154437213051</v>
      </c>
      <c r="G14" s="108">
        <f>Model!AC225</f>
        <v>0.293121054375304</v>
      </c>
      <c r="H14" s="108">
        <f>Model!AH225</f>
        <v>0.299324478715769</v>
      </c>
      <c r="I14" s="108">
        <f>Model!AM225</f>
        <v>0.304430615753408</v>
      </c>
      <c r="J14" s="108">
        <f>Model!AR225</f>
        <v>0.319295257322105</v>
      </c>
      <c r="K14" s="108">
        <f>Model!AW225</f>
        <v>0.361708438838773</v>
      </c>
      <c r="L14" s="108">
        <f>Model!BB225</f>
        <v>0.424675815929075</v>
      </c>
      <c r="M14" s="108">
        <f>Model!BG225</f>
        <v>0.490895757549355</v>
      </c>
      <c r="N14" s="108">
        <f>Model!BL225</f>
        <v>0.519117548926139</v>
      </c>
      <c r="O14" s="108">
        <f>Model!BQ225</f>
        <v>0.530372757093633</v>
      </c>
      <c r="P14" s="108">
        <f>Model!BV225</f>
        <v>0.561957115209489</v>
      </c>
      <c r="Q14" s="108">
        <f>Model!CA225</f>
        <v>0.611015645054557</v>
      </c>
      <c r="R14" s="108">
        <f>Model!CB225</f>
        <v>0.639878037986569</v>
      </c>
      <c r="S14" s="108">
        <f>Model!CC225</f>
        <v>0.648352471333913</v>
      </c>
      <c r="T14" s="108">
        <f>Model!CD225</f>
        <v>0.653765033815974</v>
      </c>
      <c r="U14" s="108">
        <f>Model!CE225</f>
        <v>0.654911300238131</v>
      </c>
      <c r="V14" s="108">
        <f>Model!CF225</f>
        <v>0.655427285970033</v>
      </c>
    </row>
    <row r="15" ht="15" customHeight="1" s="251">
      <c r="B15" t="inlineStr">
        <is>
          <t>Operating Margin %</t>
        </is>
      </c>
      <c r="C15" s="108">
        <f>Model!I226</f>
        <v>0.248894552668966</v>
      </c>
      <c r="D15" s="108">
        <f>Model!N226</f>
        <v>0.217357326173861</v>
      </c>
      <c r="E15" s="108">
        <f>Model!S226</f>
        <v>0.205159793912432</v>
      </c>
      <c r="F15" s="108">
        <f>Model!X226</f>
        <v>0.163934328507679</v>
      </c>
      <c r="G15" s="108">
        <f>Model!AC226</f>
        <v>0.192421677506025</v>
      </c>
      <c r="H15" s="108">
        <f>Model!AH226</f>
        <v>0.190094285478277</v>
      </c>
      <c r="I15" s="108">
        <f>Model!AM226</f>
        <v>0.199943824305673</v>
      </c>
      <c r="J15" s="108">
        <f>Model!AR226</f>
        <v>0.218560223708131</v>
      </c>
      <c r="K15" s="108">
        <f>Model!AW226</f>
        <v>0.228624816733382</v>
      </c>
      <c r="L15" s="108">
        <f>Model!BB226</f>
        <v>0.383953799972048</v>
      </c>
      <c r="M15" s="108">
        <f>Model!BG226</f>
        <v>0.393832727061506</v>
      </c>
      <c r="N15" s="108">
        <f>Model!BL226</f>
        <v>0.424714761320518</v>
      </c>
      <c r="O15" s="108">
        <f>Model!BQ226</f>
        <v>0.427142878768648</v>
      </c>
      <c r="P15" s="108">
        <f>Model!BV226</f>
        <v>0.464545884234472</v>
      </c>
      <c r="Q15" s="108">
        <f>Model!CA226</f>
        <v>0.514425921734399</v>
      </c>
      <c r="R15" s="108">
        <f>Model!CB226</f>
        <v>0.5538040438303</v>
      </c>
      <c r="S15" s="108">
        <f>Model!CC226</f>
        <v>0.564466725412819</v>
      </c>
      <c r="T15" s="108">
        <f>Model!CD226</f>
        <v>0.570214552104601</v>
      </c>
      <c r="U15" s="108">
        <f>Model!CE226</f>
        <v>0.571647944195756</v>
      </c>
      <c r="V15" s="108">
        <f>Model!CF226</f>
        <v>0.572409526496989</v>
      </c>
    </row>
    <row r="17" ht="15" customHeight="1" s="251">
      <c r="C17" s="10">
        <f>C7</f>
        <v>2012</v>
      </c>
      <c r="D17" s="10">
        <f>D7</f>
        <v>2013</v>
      </c>
      <c r="E17" s="10">
        <f>E7</f>
        <v>2014</v>
      </c>
      <c r="F17" s="10">
        <f>F7</f>
        <v>2015</v>
      </c>
      <c r="G17" s="10">
        <f>G7</f>
        <v>2016</v>
      </c>
      <c r="H17" s="10">
        <f>H7</f>
        <v>2017</v>
      </c>
      <c r="I17" s="10">
        <f>I7</f>
        <v>2018</v>
      </c>
      <c r="J17" s="10">
        <f>J7</f>
        <v>2019</v>
      </c>
      <c r="K17" s="10">
        <f>K7</f>
        <v>2020</v>
      </c>
      <c r="L17" s="10">
        <f>L7</f>
        <v>2021</v>
      </c>
      <c r="M17" s="10">
        <f>M7</f>
        <v>2022</v>
      </c>
      <c r="N17" s="10">
        <f>N7</f>
        <v>2023</v>
      </c>
      <c r="O17" s="10">
        <f>O7</f>
        <v>2024</v>
      </c>
      <c r="P17" s="10">
        <f>P7</f>
        <v>2025</v>
      </c>
      <c r="Q17" s="10" t="str">
        <f>Q7</f>
        <v>2026E</v>
      </c>
      <c r="R17" s="10" t="str">
        <f>R7</f>
        <v>2027E</v>
      </c>
      <c r="S17" s="10" t="str">
        <f>S7</f>
        <v>2028E</v>
      </c>
      <c r="T17" s="10" t="str">
        <f>T7</f>
        <v>2029E</v>
      </c>
      <c r="U17" s="10" t="str">
        <f>U7</f>
        <v>2030E</v>
      </c>
      <c r="V17" s="10" t="str">
        <f>V7</f>
        <v>2031E</v>
      </c>
    </row>
    <row r="18" ht="15" customHeight="1" s="251">
      <c r="B18" t="inlineStr">
        <is>
          <t>ROIC</t>
        </is>
      </c>
      <c r="C18" s="108">
        <f>IFERROR(Model!I366+0,NA())</f>
        <v>0.142184197210808</v>
      </c>
      <c r="D18" s="108">
        <f>IFERROR(Model!N366+0,NA())</f>
        <v>0.138752646438792</v>
      </c>
      <c r="E18" s="108">
        <f>IFERROR(Model!S366+0,NA())</f>
        <v>0.140343206484393</v>
      </c>
      <c r="F18" s="108">
        <f>IFERROR(Model!X366+0,NA())</f>
        <v>0.131846770200067</v>
      </c>
      <c r="G18" s="108">
        <f>IFERROR(Model!AC366+0,NA())</f>
        <v>0.14614860829053</v>
      </c>
      <c r="H18" s="108">
        <f>IFERROR(Model!AH366+0,NA())</f>
        <v>0.148065203602324</v>
      </c>
      <c r="I18" s="108">
        <f>IFERROR(Model!AM366+0,NA())</f>
        <v>0.176201904509842</v>
      </c>
      <c r="J18" s="108">
        <f>IFERROR(Model!AR366+0,NA())</f>
        <v>0.198101463180089</v>
      </c>
      <c r="K18" s="108">
        <f>IFERROR(Model!AW366+0,NA())</f>
        <v>0.259434123977977</v>
      </c>
      <c r="L18" s="108">
        <f>IFERROR(Model!BB366+0,NA())</f>
        <v>0.355391850613996</v>
      </c>
      <c r="M18" s="108">
        <f>IFERROR(Model!BG366+0,NA())</f>
        <v>0.468176970941652</v>
      </c>
      <c r="N18" s="108">
        <f>IFERROR(Model!BL366+0,NA())</f>
        <v>0.477865969894832</v>
      </c>
      <c r="O18" s="108">
        <f>IFERROR(Model!BQ366+0,NA())</f>
        <v>0.535424721782988</v>
      </c>
      <c r="P18" s="108">
        <f>IFERROR(Model!BV366+0,NA())</f>
        <v>0.639138389897234</v>
      </c>
      <c r="Q18" s="108">
        <f>IFERROR(Model!CA366+0,NA())</f>
        <v>0.877412183740958</v>
      </c>
      <c r="R18" s="108">
        <f>IFERROR(Model!CB366+0,NA())</f>
        <v>1.00206009840735</v>
      </c>
      <c r="S18" s="108">
        <f>IFERROR(Model!CC366+0,NA())</f>
        <v>1.08879164658819</v>
      </c>
      <c r="T18" s="108">
        <f>IFERROR(Model!CD366+0,NA())</f>
        <v>1.16570526580519</v>
      </c>
      <c r="U18" s="108">
        <f>IFERROR(Model!CE366+0,NA())</f>
        <v>1.23014354885647</v>
      </c>
      <c r="V18" s="108">
        <f>IFERROR(Model!CF366+0,NA())</f>
        <v>1.28778103766247</v>
      </c>
    </row>
    <row r="19" ht="15" customHeight="1" s="251">
      <c r="B19" t="inlineStr">
        <is>
          <t>RONTA</t>
        </is>
      </c>
      <c r="C19" s="108">
        <f>IFERROR(Model!I377+0,NA())</f>
        <v>0.616022061544305</v>
      </c>
      <c r="D19" s="108">
        <f>IFERROR(Model!N377+0,NA())</f>
        <v>0.66598234208697</v>
      </c>
      <c r="E19" s="108">
        <f>IFERROR(Model!S377+0,NA())</f>
        <v>0.636648492606861</v>
      </c>
      <c r="F19" s="108">
        <f>IFERROR(Model!X377+0,NA())</f>
        <v>0.572197432937946</v>
      </c>
      <c r="G19" s="108">
        <f>IFERROR(Model!AC377+0,NA())</f>
        <v>0.611308262554982</v>
      </c>
      <c r="H19" s="108">
        <f>IFERROR(Model!AH377+0,NA())</f>
        <v>0.543225371929402</v>
      </c>
      <c r="I19" s="108">
        <f>IFERROR(Model!AM377+0,NA())</f>
        <v>0.64069625236055</v>
      </c>
      <c r="J19" s="108">
        <f>IFERROR(Model!AR377+0,NA())</f>
        <v>0.569724463198334</v>
      </c>
      <c r="K19" s="108">
        <f>IFERROR(Model!AW377+0,NA())</f>
        <v>0.547477289935875</v>
      </c>
      <c r="L19" s="108">
        <f>IFERROR(Model!BB377+0,NA())</f>
        <v>0.700841860295066</v>
      </c>
      <c r="M19" s="108">
        <f>IFERROR(Model!BG377+0,NA())</f>
        <v>1.10736725390717</v>
      </c>
      <c r="N19" s="108">
        <f>IFERROR(Model!BL377+0,NA())</f>
        <v>0.991279072291373</v>
      </c>
      <c r="O19" s="108">
        <f>IFERROR(Model!BQ377+0,NA())</f>
        <v>0.986936198338757</v>
      </c>
      <c r="P19" s="108">
        <f>IFERROR(Model!BV377+0,NA())</f>
        <v>1.12824124184558</v>
      </c>
      <c r="Q19" s="108">
        <f>IFERROR(Model!CA377+0,NA())</f>
        <v>1.51300221130922</v>
      </c>
      <c r="R19" s="108">
        <f>IFERROR(Model!CB377+0,NA())</f>
        <v>1.69334930282852</v>
      </c>
      <c r="S19" s="108">
        <f>IFERROR(Model!CC377+0,NA())</f>
        <v>1.80266900733732</v>
      </c>
      <c r="T19" s="108">
        <f>IFERROR(Model!CD377+0,NA())</f>
        <v>1.89161033243568</v>
      </c>
      <c r="U19" s="108">
        <f>IFERROR(Model!CE377+0,NA())</f>
        <v>1.95718048286535</v>
      </c>
      <c r="V19" s="108">
        <f>IFERROR(Model!CF377+0,NA())</f>
        <v>2.00992098673699</v>
      </c>
    </row>
    <row r="20" ht="15" customHeight="1" s="251">
      <c r="B20" t="inlineStr">
        <is>
          <t>Adj. EBITDA margin %</t>
        </is>
      </c>
      <c r="C20" s="108">
        <f>IFERROR(Model!I225+0,NA())</f>
        <v>0.318680766325214</v>
      </c>
      <c r="D20" s="108">
        <f>IFERROR(Model!N225+0,NA())</f>
        <v>0.302324048616977</v>
      </c>
      <c r="E20" s="108">
        <f>IFERROR(Model!S225+0,NA())</f>
        <v>0.2977952686046</v>
      </c>
      <c r="F20" s="108">
        <f>IFERROR(Model!X225+0,NA())</f>
        <v>0.281154437213051</v>
      </c>
      <c r="G20" s="108">
        <f>IFERROR(Model!AC225+0,NA())</f>
        <v>0.293121054375304</v>
      </c>
      <c r="H20" s="108">
        <f>IFERROR(Model!AH225+0,NA())</f>
        <v>0.299324478715769</v>
      </c>
      <c r="I20" s="108">
        <f>IFERROR(Model!AM225+0,NA())</f>
        <v>0.304430615753408</v>
      </c>
      <c r="J20" s="108">
        <f>IFERROR(Model!AR225+0,NA())</f>
        <v>0.319295257322105</v>
      </c>
      <c r="K20" s="108">
        <f>IFERROR(Model!AW225+0,NA())</f>
        <v>0.361708438838773</v>
      </c>
      <c r="L20" s="108">
        <f>IFERROR(Model!BB225+0,NA())</f>
        <v>0.424675815929075</v>
      </c>
      <c r="M20" s="108">
        <f>IFERROR(Model!BG225+0,NA())</f>
        <v>0.490895757549355</v>
      </c>
      <c r="N20" s="108">
        <f>IFERROR(Model!BL225+0,NA())</f>
        <v>0.519117548926139</v>
      </c>
      <c r="O20" s="108">
        <f>IFERROR(Model!BQ225+0,NA())</f>
        <v>0.530372757093633</v>
      </c>
      <c r="P20" s="108">
        <f>IFERROR(Model!BV225+0,NA())</f>
        <v>0.561957115209489</v>
      </c>
      <c r="Q20" s="108">
        <f>IFERROR(Model!CA225+0,NA())</f>
        <v>0.611015645054557</v>
      </c>
      <c r="R20" s="108">
        <f>IFERROR(Model!CB225+0,NA())</f>
        <v>0.639878037986569</v>
      </c>
      <c r="S20" s="108">
        <f>IFERROR(Model!CC225+0,NA())</f>
        <v>0.648352471333913</v>
      </c>
      <c r="T20" s="108">
        <f>IFERROR(Model!CD225+0,NA())</f>
        <v>0.653765033815974</v>
      </c>
      <c r="U20" s="108">
        <f>IFERROR(Model!CE225+0,NA())</f>
        <v>0.654911300238131</v>
      </c>
      <c r="V20" s="108">
        <f>IFERROR(Model!CF225+0,NA())</f>
        <v>0.655427285970033</v>
      </c>
    </row>
    <row r="21" ht="15" customHeight="1" s="251">
      <c r="B21" t="inlineStr">
        <is>
          <t>FCF margin %</t>
        </is>
      </c>
      <c r="C21" s="108">
        <f>IFERROR(Model!I263+0,NA())</f>
        <v>0.154138756369905</v>
      </c>
      <c r="D21" s="108">
        <f>IFERROR(Model!N263+0,NA())</f>
        <v>0.150613899634673</v>
      </c>
      <c r="E21" s="108">
        <f>IFERROR(Model!S263+0,NA())</f>
        <v>0.205889845814559</v>
      </c>
      <c r="F21" s="108">
        <f>IFERROR(Model!X263+0,NA())</f>
        <v>0.128732052824277</v>
      </c>
      <c r="G21" s="108">
        <f>IFERROR(Model!AC263+0,NA())</f>
        <v>0.18523956267388</v>
      </c>
      <c r="H21" s="108">
        <f>IFERROR(Model!AH263+0,NA())</f>
        <v>0.220792581602692</v>
      </c>
      <c r="I21" s="108">
        <f>IFERROR(Model!AM263+0,NA())</f>
        <v>0.185721688176469</v>
      </c>
      <c r="J21" s="108">
        <f>IFERROR(Model!AR263+0,NA())</f>
        <v>0.203751800517722</v>
      </c>
      <c r="K21" s="108">
        <f>IFERROR(Model!AW263+0,NA())</f>
        <v>0.264898089083412</v>
      </c>
      <c r="L21" s="108">
        <f>IFERROR(Model!BB263+0,NA())</f>
        <v>0.316169098300388</v>
      </c>
      <c r="M21" s="108">
        <f>IFERROR(Model!BG263+0,NA())</f>
        <v>0.365520921823608</v>
      </c>
      <c r="N21" s="108">
        <f>IFERROR(Model!BL263+0,NA())</f>
        <v>0.307010571785536</v>
      </c>
      <c r="O21" s="108">
        <f>IFERROR(Model!BQ263+0,NA())</f>
        <v>0.353655781630089</v>
      </c>
      <c r="P21" s="108">
        <f>IFERROR(Model!BV263+0,NA())</f>
        <v>0.371395606642125</v>
      </c>
      <c r="Q21" s="108">
        <f>IFERROR(Model!CA263+0,NA())</f>
        <v>0.39619594632313</v>
      </c>
      <c r="R21" s="108">
        <f>IFERROR(Model!CB263+0,NA())</f>
        <v>0.399078738793604</v>
      </c>
      <c r="S21" s="108">
        <f>IFERROR(Model!CC263+0,NA())</f>
        <v>0.414519989835418</v>
      </c>
      <c r="T21" s="108">
        <f>IFERROR(Model!CD263+0,NA())</f>
        <v>0.410330322392225</v>
      </c>
      <c r="U21" s="108">
        <f>IFERROR(Model!CE263+0,NA())</f>
        <v>0.410088015585755</v>
      </c>
      <c r="V21" s="108">
        <f>IFERROR(Model!CF263+0,NA())</f>
        <v>0.409921263995847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2026-10-13T14:49:15Z</dcterms:modified>
  <cp:lastModifiedBy>Payton Liske</cp:lastModifiedBy>
  <cp:revision>3</cp:revision>
</cp:coreProperties>
</file>