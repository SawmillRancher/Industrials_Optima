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  <sheet name="Bull-Base-Bear" sheetId="2" state="visible" r:id="rId4"/>
    <sheet name="DCF" sheetId="3" state="visible" r:id="rId5"/>
    <sheet name="Charts" sheetId="4" state="visible" r:id="rId6"/>
    <sheet name="RXO PF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1" authorId="0">
      <text>
        <r>
          <rPr>
            <sz val="10"/>
            <rFont val="Arial"/>
            <family val="2"/>
          </rPr>
          <t xml:space="preserve">Source: quarterly earnings releases (8-K Ex. 99.1) narrative, e.g. Q2/26: "Total NAST truckload and LTL volume increased 1.5%". Growth rates rounded to nearest 0.5% by the company. Transcribed per quarter with quotes in the source pack.</t>
        </r>
      </text>
    </comment>
    <comment ref="B13" authorId="0">
      <text>
        <r>
          <rPr>
            <sz val="10"/>
            <rFont val="Arial"/>
            <family val="2"/>
          </rPr>
          <t xml:space="preserve">Source (per period, as originally reported): Q4/16: EDGAR …/000119312517025853/d337153dex991.htm segment table (three months) | … | 2014: 10-K FY2016 filed 2017-03-01 Note 10 (acc 0001043277-17-000004) (58 periods; each period from its own quarterly earnings release Form 8-K Ex. 99.1 on SEC EDGAR, CIK 0001043277)</t>
        </r>
      </text>
    </comment>
    <comment ref="B16" authorId="0">
      <text>
        <r>
          <rPr>
            <sz val="10"/>
            <rFont val="Arial"/>
            <family val="2"/>
          </rPr>
          <t xml:space="preserve">Source (per period, as originally reported): 2014: 10-K FY2016 filed 2017-03-01 Note 10 (acc 0001043277-17-000004) | … | Q2/26: EDGAR …/000104327726000027/ex991earningsreleaseq20630.htm segment table (three months) (58 periods; each period from its own quarterly earnings release Form 8-K Ex. 99.1 on SEC EDGAR, CIK 0001043277)</t>
        </r>
      </text>
    </comment>
    <comment ref="B18" authorId="0">
      <text>
        <r>
          <rPr>
            <sz val="10"/>
            <rFont val="Arial"/>
            <family val="2"/>
          </rPr>
          <t xml:space="preserve">Source (per period, as originally reported): Q4/16: EDGAR …/000119312517025853/d337153dex991.htm segment table (three months) | … | 2014: 10-K FY2016 filed 2017-03-01 Note 10 (acc 0001043277-17-000004) (58 periods; each period from its own quarterly earnings release Form 8-K Ex. 99.1 on SEC EDGAR, CIK 0001043277)</t>
        </r>
      </text>
    </comment>
    <comment ref="B20" authorId="0">
      <text>
        <r>
          <rPr>
            <sz val="10"/>
            <rFont val="Arial"/>
            <family val="2"/>
          </rPr>
          <t xml:space="preserve">Source (per period, as originally reported): Q4/16: EDGAR …/000119312517025853/d337153dex991.htm segment table (three months) | … | 2014: 10-K FY2016 filed 2017-03-01 Note 10 (acc 0001043277-17-000004) (58 periods; each period from its own quarterly earnings release Form 8-K Ex. 99.1 on SEC EDGAR, CIK 0001043277)</t>
        </r>
      </text>
    </comment>
    <comment ref="B22" authorId="0">
      <text>
        <r>
          <rPr>
            <sz val="10"/>
            <rFont val="Arial"/>
            <family val="2"/>
          </rPr>
          <t xml:space="preserve">Source: earnings-release narrative (8-K Ex. 99.1), quarterly three-month y/y rates as stated by the company (rounded to nearest 0.5%). Key vm_nast_tl_vol in the source pack.</t>
        </r>
      </text>
    </comment>
    <comment ref="B23" authorId="0">
      <text>
        <r>
          <rPr>
            <sz val="10"/>
            <rFont val="Arial"/>
            <family val="2"/>
          </rPr>
          <t xml:space="preserve">Source: earnings-release narrative (8-K Ex. 99.1), quarterly three-month y/y rates as stated by the company (rounded to nearest 0.5%). Key vm_nast_ltl_vol in the source pack.</t>
        </r>
      </text>
    </comment>
    <comment ref="B24" authorId="0">
      <text>
        <r>
          <rPr>
            <sz val="10"/>
            <rFont val="Arial"/>
            <family val="2"/>
          </rPr>
          <t xml:space="preserve">Source: earnings-release narrative (8-K Ex. 99.1), quarterly three-month y/y rates as stated by the company (rounded to nearest 0.5%). Key vm_tl_agp_per_ship in the source pack.</t>
        </r>
      </text>
    </comment>
    <comment ref="B25" authorId="0">
      <text>
        <r>
          <rPr>
            <sz val="10"/>
            <rFont val="Arial"/>
            <family val="2"/>
          </rPr>
          <t xml:space="preserve">Source: earnings-release narrative (8-K Ex. 99.1), quarterly three-month y/y rates as stated by the company (rounded to nearest 0.5%). Key vm_ltl_agp_per_order in the source pack.</t>
        </r>
      </text>
    </comment>
    <comment ref="B26" authorId="0">
      <text>
        <r>
          <rPr>
            <sz val="10"/>
            <rFont val="Arial"/>
            <family val="2"/>
          </rPr>
          <t xml:space="preserve">Source: earnings-release narrative (8-K Ex. 99.1), quarterly three-month y/y rates as stated by the company (rounded to nearest 0.5%). Key vm_tl_price_per_mile in the source pack.</t>
        </r>
      </text>
    </comment>
    <comment ref="B27" authorId="0">
      <text>
        <r>
          <rPr>
            <sz val="10"/>
            <rFont val="Arial"/>
            <family val="2"/>
          </rPr>
          <t xml:space="preserve">Source: earnings-release narrative (8-K Ex. 99.1), quarterly three-month y/y rates as stated by the company (rounded to nearest 0.5%). Key vm_tl_cost_per_mile in the source pack.</t>
        </r>
      </text>
    </comment>
    <comment ref="B30" authorId="0">
      <text>
        <r>
          <rPr>
            <sz val="10"/>
            <rFont val="Arial"/>
            <family val="2"/>
          </rPr>
          <t xml:space="preserve">Source (per period, as originally reported): Q2/15: CHRW earnings release 2015-07-28 (8-K Ex99.1): "increased net revenue margin as volumes were flat" | … | Q2/26: CHRW earnings release 2026-07-29 (8-K Ex99.1): "a 1.0% increase in shipments" (28 periods; each period from its own quarterly earnings release Form 8-K Ex. 99.1 on SEC EDGAR, CIK 0001043277)</t>
        </r>
      </text>
    </comment>
    <comment ref="B32" authorId="0">
      <text>
        <r>
          <rPr>
            <sz val="10"/>
            <rFont val="Arial"/>
            <family val="2"/>
          </rPr>
          <t xml:space="preserve">Source (per period, as originally reported): Q4/16: EDGAR …/000119312517025853/d337153dex991.htm segment table (three months) | … | 2014: 10-K FY2016 filed 2017-03-01 Note 10 (acc 0001043277-17-000004) (58 periods; each period from its own quarterly earnings release Form 8-K Ex. 99.1 on SEC EDGAR, CIK 0001043277)</t>
        </r>
      </text>
    </comment>
    <comment ref="B35" authorId="0">
      <text>
        <r>
          <rPr>
            <sz val="10"/>
            <rFont val="Arial"/>
            <family val="2"/>
          </rPr>
          <t xml:space="preserve">Source (per period, as originally reported): 2014: 10-K FY2016 filed 2017-03-01 Note 10 (acc 0001043277-17-000004) | … | Q2/26: EDGAR …/000104327726000027/ex991earningsreleaseq20630.htm segment table (three months) (58 periods; each period from its own quarterly earnings release Form 8-K Ex. 99.1 on SEC EDGAR, CIK 0001043277)</t>
        </r>
      </text>
    </comment>
    <comment ref="B37" authorId="0">
      <text>
        <r>
          <rPr>
            <sz val="10"/>
            <rFont val="Arial"/>
            <family val="2"/>
          </rPr>
          <t xml:space="preserve">Source (per period, as originally reported): Q4/16: EDGAR …/000119312517025853/d337153dex991.htm segment table (three months) | … | 2014: 10-K FY2016 filed 2017-03-01 Note 10 (acc 0001043277-17-000004) (58 periods; each period from its own quarterly earnings release Form 8-K Ex. 99.1 on SEC EDGAR, CIK 0001043277)</t>
        </r>
      </text>
    </comment>
    <comment ref="B39" authorId="0">
      <text>
        <r>
          <rPr>
            <sz val="10"/>
            <rFont val="Arial"/>
            <family val="2"/>
          </rPr>
          <t xml:space="preserve">Source (per period, as originally reported): Q4/16: EDGAR …/000119312517025853/d337153dex991.htm segment table (three months) | … | 2014: 10-K FY2016 filed 2017-03-01 Note 10 (acc 0001043277-17-000004) (58 periods; each period from its own quarterly earnings release Form 8-K Ex. 99.1 on SEC EDGAR, CIK 0001043277)</t>
        </r>
      </text>
    </comment>
    <comment ref="B41" authorId="0">
      <text>
        <r>
          <rPr>
            <sz val="10"/>
            <rFont val="Arial"/>
            <family val="2"/>
          </rPr>
          <t xml:space="preserve">Source: earnings-release narrative (8-K Ex. 99.1), three-month y/y rates as stated. Key vm_ocean_agp_per_ship in the source pack.</t>
        </r>
      </text>
    </comment>
    <comment ref="B42" authorId="0">
      <text>
        <r>
          <rPr>
            <sz val="10"/>
            <rFont val="Arial"/>
            <family val="2"/>
          </rPr>
          <t xml:space="preserve">Source: earnings-release narrative (8-K Ex. 99.1), three-month y/y rates as stated. Key vm_air_tons_vol in the source pack.</t>
        </r>
      </text>
    </comment>
    <comment ref="B43" authorId="0">
      <text>
        <r>
          <rPr>
            <sz val="10"/>
            <rFont val="Arial"/>
            <family val="2"/>
          </rPr>
          <t xml:space="preserve">Source: earnings-release narrative (8-K Ex. 99.1), three-month y/y rates as stated. Key vm_air_agp_per_ton in the source pack.</t>
        </r>
      </text>
    </comment>
    <comment ref="B44" authorId="0">
      <text>
        <r>
          <rPr>
            <sz val="10"/>
            <rFont val="Arial"/>
            <family val="2"/>
          </rPr>
          <t xml:space="preserve">Source: earnings-release narrative (8-K Ex. 99.1), three-month y/y rates as stated. Key vm_customs_vol in the source pack.</t>
        </r>
      </text>
    </comment>
    <comment ref="B45" authorId="0">
      <text>
        <r>
          <rPr>
            <sz val="10"/>
            <rFont val="Arial"/>
            <family val="2"/>
          </rPr>
          <t xml:space="preserve">Source: earnings-release narrative (8-K Ex. 99.1), three-month y/y rates as stated. Key vm_customs_agp_per_txn in the source pack.</t>
        </r>
      </text>
    </comment>
    <comment ref="B49" authorId="0">
      <text>
        <r>
          <rPr>
            <sz val="10"/>
            <rFont val="Arial"/>
            <family val="2"/>
          </rPr>
          <t xml:space="preserve">Source (per period, as originally reported): Q1/19: EDGAR …/000104327719000015/ex991earningsreleaseq12019.htm segment table (three months) | … | Q2/26: EDGAR …/000104327726000027/ex991earningsreleaseq20630.htm segment table (three months) (37 periods; each period from its own quarterly earnings release Form 8-K Ex. 99.1 on SEC EDGAR, CIK 0001043277)</t>
        </r>
      </text>
    </comment>
    <comment ref="B51" authorId="0">
      <text>
        <r>
          <rPr>
            <sz val="10"/>
            <rFont val="Arial"/>
            <family val="2"/>
          </rPr>
          <t xml:space="preserve">Source (per period, as originally reported): Q1/19: EDGAR …/000104327719000015/ex991earningsreleaseq12019.htm segment table (three months) | … | Q2/26: EDGAR …/000104327726000027/ex991earningsreleaseq20630.htm segment table (three months) (37 periods; each period from its own quarterly earnings release Form 8-K Ex. 99.1 on SEC EDGAR, CIK 0001043277)</t>
        </r>
      </text>
    </comment>
    <comment ref="B52" authorId="0">
      <text>
        <r>
          <rPr>
            <sz val="10"/>
            <rFont val="Arial"/>
            <family val="2"/>
          </rPr>
          <t xml:space="preserve">Source (per period, as originally reported): Q1/19: EDGAR …/000104327719000015/ex991earningsreleaseq12019.htm segment table (three months) | … | Q2/26: EDGAR …/000104327726000027/ex991earningsreleaseq20630.htm segment table (three months) (37 periods; each period from its own quarterly earnings release Form 8-K Ex. 99.1 on SEC EDGAR, CIK 0001043277)</t>
        </r>
      </text>
    </comment>
    <comment ref="B53" authorId="0">
      <text>
        <r>
          <rPr>
            <sz val="10"/>
            <rFont val="Arial"/>
            <family val="2"/>
          </rPr>
          <t xml:space="preserve">Source (per period, as originally reported): Q1/19: EDGAR …/000104327719000015/ex991earningsreleaseq12019.htm segment table (three months) | … | Q2/26: EDGAR …/000104327726000027/ex991earningsreleaseq20630.htm segment table (three months) (37 periods; each period from its own quarterly earnings release Form 8-K Ex. 99.1 on SEC EDGAR, CIK 0001043277)</t>
        </r>
      </text>
    </comment>
    <comment ref="B54" authorId="0">
      <text>
        <r>
          <rPr>
            <sz val="10"/>
            <rFont val="Arial"/>
            <family val="2"/>
          </rPr>
          <t xml:space="preserve">Source (per period, as originally reported): 2014: 10-K FY2016 filed 2017-03-01 Note 10 (acc 0001043277-17-000004) | … | Q2/26: EDGAR …/000104327726000027/ex991earningsreleaseq20630.htm All Other &amp; Corporate AGP table (58 periods; each period from its own quarterly earnings release Form 8-K Ex. 99.1 on SEC EDGAR, CIK 0001043277)</t>
        </r>
      </text>
    </comment>
    <comment ref="B55" authorId="0">
      <text>
        <r>
          <rPr>
            <sz val="10"/>
            <rFont val="Arial"/>
            <family val="2"/>
          </rPr>
          <t xml:space="preserve">Source (per period, as originally reported): Q4/16: EDGAR …/000119312517025853/d337153dex991.htm All Other &amp; Corporate AGP table | … | Q2/26: EDGAR …/000104327726000027/ex991earningsreleaseq20630.htm All Other &amp; Corporate AGP table (49 periods; each period from its own quarterly earnings release Form 8-K Ex. 99.1 on SEC EDGAR, CIK 0001043277)</t>
        </r>
      </text>
    </comment>
    <comment ref="B56" authorId="0">
      <text>
        <r>
          <rPr>
            <sz val="10"/>
            <rFont val="Arial"/>
            <family val="2"/>
          </rPr>
          <t xml:space="preserve">Source (per period, as originally reported): Q4/16: EDGAR …/000119312517025853/d337153dex991.htm All Other &amp; Corporate AGP table | … | Q2/26: EDGAR …/000104327726000027/ex991earningsreleaseq20630.htm All Other &amp; Corporate AGP table (49 periods; each period from its own quarterly earnings release Form 8-K Ex. 99.1 on SEC EDGAR, CIK 0001043277)</t>
        </r>
      </text>
    </comment>
    <comment ref="B57" authorId="0">
      <text>
        <r>
          <rPr>
            <sz val="10"/>
            <rFont val="Arial"/>
            <family val="2"/>
          </rPr>
          <t xml:space="preserve">Source (per period, as originally reported): 2014: Robinson Fresh segment revenues (external), earnings release / 8-K Ex.99.3 recast</t>
        </r>
      </text>
    </comment>
    <comment ref="B58" authorId="0">
      <text>
        <r>
          <rPr>
            <sz val="10"/>
            <rFont val="Arial"/>
            <family val="2"/>
          </rPr>
          <t xml:space="preserve">Source (per period, as originally reported): Q4/16: EDGAR …/000119312517025853/d337153dex991.htm segment table (three months) | … | 2014: 10-K FY2016 filed 2017-03-01 Note 10 (acc 0001043277-17-000004) (21 periods; each period from its own quarterly earnings release Form 8-K Ex. 99.1 on SEC EDGAR, CIK 0001043277)</t>
        </r>
      </text>
    </comment>
    <comment ref="B59" authorId="0">
      <text>
        <r>
          <rPr>
            <sz val="10"/>
            <rFont val="Arial"/>
            <family val="2"/>
          </rPr>
          <t xml:space="preserve">Source (per period, as originally reported): Q4/16: EDGAR …/000119312517025853/d337153dex991.htm segment table (three months) | … | 2014: 10-K FY2016 filed 2017-03-01 Note 10 (acc 0001043277-17-000004) (21 periods; each period from its own quarterly earnings release Form 8-K Ex. 99.1 on SEC EDGAR, CIK 0001043277)</t>
        </r>
      </text>
    </comment>
    <comment ref="B60" authorId="0">
      <text>
        <r>
          <rPr>
            <sz val="10"/>
            <rFont val="Arial"/>
            <family val="2"/>
          </rPr>
          <t xml:space="preserve">Source (per period, as originally reported): Q4/16: EDGAR …/000119312517025853/d337153dex991.htm segment table (three months) | … | 2014: 10-K FY2016 filed 2017-03-01 Note 10 (acc 0001043277-17-000004) (21 periods; each period from its own quarterly earnings release Form 8-K Ex. 99.1 on SEC EDGAR, CIK 0001043277)</t>
        </r>
      </text>
    </comment>
    <comment ref="B61" authorId="0">
      <text>
        <r>
          <rPr>
            <sz val="10"/>
            <rFont val="Arial"/>
            <family val="2"/>
          </rPr>
          <t xml:space="preserve">Source (per period, as originally reported): 2014: 10-K FY2016 filed 2017-03-01 Note 10 (acc 0001043277-17-000004) | … | 2018: EDGAR …/000104327719000003/ex991earningsreleaseq42018.htm segment table (twelve months) (21 periods; each period from its own quarterly earnings release Form 8-K Ex. 99.1 on SEC EDGAR, CIK 0001043277)</t>
        </r>
      </text>
    </comment>
    <comment ref="B62" authorId="0">
      <text>
        <r>
          <rPr>
            <sz val="10"/>
            <rFont val="Arial"/>
            <family val="2"/>
          </rPr>
          <t xml:space="preserve">Source (per period, as originally reported): 2014: 10-K FY2016 filed 2017-03-01 Note 10 (acc 0001043277-17-000004) | … | 2018: EDGAR …/000104327719000003/ex991earningsreleaseq42018.htm segment table (twelve months) (21 periods; each period from its own quarterly earnings release Form 8-K Ex. 99.1 on SEC EDGAR, CIK 0001043277)</t>
        </r>
      </text>
    </comment>
    <comment ref="B63" authorId="0">
      <text>
        <r>
          <rPr>
            <sz val="10"/>
            <rFont val="Arial"/>
            <family val="2"/>
          </rPr>
          <t xml:space="preserve">Source (per period, as originally reported): 2014: 10-K FY2016 filed 2017-03-01 Note 10 (acc 0001043277-17-000004) | … | 2018: EDGAR …/000104327719000003/ex991earningsreleaseq42018.htm segment table (twelve months) (21 periods; each period from its own quarterly earnings release Form 8-K Ex. 99.1 on SEC EDGAR, CIK 0001043277)</t>
        </r>
      </text>
    </comment>
    <comment ref="B64" authorId="0">
      <text>
        <r>
          <rPr>
            <sz val="10"/>
            <rFont val="Arial"/>
            <family val="2"/>
          </rPr>
          <t xml:space="preserve">Source (per period, as originally reported): 2014: 10-K FY2016 filed 2017-03-01 Note 10 (acc 0001043277-17-000004) | … | 2018: EDGAR …/000104327719000003/ex991earningsreleaseq42018.htm segment table (twelve months) (21 periods; each period from its own quarterly earnings release Form 8-K Ex. 99.1 on SEC EDGAR, CIK 0001043277)</t>
        </r>
      </text>
    </comment>
    <comment ref="B67" authorId="0">
      <text>
        <r>
          <rPr>
            <sz val="10"/>
            <rFont val="Arial"/>
            <family val="2"/>
          </rPr>
          <t xml:space="preserve">Source (per period, as originally reported): 2006: EDGAR …/000118143107006877/rrd144638_18108.htm IS (twelve months) | … | Q2/26: EDGAR …/000104327726000027/ex991earningsreleaseq20630.htm service-line table (74 periods; each period from its own quarterly earnings release Form 8-K Ex. 99.1 on SEC EDGAR, CIK 0001043277)</t>
        </r>
      </text>
    </comment>
    <comment ref="B68" authorId="0">
      <text>
        <r>
          <rPr>
            <sz val="10"/>
            <rFont val="Arial"/>
            <family val="2"/>
          </rPr>
          <t xml:space="preserve">Source (per period, as originally reported): Q1/13: EDGAR …/000119312513204502/d533083dex991.htm service-line table | … | Q2/26: EDGAR …/000104327726000027/ex991earningsreleaseq20630.htm service-line table (67 periods; each period from its own quarterly earnings release Form 8-K Ex. 99.1 on SEC EDGAR, CIK 0001043277)</t>
        </r>
      </text>
    </comment>
    <comment ref="B69" authorId="0">
      <text>
        <r>
          <rPr>
            <sz val="10"/>
            <rFont val="Arial"/>
            <family val="2"/>
          </rPr>
          <t xml:space="preserve">Source (per period, as originally reported): 2006: EDGAR …/000118143107006877/rrd144638_18108.htm IS (twelve months) | … | Q3/20: EDGAR …/000104327720000039/ex991earningsreleaseq3.htm service-line table (45 periods; each period from its own quarterly earnings release Form 8-K Ex. 99.1 on SEC EDGAR, CIK 0001043277)</t>
        </r>
      </text>
    </comment>
    <comment ref="B70" authorId="0">
      <text>
        <r>
          <rPr>
            <sz val="10"/>
            <rFont val="Arial"/>
            <family val="2"/>
          </rPr>
          <t xml:space="preserve">Source (per period, as originally reported): 2006: EDGAR …/000118143107006877/rrd144638_18108.htm IS (twelve months) | … | Q2/26: EDGAR …/000104327726000027/ex991earningsreleaseq20630.htm service-line table (74 periods; each period from its own quarterly earnings release Form 8-K Ex. 99.1 on SEC EDGAR, CIK 0001043277)</t>
        </r>
      </text>
    </comment>
    <comment ref="B71" authorId="0">
      <text>
        <r>
          <rPr>
            <sz val="10"/>
            <rFont val="Arial"/>
            <family val="2"/>
          </rPr>
          <t xml:space="preserve">Source (per period, as originally reported): 2006: EDGAR …/000118143107006877/rrd144638_18108.htm IS (twelve months) | … | Q2/26: EDGAR …/000104327726000027/ex991earningsreleaseq20630.htm service-line table (74 periods; each period from its own quarterly earnings release Form 8-K Ex. 99.1 on SEC EDGAR, CIK 0001043277)</t>
        </r>
      </text>
    </comment>
    <comment ref="B72" authorId="0">
      <text>
        <r>
          <rPr>
            <sz val="10"/>
            <rFont val="Arial"/>
            <family val="2"/>
          </rPr>
          <t xml:space="preserve">Source (per period, as originally reported): Q1/13: EDGAR …/000119312513204502/d533083dex991.htm service-line table | … | Q2/26: EDGAR …/000104327726000027/ex991earningsreleaseq20630.htm service-line table (67 periods; each period from its own quarterly earnings release Form 8-K Ex. 99.1 on SEC EDGAR, CIK 0001043277)</t>
        </r>
      </text>
    </comment>
    <comment ref="B73" authorId="0">
      <text>
        <r>
          <rPr>
            <sz val="10"/>
            <rFont val="Arial"/>
            <family val="2"/>
          </rPr>
          <t xml:space="preserve">Source (per period, as originally reported): 2006: EDGAR …/000118143107006877/rrd144638_18108.htm IS (twelve months) | … | Q2/26: EDGAR …/000104327726000027/ex991earningsreleaseq20630.htm service-line table (74 periods; each period from its own quarterly earnings release Form 8-K Ex. 99.1 on SEC EDGAR, CIK 0001043277)</t>
        </r>
      </text>
    </comment>
    <comment ref="B74" authorId="0">
      <text>
        <r>
          <rPr>
            <sz val="10"/>
            <rFont val="Arial"/>
            <family val="2"/>
          </rPr>
          <t xml:space="preserve">Source (per period, as originally reported): 2006: EDGAR …/000118143107006877/rrd144638_18108.htm IS (twelve months) | … | Q2/26: EDGAR …/000104327726000027/ex991earningsreleaseq20630.htm service-line table (74 periods; each period from its own quarterly earnings release Form 8-K Ex. 99.1 on SEC EDGAR, CIK 0001043277)</t>
        </r>
      </text>
    </comment>
    <comment ref="B75" authorId="0">
      <text>
        <r>
          <rPr>
            <sz val="10"/>
            <rFont val="Arial"/>
            <family val="2"/>
          </rPr>
          <t xml:space="preserve">Source (per period, as originally reported): 2006: EDGAR …/000118143107006877/rrd144638_18108.htm IS (twelve months) | … | Q4/14: EDGAR …/000119312515031636/d864983dex991.htm service-line table (17 periods; each period from its own quarterly earnings release Form 8-K Ex. 99.1 on SEC EDGAR, CIK 0001043277)</t>
        </r>
      </text>
    </comment>
    <comment ref="B96" authorId="0">
      <text>
        <r>
          <rPr>
            <sz val="10"/>
            <rFont val="Arial"/>
            <family val="2"/>
          </rPr>
          <t xml:space="preserve">Source (per period, as originally reported): 2006: EDGAR …/000118143107006877/rrd144638_18108.htm IS (twelve months) | … | Q4/14: EDGAR …/000119312515031636/d864983dex991.htm service-line table (16 periods; each period from its own quarterly earnings release Form 8-K Ex. 99.1 on SEC EDGAR, CIK 0001043277)</t>
        </r>
      </text>
    </comment>
    <comment ref="B97" authorId="0">
      <text>
        <r>
          <rPr>
            <sz val="10"/>
            <rFont val="Arial"/>
            <family val="2"/>
          </rPr>
          <t xml:space="preserve">Source (per period, as originally reported): 2006: EDGAR …/000118143107006877/rrd144638_18108.htm IS (twelve months) | … | Q4/14: EDGAR …/000119312515031636/d864983dex991.htm IS (16 periods; each period from its own quarterly earnings release Form 8-K Ex. 99.1 on SEC EDGAR, CIK 0001043277)</t>
        </r>
      </text>
    </comment>
    <comment ref="B113" authorId="0">
      <text>
        <r>
          <rPr>
            <sz val="10"/>
            <rFont val="Arial"/>
            <family val="2"/>
          </rPr>
          <t xml:space="preserve">Source (per period, as originally reported): Q4/16: EDGAR …/000119312517025853/d337153dex991.htm segment table (three months) | … | 2014: 10-K FY2016 filed 2017-03-01 Note 10 (acc 0001043277-17-000004) (58 periods; each period from its own quarterly earnings release Form 8-K Ex. 99.1 on SEC EDGAR, CIK 0001043277)</t>
        </r>
      </text>
    </comment>
    <comment ref="B125" authorId="0">
      <text>
        <r>
          <rPr>
            <sz val="10"/>
            <rFont val="Arial"/>
            <family val="2"/>
          </rPr>
          <t xml:space="preserve">Source (per period, as originally reported): 2006: EDGAR …/000118143107006877/rrd144638_18108.htm IS (twelve months) | … | Q2/26: EDGAR …/000104327726000027/ex991earningsreleaseq20630.htm IS (74 periods; each period from its own quarterly earnings release Form 8-K Ex. 99.1 on SEC EDGAR, CIK 0001043277)</t>
        </r>
      </text>
    </comment>
    <comment ref="B126" authorId="0">
      <text>
        <r>
          <rPr>
            <sz val="10"/>
            <rFont val="Arial"/>
            <family val="2"/>
          </rPr>
          <t xml:space="preserve">Source (per period, as originally reported): 2006: EDGAR …/000118143107006877/rrd144638_18108.htm IS (twelve months) | … | Q2/26: EDGAR …/000104327726000027/ex991earningsreleaseq20630.htm IS (74 periods; each period from its own quarterly earnings release Form 8-K Ex. 99.1 on SEC EDGAR, CIK 0001043277)</t>
        </r>
      </text>
    </comment>
    <comment ref="B127" authorId="0">
      <text>
        <r>
          <rPr>
            <sz val="10"/>
            <rFont val="Arial"/>
            <family val="2"/>
          </rPr>
          <t xml:space="preserve">Source (per period, as originally reported): 2006: EDGAR …/000118143107006877/rrd144638_18108.htm IS (twelve months) | … | Q2/26: EDGAR …/000104327726000027/ex991earningsreleaseq20630.htm IS (74 periods; each period from its own quarterly earnings release Form 8-K Ex. 99.1 on SEC EDGAR, CIK 0001043277)</t>
        </r>
      </text>
    </comment>
    <comment ref="B128" authorId="0">
      <text>
        <r>
          <rPr>
            <sz val="10"/>
            <rFont val="Arial"/>
            <family val="2"/>
          </rPr>
          <t xml:space="preserve">Source (per period, as originally reported): 2006: EDGAR …/000118143107006877/rrd144638_18108.htm IS (twelve months) | … | 2014: EDGAR …/000119312515031636/d864983dex991.htm IS (twelve months) (17 periods; each period from its own quarterly earnings release Form 8-K Ex. 99.1 on SEC EDGAR, CIK 0001043277)</t>
        </r>
      </text>
    </comment>
    <comment ref="B129" authorId="0">
      <text>
        <r>
          <rPr>
            <sz val="10"/>
            <rFont val="Arial"/>
            <family val="2"/>
          </rPr>
          <t xml:space="preserve">Source (per period, as originally reported): 2009: EDGAR …/000118143110005956/rrd264612_31044.htm IS (twelve months) | … | Q2/26: EDGAR …/000104327726000027/ex991earningsreleaseq20630.htm IS (71 periods; each period from its own quarterly earnings release Form 8-K Ex. 99.1 on SEC EDGAR, CIK 0001043277)</t>
        </r>
      </text>
    </comment>
    <comment ref="B130" authorId="0">
      <text>
        <r>
          <rPr>
            <sz val="10"/>
            <rFont val="Arial"/>
            <family val="2"/>
          </rPr>
          <t xml:space="preserve">Source (per period, as originally reported): 2009: EDGAR …/000118143110005956/rrd264612_31044.htm IS (twelve months) | … | Q2/26: EDGAR …/000104327726000027/ex991earningsreleaseq20630.htm IS (71 periods; each period from its own quarterly earnings release Form 8-K Ex. 99.1 on SEC EDGAR, CIK 0001043277)</t>
        </r>
      </text>
    </comment>
    <comment ref="B131" authorId="0">
      <text>
        <r>
          <rPr>
            <sz val="10"/>
            <rFont val="Arial"/>
            <family val="2"/>
          </rPr>
          <t xml:space="preserve">Source (per period, as originally reported): 2012: EDGAR …/000119312513038824/d480245dex991.htm IS (twelve months) | … | 2014: EDGAR …/000119312515031636/d864983dex991.htm IS (twelve months) (11 periods; each period from its own quarterly earnings release Form 8-K Ex. 99.1 on SEC EDGAR, CIK 0001043277)</t>
        </r>
      </text>
    </comment>
    <comment ref="B134" authorId="0">
      <text>
        <r>
          <rPr>
            <sz val="10"/>
            <rFont val="Arial"/>
            <family val="2"/>
          </rPr>
          <t xml:space="preserve">Source (per period, as originally reported): Q4/20: EDGAR …/000104327721000004/ex991earningsreleaseq41231.htm gross profit reconciliation | … | Q2/26: EDGAR …/000104327726000027/ex991earningsreleaseq20630.htm gross profit reconciliation (29 periods; each period from its own quarterly earnings release Form 8-K Ex. 99.1 on SEC EDGAR, CIK 0001043277)</t>
        </r>
      </text>
    </comment>
    <comment ref="B136" authorId="0">
      <text>
        <r>
          <rPr>
            <sz val="10"/>
            <rFont val="Arial"/>
            <family val="2"/>
          </rPr>
          <t xml:space="preserve">Source (per period, as originally reported): 2006: EDGAR …/000118143107006877/rrd144638_18108.htm IS (twelve months) | … | Q2/26: EDGAR …/000104327726000027/ex991earningsreleaseq20630.htm IS (74 periods; each period from its own quarterly earnings release Form 8-K Ex. 99.1 on SEC EDGAR, CIK 0001043277)</t>
        </r>
      </text>
    </comment>
    <comment ref="B137" authorId="0">
      <text>
        <r>
          <rPr>
            <sz val="10"/>
            <rFont val="Arial"/>
            <family val="2"/>
          </rPr>
          <t xml:space="preserve">Source (per period, as originally reported): 2006: EDGAR …/000118143107006877/rrd144638_18108.htm IS (twelve months) | … | Q2/26: EDGAR …/000104327726000027/ex991earningsreleaseq20630.htm IS (74 periods; each period from its own quarterly earnings release Form 8-K Ex. 99.1 on SEC EDGAR, CIK 0001043277)</t>
        </r>
      </text>
    </comment>
    <comment ref="B141" authorId="0">
      <text>
        <r>
          <rPr>
            <sz val="10"/>
            <rFont val="Arial"/>
            <family val="2"/>
          </rPr>
          <t xml:space="preserve">Source (per period, as originally reported): 2006: EDGAR …/000118143107006877/rrd144638_18108.htm IS (twelve months) | … | Q2/26: EDGAR …/000104327726000027/ex991earningsreleaseq20630.htm IS (74 periods; each period from its own quarterly earnings release Form 8-K Ex. 99.1 on SEC EDGAR, CIK 0001043277)</t>
        </r>
      </text>
    </comment>
    <comment ref="B142" authorId="0">
      <text>
        <r>
          <rPr>
            <sz val="10"/>
            <rFont val="Arial"/>
            <family val="2"/>
          </rPr>
          <t xml:space="preserve">Source (per period, as originally reported): 2006: EDGAR …/000118143107006877/rrd144638_18108.htm IS (twelve months) | … | Q2/26: EDGAR …/000104327726000027/ex991earningsreleaseq20630.htm IS (74 periods; each period from its own quarterly earnings release Form 8-K Ex. 99.1 on SEC EDGAR, CIK 0001043277)</t>
        </r>
      </text>
    </comment>
    <comment ref="B143" authorId="0">
      <text>
        <r>
          <rPr>
            <sz val="10"/>
            <rFont val="Arial"/>
            <family val="2"/>
          </rPr>
          <t xml:space="preserve">Source (per period, as originally reported): Q2/20: EDGAR …/000104327720000034/ex991earningsreleaseq2.htm narrative ("interest expense") | … | Q2/26: EDGAR …/000104327726000027/ex991earningsreleaseq20630.htm narrative ("interest expense") (31 periods; each period from its own quarterly earnings release Form 8-K Ex. 99.1 on SEC EDGAR, CIK 0001043277)</t>
        </r>
      </text>
    </comment>
    <comment ref="B147" authorId="0">
      <text>
        <r>
          <rPr>
            <sz val="10"/>
            <rFont val="Arial"/>
            <family val="2"/>
          </rPr>
          <t xml:space="preserve">Source (per period, as originally reported): 2006: EDGAR …/000118143107006877/rrd144638_18108.htm IS (twelve months) | … | Q2/26: EDGAR …/000104327726000027/ex991earningsreleaseq20630.htm IS (74 periods; each period from its own quarterly earnings release Form 8-K Ex. 99.1 on SEC EDGAR, CIK 0001043277)</t>
        </r>
      </text>
    </comment>
    <comment ref="B151" authorId="0">
      <text>
        <r>
          <rPr>
            <sz val="10"/>
            <rFont val="Arial"/>
            <family val="2"/>
          </rPr>
          <t xml:space="preserve">Source (per period, as originally reported): 2006: EDGAR …/000118143107006877/rrd144638_18108.htm IS (twelve months) | … | Q2/26: EDGAR …/000104327726000027/ex991earningsreleaseq20630.htm IS (74 periods; each period from its own quarterly earnings release Form 8-K Ex. 99.1 on SEC EDGAR, CIK 0001043277)</t>
        </r>
      </text>
    </comment>
    <comment ref="B152" authorId="0">
      <text>
        <r>
          <rPr>
            <sz val="10"/>
            <rFont val="Arial"/>
            <family val="2"/>
          </rPr>
          <t xml:space="preserve">Source (per period, as originally reported): 2006: EDGAR …/000118143107006877/rrd144638_18108.htm CF (YTD) (twelve months) | … | Q2/26: EDGAR …/000104327726000027/ex991earningsreleaseq20630.htm CF (YTD) (74 periods; each period from its own quarterly earnings release Form 8-K Ex. 99.1 on SEC EDGAR, CIK 0001043277)</t>
        </r>
      </text>
    </comment>
    <comment ref="B153" authorId="0">
      <text>
        <r>
          <rPr>
            <sz val="10"/>
            <rFont val="Arial"/>
            <family val="2"/>
          </rPr>
          <t xml:space="preserve">Source (per period, as originally reported): 2006: EDGAR …/000118143107006877/rrd144638_18108.htm CF (YTD) (twelve months) | … | Q2/26: EDGAR …/000104327726000027/ex991earningsreleaseq20630.htm CF (YTD) (74 periods; each period from its own quarterly earnings release Form 8-K Ex. 99.1 on SEC EDGAR, CIK 0001043277)</t>
        </r>
      </text>
    </comment>
    <comment ref="B155" authorId="0">
      <text>
        <r>
          <rPr>
            <sz val="10"/>
            <rFont val="Arial"/>
            <family val="2"/>
          </rPr>
          <t xml:space="preserve">Source (per period, as originally reported): 2006: EDGAR …/000118143107006877/rrd144638_18108.htm IS (twelve months) | … | Q2/26: EDGAR …/000104327726000027/ex991earningsreleaseq20630.htm IS (74 periods; each period from its own quarterly earnings release Form 8-K Ex. 99.1 on SEC EDGAR, CIK 0001043277)</t>
        </r>
      </text>
    </comment>
    <comment ref="B156" authorId="0">
      <text>
        <r>
          <rPr>
            <sz val="10"/>
            <rFont val="Arial"/>
            <family val="2"/>
          </rPr>
          <t xml:space="preserve">Source (per period, as originally reported): 2006: EDGAR …/000118143107006877/rrd144638_18108.htm IS (twelve months) | … | Q2/26: EDGAR …/000104327726000027/ex991earningsreleaseq20630.htm IS (74 periods; each period from its own quarterly earnings release Form 8-K Ex. 99.1 on SEC EDGAR, CIK 0001043277)</t>
        </r>
      </text>
    </comment>
    <comment ref="B160" authorId="0">
      <text>
        <r>
          <rPr>
            <sz val="10"/>
            <rFont val="Arial"/>
            <family val="2"/>
          </rPr>
          <t xml:space="preserve">Source (per period, as originally reported): 2006: EDGAR …/000118143107006877/rrd144638_18108.htm IS (twelve months) | … | Q2/26: EDGAR …/000104327726000027/ex991earningsreleaseq20630.htm IS (74 periods; each period from its own quarterly earnings release Form 8-K Ex. 99.1 on SEC EDGAR, CIK 0001043277)</t>
        </r>
      </text>
    </comment>
    <comment ref="B161" authorId="0">
      <text>
        <r>
          <rPr>
            <sz val="10"/>
            <rFont val="Arial"/>
            <family val="2"/>
          </rPr>
          <t xml:space="preserve">Source (per period, as originally reported): 2007: SEC EDGAR XBRL us-gaap:CommonStockDividendsPerShareDeclared (10-K/10-Q) | Q4/16: Derived: FY dividends declared per share less Q1–Q3 (XBRL)</t>
        </r>
      </text>
    </comment>
    <comment ref="B169" authorId="0">
      <text>
        <r>
          <rPr>
            <sz val="10"/>
            <rFont val="Arial"/>
            <family val="2"/>
          </rPr>
          <t xml:space="preserve">Source (per period, as originally reported): Q4/20: EDGAR …/000104327721000004/ex991earningsreleaseq41231.htm gross profit reconciliation | … | Q2/26: EDGAR …/000104327726000027/ex991earningsreleaseq20630.htm gross profit reconciliation (29 periods; each period from its own quarterly earnings release Form 8-K Ex. 99.1 on SEC EDGAR, CIK 0001043277)</t>
        </r>
      </text>
    </comment>
    <comment ref="B170" authorId="0">
      <text>
        <r>
          <rPr>
            <sz val="10"/>
            <rFont val="Arial"/>
            <family val="2"/>
          </rPr>
          <t xml:space="preserve">Source (per period, as originally reported): 2006: EDGAR …/000118143107006877/rrd144638_18108.htm IS (twelve months) | … | Q2/26: EDGAR …/000104327726000027/ex991earningsreleaseq20630.htm service-line table (74 periods; each period from its own quarterly earnings release Form 8-K Ex. 99.1 on SEC EDGAR, CIK 0001043277)</t>
        </r>
      </text>
    </comment>
    <comment ref="B176" authorId="0">
      <text>
        <r>
          <rPr>
            <sz val="10"/>
            <rFont val="Arial"/>
            <family val="2"/>
          </rPr>
          <t xml:space="preserve">Source: earnings releases Q4/22–Q2/26, "Non-GAAP Reconciliation" tables (restructuring and related costs, pre-tax). Q1/25 $6.3m lease impairment (Kansas City regional center) shown here, as recast within restructuring in later comparatives. Q3/Q4-26E = prior-year quarter (ongoing workforce actions); 2027E+ none assumed.</t>
        </r>
      </text>
    </comment>
    <comment ref="B177" authorId="0">
      <text>
        <r>
          <rPr>
            <sz val="10"/>
            <rFont val="Arial"/>
            <family val="2"/>
          </rPr>
          <t xml:space="preserve">Source: earnings releases Q3/23–Q4/25 ("Loss (gain) on divestiture, pre-tax"; "Loss on disposal group held for sale"). Europe Surface Transportation sold 1-Feb-2025.</t>
        </r>
      </text>
    </comment>
    <comment ref="B178" authorId="0">
      <text>
        <r>
          <rPr>
            <sz val="10"/>
            <rFont val="Arial"/>
            <family val="2"/>
          </rPr>
          <t xml:space="preserve">Q3/19: $5.8m gain on the sale of an office building in Chicago (Q3-19 release narrative; not adjusted by the company — model item). Q2/22: $25.3m gain on sale of property and equipment (company adjustment, Q2-23 release comparative).</t>
        </r>
      </text>
    </comment>
    <comment ref="B179" authorId="0">
      <text>
        <r>
          <rPr>
            <sz val="10"/>
            <rFont val="Arial"/>
            <family val="2"/>
          </rPr>
          <t xml:space="preserve">Difference between the company-published adjusted income from operations and the itemised bridge (definition changes and later recasts, e.g. Q4/23 published $103.2m on the original Q4-23 definition).</t>
        </r>
      </text>
    </comment>
    <comment ref="B183" authorId="0">
      <text>
        <r>
          <rPr>
            <sz val="10"/>
            <rFont val="Arial"/>
            <family val="2"/>
          </rPr>
          <t xml:space="preserve">Company reconciliation (earnings release, "Non-GAAP Reconciliation"); current definition = latest published dollar reconciliation for each period (2023 quarters from 2024 releases' prior-year comparatives; Q4/23 from Q4/24 release). Q1/23, Q1/24 and Q1/25 derived as six-month less second-quarter figures from the following year's Q2 release.</t>
        </r>
      </text>
    </comment>
    <comment ref="B205" authorId="0">
      <text>
        <r>
          <rPr>
            <sz val="10"/>
            <rFont val="Arial"/>
            <family val="2"/>
          </rPr>
          <t xml:space="preserve">2012: $281.6m gain on the T-Chek divestiture recorded in Q4/12 (Q4-12 release narrative; model item). 2022–23: foreign currency loss on divested operations, pre-tax (company items, 2024–25 release comparatives).</t>
        </r>
      </text>
    </comment>
    <comment ref="B212" authorId="0">
      <text>
        <r>
          <rPr>
            <sz val="10"/>
            <rFont val="Arial"/>
            <family val="2"/>
          </rPr>
          <t xml:space="preserve">Company reconciliation (earnings release, "Non-GAAP Reconciliation"); current definition = latest published dollar reconciliation for each period (2023 quarters from 2024 releases' prior-year comparatives; Q4/23 from Q4/24 release).</t>
        </r>
      </text>
    </comment>
    <comment ref="B213" authorId="0">
      <text>
        <r>
          <rPr>
            <sz val="10"/>
            <rFont val="Arial"/>
            <family val="2"/>
          </rPr>
          <t xml:space="preserve">Company reconciliation (earnings release, "Non-GAAP Reconciliation"); current definition = latest published dollar reconciliation for each period (2023 quarters from 2024 releases' prior-year comparatives; Q4/23 from Q4/24 release). Q2/22: $2.52 (excl. $25.3m property gain; Q2-23 release comparative).</t>
        </r>
      </text>
    </comment>
    <comment ref="B238" authorId="0">
      <text>
        <r>
          <rPr>
            <sz val="10"/>
            <rFont val="Arial"/>
            <family val="2"/>
          </rPr>
          <t xml:space="preserve">Source (per period, as originally reported): 2006: EDGAR …/000118143107006877/rrd144638_18108.htm CF (YTD) (twelve months) | … | Q2/26: EDGAR …/000104327726000027/ex991earningsreleaseq20630.htm CF (YTD) (74 periods; each period from its own quarterly earnings release Form 8-K Ex. 99.1 on SEC EDGAR, CIK 0001043277)</t>
        </r>
      </text>
    </comment>
    <comment ref="B240" authorId="0">
      <text>
        <r>
          <rPr>
            <sz val="10"/>
            <rFont val="Arial"/>
            <family val="2"/>
          </rPr>
          <t xml:space="preserve">Source (per period, as originally reported): 2006: EDGAR …/000118143107006877/rrd144638_18108.htm CF (YTD) (twelve months) | … | Q2/26: EDGAR …/000104327726000027/ex991earningsreleaseq20630.htm CF (YTD) (74 periods; each period from its own quarterly earnings release Form 8-K Ex. 99.1 on SEC EDGAR, CIK 0001043277)</t>
        </r>
      </text>
    </comment>
    <comment ref="B241" authorId="0">
      <text>
        <r>
          <rPr>
            <sz val="10"/>
            <rFont val="Arial"/>
            <family val="2"/>
          </rPr>
          <t xml:space="preserve">Source (per period, as originally reported): 2006: EDGAR …/000118143107006877/rrd144638_18108.htm CF (YTD) (twelve months) | … | Q2/26: EDGAR …/000104327726000027/ex991earningsreleaseq20630.htm CF (YTD) (74 periods; each period from its own quarterly earnings release Form 8-K Ex. 99.1 on SEC EDGAR, CIK 0001043277)</t>
        </r>
      </text>
    </comment>
    <comment ref="B242" authorId="0">
      <text>
        <r>
          <rPr>
            <sz val="10"/>
            <rFont val="Arial"/>
            <family val="2"/>
          </rPr>
          <t xml:space="preserve">Source (per period, as originally reported): Q1/13: EDGAR …/000119312513204502/d533083dex991.htm CF (YTD) | … | Q2/26: EDGAR …/000104327726000027/ex991earningsreleaseq20630.htm CF (YTD) (67 periods; each period from its own quarterly earnings release Form 8-K Ex. 99.1 on SEC EDGAR, CIK 0001043277)</t>
        </r>
      </text>
    </comment>
    <comment ref="B243" authorId="0">
      <text>
        <r>
          <rPr>
            <sz val="10"/>
            <rFont val="Arial"/>
            <family val="2"/>
          </rPr>
          <t xml:space="preserve">Source (per period, as originally reported): 2006: EDGAR …/000118143107006877/rrd144638_18108.htm CF (YTD) (twelve months) | … | Q2/26: EDGAR …/000104327726000027/ex991earningsreleaseq20630.htm CF (YTD) (74 periods; each period from its own quarterly earnings release Form 8-K Ex. 99.1 on SEC EDGAR, CIK 0001043277)</t>
        </r>
      </text>
    </comment>
    <comment ref="B245" authorId="0">
      <text>
        <r>
          <rPr>
            <sz val="10"/>
            <rFont val="Arial"/>
            <family val="2"/>
          </rPr>
          <t xml:space="preserve">Source (per period, as originally reported): 2006: EDGAR …/000118143107006877/rrd144638_18108.htm CF (YTD) (twelve months) | … | Q2/26: EDGAR …/000104327726000027/ex991earningsreleaseq20630.htm CF (YTD) (74 periods; each period from its own quarterly earnings release Form 8-K Ex. 99.1 on SEC EDGAR, CIK 0001043277)</t>
        </r>
      </text>
    </comment>
    <comment ref="B246" authorId="0">
      <text>
        <r>
          <rPr>
            <sz val="10"/>
            <rFont val="Arial"/>
            <family val="2"/>
          </rPr>
          <t xml:space="preserve">Source (per period, as originally reported): 2006: EDGAR …/000118143107006877/rrd144638_18108.htm CF (YTD) (twelve months) | … | Q2/26: EDGAR …/000104327726000027/ex991earningsreleaseq20630.htm CF (YTD) (74 periods; each period from its own quarterly earnings release Form 8-K Ex. 99.1 on SEC EDGAR, CIK 0001043277)</t>
        </r>
      </text>
    </comment>
    <comment ref="B247" authorId="0">
      <text>
        <r>
          <rPr>
            <sz val="10"/>
            <rFont val="Arial"/>
            <family val="2"/>
          </rPr>
          <t xml:space="preserve">Source (per period, as originally reported): 2010: EDGAR …/000118143111006313/rrd299252_34031.htm CF (YTD) (twelve months) | … | Q2/26: EDGAR …/000104327726000027/ex991earningsreleaseq20630.htm CF (YTD) (70 periods; each period from its own quarterly earnings release Form 8-K Ex. 99.1 on SEC EDGAR, CIK 0001043277)</t>
        </r>
      </text>
    </comment>
    <comment ref="B248" authorId="0">
      <text>
        <r>
          <rPr>
            <sz val="10"/>
            <rFont val="Arial"/>
            <family val="2"/>
          </rPr>
          <t xml:space="preserve">Source (per period, as originally reported): 2006: EDGAR …/000118143107006877/rrd144638_18108.htm CF (YTD) (twelve months) | … | Q2/26: EDGAR …/000104327726000027/ex991earningsreleaseq20630.htm CF (YTD) (52 periods; each period from its own quarterly earnings release Form 8-K Ex. 99.1 on SEC EDGAR, CIK 0001043277)</t>
        </r>
      </text>
    </comment>
    <comment ref="B249" authorId="0">
      <text>
        <r>
          <rPr>
            <sz val="10"/>
            <rFont val="Arial"/>
            <family val="2"/>
          </rPr>
          <t xml:space="preserve">Source (per period, as originally reported): Q1/25: EDGAR …/000104327725000019/ex991earningsreleaseq10331.htm CF (YTD) | … | Q2/26: EDGAR …/000104327726000027/ex991earningsreleaseq20630.htm CF (YTD) (7 periods; each period from its own quarterly earnings release Form 8-K Ex. 99.1 on SEC EDGAR, CIK 0001043277)</t>
        </r>
      </text>
    </comment>
    <comment ref="B251" authorId="0">
      <text>
        <r>
          <rPr>
            <sz val="10"/>
            <rFont val="Arial"/>
            <family val="2"/>
          </rPr>
          <t xml:space="preserve">Source (per period, as originally reported): 2006: EDGAR …/000118143107006877/rrd144638_18108.htm CF (YTD) (twelve months) | … | Q2/26: EDGAR …/000104327726000027/ex991earningsreleaseq20630.htm CF (YTD) (74 periods; each period from its own quarterly earnings release Form 8-K Ex. 99.1 on SEC EDGAR, CIK 0001043277)</t>
        </r>
      </text>
    </comment>
    <comment ref="B252" authorId="0">
      <text>
        <r>
          <rPr>
            <sz val="10"/>
            <rFont val="Arial"/>
            <family val="2"/>
          </rPr>
          <t xml:space="preserve">Source (per period, as originally reported): Q3/18: EDGAR …/000104327718000035/ex991earningsreleaseq32018.htm CF (YTD) | … | Q2/26: EDGAR …/000104327726000027/ex991earningsreleaseq20630.htm CF (YTD) (40 periods; each period from its own quarterly earnings release Form 8-K Ex. 99.1 on SEC EDGAR, CIK 0001043277)</t>
        </r>
      </text>
    </comment>
    <comment ref="B253" authorId="0">
      <text>
        <r>
          <rPr>
            <sz val="10"/>
            <rFont val="Arial"/>
            <family val="2"/>
          </rPr>
          <t xml:space="preserve">Source (per period, as originally reported): 2006: EDGAR …/000118143107006877/rrd144638_18108.htm CF (YTD) (repurchases + stock tendered for withholding taxes) (twelve months) | … | Q2/26: EDGAR …/000104327726000027/ex991earningsreleaseq20630.htm CF (YTD) (repurchases + stock tendered for withholding taxes) (74 periods; each period from its own quarterly earnings release Form 8-K Ex. 99.1 on SEC EDGAR, CIK 0001043277)</t>
        </r>
      </text>
    </comment>
    <comment ref="B254" authorId="0">
      <text>
        <r>
          <rPr>
            <sz val="10"/>
            <rFont val="Arial"/>
            <family val="2"/>
          </rPr>
          <t xml:space="preserve">Source (per period, as originally reported): 2006: EDGAR …/000118143107006877/rrd144638_18108.htm CF (YTD) (twelve months) | … | Q2/26: EDGAR …/000104327726000027/ex991earningsreleaseq20630.htm CF (YTD) (74 periods; each period from its own quarterly earnings release Form 8-K Ex. 99.1 on SEC EDGAR, CIK 0001043277)</t>
        </r>
      </text>
    </comment>
    <comment ref="B256" authorId="0">
      <text>
        <r>
          <rPr>
            <sz val="10"/>
            <rFont val="Arial"/>
            <family val="2"/>
          </rPr>
          <t xml:space="preserve">Source (per period, as originally reported): 2006: EDGAR …/000118143107006877/rrd144638_18108.htm CF (YTD) (twelve months) | … | Q2/26: EDGAR …/000104327726000027/ex991earningsreleaseq20630.htm CF (YTD) (74 periods; each period from its own quarterly earnings release Form 8-K Ex. 99.1 on SEC EDGAR, CIK 0001043277)</t>
        </r>
      </text>
    </comment>
    <comment ref="B257" authorId="0">
      <text>
        <r>
          <rPr>
            <sz val="10"/>
            <rFont val="Arial"/>
            <family val="2"/>
          </rPr>
          <t xml:space="preserve">Source (per period, as originally reported): 2006: EDGAR …/000118143107006877/rrd144638_18108.htm CF (YTD) (twelve months) | … | Q2/26: EDGAR …/000104327726000027/ex991earningsreleaseq20630.htm CF (YTD) (74 periods; each period from its own quarterly earnings release Form 8-K Ex. 99.1 on SEC EDGAR, CIK 0001043277)</t>
        </r>
      </text>
    </comment>
    <comment ref="B260" authorId="0">
      <text>
        <r>
          <rPr>
            <sz val="10"/>
            <rFont val="Arial"/>
            <family val="2"/>
          </rPr>
          <t xml:space="preserve">Source (per period, as originally reported): 2006: EDGAR …/000118143107006877/rrd144638_18108.htm CF (YTD) (twelve months) | … | Q2/26: EDGAR …/000104327726000027/ex991earningsreleaseq20630.htm CF (YTD) (74 periods; each period from its own quarterly earnings release Form 8-K Ex. 99.1 on SEC EDGAR, CIK 0001043277)</t>
        </r>
      </text>
    </comment>
    <comment ref="B261" authorId="0">
      <text>
        <r>
          <rPr>
            <sz val="10"/>
            <rFont val="Arial"/>
            <family val="2"/>
          </rPr>
          <t xml:space="preserve">Source (per period, as originally reported): 2006: EDGAR …/000118143107006877/rrd144638_18108.htm CF (YTD) (twelve months) | … | Q2/26: EDGAR …/000104327726000027/ex991earningsreleaseq20630.htm CF (YTD) (74 periods; each period from its own quarterly earnings release Form 8-K Ex. 99.1 on SEC EDGAR, CIK 0001043277)</t>
        </r>
      </text>
    </comment>
    <comment ref="B276" authorId="0">
      <text>
        <r>
          <rPr>
            <sz val="10"/>
            <rFont val="Arial"/>
            <family val="2"/>
          </rPr>
          <t xml:space="preserve">Source (per period, as originally reported): 2006: EDGAR …/000118143107006877/rrd144638_18108.htm BS | … | Q2/26: EDGAR …/000104327726000027/ex991earningsreleaseq20630.htm BS (74 periods; each period from its own quarterly earnings release Form 8-K Ex. 99.1 on SEC EDGAR, CIK 0001043277)</t>
        </r>
      </text>
    </comment>
    <comment ref="B277" authorId="0">
      <text>
        <r>
          <rPr>
            <sz val="10"/>
            <rFont val="Arial"/>
            <family val="2"/>
          </rPr>
          <t xml:space="preserve">Source (per period, as originally reported): 2006: EDGAR …/000118143107006877/rrd144638_18108.htm BS | … | 2011: EDGAR …/000119312512032193/d292695dex991.htm BS (6 periods; each period from its own quarterly earnings release Form 8-K Ex. 99.1 on SEC EDGAR, CIK 0001043277)</t>
        </r>
      </text>
    </comment>
    <comment ref="B278" authorId="0">
      <text>
        <r>
          <rPr>
            <sz val="10"/>
            <rFont val="Arial"/>
            <family val="2"/>
          </rPr>
          <t xml:space="preserve">Source (per period, as originally reported): 2006: EDGAR …/000118143107006877/rrd144638_18108.htm BS | … | Q2/26: EDGAR …/000104327726000027/ex991earningsreleaseq20630.htm BS (74 periods; each period from its own quarterly earnings release Form 8-K Ex. 99.1 on SEC EDGAR, CIK 0001043277)</t>
        </r>
      </text>
    </comment>
    <comment ref="B279" authorId="0">
      <text>
        <r>
          <rPr>
            <sz val="10"/>
            <rFont val="Arial"/>
            <family val="2"/>
          </rPr>
          <t xml:space="preserve">Source (per period, as originally reported): Q1/18: EDGAR …/000104327718000011/ex991earningsreleaseq12018.htm BS | … | Q2/26: EDGAR …/000104327726000027/ex991earningsreleaseq20630.htm BS (42 periods; each period from its own quarterly earnings release Form 8-K Ex. 99.1 on SEC EDGAR, CIK 0001043277)</t>
        </r>
      </text>
    </comment>
    <comment ref="B280" authorId="0">
      <text>
        <r>
          <rPr>
            <sz val="10"/>
            <rFont val="Arial"/>
            <family val="2"/>
          </rPr>
          <t xml:space="preserve">Source (per period, as originally reported): 2006: EDGAR …/000118143107006877/rrd144638_18108.htm BS | … | Q2/26: EDGAR …/000104327726000027/ex991earningsreleaseq20630.htm BS (74 periods; each period from its own quarterly earnings release Form 8-K Ex. 99.1 on SEC EDGAR, CIK 0001043277)</t>
        </r>
      </text>
    </comment>
    <comment ref="B282" authorId="0">
      <text>
        <r>
          <rPr>
            <sz val="10"/>
            <rFont val="Arial"/>
            <family val="2"/>
          </rPr>
          <t xml:space="preserve">Source (per period, as originally reported): 2006: EDGAR …/000118143107006877/rrd144638_18108.htm BS | … | Q2/26: EDGAR …/000104327726000027/ex991earningsreleaseq20630.htm BS (74 periods; each period from its own quarterly earnings release Form 8-K Ex. 99.1 on SEC EDGAR, CIK 0001043277)</t>
        </r>
      </text>
    </comment>
    <comment ref="B283" authorId="0">
      <text>
        <r>
          <rPr>
            <sz val="10"/>
            <rFont val="Arial"/>
            <family val="2"/>
          </rPr>
          <t xml:space="preserve">Source (per period, as originally reported): Q1/19: EDGAR …/000104327719000015/ex991earningsreleaseq12019.htm BS | … | Q2/26: EDGAR …/000104327726000027/ex991earningsreleaseq20630.htm BS (37 periods; each period from its own quarterly earnings release Form 8-K Ex. 99.1 on SEC EDGAR, CIK 0001043277)</t>
        </r>
      </text>
    </comment>
    <comment ref="B284" authorId="0">
      <text>
        <r>
          <rPr>
            <sz val="10"/>
            <rFont val="Arial"/>
            <family val="2"/>
          </rPr>
          <t xml:space="preserve">Source (per period, as originally reported): 2008: SEC EDGAR XBRL companyfacts CIK0001043277 (10-K/10-Q balance sheet)</t>
        </r>
      </text>
    </comment>
    <comment ref="B288" authorId="0">
      <text>
        <r>
          <rPr>
            <sz val="10"/>
            <rFont val="Arial"/>
            <family val="2"/>
          </rPr>
          <t xml:space="preserve">Source (per period, as originally reported): 2006: EDGAR …/000118143107006877/rrd144638_18108.htm BS | … | Q2/26: EDGAR …/000104327726000027/ex991earningsreleaseq20630.htm BS (74 periods; each period from its own quarterly earnings release Form 8-K Ex. 99.1 on SEC EDGAR, CIK 0001043277)</t>
        </r>
      </text>
    </comment>
    <comment ref="B289" authorId="0">
      <text>
        <r>
          <rPr>
            <sz val="10"/>
            <rFont val="Arial"/>
            <family val="2"/>
          </rPr>
          <t xml:space="preserve">Source (per period, as originally reported): 2006: EDGAR …/000118143107006877/rrd144638_18108.htm BS | … | Q2/26: EDGAR …/000104327726000027/ex991earningsreleaseq20630.htm BS (74 periods; each period from its own quarterly earnings release Form 8-K Ex. 99.1 on SEC EDGAR, CIK 0001043277)</t>
        </r>
      </text>
    </comment>
    <comment ref="B290" authorId="0">
      <text>
        <r>
          <rPr>
            <sz val="10"/>
            <rFont val="Arial"/>
            <family val="2"/>
          </rPr>
          <t xml:space="preserve">Source (per period, as originally reported): Q1/18: EDGAR …/000104327718000011/ex991earningsreleaseq12018.htm BS | … | Q2/26: EDGAR …/000104327726000027/ex991earningsreleaseq20630.htm BS (42 periods; each period from its own quarterly earnings release Form 8-K Ex. 99.1 on SEC EDGAR, CIK 0001043277)</t>
        </r>
      </text>
    </comment>
    <comment ref="B291" authorId="0">
      <text>
        <r>
          <rPr>
            <sz val="10"/>
            <rFont val="Arial"/>
            <family val="2"/>
          </rPr>
          <t xml:space="preserve">Source (per period, as originally reported): Q1/13: EDGAR …/000119312513204502/d533083dex991.htm BS | … | Q2/26: EDGAR …/000104327726000027/ex991earningsreleaseq20630.htm BS (67 periods; each period from its own quarterly earnings release Form 8-K Ex. 99.1 on SEC EDGAR, CIK 0001043277)</t>
        </r>
      </text>
    </comment>
    <comment ref="B292" authorId="0">
      <text>
        <r>
          <rPr>
            <sz val="10"/>
            <rFont val="Arial"/>
            <family val="2"/>
          </rPr>
          <t xml:space="preserve">Source (per period, as originally reported): 2006: EDGAR …/000118143107006877/rrd144638_18108.htm BS | … | Q2/26: EDGAR …/000104327726000027/ex991earningsreleaseq20630.htm BS (74 periods; each period from its own quarterly earnings release Form 8-K Ex. 99.1 on SEC EDGAR, CIK 0001043277)</t>
        </r>
      </text>
    </comment>
    <comment ref="B293" authorId="0">
      <text>
        <r>
          <rPr>
            <sz val="10"/>
            <rFont val="Arial"/>
            <family val="2"/>
          </rPr>
          <t xml:space="preserve">Source (per period, as originally reported): Q1/19: EDGAR …/000104327719000015/ex991earningsreleaseq12019.htm BS | … | Q2/26: EDGAR …/000104327726000027/ex991earningsreleaseq20630.htm BS (37 periods; each period from its own quarterly earnings release Form 8-K Ex. 99.1 on SEC EDGAR, CIK 0001043277)</t>
        </r>
      </text>
    </comment>
    <comment ref="B294" authorId="0">
      <text>
        <r>
          <rPr>
            <sz val="10"/>
            <rFont val="Arial"/>
            <family val="2"/>
          </rPr>
          <t xml:space="preserve">Source (per period, as originally reported): 2012: EDGAR …/000119312513038824/d480245dex991.htm BS | … | Q4/25: EDGAR …/000104327726000005/ex991earningsreleaseq41231.htm BS (66 periods; each period from its own quarterly earnings release Form 8-K Ex. 99.1 on SEC EDGAR, CIK 0001043277)</t>
        </r>
      </text>
    </comment>
    <comment ref="B296" authorId="0">
      <text>
        <r>
          <rPr>
            <sz val="10"/>
            <rFont val="Arial"/>
            <family val="2"/>
          </rPr>
          <t xml:space="preserve">Source (per period, as originally reported): Q3/13: EDGAR …/000119312513427764/d623132dex991.htm BS | … | Q2/26: EDGAR …/000104327726000027/ex991earningsreleaseq20630.htm BS (65 periods; each period from its own quarterly earnings release Form 8-K Ex. 99.1 on SEC EDGAR, CIK 0001043277)</t>
        </r>
      </text>
    </comment>
    <comment ref="B297" authorId="0">
      <text>
        <r>
          <rPr>
            <sz val="10"/>
            <rFont val="Arial"/>
            <family val="2"/>
          </rPr>
          <t xml:space="preserve">Source (per period, as originally reported): Q1/19: EDGAR …/000104327719000015/ex991earningsreleaseq12019.htm BS | … | Q2/26: EDGAR …/000104327726000027/ex991earningsreleaseq20630.htm BS (37 periods; each period from its own quarterly earnings release Form 8-K Ex. 99.1 on SEC EDGAR, CIK 0001043277)</t>
        </r>
      </text>
    </comment>
    <comment ref="B298" authorId="0">
      <text>
        <r>
          <rPr>
            <sz val="10"/>
            <rFont val="Arial"/>
            <family val="2"/>
          </rPr>
          <t xml:space="preserve">Source (per period, as originally reported): Q1/13: EDGAR …/000119312513204502/d533083dex991.htm BS | … | Q2/26: EDGAR …/000104327726000027/ex991earningsreleaseq20630.htm BS (67 periods; each period from its own quarterly earnings release Form 8-K Ex. 99.1 on SEC EDGAR, CIK 0001043277)</t>
        </r>
      </text>
    </comment>
    <comment ref="B299" authorId="0">
      <text>
        <r>
          <rPr>
            <sz val="10"/>
            <rFont val="Arial"/>
            <family val="2"/>
          </rPr>
          <t xml:space="preserve">Source (per period, as originally reported): Q1/13: EDGAR …/000119312513204502/d533083dex991.htm BS | … | Q2/26: EDGAR …/000104327726000027/ex991earningsreleaseq20630.htm BS (67 periods; each period from its own quarterly earnings release Form 8-K Ex. 99.1 on SEC EDGAR, CIK 0001043277)</t>
        </r>
      </text>
    </comment>
    <comment ref="B300" authorId="0">
      <text>
        <r>
          <rPr>
            <sz val="10"/>
            <rFont val="Arial"/>
            <family val="2"/>
          </rPr>
          <t xml:space="preserve">Source (per period, as originally reported): 2006: EDGAR …/000118143107006877/rrd144638_18108.htm BS ("long term liabilities", incl. deferred taxes, to 2012) | … | Q2/26: EDGAR …/000104327726000027/ex991earningsreleaseq20630.htm BS (74 periods; each period from its own quarterly earnings release Form 8-K Ex. 99.1 on SEC EDGAR, CIK 0001043277)</t>
        </r>
      </text>
    </comment>
    <comment ref="B304" authorId="0">
      <text>
        <r>
          <rPr>
            <sz val="10"/>
            <rFont val="Arial"/>
            <family val="2"/>
          </rPr>
          <t xml:space="preserve">Source (per period, as originally reported): 2008: SEC EDGAR XBRL companyfacts CIK0001043277 (10-K/10-Q balance sheet)</t>
        </r>
      </text>
    </comment>
    <comment ref="B305" authorId="0">
      <text>
        <r>
          <rPr>
            <sz val="10"/>
            <rFont val="Arial"/>
            <family val="2"/>
          </rPr>
          <t xml:space="preserve">Source (per period, as originally reported): 2008: SEC EDGAR XBRL companyfacts CIK0001043277 (10-K/10-Q balance sheet)</t>
        </r>
      </text>
    </comment>
    <comment ref="B312" authorId="0">
      <text>
        <r>
          <rPr>
            <sz val="10"/>
            <rFont val="Arial"/>
            <family val="2"/>
          </rPr>
          <t xml:space="preserve">Source (per period, as originally reported): 2006: EDGAR …/000118143107006877/rrd144638_18108.htm BS (unlabeled total) | … | Q2/26: EDGAR …/000104327726000027/ex991earningsreleaseq20630.htm BS (74 periods; each period from its own quarterly earnings release Form 8-K Ex. 99.1 on SEC EDGAR, CIK 0001043277)</t>
        </r>
      </text>
    </comment>
    <comment ref="B313" authorId="0">
      <text>
        <r>
          <rPr>
            <sz val="10"/>
            <rFont val="Arial"/>
            <family val="2"/>
          </rPr>
          <t xml:space="preserve">Source (per period, as originally reported): 2006: EDGAR …/000118143107006877/rrd144638_18108.htm BS | … | Q2/26: EDGAR …/000104327726000027/ex991earningsreleaseq20630.htm BS (74 periods; each period from its own quarterly earnings release Form 8-K Ex. 99.1 on SEC EDGAR, CIK 0001043277)</t>
        </r>
      </text>
    </comment>
    <comment ref="B314" authorId="0">
      <text>
        <r>
          <rPr>
            <sz val="10"/>
            <rFont val="Arial"/>
            <family val="2"/>
          </rPr>
          <t xml:space="preserve">Source (per period, as originally reported): 2006: EDGAR …/000118143107006877/rrd144638_18108.htm BS | … | Q2/26: EDGAR …/000104327726000027/ex991earningsreleaseq20630.htm BS (74 periods; each period from its own quarterly earnings release Form 8-K Ex. 99.1 on SEC EDGAR, CIK 0001043277)</t>
        </r>
      </text>
    </comment>
    <comment ref="B315" authorId="0">
      <text>
        <r>
          <rPr>
            <sz val="10"/>
            <rFont val="Arial"/>
            <family val="2"/>
          </rPr>
          <t xml:space="preserve">Source (per period, as originally reported): 2006: EDGAR …/000118143107006877/rrd144638_18108.htm BS | … | Q2/26: EDGAR …/000104327726000027/ex991earningsreleaseq20630.htm BS (74 periods; each period from its own quarterly earnings release Form 8-K Ex. 99.1 on SEC EDGAR, CIK 0001043277)</t>
        </r>
      </text>
    </comment>
    <comment ref="B316" authorId="0">
      <text>
        <r>
          <rPr>
            <sz val="10"/>
            <rFont val="Arial"/>
            <family val="2"/>
          </rPr>
          <t xml:space="preserve">Source (per period, as originally reported): 2008: SEC EDGAR XBRL companyfacts CIK0001043277 (10-K/10-Q balance sheet)</t>
        </r>
      </text>
    </comment>
    <comment ref="B317" authorId="0">
      <text>
        <r>
          <rPr>
            <sz val="10"/>
            <rFont val="Arial"/>
            <family val="2"/>
          </rPr>
          <t xml:space="preserve">Source (per period, as originally reported): 2006: EDGAR …/000118143107006877/rrd144638_18108.htm operational data | … | Q2/26: EDGAR …/000104327726000027/ex991earningsreleaseq20630.htm operational data (74 periods; each period from its own quarterly earnings release Form 8-K Ex. 99.1 on SEC EDGAR, CIK 0001043277)</t>
        </r>
      </text>
    </comment>
    <comment ref="B342" authorId="0">
      <text>
        <r>
          <rPr>
            <sz val="10"/>
            <rFont val="Arial"/>
            <family val="2"/>
          </rPr>
          <t xml:space="preserve">10-Q Q2/26 / 10-K 2025: Senior Notes $600m 4.20% (Apr-2028), Series B $150m 4.26% (Aug-2028), Series C $175m 4.60% (Aug-2033); carrying value $923m net of discount.</t>
        </r>
      </text>
    </comment>
    <comment ref="CF2" authorId="0">
      <text>
        <r>
          <rPr>
            <sz val="10"/>
            <rFont val="Arial"/>
            <family val="2"/>
          </rPr>
          <t xml:space="preserve">Scenario toggle. Choose Bull / Base / Bear. Drives: FY26 outlook end-points (adjusted operating income calibration, tax rate, capex), 2H/26 buybacks, leverage target, and 2027E–30E NAST volume / AGP per shipment, GF volume / AGP per shipment, All Other AGP growth, Lean AI productivity, other SG&amp;A % of AGP and bolt-on M&amp;A.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9" authorId="0">
      <text>
        <r>
          <rPr>
            <sz val="10"/>
            <rFont val="Arial"/>
            <family val="2"/>
          </rPr>
          <t xml:space="preserve">Source (RXO, latest-filed values; FY2021 = XPO carve-out): https://www.sec.gov/Archives/edgar/data/1929561/000192956126000006/rxoq42025pressrelease.htm | RXO earnings release (Ex.99.1) for Q4/25, T3 (REV: Revenue; row 'Truck brokerage'), column YTDcur</t>
        </r>
      </text>
    </comment>
    <comment ref="B70" authorId="0">
      <text>
        <r>
          <rPr>
            <sz val="10"/>
            <rFont val="Arial"/>
            <family val="2"/>
          </rPr>
          <t xml:space="preserve">Source (RXO, latest-filed values; FY2021 = XPO carve-out): https://www.sec.gov/Archives/edgar/data/1929561/000192956126000006/rxoq42025pressrelease.htm | RXO earnings release (Ex.99.1) for Q4/25, T3 (REV: Revenue; row 'Managed transportation'), column YTDcur</t>
        </r>
      </text>
    </comment>
    <comment ref="B71" authorId="0">
      <text>
        <r>
          <rPr>
            <sz val="10"/>
            <rFont val="Arial"/>
            <family val="2"/>
          </rPr>
          <t xml:space="preserve">Source (RXO, latest-filed values; FY2021 = XPO carve-out): https://www.sec.gov/Archives/edgar/data/1929561/000192956126000006/rxoq42025pressrelease.htm | RXO earnings release (Ex.99.1) for Q4/25, T3 (REV: Revenue; row 'Last mile'), column YTDcur</t>
        </r>
      </text>
    </comment>
    <comment ref="B72" authorId="0">
      <text>
        <r>
          <rPr>
            <sz val="10"/>
            <rFont val="Arial"/>
            <family val="2"/>
          </rPr>
          <t xml:space="preserve">Source (RXO, latest-filed values; FY2021 = XPO carve-out): https://www.sec.gov/Archives/edgar/data/1929561/000192956126000006/rxoq42025pressrelease.htm | RXO earnings release (Ex.99.1) for Q4/25, T3 (REV: Revenue; row 'Eliminations'), column YTDcur</t>
        </r>
      </text>
    </comment>
    <comment ref="B73" authorId="0">
      <text>
        <r>
          <rPr>
            <sz val="10"/>
            <rFont val="Arial"/>
            <family val="2"/>
          </rPr>
          <t xml:space="preserve">Source (RXO, latest-filed values; FY2021 = XPO carve-out): https://www.sec.gov/Archives/edgar/data/1929561/000192956126000006/rxoq42025pressrelease.htm | RXO earnings release (Ex.99.1) for Q4/25, T0 (PL: (Dollars in millions, shares in thousand; row 'Revenue'), column YTDcur</t>
        </r>
      </text>
    </comment>
    <comment ref="B74" authorId="0">
      <text>
        <r>
          <rPr>
            <sz val="10"/>
            <rFont val="Arial"/>
            <family val="2"/>
          </rPr>
          <t xml:space="preserve">Source (RXO, latest-filed values; FY2021 = XPO carve-out): https://www.sec.gov/Archives/edgar/data/1929561/000192956126000006/rxoq42025pressrelease.htm | RXO earnings release (Ex.99.1) for Q4/25, T0 (PL: (Dollars in millions, shares in thousand; row 'Revenue'), column YTDcur</t>
        </r>
      </text>
    </comment>
    <comment ref="B75" authorId="0">
      <text>
        <r>
          <rPr>
            <sz val="10"/>
            <rFont val="Arial"/>
            <family val="2"/>
          </rPr>
          <t xml:space="preserve">Source (RXO, latest-filed values; FY2021 = XPO carve-out): https://www.sec.gov/Archives/edgar/data/1929561/000192956126000006/rxoq42025pressrelease.htm | RXO earnings release (Ex.99.1) for Q4/25, T6 (GM: Gross margin; row 'Gross margin'), column YTDcur</t>
        </r>
      </text>
    </comment>
    <comment ref="B77" authorId="0">
      <text>
        <r>
          <rPr>
            <sz val="10"/>
            <rFont val="Arial"/>
            <family val="2"/>
          </rPr>
          <t xml:space="preserve">Source (RXO, latest-filed values; FY2021 = XPO carve-out): https://www.sec.gov/Archives/edgar/data/1929561/000192956126000006/rxoq42025pressrelease.htm | RXO earnings release (Ex.99.1) for Q4/25, T4 (AEBITDA: Reconciliation of Net Loss to Adjusted E; row 'Adjusted EBITDA'), column YTDcur</t>
        </r>
      </text>
    </comment>
    <comment ref="B79" authorId="0">
      <text>
        <r>
          <rPr>
            <sz val="10"/>
            <rFont val="Arial"/>
            <family val="2"/>
          </rPr>
          <t xml:space="preserve">Source (RXO, latest-filed values; FY2021 = XPO carve-out): https://www.sec.gov/Archives/edgar/data/1929561/000192956126000006/rxoq42025pressrelease.htm | RXO earnings release (Ex.99.1) for Q4/25, T0 (PL: (Dollars in millions, shares in thousand; row 'Depreciation and amortization expense'), column YTDcur</t>
        </r>
      </text>
    </comment>
    <comment ref="B80" authorId="0">
      <text>
        <r>
          <rPr>
            <sz val="10"/>
            <rFont val="Arial"/>
            <family val="2"/>
          </rPr>
          <t xml:space="preserve">Source (RXO, latest-filed values; FY2021 = XPO carve-out): https://www.sec.gov/Archives/edgar/data/1929561/000192956126000006/rxoq42025pressrelease.htm | RXO earnings release (Ex.99.1) for Q4/25, T5 (AEPS: Reconciliation of Net Loss to Adjusted N; row 'Amortization of intangible assets'), column YTDcur</t>
        </r>
      </text>
    </comment>
    <comment ref="B82" authorId="0">
      <text>
        <r>
          <rPr>
            <sz val="10"/>
            <rFont val="Arial"/>
            <family val="2"/>
          </rPr>
          <t xml:space="preserve">Source (RXO, latest-filed values; FY2021 = XPO carve-out): https://www.sec.gov/Archives/edgar/data/1929561/000192956126000006/rxoq42025pressrelease.htm | RXO earnings release (Ex.99.1) for Q4/25, T0 (PL: (Dollars in millions, shares in thousand; row 'Operating loss'), column YTDcur</t>
        </r>
      </text>
    </comment>
    <comment ref="B83" authorId="0">
      <text>
        <r>
          <rPr>
            <sz val="10"/>
            <rFont val="Arial"/>
            <family val="2"/>
          </rPr>
          <t xml:space="preserve">Source (RXO, latest-filed values; FY2021 = XPO carve-out): https://www.sec.gov/Archives/edgar/data/1929561/000192956126000006/rxoq42025pressrelease.htm | RXO earnings release (Ex.99.1) for Q4/25, T0 (PL: (Dollars in millions, shares in thousand; row 'Interest expense, net'), column YTDcur</t>
        </r>
      </text>
    </comment>
    <comment ref="B84" authorId="0">
      <text>
        <r>
          <rPr>
            <sz val="10"/>
            <rFont val="Arial"/>
            <family val="2"/>
          </rPr>
          <t xml:space="preserve">Source (RXO, latest-filed values; FY2021 = XPO carve-out): https://www.sec.gov/Archives/edgar/data/1929561/000192956126000006/rxoq42025pressrelease.htm | RXO earnings release (Ex.99.1) for Q4/25, T0 (PL: (Dollars in millions, shares in thousand; row 'Net loss'), column YTDcur</t>
        </r>
      </text>
    </comment>
    <comment ref="B85" authorId="0">
      <text>
        <r>
          <rPr>
            <sz val="10"/>
            <rFont val="Arial"/>
            <family val="2"/>
          </rPr>
          <t xml:space="preserve">Source (RXO, latest-filed values; FY2021 = XPO carve-out): https://www.sec.gov/Archives/edgar/data/1929561/000192956126000006/rxoq42025pressrelease.htm | RXO earnings release (Ex.99.1) for Q4/25, T5 (AEPS: Reconciliation of Net Loss to Adjusted N; row 'Adjusted net income (loss)'), column YTDcur</t>
        </r>
      </text>
    </comment>
    <comment ref="B86" authorId="0">
      <text>
        <r>
          <rPr>
            <sz val="10"/>
            <rFont val="Arial"/>
            <family val="2"/>
          </rPr>
          <t xml:space="preserve">Source (RXO, latest-filed values; FY2021 = XPO carve-out): https://www.sec.gov/Archives/edgar/data/1929561/000192956126000006/rxoq42025pressrelease.htm | RXO earnings release (Ex.99.1) for Q4/25, T5 (AEPS: Reconciliation of Net Loss to Adjusted N; row 'Adjusted diluted income (loss) per share'), column YTDcur</t>
        </r>
      </text>
    </comment>
    <comment ref="B87" authorId="0">
      <text>
        <r>
          <rPr>
            <sz val="10"/>
            <rFont val="Arial"/>
            <family val="2"/>
          </rPr>
          <t xml:space="preserve">Source (RXO, latest-filed values; FY2021 = XPO carve-out): https://www.sec.gov/Archives/edgar/data/1929561/000192956126000006/rxoq42025pressrelease.htm | RXO earnings release (Ex.99.1) for Q4/25, T2 (CF: Investing activities; row 'Payment for purchases of property and equipment'), column YTDcur</t>
        </r>
      </text>
    </comment>
    <comment ref="B88" authorId="0">
      <text>
        <r>
          <rPr>
            <sz val="10"/>
            <rFont val="Arial"/>
            <family val="2"/>
          </rPr>
          <t xml:space="preserve">Source (RXO, latest-filed values; FY2021 = XPO carve-out): https://www.sec.gov/Archives/edgar/data/1929561/000192956126000006/rxoq42025pressrelease.htm | RXO earnings release (Ex.99.1) for Q4/25, T2 (CF: Changes in assets and liabilities; row 'Net cash provided by (used in) operating activities'), column YTDcur</t>
        </r>
      </text>
    </comment>
    <comment ref="B89" authorId="0">
      <text>
        <r>
          <rPr>
            <sz val="10"/>
            <rFont val="Arial"/>
            <family val="2"/>
          </rPr>
          <t xml:space="preserve">Source (RXO, latest-filed values; FY2021 = XPO carve-out): Derived: short_term_debt + long_term_debt (carrying, incl. finance leases) - cash</t>
        </r>
      </text>
    </comment>
    <comment ref="B90" authorId="0">
      <text>
        <r>
          <rPr>
            <sz val="10"/>
            <rFont val="Arial"/>
            <family val="2"/>
          </rPr>
          <t xml:space="preserve">Source (RXO, latest-filed values; FY2021 = XPO carve-out): https://www.sec.gov/Archives/edgar/data/1929561/000192956126000006/rxoq42025pressrelease.htm | earnings release balance sheet, common stock caption</t>
        </r>
      </text>
    </comment>
  </commentList>
</comments>
</file>

<file path=xl/sharedStrings.xml><?xml version="1.0" encoding="utf-8"?>
<sst xmlns="http://schemas.openxmlformats.org/spreadsheetml/2006/main" count="1126" uniqueCount="935">
  <si>
    <t xml:space="preserve">SCENARIO SWITCH ▼ (Bull / Base / Bear) — drives all scenario-linked forecast drivers</t>
  </si>
  <si>
    <t xml:space="preserve">C.H. Robinson Worldwide, Inc. (Nasdaq: CHRW) — 3-Statement Financial Model</t>
  </si>
  <si>
    <t xml:space="preserve">Base</t>
  </si>
  <si>
    <t xml:space="preserve">US GAAP as reported · USD millions (per-share data in USD; headcount in employees) · Source: C.H. Robinson Forms 10-K / 10-Q and Form 8-K earnings releases (Ex. 99.1; Ex. 99.3 segment recast Jan-2017), Q2-26 earnings presentation (Ex. 99.2), XBRL companyfacts, SEC EDGAR CIK 0001043277 (investor-relations releases are the same documents as filed on EDGAR); RXO deal 8-K 5-Oct-26</t>
  </si>
  <si>
    <t xml:space="preserve">Basis notes: calendar fiscal year. Each period as originally reported in its own earnings release. "Gross profits" (to 2008) → "net revenues" (2009–18) → adjusted gross profit (AGP, non-GAAP, 2019+); GAAP gross profit presented from Q1/23 (AGP − direct software amortization). ASC 606 from 2018 (contract assets). Segments (NAST / Global Forwarding / Robinson Fresh / All Other &amp; Corporate) from Q4/16, recast to 2014; Robinson Fresh folded into All Other &amp; Corporate from 2019. T-Chek (payment services) sold Nov-2012; Phoenix International acquired Nov-2012; Freightquote Jan-2015; Prime Distribution 2019; Europe Surface Transportation sold 1-Feb-2025. RXO acquisition (announced 5-Oct-26, close expected 1H27) excluded here — modelled on the RXO PF tab.</t>
  </si>
  <si>
    <t xml:space="preserve">Forecast</t>
  </si>
  <si>
    <t xml:space="preserve">Historical</t>
  </si>
  <si>
    <t xml:space="preserve">(USDm)</t>
  </si>
  <si>
    <t xml:space="preserve">Q1/13</t>
  </si>
  <si>
    <t xml:space="preserve">Q2/13</t>
  </si>
  <si>
    <t xml:space="preserve">Q3/13</t>
  </si>
  <si>
    <t xml:space="preserve">Q4/13</t>
  </si>
  <si>
    <t xml:space="preserve">Q1/14</t>
  </si>
  <si>
    <t xml:space="preserve">Q2/14</t>
  </si>
  <si>
    <t xml:space="preserve">Q3/14</t>
  </si>
  <si>
    <t xml:space="preserve">Q4/14</t>
  </si>
  <si>
    <t xml:space="preserve">Q1/15</t>
  </si>
  <si>
    <t xml:space="preserve">Q2/15</t>
  </si>
  <si>
    <t xml:space="preserve">Q3/15</t>
  </si>
  <si>
    <t xml:space="preserve">Q4/15</t>
  </si>
  <si>
    <t xml:space="preserve">Q1/16</t>
  </si>
  <si>
    <t xml:space="preserve">Q2/16</t>
  </si>
  <si>
    <t xml:space="preserve">Q3/16</t>
  </si>
  <si>
    <t xml:space="preserve">Q4/16</t>
  </si>
  <si>
    <t xml:space="preserve">Q1/17</t>
  </si>
  <si>
    <t xml:space="preserve">Q2/17</t>
  </si>
  <si>
    <t xml:space="preserve">Q3/17</t>
  </si>
  <si>
    <t xml:space="preserve">Q4/17</t>
  </si>
  <si>
    <t xml:space="preserve">Q1/18</t>
  </si>
  <si>
    <t xml:space="preserve">Q2/18</t>
  </si>
  <si>
    <t xml:space="preserve">Q3/18</t>
  </si>
  <si>
    <t xml:space="preserve">Q4/18</t>
  </si>
  <si>
    <t xml:space="preserve">Q1/19</t>
  </si>
  <si>
    <t xml:space="preserve">Q2/19</t>
  </si>
  <si>
    <t xml:space="preserve">Q3/19</t>
  </si>
  <si>
    <t xml:space="preserve">Q4/19</t>
  </si>
  <si>
    <t xml:space="preserve">Q1/20</t>
  </si>
  <si>
    <t xml:space="preserve">Q2/20</t>
  </si>
  <si>
    <t xml:space="preserve">Q3/20</t>
  </si>
  <si>
    <t xml:space="preserve">Q4/20</t>
  </si>
  <si>
    <t xml:space="preserve">Q1/21</t>
  </si>
  <si>
    <t xml:space="preserve">Q2/21</t>
  </si>
  <si>
    <t xml:space="preserve">Q3/21</t>
  </si>
  <si>
    <t xml:space="preserve">Q4/21</t>
  </si>
  <si>
    <t xml:space="preserve">Q1/22</t>
  </si>
  <si>
    <t xml:space="preserve">Q2/22</t>
  </si>
  <si>
    <t xml:space="preserve">Q3/22</t>
  </si>
  <si>
    <t xml:space="preserve">Q4/22</t>
  </si>
  <si>
    <t xml:space="preserve">Q1/23</t>
  </si>
  <si>
    <t xml:space="preserve">Q2/23</t>
  </si>
  <si>
    <t xml:space="preserve">Q3/23</t>
  </si>
  <si>
    <t xml:space="preserve">Q4/23</t>
  </si>
  <si>
    <t xml:space="preserve">Q1/24</t>
  </si>
  <si>
    <t xml:space="preserve">Q2/24</t>
  </si>
  <si>
    <t xml:space="preserve">Q3/24</t>
  </si>
  <si>
    <t xml:space="preserve">Q4/24</t>
  </si>
  <si>
    <t xml:space="preserve">Q1/25</t>
  </si>
  <si>
    <t xml:space="preserve">Q2/25</t>
  </si>
  <si>
    <t xml:space="preserve">Q3/25</t>
  </si>
  <si>
    <t xml:space="preserve">Q4/25</t>
  </si>
  <si>
    <t xml:space="preserve">Q1/26</t>
  </si>
  <si>
    <t xml:space="preserve">Q2/26</t>
  </si>
  <si>
    <t xml:space="preserve">Q3/26E</t>
  </si>
  <si>
    <t xml:space="preserve">Q4/26E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</si>
  <si>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</si>
  <si>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</si>
  <si>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</si>
  <si>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</si>
  <si>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</si>
  <si>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Modelling Notes</t>
  </si>
  <si>
    <t xml:space="preserve">5Y CAGR</t>
  </si>
  <si>
    <t xml:space="preserve">10Y CAGR</t>
  </si>
  <si>
    <t xml:space="preserve">19Y CAGR</t>
  </si>
  <si>
    <t xml:space="preserve">25-'30</t>
  </si>
  <si>
    <t xml:space="preserve">20-'25</t>
  </si>
  <si>
    <t xml:space="preserve">15-'25</t>
  </si>
  <si>
    <t xml:space="preserve">06-'25</t>
  </si>
  <si>
    <t xml:space="preserve">SEGMENT P&amp;L — NAST · GLOBAL FORWARDING · ALL OTHER &amp; CORPORATE (volume × AGP-per-shipment build)</t>
  </si>
  <si>
    <t xml:space="preserve">SEGMENT BUILD — modelling logic (volume × AGP per shipment → AGP → AGP margin → revenues; opex via headcount × cost per head)</t>
  </si>
  <si>
    <t xml:space="preserve">SCENARIO INPUT TABLE — driver assumptions per Bull / Base / Bear</t>
  </si>
  <si>
    <t xml:space="preserve">Bull</t>
  </si>
  <si>
    <t xml:space="preserve">Bear</t>
  </si>
  <si>
    <t xml:space="preserve">Bull / Bear = Base + Δ (Δ inputs on each block header). Outlook block = high / mid / low end of the FY26 ranges.</t>
  </si>
  <si>
    <t xml:space="preserve">North American Surface Transportation (NAST) — truckload, LTL &amp; intermodal brokerage; reportable segment from Q4/16 (recast to 2014)</t>
  </si>
  <si>
    <t xml:space="preserve">NAST — modelling logic</t>
  </si>
  <si>
    <t xml:space="preserve">  NAST shipment volume y/y % (truckload + LTL)</t>
  </si>
  <si>
    <t xml:space="preserve">History: company-stated combined NAST truckload + LTL volume growth (from 2018); earlier quarters = AGP-weighted average of stated TL and LTL volume growth; annual = average of quarters. Q3/26E–Q4/26E: Q2/26 rate (+1.5%). 2027E+: scenario lever NAST_vol.</t>
  </si>
  <si>
    <t xml:space="preserve">FY26 outlook — Q2-26 release &amp; earnings deck (29-Jul-26)</t>
  </si>
  <si>
    <t xml:space="preserve">High</t>
  </si>
  <si>
    <t xml:space="preserve">Mid</t>
  </si>
  <si>
    <t xml:space="preserve">Low</t>
  </si>
  <si>
    <t xml:space="preserve">CHRW guides operating income (excl. restructuring), tax rate and capex only; no AGP / revenue guidance.</t>
  </si>
  <si>
    <t xml:space="preserve">  NAST AGP per shipment y/y % (price / mix)</t>
  </si>
  <si>
    <t xml:space="preserve">History: implied = (1 + AGP growth) / (1 + volume growth) − 1. Q3/26E–Q4/26E: Q2/26 implied rate + outlook calibration Δ (row "Outlook calibration"). 2027E+: scenario lever NAST_AGPps (contract repricing after the 2026 spot-cost spike, then normalisation).</t>
  </si>
  <si>
    <t xml:space="preserve">  FY26 adjusted income from operations target ($m; excl. restructuring &amp; other charges)</t>
  </si>
  <si>
    <t xml:space="preserve">$964m–$1.04bn "2026 Operating Income Target" (Q2-26 deck slide 17; reiterated). 1H/26 actual $459.2m. Drives the Q3/Q4-26E AGP calibration.</t>
  </si>
  <si>
    <t xml:space="preserve">  Adjusted gross profit (AGP; "net revenues" to 2018)</t>
  </si>
  <si>
    <t xml:space="preserve">Prior-year period × (1 + volume) × (1 + AGP per shipment). Segment AGP as reported (2014–Q3/16 from the FY2016 10-K / 8-K Ex. 99.3 recast).</t>
  </si>
  <si>
    <t xml:space="preserve">  FY26 effective tax rate</t>
  </si>
  <si>
    <t xml:space="preserve">"For 2026, we expect our full-year effective tax rate to be 18% to 20%" (Q2-26 release).</t>
  </si>
  <si>
    <t xml:space="preserve">  AGP y/y %</t>
  </si>
  <si>
    <t xml:space="preserve">  FY26 capital expenditures ($m)</t>
  </si>
  <si>
    <t xml:space="preserve">"Capital expenditures for 2026 are expected to be $65 million to $75 million" (Q2-26 release; cut from $75–85m).</t>
  </si>
  <si>
    <t xml:space="preserve">  AGP margin % of segment revenues</t>
  </si>
  <si>
    <t xml:space="preserve">Revenue is an output: AGP ÷ AGP margin. Freight-rate pass-through moves revenue far more than AGP (Q2/26 margin 13.1% vs 14.8% a year earlier as spot costs spiked). Q3/Q4-26E: Q2/26 margin; 2027E+ partial normalisation toward the 2024–25 range (14–15%).</t>
  </si>
  <si>
    <t xml:space="preserve">FY26 point estimates &amp; capital allocation</t>
  </si>
  <si>
    <t xml:space="preserve">  Total revenues (external)</t>
  </si>
  <si>
    <t xml:space="preserve">  2H/26 share repurchases ($m; ex withholding)</t>
  </si>
  <si>
    <t xml:space="preserve">1H/26 repurchases $432m (Q2/26 $226m at $166.89 avg). Standalone case — the RXO PF tab applies the post-close buyback pause.</t>
  </si>
  <si>
    <t xml:space="preserve">  Revenues y/y %</t>
  </si>
  <si>
    <t xml:space="preserve">  Minimum net debt / adjusted EBITDA (x) — 2027E+ buyback plug</t>
  </si>
  <si>
    <t xml:space="preserve">Standalone: maintain leverage ~1.5x (YE25 ~1.0x; Q2/26 ~1.5x after buybacks &amp; freight-rate working capital). Investment-grade (BBB+/Baa2).</t>
  </si>
  <si>
    <t xml:space="preserve">  Income from operations (segment, as reported)</t>
  </si>
  <si>
    <t xml:space="preserve">  Operating margin % of AGP (segment, GAAP; mid-cycle target 40%)</t>
  </si>
  <si>
    <t xml:space="preserve">NAST_vol (NAST truckload + LTL volume y/y)</t>
  </si>
  <si>
    <t xml:space="preserve">Δ →</t>
  </si>
  <si>
    <t xml:space="preserve">Outgrowing the Cass index for 13 straight quarters (Q2/26 +1.5% vs Cass −3.3%). Base assumes freight-cycle recovery from 2027 plus continued share gains.</t>
  </si>
  <si>
    <t xml:space="preserve">  Average employee headcount</t>
  </si>
  <si>
    <t xml:space="preserve">  2027E</t>
  </si>
  <si>
    <t xml:space="preserve">  AGP per average employee ($000, annualised)</t>
  </si>
  <si>
    <t xml:space="preserve">  2028E</t>
  </si>
  <si>
    <t xml:space="preserve">  Memo: truckload volume y/y % (NAST; company total to Q2/14)</t>
  </si>
  <si>
    <t xml:space="preserve">  2029E</t>
  </si>
  <si>
    <t xml:space="preserve">  Memo: LTL volume (shipments / orders) y/y %</t>
  </si>
  <si>
    <t xml:space="preserve">  2030E</t>
  </si>
  <si>
    <t xml:space="preserve">  Memo: truckload AGP per shipment y/y % (per load Q1/21–Q1/22)</t>
  </si>
  <si>
    <t xml:space="preserve">NAST_AGPps (NAST AGP per shipment y/y)</t>
  </si>
  <si>
    <t xml:space="preserve">Contract repricing after the 2026 spot-cost spike (TL cost/mile +29% in Q2/26); company 2026 assumption flat to +4%.</t>
  </si>
  <si>
    <t xml:space="preserve">  Memo: LTL AGP per order y/y %</t>
  </si>
  <si>
    <t xml:space="preserve">  Memo: truckload linehaul price per mile y/y % (ex fuel; all segments)</t>
  </si>
  <si>
    <t xml:space="preserve">  Memo: truckload linehaul cost per mile y/y % (ex fuel; all segments)</t>
  </si>
  <si>
    <t xml:space="preserve">Global Forwarding (GF) — ocean, air, customs &amp; other; reportable segment from Q4/16 (recast to 2014)</t>
  </si>
  <si>
    <t xml:space="preserve">GLOBAL FORWARDING — modelling logic</t>
  </si>
  <si>
    <t xml:space="preserve">GF_vol (ocean shipments y/y)</t>
  </si>
  <si>
    <t xml:space="preserve">Ocean +1.0% in Q2/26; trade-policy volatility.</t>
  </si>
  <si>
    <t xml:space="preserve">  GF volume y/y % (ocean shipments)</t>
  </si>
  <si>
    <t xml:space="preserve">Ocean shipment growth as the GF volume proxy (ocean ≈ 55–60% of GF AGP). Disclosed from 2019 (2015 flat). Q3/26E–Q4/26E: Q2/26 rate; 2027E+: scenario lever GF_vol.</t>
  </si>
  <si>
    <t xml:space="preserve">  GF AGP per shipment y/y % (rate / mix)</t>
  </si>
  <si>
    <t xml:space="preserve">Implied = (1 + AGP growth) / (1 + volume) − 1 (captures ocean/air rate cycles: 2021–22 spike, 2023 reset, 2024 Red Sea). 2027E+: scenario lever GF_AGPps.</t>
  </si>
  <si>
    <t xml:space="preserve">  Adjusted gross profit (AGP)</t>
  </si>
  <si>
    <t xml:space="preserve">Q2/26 21.1% (air rates up); 2023–25 range 22–24%.</t>
  </si>
  <si>
    <t xml:space="preserve">GF_AGPps (GF AGP per shipment y/y)</t>
  </si>
  <si>
    <t xml:space="preserve">Company 2026 assumption: GF AGP/shipment reset to 2H/23 levels (−10%); air rates elevated in 2026.</t>
  </si>
  <si>
    <t xml:space="preserve">  Operating margin % of AGP (segment, GAAP; mid-cycle target 30%)</t>
  </si>
  <si>
    <t xml:space="preserve">AO_growth (All Other &amp; Corporate AGP y/y)</t>
  </si>
  <si>
    <t xml:space="preserve">Robinson Fresh foodservice wins; Managed Solutions freight under management ($2.1bn in Q2/26).</t>
  </si>
  <si>
    <t xml:space="preserve">  Memo: ocean AGP per shipment y/y %</t>
  </si>
  <si>
    <t xml:space="preserve">  Memo: air metric tons shipped y/y % (shipments in 2020)</t>
  </si>
  <si>
    <t xml:space="preserve">  Memo: air AGP per metric ton y/y %</t>
  </si>
  <si>
    <t xml:space="preserve">  Memo: customs transaction volume y/y %</t>
  </si>
  <si>
    <t xml:space="preserve">PROD (volume per employee y/y — Lean AI)</t>
  </si>
  <si>
    <t xml:space="preserve">&gt;60% productivity gain since end-2022; NAST &amp; GF +15% y/y in Q2/26. Fades as automation matures.</t>
  </si>
  <si>
    <t xml:space="preserve">  Memo: customs AGP per transaction y/y %</t>
  </si>
  <si>
    <t xml:space="preserve">All Other &amp; Corporate — Robinson Fresh (sourcing), Managed Solutions, Other Surface Transportation (Europe Surface divested 1-Feb-25); current basis</t>
  </si>
  <si>
    <t xml:space="preserve">ALL OTHER &amp; CORPORATE — modelling logic</t>
  </si>
  <si>
    <t xml:space="preserve">  AGP y/y % (growth driver)</t>
  </si>
  <si>
    <t xml:space="preserve">Q3/26E–Q4/26E: Q2/26 y/y + outlook calibration Δ. 2027E+: scenario lever AO_growth (Robinson Fresh foodservice volume, Managed Solutions freight under management).</t>
  </si>
  <si>
    <t xml:space="preserve">Current basis (2019 resegmentation): 2014–2018 = Robinson Fresh segment + legacy All Other &amp; Corporate (memo rows below).</t>
  </si>
  <si>
    <t xml:space="preserve">OSGA (other SG&amp;A % of AGP)</t>
  </si>
  <si>
    <t xml:space="preserve">FY25 20.7%; 1H/26 19.7%.</t>
  </si>
  <si>
    <t xml:space="preserve">  AGP margin % of revenues</t>
  </si>
  <si>
    <t xml:space="preserve">  Income (loss) from operations (incl. corporate; as reported)</t>
  </si>
  <si>
    <t xml:space="preserve">  Average employee headcount (incl. corporate &amp; shared services)</t>
  </si>
  <si>
    <t xml:space="preserve">  Memo: Robinson Fresh AGP (segment to 2018; within All Other from 2019)</t>
  </si>
  <si>
    <t xml:space="preserve">M&amp;A_spend (bolt-on acquisitions, $m)</t>
  </si>
  <si>
    <t xml:space="preserve">Excludes RXO (see RXO PF tab). Base: modest bolt-ons from 2028E.</t>
  </si>
  <si>
    <t xml:space="preserve">  Memo: Managed Solutions (Managed Services) AGP</t>
  </si>
  <si>
    <t xml:space="preserve">  Memo: Other Surface Transportation AGP (Europe Surface; divested Feb-25)</t>
  </si>
  <si>
    <t xml:space="preserve">  Memo: Robinson Fresh segment revenues (2014–2018)</t>
  </si>
  <si>
    <t xml:space="preserve">  Memo: Robinson Fresh segment AGP (2014–2018)</t>
  </si>
  <si>
    <t xml:space="preserve">  Memo: Robinson Fresh segment income from operations (2014–2018)</t>
  </si>
  <si>
    <t xml:space="preserve">  Memo: Robinson Fresh segment average headcount (2014–2018)</t>
  </si>
  <si>
    <t xml:space="preserve">  Memo: legacy All Other &amp; Corporate revenues (ex Robinson Fresh; to 2018)</t>
  </si>
  <si>
    <t xml:space="preserve">  Memo: legacy All Other &amp; Corporate AGP (to 2018)</t>
  </si>
  <si>
    <t xml:space="preserve">  Memo: legacy All Other &amp; Corporate income from operations (to 2018)</t>
  </si>
  <si>
    <t xml:space="preserve">  Memo: legacy All Other &amp; Corporate average headcount (to 2018)</t>
  </si>
  <si>
    <t xml:space="preserve">Adjusted gross profit by service line (consolidated, all segments; "gross profits" to 2008, "net revenues" 2009–18, AGP from 2019)</t>
  </si>
  <si>
    <t xml:space="preserve">SERVICE LINES — history only (forecast is built by segment)</t>
  </si>
  <si>
    <t xml:space="preserve">  Truckload ("truck" incl. LTL to 2012)</t>
  </si>
  <si>
    <t xml:space="preserve">  LTL (from 2013)</t>
  </si>
  <si>
    <t xml:space="preserve">  Intermodal (to Q3/20; then other logistics)</t>
  </si>
  <si>
    <t xml:space="preserve">  Ocean</t>
  </si>
  <si>
    <t xml:space="preserve">  Air</t>
  </si>
  <si>
    <t xml:space="preserve">  Customs (from 2013; miscellaneous earlier)</t>
  </si>
  <si>
    <t xml:space="preserve">  Other logistics services ("miscellaneous" to 2012)</t>
  </si>
  <si>
    <t xml:space="preserve">  Sourcing (Robinson Fresh)</t>
  </si>
  <si>
    <t xml:space="preserve">  Payment / Information Services (T-Chek; divested Nov-2012)</t>
  </si>
  <si>
    <t xml:space="preserve">  Total AGP (sum of service lines)</t>
  </si>
  <si>
    <t xml:space="preserve">  Check: service lines vs consolidated AGP (should be 0)</t>
  </si>
  <si>
    <t xml:space="preserve">Future acquisitions (M&amp;A lever — bolt-ons, unallocated; deals closed from 2027E)</t>
  </si>
  <si>
    <t xml:space="preserve">M&amp;A LEVER — modelling logic</t>
  </si>
  <si>
    <t xml:space="preserve">  Acquisition spend (USDm, scenario)</t>
  </si>
  <si>
    <t xml:space="preserve">Scenario lever M&amp;A_spend (CHRW bolt-on cadence: Prime 2019, Combinex 2021, DeSpir Logistics Q2/26 $79m). Excludes RXO (see RXO PF tab).</t>
  </si>
  <si>
    <t xml:space="preserve">  Purchase multiple — EV / AGP (x)</t>
  </si>
  <si>
    <t xml:space="preserve">  Annualised AGP acquired in the year</t>
  </si>
  <si>
    <t xml:space="preserve">  Growth of acquired businesses after acquisition %</t>
  </si>
  <si>
    <t xml:space="preserve">  Run-rate AGP of businesses acquired (year end)</t>
  </si>
  <si>
    <t xml:space="preserve">  AGP from future acquisitions</t>
  </si>
  <si>
    <t xml:space="preserve">  AGP margin of acquired businesses (% revenues)</t>
  </si>
  <si>
    <t xml:space="preserve">  Revenues from future acquisitions</t>
  </si>
  <si>
    <t xml:space="preserve">  Operating margin of acquired businesses (% AGP, before amortization)</t>
  </si>
  <si>
    <t xml:space="preserve">  Operating expenses of acquired businesses (in other SG&amp;A)</t>
  </si>
  <si>
    <t xml:space="preserve">  Acquired intangibles % of spend</t>
  </si>
  <si>
    <t xml:space="preserve">  Intangible amortization life (years)</t>
  </si>
  <si>
    <t xml:space="preserve">  Cumulative acquired intangibles (gross)</t>
  </si>
  <si>
    <t xml:space="preserve">  Amortization of future-acquisition intangibles (within D&amp;A)</t>
  </si>
  <si>
    <t xml:space="preserve">Group Total — AGP &amp; revenues (segment build) → adjusted income from operations (CHRW's primary profit metric)</t>
  </si>
  <si>
    <t xml:space="preserve">GROUP TOTAL &amp; FY26 OUTLOOK CALIBRATION</t>
  </si>
  <si>
    <t xml:space="preserve">  AGP not split by segment (to 2013 &amp; 2014 quarters; pre-segment reporting)</t>
  </si>
  <si>
    <t xml:space="preserve">  Revenues not split by segment (to 2013 &amp; 2014 quarters)</t>
  </si>
  <si>
    <t xml:space="preserve">Adjusted gross profit (segment build)</t>
  </si>
  <si>
    <t xml:space="preserve">Revenues (segment build)</t>
  </si>
  <si>
    <t xml:space="preserve">  Check: segment build vs consolidated AGP (should be 0)</t>
  </si>
  <si>
    <t xml:space="preserve">  Check: segment build vs consolidated revenues (should be 0)</t>
  </si>
  <si>
    <t xml:space="preserve">  Memo: AGP — CHRW legacy ex future M&amp;A</t>
  </si>
  <si>
    <t xml:space="preserve">  Memo: FY26 adjusted income from operations target — scenario end-point</t>
  </si>
  <si>
    <t xml:space="preserve">CHRW 2026 operating income target $964m–$1.04bn, "excluding restructuring and other charges" (Q2-26 earnings deck, slide 17; 8-K 29-Jul-26 Ex. 99.2). High / mid / low by scenario.</t>
  </si>
  <si>
    <t xml:space="preserve">  AGP before outlook calibration (Q3/Q4-26E helper)</t>
  </si>
  <si>
    <t xml:space="preserve">  AGP sensitivity to +1.00 of AGP-per-shipment growth (Q3/Q4-26E helper)</t>
  </si>
  <si>
    <t xml:space="preserve">  Adjusted operating expenses, ex adjusting items (Q3/Q4-26E helper)</t>
  </si>
  <si>
    <t xml:space="preserve">  Outlook calibration: Δ AGP-per-shipment / growth applied to all segments (Q3/Q4-26E)</t>
  </si>
  <si>
    <t xml:space="preserve">Solves the common Δ to NAST / GF AGP-per-shipment growth and All Other AGP growth in Q3/Q4-26E so that FY26 adjusted income from operations hits the scenario end-point of the company target. Opex in Q3/Q4-26E = prior-year quarter × 1H/26 y/y change (personnel +1.1%, other SG&amp;A −4.8%).</t>
  </si>
  <si>
    <t xml:space="preserve">  Check: FY26 adjusted income from operations vs target end-point (should be 0)</t>
  </si>
  <si>
    <t xml:space="preserve">Operating expense drivers — headcount, Lean AI productivity, cost per head, other SG&amp;A &amp; D&amp;A</t>
  </si>
  <si>
    <t xml:space="preserve">OPEX DRIVERS — modelling logic</t>
  </si>
  <si>
    <t xml:space="preserve">  Average employee headcount (consolidated)</t>
  </si>
  <si>
    <t xml:space="preserve">Segment-table average headcount (consolidated). Q3/26E–Q4/26E: prior-year quarter × (1 + Q2/26 y/y, −10.8%). 2027E+: prior year × (1 + AGP-weighted volume growth) ÷ (1 + productivity) — Lean AI decouples headcount from volume.</t>
  </si>
  <si>
    <t xml:space="preserve">  Headcount y/y %</t>
  </si>
  <si>
    <t xml:space="preserve">  AGP-weighted volume growth y/y % (NAST, GF; All Other at AGP growth)</t>
  </si>
  <si>
    <t xml:space="preserve">  Productivity — volume per employee y/y % (Lean AI)</t>
  </si>
  <si>
    <t xml:space="preserve">Company: NAST &amp; GF productivity +15% or more y/y in Q2/26 and &gt;60% since end-2022 (shipments per person per day). 2027E+: scenario lever PROD (fading as automation matures).</t>
  </si>
  <si>
    <t xml:space="preserve">  Personnel expense per average employee ($000, annualised; incl. incentive comp &amp; restructuring)</t>
  </si>
  <si>
    <t xml:space="preserve">2026E column shown ex restructuring (FY26 restructuring ~$54m) so the 2027E+ base excludes one-off severance; 2027E+ = prior year × (1 + growth).</t>
  </si>
  <si>
    <t xml:space="preserve">  Cost per employee growth y/y %</t>
  </si>
  <si>
    <t xml:space="preserve">Wage inflation + incentive compensation leverage; 2027E+ input 4%.</t>
  </si>
  <si>
    <t xml:space="preserve">  Other SG&amp;A % of AGP (incl. D&amp;A; ex acquired-business opex)</t>
  </si>
  <si>
    <t xml:space="preserve">FY25 20.7%, 1H/26 19.7%. 2027E+: scenario lever OSGA (cost reduction / avoidance vs inflation; deck slide 17: ~$100m cost reduction in 2026).</t>
  </si>
  <si>
    <t xml:space="preserve">  D&amp;A % of AGP</t>
  </si>
  <si>
    <t xml:space="preserve">  Stock-based compensation % of AGP</t>
  </si>
  <si>
    <t xml:space="preserve">  Direct internally developed software amortization % of AGP</t>
  </si>
  <si>
    <t xml:space="preserve">CONSOLIDATED STATEMENT OF INCOME (US GAAP; as reported)</t>
  </si>
  <si>
    <t xml:space="preserve">Total revenues</t>
  </si>
  <si>
    <t xml:space="preserve">Forecast = segment build. ASC 606 from 2018 (revenue recognised over time in transit; contract assets).</t>
  </si>
  <si>
    <t xml:space="preserve">  of which: transportation</t>
  </si>
  <si>
    <t xml:space="preserve">  of which: sourcing (Robinson Fresh)</t>
  </si>
  <si>
    <t xml:space="preserve">  of which: payment / information services (T-Chek; divested Nov-2012)</t>
  </si>
  <si>
    <t xml:space="preserve">  Purchased transportation &amp; related services</t>
  </si>
  <si>
    <t xml:space="preserve">2006–2008 not presented on the face: derived as transportation revenues − transportation gross profits.</t>
  </si>
  <si>
    <t xml:space="preserve">  Purchased products sourced for resale</t>
  </si>
  <si>
    <t xml:space="preserve">  Purchased payment services (2012–14)</t>
  </si>
  <si>
    <t xml:space="preserve">  Total purchased services &amp; products (direct costs ex software amortization)</t>
  </si>
  <si>
    <t xml:space="preserve">Adjusted gross profit (AGP = revenues − purchased services &amp; products)</t>
  </si>
  <si>
    <t xml:space="preserve">Non-GAAP (company): AGP = GAAP gross profit + direct internally developed software amortization. Equals "net revenues" (2009–18) / "gross profits" (to 2008).</t>
  </si>
  <si>
    <t xml:space="preserve">  Direct internally developed software amortization (in direct costs; 2022+ presentation)</t>
  </si>
  <si>
    <t xml:space="preserve">Gross profit (GAAP; presented from Q1/23 with 2022 comparatives; = AGP before 2022)</t>
  </si>
  <si>
    <t xml:space="preserve">Personnel expenses (incl. severance &amp; restructuring)</t>
  </si>
  <si>
    <t xml:space="preserve">Q3/26E–Q4/26E: prior-year quarter × 1H/26 y/y change. 2027E+: average headcount × cost per employee (+ any restructuring input).</t>
  </si>
  <si>
    <t xml:space="preserve">Other selling, general &amp; administrative expenses (incl. D&amp;A)</t>
  </si>
  <si>
    <t xml:space="preserve">  Total operating expenses</t>
  </si>
  <si>
    <t xml:space="preserve">Income from operations</t>
  </si>
  <si>
    <t xml:space="preserve">  Check: income from operations vs reported (should be 0)</t>
  </si>
  <si>
    <t xml:space="preserve">  Memo: income from operations as reported</t>
  </si>
  <si>
    <t xml:space="preserve">Interest &amp; other income / (expense), net (expense = −; incl. FX revaluation)</t>
  </si>
  <si>
    <t xml:space="preserve">Q3/26E–Q4/26E: Q2/26 run-rate. 2027E+: −interest expense (debt schedule) + interest income on cash + other (FX, NQDC; input 0). 2012 includes the $281.6m T-Chek divestiture gain.</t>
  </si>
  <si>
    <t xml:space="preserve">  Memo: interest expense (release narrative, Q2/20+; 2027E+ debt schedule)</t>
  </si>
  <si>
    <t xml:space="preserve">  Memo: interest income on cash (2027E+)</t>
  </si>
  <si>
    <t xml:space="preserve">  Memo: other non-operating items, FX &amp; other (derived = total + interest expense)</t>
  </si>
  <si>
    <t xml:space="preserve">Income before provision for income taxes</t>
  </si>
  <si>
    <t xml:space="preserve">Provision for income taxes</t>
  </si>
  <si>
    <t xml:space="preserve">  Effective tax rate</t>
  </si>
  <si>
    <t xml:space="preserve">FY26 guidance 18–20% (Q2-26 release); Q3/Q4-26E rate solves for the scenario FY rate given 1H/26 actual (17.4%). 2027E+: 20% (stock-comp windfall benefits keep the rate below 21% statutory + state).</t>
  </si>
  <si>
    <t xml:space="preserve">Net income</t>
  </si>
  <si>
    <t xml:space="preserve">  Check: net income vs reported (should be 0)</t>
  </si>
  <si>
    <t xml:space="preserve">  Memo: net income as reported</t>
  </si>
  <si>
    <t xml:space="preserve">  Memo: depreciation &amp; amortization (total; cash-flow statement)</t>
  </si>
  <si>
    <t xml:space="preserve">  Memo: stock-based compensation</t>
  </si>
  <si>
    <t xml:space="preserve">(Earnings per share)</t>
  </si>
  <si>
    <t xml:space="preserve">  Weighted-average basic shares (m)</t>
  </si>
  <si>
    <t xml:space="preserve">Q3/26E–Q4/26E: Q2/26 basic WASO less 2H/26 repurchases (time-weighted). 2027E+: average of beginning / ending shares (buyback schedule).</t>
  </si>
  <si>
    <t xml:space="preserve">  Weighted-average diluted shares (m)</t>
  </si>
  <si>
    <t xml:space="preserve">EPS – basic ($)</t>
  </si>
  <si>
    <t xml:space="preserve">EPS – diluted ($)</t>
  </si>
  <si>
    <t xml:space="preserve">  EPS – diluted y/y %</t>
  </si>
  <si>
    <t xml:space="preserve">  Memo: EPS – diluted as reported ($)</t>
  </si>
  <si>
    <t xml:space="preserve">  Dividends declared per share ($)</t>
  </si>
  <si>
    <t xml:space="preserve">Quarterly $0.63 since Q1/26 (XBRL us-gaap:CommonStockDividendsPerShareDeclared; Q4 = FY − 9M). 26 consecutive years of increases.</t>
  </si>
  <si>
    <t xml:space="preserve">  Dividend per share growth %</t>
  </si>
  <si>
    <t xml:space="preserve">RECONCILIATION: GAAP GROSS PROFIT → ADJUSTED GROSS PROFIT (company non-GAAP definition)</t>
  </si>
  <si>
    <t xml:space="preserve">Gross profit (GAAP)</t>
  </si>
  <si>
    <t xml:space="preserve">  (+) Direct internally developed software amortization</t>
  </si>
  <si>
    <t xml:space="preserve">  = Adjusted gross profit (model)</t>
  </si>
  <si>
    <t xml:space="preserve">  Memo: gross profit (GAAP) as reported (Q1/22+)</t>
  </si>
  <si>
    <t xml:space="preserve">  Company-published AGP ("gross profits" to 2008; "net revenues" 2009–18; AGP from 2019)</t>
  </si>
  <si>
    <t xml:space="preserve">  Check: model AGP vs company-published (should be 0)</t>
  </si>
  <si>
    <t xml:space="preserve">  Check: model GAAP gross profit vs reported (should be 0)</t>
  </si>
  <si>
    <t xml:space="preserve">RECONCILIATION: INCOME FROM OPERATIONS → ADJUSTED INCOME FROM OPERATIONS (company definition from Q2/22; model bridge earlier)</t>
  </si>
  <si>
    <t xml:space="preserve">Income from operations (GAAP)</t>
  </si>
  <si>
    <t xml:space="preserve">  (+) Restructuring &amp; related costs (severance, other personnel, SG&amp;A incl. Q1/25 lease impairment)</t>
  </si>
  <si>
    <t xml:space="preserve">  (+) Loss / (gain) on divestiture &amp; disposal group (Europe Surface Transportation, 2023–25)</t>
  </si>
  <si>
    <t xml:space="preserve">  (−) Gain on sale of property (Q3/19 Chicago office — model item; Q2/22 Kansas City property — company item)</t>
  </si>
  <si>
    <t xml:space="preserve">  (+/−) Other company-defined items / definitional differences (plug to published)</t>
  </si>
  <si>
    <t xml:space="preserve">  Total adjusting items (operating)</t>
  </si>
  <si>
    <t xml:space="preserve">  = Adjusted income from operations (model)</t>
  </si>
  <si>
    <t xml:space="preserve">  Adjusted operating margin % of AGP (company KPI; mid-cycle target mid-30s)</t>
  </si>
  <si>
    <t xml:space="preserve">  Company-published adjusted income from operations</t>
  </si>
  <si>
    <t xml:space="preserve">  Check: model bridge vs company-published (should be 0)</t>
  </si>
  <si>
    <t xml:space="preserve">RECONCILIATION: NET INCOME → EBITDA → ADJUSTED EBITDA (model definition; CHRW reports adjusted operating income, not EBITDA)</t>
  </si>
  <si>
    <t xml:space="preserve">Net income (GAAP)</t>
  </si>
  <si>
    <t xml:space="preserve">  (+) Interest &amp; other expense, net (incl. FX; = − reported line)</t>
  </si>
  <si>
    <t xml:space="preserve">  (+) Provision for income taxes</t>
  </si>
  <si>
    <t xml:space="preserve">  (+) Depreciation &amp; amortization</t>
  </si>
  <si>
    <t xml:space="preserve">  = EBITDA</t>
  </si>
  <si>
    <t xml:space="preserve">  (+) Operating adjusting items (as in the operating bridge)</t>
  </si>
  <si>
    <t xml:space="preserve">  = Adjusted EBITDA (model)</t>
  </si>
  <si>
    <t xml:space="preserve">Non-operating items (2012 T-Chek gain, FX losses on divested operations) sit in "interest &amp; other" and are already excluded by the EBITDA add-back. Stock-based compensation is expensed (not added back).</t>
  </si>
  <si>
    <t xml:space="preserve">  Adjusted EBITDA margin % of AGP</t>
  </si>
  <si>
    <t xml:space="preserve">  Adjusted EBITDA margin % of revenues</t>
  </si>
  <si>
    <t xml:space="preserve">  Check: adjusted EBITDA − D&amp;A = adjusted income from operations (should be 0)</t>
  </si>
  <si>
    <t xml:space="preserve">To adjusted EBIT:</t>
  </si>
  <si>
    <t xml:space="preserve">  (−) D&amp;A</t>
  </si>
  <si>
    <t xml:space="preserve">  = Adjusted EBIT (model; = adjusted income from operations)</t>
  </si>
  <si>
    <t xml:space="preserve">  Adjusted EBIT margin % of revenues</t>
  </si>
  <si>
    <t xml:space="preserve">RECONCILIATION: GAAP NET INCOME / DILUTED EPS → ADJUSTED NET INCOME / ADJUSTED DILUTED EPS (company definition from Q2/22)</t>
  </si>
  <si>
    <t xml:space="preserve">  (+) Operating adjusting items, pre-tax (as in the operating bridge)</t>
  </si>
  <si>
    <t xml:space="preserve">  (+/−) Non-operating items, pre-tax (2012 T-Chek divestiture gain; FX losses on divested operations 2022–23)</t>
  </si>
  <si>
    <t xml:space="preserve">  Tax rate applied to adjustments</t>
  </si>
  <si>
    <t xml:space="preserve">  (−) Income tax effect of adjusting items (company-published where available, incl. Q4/23 tax settlement)</t>
  </si>
  <si>
    <t xml:space="preserve">  (+/−) Other company-defined items &amp; rounding (plug to published adjusted net income)</t>
  </si>
  <si>
    <t xml:space="preserve">  = Adjusted net income (model)</t>
  </si>
  <si>
    <t xml:space="preserve">Adjusted EPS – diluted ($) (model)</t>
  </si>
  <si>
    <t xml:space="preserve">  Company-published adjusted net income</t>
  </si>
  <si>
    <t xml:space="preserve">  Company-published adjusted diluted EPS ($)</t>
  </si>
  <si>
    <t xml:space="preserve">  Check: model vs company-published adjusted EPS (should be 0.00; ±0.01 per-share rounding)</t>
  </si>
  <si>
    <t xml:space="preserve">  Check: model vs company-published adjusted net income (should be 0)</t>
  </si>
  <si>
    <t xml:space="preserve">GROWTH &amp; MARGINS</t>
  </si>
  <si>
    <t xml:space="preserve">  NAST volume y/y % (truckload + LTL)</t>
  </si>
  <si>
    <t xml:space="preserve">  NAST AGP per shipment y/y %</t>
  </si>
  <si>
    <t xml:space="preserve">  Adjusted income from operations y/y %</t>
  </si>
  <si>
    <t xml:space="preserve">  Income from operations (GAAP) y/y %</t>
  </si>
  <si>
    <t xml:space="preserve">  Net income y/y %</t>
  </si>
  <si>
    <t xml:space="preserve">  Adjusted EPS y/y %</t>
  </si>
  <si>
    <t xml:space="preserve">  Adjusted operating margin % of AGP</t>
  </si>
  <si>
    <t xml:space="preserve">  Incremental adjusted operating margin (Δ adj. op. income / Δ AGP)</t>
  </si>
  <si>
    <t xml:space="preserve">  Operating margin (GAAP) % of revenues</t>
  </si>
  <si>
    <t xml:space="preserve">  Operating margin (GAAP) % of AGP</t>
  </si>
  <si>
    <t xml:space="preserve">  Net margin % of revenues</t>
  </si>
  <si>
    <t xml:space="preserve">  Personnel expenses % of AGP</t>
  </si>
  <si>
    <t xml:space="preserve">  Other SG&amp;A % of AGP</t>
  </si>
  <si>
    <t xml:space="preserve">  Average headcount y/y %</t>
  </si>
  <si>
    <t xml:space="preserve">CONSOLIDATED STATEMENT OF CASH FLOWS (quarters = YTD less prior YTD; forecast annual)</t>
  </si>
  <si>
    <t xml:space="preserve">Adjustments:</t>
  </si>
  <si>
    <t xml:space="preserve">  Depreciation &amp; amortization</t>
  </si>
  <si>
    <t xml:space="preserve">  Stock-based compensation</t>
  </si>
  <si>
    <t xml:space="preserve">  Deferred income taxes</t>
  </si>
  <si>
    <t xml:space="preserve">  Other non-cash items, net (provision for credit losses, excess tax benefit &amp; other)</t>
  </si>
  <si>
    <t xml:space="preserve">  Changes in operating assets &amp; liabilities, net (derived)</t>
  </si>
  <si>
    <t xml:space="preserve">Forecast: −Δ receivables − Δ contract assets + Δ payables + Δ accrued compensation + Δ accrued transportation (DSO / DPO drivers below). Freight-rate inflation consumes working capital (Q2/26: receivables +$704m YTD).</t>
  </si>
  <si>
    <t xml:space="preserve">Net cash provided by operating activities</t>
  </si>
  <si>
    <t xml:space="preserve">Purchases of property &amp; equipment</t>
  </si>
  <si>
    <t xml:space="preserve">Purchases &amp; development of software</t>
  </si>
  <si>
    <t xml:space="preserve">Acquisitions, net of cash acquired</t>
  </si>
  <si>
    <t xml:space="preserve">Proceeds from divestitures</t>
  </si>
  <si>
    <t xml:space="preserve">Other investing activities, net (derived; incl. AFS securities to 2011, property sales)</t>
  </si>
  <si>
    <t xml:space="preserve">Net cash used for investing activities</t>
  </si>
  <si>
    <t xml:space="preserve">Proceeds from stock issued for employee benefit plans (2018+; netted in repurchases earlier)</t>
  </si>
  <si>
    <t xml:space="preserve">Repurchases of common stock (incl. shares tendered for withholding taxes)</t>
  </si>
  <si>
    <t xml:space="preserve">Cash dividends</t>
  </si>
  <si>
    <t xml:space="preserve">2027E+: DPS × beginning shares outstanding (avoids circularity with the buyback plug).</t>
  </si>
  <si>
    <t xml:space="preserve">Net borrowings / (repayments) &amp; other financing (derived)</t>
  </si>
  <si>
    <t xml:space="preserve">Net cash provided by (used for) financing activities</t>
  </si>
  <si>
    <t xml:space="preserve">Effect of exchange rates on cash</t>
  </si>
  <si>
    <t xml:space="preserve">  Change in cash classified within assets held for sale (derived; 2023–25)</t>
  </si>
  <si>
    <t xml:space="preserve">Net increase (decrease) in cash</t>
  </si>
  <si>
    <t xml:space="preserve">Cash — beginning of period</t>
  </si>
  <si>
    <t xml:space="preserve">Cash — end of period</t>
  </si>
  <si>
    <t xml:space="preserve">  Check: CFO + CFI + CFF + FX + held-for-sale = change in cash (should be 0)</t>
  </si>
  <si>
    <t xml:space="preserve">(Memo)</t>
  </si>
  <si>
    <t xml:space="preserve">Free cash flow (operating cash flow − capex incl. software)</t>
  </si>
  <si>
    <t xml:space="preserve">  FCF y/y %</t>
  </si>
  <si>
    <t xml:space="preserve">  FCF % of AGP</t>
  </si>
  <si>
    <t xml:space="preserve">  FCF / adjusted net income conversion %</t>
  </si>
  <si>
    <t xml:space="preserve">  FCF per diluted share ($)</t>
  </si>
  <si>
    <t xml:space="preserve">Capex ratios</t>
  </si>
  <si>
    <t xml:space="preserve">  Capex (PP&amp;E + software) % of AGP</t>
  </si>
  <si>
    <t xml:space="preserve">FY26 guidance $65–75m (Q2-26 release, cut from $75–85m). 2027E+: 2.5% of AGP.</t>
  </si>
  <si>
    <t xml:space="preserve">  Software share of capex %</t>
  </si>
  <si>
    <t xml:space="preserve">  Capex / D&amp;A (x)</t>
  </si>
  <si>
    <t xml:space="preserve">CONSOLIDATED BALANCE SHEET</t>
  </si>
  <si>
    <t xml:space="preserve">ASSETS</t>
  </si>
  <si>
    <t xml:space="preserve">  Cash &amp; cash equivalents</t>
  </si>
  <si>
    <t xml:space="preserve">  Available-for-sale securities (to 2011)</t>
  </si>
  <si>
    <t xml:space="preserve">  Receivables, net of allowance</t>
  </si>
  <si>
    <t xml:space="preserve">  Contract assets (ASC 606; 2018+)</t>
  </si>
  <si>
    <t xml:space="preserve">  Prepaid expenses &amp; other (incl. current assets held for sale)</t>
  </si>
  <si>
    <t xml:space="preserve">Forecast: prior year less other non-cash items, divestiture proceeds &amp; other investing (keeps the balance sheet closed when 1H/26 actuals are carried in 2026E).</t>
  </si>
  <si>
    <t xml:space="preserve">Total current assets</t>
  </si>
  <si>
    <t xml:space="preserve">  Property &amp; equipment, net</t>
  </si>
  <si>
    <t xml:space="preserve">  Right-of-use lease assets (2019+)</t>
  </si>
  <si>
    <t xml:space="preserve">  Goodwill (XBRL, 2008+)</t>
  </si>
  <si>
    <t xml:space="preserve">  Other intangibles, capitalized software &amp; other assets (derived)</t>
  </si>
  <si>
    <t xml:space="preserve">TOTAL ASSETS</t>
  </si>
  <si>
    <t xml:space="preserve">LIABILITIES AND STOCKHOLDERS' INVESTMENT</t>
  </si>
  <si>
    <t xml:space="preserve">  Accounts payable &amp; outstanding checks</t>
  </si>
  <si>
    <t xml:space="preserve">  Accrued compensation</t>
  </si>
  <si>
    <t xml:space="preserve">  Accrued transportation expense (2018+)</t>
  </si>
  <si>
    <t xml:space="preserve">  Accrued income taxes</t>
  </si>
  <si>
    <t xml:space="preserve">  Other accrued liabilities (incl. liabilities held for sale)</t>
  </si>
  <si>
    <t xml:space="preserve">  Current lease liabilities</t>
  </si>
  <si>
    <t xml:space="preserve">  Current portion of debt / short-term borrowings</t>
  </si>
  <si>
    <t xml:space="preserve">Forecast: all debt shown as long-term (2028 note maturities assumed refinanced; facilities revolving).</t>
  </si>
  <si>
    <t xml:space="preserve">Total current liabilities</t>
  </si>
  <si>
    <t xml:space="preserve">  Long-term debt</t>
  </si>
  <si>
    <t xml:space="preserve">  Noncurrent lease liabilities</t>
  </si>
  <si>
    <t xml:space="preserve">  Noncurrent income taxes payable</t>
  </si>
  <si>
    <t xml:space="preserve">  Deferred tax liabilities</t>
  </si>
  <si>
    <t xml:space="preserve">  Other long-term liabilities (incl. nonqualified deferred compensation)</t>
  </si>
  <si>
    <t xml:space="preserve">Total liabilities</t>
  </si>
  <si>
    <t xml:space="preserve">Stockholders' investment:</t>
  </si>
  <si>
    <t xml:space="preserve">  Common stock, APIC &amp; treasury stock (net; derived = total − retained earnings − AOCI)</t>
  </si>
  <si>
    <t xml:space="preserve">  Retained earnings (XBRL, 2008+)</t>
  </si>
  <si>
    <t xml:space="preserve">  Accumulated other comprehensive loss (XBRL, 2008+)</t>
  </si>
  <si>
    <t xml:space="preserve">Total stockholders' investment</t>
  </si>
  <si>
    <t xml:space="preserve">TOTAL LIABILITIES AND STOCKHOLDERS' INVESTMENT</t>
  </si>
  <si>
    <t xml:space="preserve">BS tie-out check (TA − TL&amp;E)</t>
  </si>
  <si>
    <t xml:space="preserve">  Check: model total assets vs reported (should be 0)</t>
  </si>
  <si>
    <t xml:space="preserve">  Check: model total liabilities vs reported (should be 0)</t>
  </si>
  <si>
    <t xml:space="preserve">  Check: BS cash vs cash-flow ending cash (should be 0)</t>
  </si>
  <si>
    <t xml:space="preserve">  Memo: total assets as reported</t>
  </si>
  <si>
    <t xml:space="preserve">  Memo: total liabilities as reported</t>
  </si>
  <si>
    <t xml:space="preserve">  Memo: total stockholders' investment as reported</t>
  </si>
  <si>
    <t xml:space="preserve">  Memo: intangible &amp; other assets as reported (incl. goodwill)</t>
  </si>
  <si>
    <t xml:space="preserve">  Memo: common shares outstanding at period end (m; XBRL)</t>
  </si>
  <si>
    <t xml:space="preserve">  Memo: employees at period end</t>
  </si>
  <si>
    <t xml:space="preserve">WORKING CAPITAL &amp; CASH CONVERSION</t>
  </si>
  <si>
    <t xml:space="preserve">  DSO — (receivables + contract assets) / revenues × 365 (quarters annualised)</t>
  </si>
  <si>
    <t xml:space="preserve">YE25 56.6 days; Q2/26 61 days (freight-rate spike). 2026E 57, 2027E+ 56.</t>
  </si>
  <si>
    <t xml:space="preserve">  Payable days — AP / purchased services &amp; products × 365</t>
  </si>
  <si>
    <t xml:space="preserve">  Contract assets % of revenues (annualised)</t>
  </si>
  <si>
    <t xml:space="preserve">  Accrued compensation % of AGP (annualised)</t>
  </si>
  <si>
    <t xml:space="preserve">  Accrued transportation % of revenues (annualised)</t>
  </si>
  <si>
    <t xml:space="preserve">  Net operating working capital (receivables + contract assets − AP − accrued transportation)</t>
  </si>
  <si>
    <t xml:space="preserve">  NWC % of revenues (annualised)</t>
  </si>
  <si>
    <t xml:space="preserve">  ΔNWC y/y</t>
  </si>
  <si>
    <t xml:space="preserve">BALANCE SHEET &amp; CAPITAL ALLOCATION FORECAST SCHEDULES</t>
  </si>
  <si>
    <t xml:space="preserve">Asset roll-forwards, financing inputs &amp; non-cash items</t>
  </si>
  <si>
    <t xml:space="preserve">  Depreciation of property &amp; equipment % of total D&amp;A</t>
  </si>
  <si>
    <t xml:space="preserve">Balance of D&amp;A = amortization of capitalized software &amp; acquired intangibles (in "other intangibles &amp; other assets").</t>
  </si>
  <si>
    <t xml:space="preserve">  Goodwill % of acquisition spend</t>
  </si>
  <si>
    <t xml:space="preserve">  Proceeds from stock issued for employee plans ($m)</t>
  </si>
  <si>
    <t xml:space="preserve">  Shares tendered for withholding taxes ($m, cash)</t>
  </si>
  <si>
    <t xml:space="preserve">  Dilutive securities (m shares)</t>
  </si>
  <si>
    <t xml:space="preserve">  Share-price appreciation % (buyback pricing)</t>
  </si>
  <si>
    <t xml:space="preserve">Debt schedule (senior notes + prepayable revolver / receivables securitization to a minimum cash balance)</t>
  </si>
  <si>
    <t xml:space="preserve">  Total debt (current + long-term)</t>
  </si>
  <si>
    <t xml:space="preserve">  Scheduled senior note maturities (input, negative)</t>
  </si>
  <si>
    <t xml:space="preserve">$600m 4.20% senior notes due Apr-2028 and $150m 4.26% Series B due Aug-2028; $175m 4.60% Series C due Aug-2033 (10-Q Q2/26, Financing Arrangements).</t>
  </si>
  <si>
    <t xml:space="preserve">  % of scheduled maturities refinanced (input)</t>
  </si>
  <si>
    <t xml:space="preserve">  Refinancing issuance</t>
  </si>
  <si>
    <t xml:space="preserve">  Senior notes outstanding (face, period end)</t>
  </si>
  <si>
    <t xml:space="preserve">  Blended coupon on senior notes % (2028 refinancing at ~5.0%)</t>
  </si>
  <si>
    <t xml:space="preserve">  Cash before prepayable facilities (opening cash + CFO + CFI + non-facility financing)</t>
  </si>
  <si>
    <t xml:space="preserve">  Minimum cash balance</t>
  </si>
  <si>
    <t xml:space="preserve">  Prepayable facilities outstanding: revolver ($1bn, Nov-27) &amp; receivables securitization ($500m, Aug-27)</t>
  </si>
  <si>
    <t xml:space="preserve">  Net issuance / (repayment)</t>
  </si>
  <si>
    <t xml:space="preserve">  Interest rate on prepayable facilities % (Term SOFR + 0.9–1.1%)</t>
  </si>
  <si>
    <t xml:space="preserve">  Interest income yield on opening cash %</t>
  </si>
  <si>
    <t xml:space="preserve">Leverage-targeted buybacks (repurchases plug to a minimum net debt / adjusted EBITDA)</t>
  </si>
  <si>
    <t xml:space="preserve">  Minimum net debt / adjusted EBITDA (x) (scenario)</t>
  </si>
  <si>
    <t xml:space="preserve">  Net debt before buybacks (period end)</t>
  </si>
  <si>
    <t xml:space="preserve">  Target minimum net debt = min. leverage × adjusted EBITDA</t>
  </si>
  <si>
    <t xml:space="preserve">  Share repurchases: plug to minimum leverage</t>
  </si>
  <si>
    <t xml:space="preserve">SHARE BUYBACK SCHEDULE (2026E column = 2H/26 only)</t>
  </si>
  <si>
    <t xml:space="preserve">  Avg buyback price ($)</t>
  </si>
  <si>
    <t xml:space="preserve">  Buyback cash deployed (ex withholding; 2026E = 2H/26 scenario)</t>
  </si>
  <si>
    <t xml:space="preserve">  Implied shares repurchased (m)</t>
  </si>
  <si>
    <t xml:space="preserve">  Shares issued under equity plans (m)</t>
  </si>
  <si>
    <t xml:space="preserve">  Beginning shares outstanding (m; 2026E = 30-Jun-26)</t>
  </si>
  <si>
    <t xml:space="preserve">  Ending shares outstanding (m)</t>
  </si>
  <si>
    <t xml:space="preserve">Cross-check: RXO merger agreement capitalization rep shows 115.46m CHRW shares outstanding at 30-Sep-26 (178.73m issued − 63.27m treasury).</t>
  </si>
  <si>
    <t xml:space="preserve">  % of shares repurchased</t>
  </si>
  <si>
    <t xml:space="preserve">RATIO ANALYSIS (annual columns)</t>
  </si>
  <si>
    <t xml:space="preserve">DuPont decomposition of ROIC (margin and turnover on AGP)</t>
  </si>
  <si>
    <t xml:space="preserve">Adjusted EBIT (= adjusted income from operations)</t>
  </si>
  <si>
    <t xml:space="preserve">Effective tax rate (actual)</t>
  </si>
  <si>
    <t xml:space="preserve">NOPAT = Adjusted EBIT × (1 − tax rate)</t>
  </si>
  <si>
    <t xml:space="preserve">Invested capital (IC) = Equity + Net debt</t>
  </si>
  <si>
    <t xml:space="preserve">  Total stockholders' investment</t>
  </si>
  <si>
    <t xml:space="preserve">  Net debt = Total debt − Cash (incl. AFS securities to 2011)</t>
  </si>
  <si>
    <t xml:space="preserve">ROIC = NOPAT / IC</t>
  </si>
  <si>
    <t xml:space="preserve">  Margin = Adjusted EBIT / AGP</t>
  </si>
  <si>
    <t xml:space="preserve">  Capital turnover = AGP / IC</t>
  </si>
  <si>
    <t xml:space="preserve">  Tax burden = (1 − effective tax rate)</t>
  </si>
  <si>
    <t xml:space="preserve">  Check: Margin × Turnover × Tax burden = ROIC</t>
  </si>
  <si>
    <t xml:space="preserve">RONTA decomposition</t>
  </si>
  <si>
    <t xml:space="preserve">  Total assets</t>
  </si>
  <si>
    <t xml:space="preserve">  − Goodwill, intangibles, capitalized software &amp; other assets</t>
  </si>
  <si>
    <t xml:space="preserve">  − Non-interest-bearing current liabilities (total CL excl. debt)</t>
  </si>
  <si>
    <t xml:space="preserve">  = Net tangible assets</t>
  </si>
  <si>
    <t xml:space="preserve">RONTA = NOPAT / NTA</t>
  </si>
  <si>
    <t xml:space="preserve">Return on Equity (ROE)</t>
  </si>
  <si>
    <t xml:space="preserve">Stockholders' investment</t>
  </si>
  <si>
    <t xml:space="preserve">ROE = Net income / Equity</t>
  </si>
  <si>
    <t xml:space="preserve">Leverage</t>
  </si>
  <si>
    <t xml:space="preserve">Net debt = Total debt − cash</t>
  </si>
  <si>
    <t xml:space="preserve">Adjusted EBITDA</t>
  </si>
  <si>
    <t xml:space="preserve">Net debt / Adjusted EBITDA (x)</t>
  </si>
  <si>
    <t xml:space="preserve">VALUATION</t>
  </si>
  <si>
    <t xml:space="preserve">Share price ($) — current (reference)</t>
  </si>
  <si>
    <t xml:space="preserve">$151.88 = CHRW 16-day VWAP to 2-Oct-26 used in the RXO merger consideration (joint press release, 8-K 5-Oct-26 Ex. 99.1). Update to market.</t>
  </si>
  <si>
    <t xml:space="preserve">Diluted shares at period end (m)</t>
  </si>
  <si>
    <t xml:space="preserve">Market capitalisation (USDm)</t>
  </si>
  <si>
    <t xml:space="preserve">Net debt (USDm)</t>
  </si>
  <si>
    <t xml:space="preserve">Enterprise value (USDm)</t>
  </si>
  <si>
    <t xml:space="preserve">Multiples</t>
  </si>
  <si>
    <t xml:space="preserve">  EV / Revenues</t>
  </si>
  <si>
    <t xml:space="preserve">  EV / AGP</t>
  </si>
  <si>
    <t xml:space="preserve">  EV / Adjusted EBITDA</t>
  </si>
  <si>
    <t xml:space="preserve">  EV / Adjusted income from operations</t>
  </si>
  <si>
    <t xml:space="preserve">  EV / IC</t>
  </si>
  <si>
    <t xml:space="preserve">  P / E (GAAP diluted)</t>
  </si>
  <si>
    <t xml:space="preserve">  P / E (adjusted EPS)</t>
  </si>
  <si>
    <t xml:space="preserve">  FCF yield</t>
  </si>
  <si>
    <t xml:space="preserve">  Dividend yield</t>
  </si>
  <si>
    <t xml:space="preserve">C.H. Robinson Worldwide (CHRW) — Bull / Base / Bear Case P&amp;L Summary</t>
  </si>
  <si>
    <t xml:space="preserve">Share price ($):</t>
  </si>
  <si>
    <t xml:space="preserve">Adjusted figures (company current definition: adjusted income from operations &amp; adjusted EPS exclude restructuring, divestiture gains/losses and other company-defined items; adjusted EBITDA = model definition). CHRW standalone — RXO acquisition shown on the RXO PF tab. Margins on AGP (company KPI basis).</t>
  </si>
  <si>
    <t xml:space="preserve">As of:</t>
  </si>
  <si>
    <t xml:space="preserve">Scenario:</t>
  </si>
  <si>
    <t xml:space="preserve">Snapshot (values) — Model run with switch = Bull</t>
  </si>
  <si>
    <t xml:space="preserve">Snapshot (values) — Model run with switch = Bear</t>
  </si>
  <si>
    <t xml:space="preserve">(USDm, except EPS and shares)</t>
  </si>
  <si>
    <t xml:space="preserve">2025A</t>
  </si>
  <si>
    <t xml:space="preserve">25-'30 CAGR</t>
  </si>
  <si>
    <t xml:space="preserve">LT Hist Avg</t>
  </si>
  <si>
    <t xml:space="preserve">LT Hist Min</t>
  </si>
  <si>
    <t xml:space="preserve">LT Hist Max</t>
  </si>
  <si>
    <t xml:space="preserve">Revenues</t>
  </si>
  <si>
    <t xml:space="preserve">   Revenues y/y %</t>
  </si>
  <si>
    <t xml:space="preserve">   NAST volume y/y % (truckload + LTL)</t>
  </si>
  <si>
    <t xml:space="preserve">Adjusted gross profit (AGP)</t>
  </si>
  <si>
    <t xml:space="preserve">   AGP y/y %</t>
  </si>
  <si>
    <t xml:space="preserve">Adjusted EBITDA (model definition)</t>
  </si>
  <si>
    <t xml:space="preserve">   Adjusted EBITDA % of AGP</t>
  </si>
  <si>
    <t xml:space="preserve">Income from Operations (GAAP)</t>
  </si>
  <si>
    <t xml:space="preserve">   Income from operations y/y %</t>
  </si>
  <si>
    <t xml:space="preserve">   Operating margin (GAAP) % of AGP</t>
  </si>
  <si>
    <t xml:space="preserve">Adjusted Income from Operations</t>
  </si>
  <si>
    <t xml:space="preserve">   Adjusted operating margin % of AGP</t>
  </si>
  <si>
    <t xml:space="preserve">Adjusted Net Income</t>
  </si>
  <si>
    <t xml:space="preserve">FDSO (m)</t>
  </si>
  <si>
    <t xml:space="preserve">Adjusted EPS — Diluted ($)</t>
  </si>
  <si>
    <t xml:space="preserve">   EPS y/y %</t>
  </si>
  <si>
    <t xml:space="preserve">P / E (x) — assumed (adjusted EPS)</t>
  </si>
  <si>
    <t xml:space="preserve">Price Target ($)</t>
  </si>
  <si>
    <t xml:space="preserve">   Upside / (Downside) vs current</t>
  </si>
  <si>
    <t xml:space="preserve">IRR (to Dec-Y-1)</t>
  </si>
  <si>
    <t xml:space="preserve">Free Cash Flow</t>
  </si>
  <si>
    <t xml:space="preserve">   FCF % of AGP</t>
  </si>
  <si>
    <t xml:space="preserve">   FCF / share ($)</t>
  </si>
  <si>
    <t xml:space="preserve">   FCF Yield (on PT)</t>
  </si>
  <si>
    <t xml:space="preserve">Adjusted EBITDA — leverage basis</t>
  </si>
  <si>
    <t xml:space="preserve">   Adjusted EBITDA % of revenues</t>
  </si>
  <si>
    <t xml:space="preserve">Net Debt</t>
  </si>
  <si>
    <t xml:space="preserve">   Net Debt / Adjusted EBITDA (x)</t>
  </si>
  <si>
    <t xml:space="preserve">ROIC</t>
  </si>
  <si>
    <t xml:space="preserve">RONTA</t>
  </si>
  <si>
    <t xml:space="preserve">Implied Market Cap (USDm)</t>
  </si>
  <si>
    <t xml:space="preserve">(+) Net Debt</t>
  </si>
  <si>
    <t xml:space="preserve">Implied Enterprise Value (USDm)</t>
  </si>
  <si>
    <t xml:space="preserve">Implied EV / Adjusted EBITDA (x)</t>
  </si>
  <si>
    <t xml:space="preserve">DCF VALUATION — C.H. ROBINSON WORLDWIDE (CHRW)</t>
  </si>
  <si>
    <t xml:space="preserve">1. WACC BUILD</t>
  </si>
  <si>
    <t xml:space="preserve">Risk-free rate (US 10Y govt)</t>
  </si>
  <si>
    <t xml:space="preserve">Assumption (~US 10Y Treasury yield); update to market</t>
  </si>
  <si>
    <t xml:space="preserve">Equity risk premium</t>
  </si>
  <si>
    <t xml:space="preserve">US implied ERP ~4.5–5.5% (Damodaran)</t>
  </si>
  <si>
    <t xml:space="preserve">Levered beta</t>
  </si>
  <si>
    <t xml:space="preserve">3PL / brokerage peers (EXPD, LSTR, RXO, JBHT) ~0.9–1.2; asset-light, freight-cycle exposed</t>
  </si>
  <si>
    <t xml:space="preserve">Cost of equity</t>
  </si>
  <si>
    <t xml:space="preserve">Pre-tax cost of debt</t>
  </si>
  <si>
    <t xml:space="preserve">Investment grade (BBB+/Baa1); 4.20% 2028 / 4.60% 2033 notes; marginal cost ~5.0% (RXO acquisition financing)</t>
  </si>
  <si>
    <t xml:space="preserve">Tax rate</t>
  </si>
  <si>
    <t xml:space="preserve">Model 2027E+ effective tax rate</t>
  </si>
  <si>
    <t xml:space="preserve">After-tax cost of debt</t>
  </si>
  <si>
    <t xml:space="preserve">Target D/V</t>
  </si>
  <si>
    <t xml:space="preserve">Net debt ~$1.4bn at YE2026E (standalone) vs ~$17.5bn market cap ($151.88 × ~115m shares); ~1.2x net debt / adjusted EBITDA</t>
  </si>
  <si>
    <t xml:space="preserve">WACC</t>
  </si>
  <si>
    <t xml:space="preserve">Valuation date (live)</t>
  </si>
  <si>
    <t xml:space="preserve">Periods = (Dec-31-Year − today) / 365.25; cash flows assumed at year-end</t>
  </si>
  <si>
    <t xml:space="preserve">2. UNLEVERED FREE CASH FLOW BUILD (USDm)</t>
  </si>
  <si>
    <t xml:space="preserve">2031E</t>
  </si>
  <si>
    <t xml:space="preserve">2032E</t>
  </si>
  <si>
    <t xml:space="preserve">2033E</t>
  </si>
  <si>
    <t xml:space="preserve">2034E</t>
  </si>
  <si>
    <t xml:space="preserve">2035E</t>
  </si>
  <si>
    <t xml:space="preserve">Terminal</t>
  </si>
  <si>
    <t xml:space="preserve">Adjusted EBIT (Model; = adjusted income from operations)</t>
  </si>
  <si>
    <t xml:space="preserve">   y/y %</t>
  </si>
  <si>
    <t xml:space="preserve">(−) Restructuring &amp; other adjusting items (cash; added back in adjusted EBIT)</t>
  </si>
  <si>
    <t xml:space="preserve">× (1 − tax rate)</t>
  </si>
  <si>
    <t xml:space="preserve">NOPAT  =  (Adjusted EBIT − adjusting items) × (1 − t)</t>
  </si>
  <si>
    <t xml:space="preserve">plus depreciation &amp; amortization (incl. software)</t>
  </si>
  <si>
    <t xml:space="preserve">− Capex (PP&amp;E + software) and acquisitions (M&amp;A lever, 2027E+)</t>
  </si>
  <si>
    <t xml:space="preserve">− Δ Working capital (CF statement)</t>
  </si>
  <si>
    <t xml:space="preserve">Unlevered FCF</t>
  </si>
  <si>
    <t xml:space="preserve">Terminal Value (Gordon Growth)</t>
  </si>
  <si>
    <t xml:space="preserve">   memo: capex (PP&amp;E + software) — fade years carry no new acquisitions</t>
  </si>
  <si>
    <t xml:space="preserve">Fade-period growth (2031E–35E)</t>
  </si>
  <si>
    <t xml:space="preserve">Terminal growth rate</t>
  </si>
  <si>
    <t xml:space="preserve">Discount period (years)</t>
  </si>
  <si>
    <t xml:space="preserve">Discount factor</t>
  </si>
  <si>
    <t xml:space="preserve">PV of UFCF</t>
  </si>
  <si>
    <t xml:space="preserve">CHRW expenses stock-based compensation (not added back). Adjusted EBIT adds back restructuring; the cash cost is deducted in row 20. Acquisition spend from the Model M&amp;A lever is deducted 2027E–30E; the fade period and terminal value assume no new acquisitions. Standalone CHRW — the RXO acquisition (announced 5-Oct-26) is not in this DCF; see RXO PF tab.</t>
  </si>
  <si>
    <t xml:space="preserve">Implied ROIC &amp; incremental ROIC (USDm)</t>
  </si>
  <si>
    <t xml:space="preserve">NOPAT (row 22)</t>
  </si>
  <si>
    <t xml:space="preserve">Net investment  =  NOPAT − UFCF</t>
  </si>
  <si>
    <t xml:space="preserve">Opening invested capital</t>
  </si>
  <si>
    <t xml:space="preserve">Closing invested capital</t>
  </si>
  <si>
    <t xml:space="preserve">Implied ROIC  =  NOPAT / opening IC</t>
  </si>
  <si>
    <t xml:space="preserve">Reinvestment rate  =  net inv. / NOPAT</t>
  </si>
  <si>
    <t xml:space="preserve">Incremental ROIC  =  Δ NOPAT / prior-yr net inv.</t>
  </si>
  <si>
    <t xml:space="preserve">Cumulative incremental ROIC 2026E–35E</t>
  </si>
  <si>
    <t xml:space="preserve">Opening IC = Model 2025A book invested capital (equity + net debt), rolled forward with DCF net investment (capex + M&amp;A − D&amp;A + ΔWC).</t>
  </si>
  <si>
    <t xml:space="preserve">3. VALUATION SUMMARY</t>
  </si>
  <si>
    <t xml:space="preserve">Sum of PV (explicit + fade)</t>
  </si>
  <si>
    <t xml:space="preserve">PV of Terminal Value</t>
  </si>
  <si>
    <t xml:space="preserve">Enterprise Value</t>
  </si>
  <si>
    <t xml:space="preserve">Less: net debt (Model 2026E YE, standalone)</t>
  </si>
  <si>
    <t xml:space="preserve">Less: non-controlling interests (none)</t>
  </si>
  <si>
    <t xml:space="preserve">Equity Value</t>
  </si>
  <si>
    <t xml:space="preserve">Diluted shares (m, Model 2026E period end)</t>
  </si>
  <si>
    <t xml:space="preserve">Implied share price ($)</t>
  </si>
  <si>
    <t xml:space="preserve">Current share price ($)</t>
  </si>
  <si>
    <t xml:space="preserve">Implied upside / (downside)</t>
  </si>
  <si>
    <t xml:space="preserve">Required discount to DCF value for target IRR (discount closes over N years)</t>
  </si>
  <si>
    <t xml:space="preserve">Target IRR</t>
  </si>
  <si>
    <t xml:space="preserve">Max entry price for target IRR ($) — % vs. current share price</t>
  </si>
  <si>
    <t xml:space="preserve">Years for discount to close</t>
  </si>
  <si>
    <t xml:space="preserve">4. SENSITIVITY: IMPLIED PRICE ($) — WACC × Terminal Growth</t>
  </si>
  <si>
    <t xml:space="preserve">WACC step (across)</t>
  </si>
  <si>
    <t xml:space="preserve">Terminal growth step (down)</t>
  </si>
  <si>
    <t xml:space="preserve">g (down) / WACC</t>
  </si>
  <si>
    <t xml:space="preserve">5. REVERSE DCF</t>
  </si>
  <si>
    <t xml:space="preserve">To solve for the market-implied path: Data ▸ What-If Analysis ▸ Goal Seek — set C57 (implied price) to the current price (C58) by changing C32 (terminal growth) or the Model scenario levers (NAST volume / AGP per shipment, GF volume / yield, Lean AI productivity, other SG&amp;A % of AGP, M&amp;A spend).</t>
  </si>
  <si>
    <t xml:space="preserve">6. MAUBOUSSIN EV / NOPAT — TWO-STAGE FRAMEWORK</t>
  </si>
  <si>
    <t xml:space="preserve">EV/NOPAT  =  1/r  +  [g × (1 − r/ROIIC) / (r × (r − g))] × [1 − ((1+g)/(1+r))^N]</t>
  </si>
  <si>
    <t xml:space="preserve">Formula source: Mauboussin &amp; Rappaport, "Expectations Investing" (2021); Counterpoint Global, "What Does a Price-Earnings Multiple Mean?" (2020).</t>
  </si>
  <si>
    <t xml:space="preserve">Input</t>
  </si>
  <si>
    <t xml:space="preserve">Value</t>
  </si>
  <si>
    <t xml:space="preserve">Rationale (C.H. Robinson characteristics)</t>
  </si>
  <si>
    <t xml:space="preserve">r  (Cost of capital / WACC)</t>
  </si>
  <si>
    <t xml:space="preserve">Linked from Section 1 WACC build</t>
  </si>
  <si>
    <t xml:space="preserve">g  (NOPAT growth, Stage 1)</t>
  </si>
  <si>
    <t xml:space="preserve">Model adjusted EBIT CAGR 2026–30E (~9%): NAST share gains + AGP-per-shipment recovery, Lean AI operating leverage; buybacks add to EPS, not NOPAT</t>
  </si>
  <si>
    <t xml:space="preserve">ROIIC  (Return on incremental invested capital)</t>
  </si>
  <si>
    <t xml:space="preserve">Asset-light brokerage: capex ~2.5% of AGP and working capital the main investment; ROIC 20–33% through the cycle (2019–25)</t>
  </si>
  <si>
    <t xml:space="preserve">N  (Years of value creation / CAP)</t>
  </si>
  <si>
    <t xml:space="preserve">Scale network (450k carriers, 37m shipments), proprietary data &amp; AI agents vs. digital-broker disruption risk and cyclical freight markets</t>
  </si>
  <si>
    <t xml:space="preserve">Calculation</t>
  </si>
  <si>
    <t xml:space="preserve">Steady-state component:  1 / r</t>
  </si>
  <si>
    <t xml:space="preserve">Value-creation factor: 1 − r / ROIIC</t>
  </si>
  <si>
    <t xml:space="preserve">Growth multiplier: g × (1 − r/ROIIC) / (r × (r − g))</t>
  </si>
  <si>
    <t xml:space="preserve">Time decay: 1 − ((1+g)/(1+r))^N</t>
  </si>
  <si>
    <t xml:space="preserve">PVGO component (growth value)</t>
  </si>
  <si>
    <t xml:space="preserve">Mauboussin EV / NOPAT (steady-state + PVGO)</t>
  </si>
  <si>
    <t xml:space="preserve">VALUATION  —  Applied to 2028E NOPAT</t>
  </si>
  <si>
    <t xml:space="preserve">USDm</t>
  </si>
  <si>
    <t xml:space="preserve">2028E Adjusted EBIT (Model)</t>
  </si>
  <si>
    <t xml:space="preserve">(−) 2028E restructuring &amp; other adjusting items</t>
  </si>
  <si>
    <t xml:space="preserve">Tax rate (from WACC build)</t>
  </si>
  <si>
    <t xml:space="preserve">2028E NOPAT  =  (Adj. EBIT − adjusting items) × (1 − t)</t>
  </si>
  <si>
    <t xml:space="preserve">× Mauboussin EV/NOPAT multiple</t>
  </si>
  <si>
    <t xml:space="preserve">Implied Enterprise Value (2028E basis)</t>
  </si>
  <si>
    <t xml:space="preserve">Less: YE2027 net debt (Model)</t>
  </si>
  <si>
    <t xml:space="preserve">Implied Equity Value</t>
  </si>
  <si>
    <t xml:space="preserve">Diluted shares 2028E (m, Model)</t>
  </si>
  <si>
    <t xml:space="preserve">Implied share price 2028 ($)</t>
  </si>
  <si>
    <t xml:space="preserve">MARKET-IMPLIED EV/NOPAT TODAY</t>
  </si>
  <si>
    <t xml:space="preserve">Current market cap (spot × diluted shares)</t>
  </si>
  <si>
    <t xml:space="preserve">Plus: YE2026 net debt</t>
  </si>
  <si>
    <t xml:space="preserve">Implied Enterprise Value (today)</t>
  </si>
  <si>
    <t xml:space="preserve">CHRW's market-implied EV/NOPAT (on 2028E NOPAT)</t>
  </si>
  <si>
    <t xml:space="preserve">Multiple gap (Mauboussin − Market)</t>
  </si>
  <si>
    <t xml:space="preserve">Implied re-rating headroom</t>
  </si>
  <si>
    <t xml:space="preserve">C.H. Robinson — Historical Operating Performance (2006–2025)</t>
  </si>
  <si>
    <t xml:space="preserve">All historicals · USDm · Linked to Model. Volume / price = NAST truckload + LTL volume and implied AGP per shipment y/y (annual = average of quarters; disclosed from 2013 / segment AGP from 2015). Margins and returns on adjusted gross profit (company KPI basis).</t>
  </si>
  <si>
    <t xml:space="preserve">NAST volume %</t>
  </si>
  <si>
    <t xml:space="preserve">NAST AGP per shipment %</t>
  </si>
  <si>
    <t xml:space="preserve">Adjusted income from operations</t>
  </si>
  <si>
    <t xml:space="preserve">Adj. operating margin % of AGP</t>
  </si>
  <si>
    <t xml:space="preserve">GAAP op. margin % of AGP</t>
  </si>
  <si>
    <t xml:space="preserve">FCF % of AGP</t>
  </si>
  <si>
    <t xml:space="preserve">RXO PF — pro forma acquisition analysis (links to Model; scenario switch Model!CF2)</t>
  </si>
  <si>
    <t xml:space="preserve">C.H. Robinson (CHRW) acquisition of RXO, Inc. (NYSE: RXO) — Pro Forma Model</t>
  </si>
  <si>
    <t xml:space="preserve">USD millions · Sources: joint press release, merger agreement (Ex. 2.1), investor presentation (Ex. 99.2) and Form 8-K filed 5-Oct-2026 (SEC EDGAR CIK 0001043277, acc. 0001193125-26-413203); RXO Forms 10-K / 10-Q and earnings releases (CIK 0001929561); CHRW standalone forecast from the Model tab.</t>
  </si>
  <si>
    <t xml:space="preserve">Basis notes: announced 5-Oct-2026; expected close 1H27 (HSR &amp; other antitrust clearances, RXO stockholder vote). Assumed close date is an input. Accretion measured on the company deal definition — adjusted EPS excludes restructuring / divestiture items and amortization of intangibles related to this acquisition. Pre-close CHRW buybacks continue (standalone); repurchases paused after close until leverage is within 1.75–2.25x. Synergy phasing, costs to achieve, fees, PPA and financing mix are model assumptions (not disclosed) — blue cells.</t>
  </si>
  <si>
    <t xml:space="preserve">RXO standalone ← → Pro forma (from close)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</si>
  <si>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</si>
  <si>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</si>
  <si>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</si>
  <si>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</si>
  <si>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</si>
  <si>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LTM Q2/26</t>
  </si>
  <si>
    <t xml:space="preserve">Modelling notes / sources</t>
  </si>
  <si>
    <t xml:space="preserve">RXO PF SCENARIO INPUTS (follow Model!CF2)</t>
  </si>
  <si>
    <t xml:space="preserve">Rationale</t>
  </si>
  <si>
    <t xml:space="preserve">Run-rate net cost synergies ($m)</t>
  </si>
  <si>
    <t xml:space="preserve">~$300m net run-rate within two years post-close (press release); 80% cost-to-serve &amp; shared services / 20% third-party spend (deck p.9).</t>
  </si>
  <si>
    <t xml:space="preserve">1. TRANSACTION TERMS &amp; CONSIDERATION</t>
  </si>
  <si>
    <t xml:space="preserve">Source / basis</t>
  </si>
  <si>
    <t xml:space="preserve">Synergies realised — 2027E (% of run-rate, annualised, post-close months)</t>
  </si>
  <si>
    <t xml:space="preserve">Lean AI operating model applied to RXO from day one; "within two years post-close".</t>
  </si>
  <si>
    <t xml:space="preserve">Assumed closing date (input; company: "expected to close in the first half of 2027")</t>
  </si>
  <si>
    <t xml:space="preserve">Merger agreement outside date 4-Jul-2027 (+2 × 3-month extensions for regulatory approvals). Mid-point of 1H27 guidance assumed.</t>
  </si>
  <si>
    <t xml:space="preserve">Synergies realised — 2028E (% of run-rate)</t>
  </si>
  <si>
    <t xml:space="preserve">  Fraction of 2027E consolidated (close → 31-Dec-27)</t>
  </si>
  <si>
    <t xml:space="preserve">Drives 2027E consolidation of RXO, synergies, interest and new shares.</t>
  </si>
  <si>
    <t xml:space="preserve">Synergies realised — 2029E (% of run-rate)</t>
  </si>
  <si>
    <t xml:space="preserve">Full run-rate by mid-2029 (two years post an assumed mid-2027 close).</t>
  </si>
  <si>
    <t xml:space="preserve">RXO fully diluted shares (m)</t>
  </si>
  <si>
    <t xml:space="preserve">Merger agreement capitalization at 30-Sep-26: 164.96m common + 2.09m RSUs + 4.17m PSUs (at max) + 4.58m pre-funded warrants (MFN, 2024 Coyote PIPE). Reconciles to $5.3bn equity value.</t>
  </si>
  <si>
    <t xml:space="preserve">Synergies realised — 2030E (% of run-rate)</t>
  </si>
  <si>
    <t xml:space="preserve">Cash per RXO share — standard consideration ($)</t>
  </si>
  <si>
    <t xml:space="preserve">Merger agreement / 8-K Item 1.01: $17.25 cash + 0.0856 CHRW shares; elections ($30.25 cash or 0.1992 shares) prorated to ~57% cash / 43% stock.</t>
  </si>
  <si>
    <t xml:space="preserve">RXO standalone revenue growth 2027E–30E (p.a.)</t>
  </si>
  <si>
    <t xml:space="preserve">Truck brokerage share gains vs. freight-cycle recovery; 2026E consensus $6.8bn (deck p.5).</t>
  </si>
  <si>
    <t xml:space="preserve">Exchange ratio (CHRW shares per RXO share)</t>
  </si>
  <si>
    <t xml:space="preserve">"Exchange Ratio means 0.0856" (merger agreement Ex. 2.1).</t>
  </si>
  <si>
    <t xml:space="preserve">RXO standalone adj. EBITDA margin — 2027E</t>
  </si>
  <si>
    <t xml:space="preserve">2026E consensus $137m (~2.0%); FY25 1.9%; 2021–22 peak 5.9–6.4%.</t>
  </si>
  <si>
    <t xml:space="preserve">CHRW share price ($) — Model reference</t>
  </si>
  <si>
    <t xml:space="preserve">$151.88 = CHRW 16-day VWAP to 2-Oct-26 used for the $30.25 headline (press release footnote 2).</t>
  </si>
  <si>
    <t xml:space="preserve">RXO standalone adj. EBITDA margin — 2030E (linear from 2027E)</t>
  </si>
  <si>
    <t xml:space="preserve">Standalone freight-cycle recovery (2021–22 peak 5.9–6.4%); synergies are modelled separately.</t>
  </si>
  <si>
    <t xml:space="preserve">Implied value per RXO share ($)</t>
  </si>
  <si>
    <t xml:space="preserve">Check: $17.25 + 0.0856 × $151.88 = $30.25.</t>
  </si>
  <si>
    <t xml:space="preserve">One-time costs to achieve (× run-rate synergies)</t>
  </si>
  <si>
    <t xml:space="preserve">Not disclosed; industry norm ~1.0x run-rate (severance, systems migration). Excluded from adjusted EPS (restructuring).</t>
  </si>
  <si>
    <t xml:space="preserve">Implied equity value ($m)</t>
  </si>
  <si>
    <t xml:space="preserve">Investor presentation: "approximately $5.3B implied equity value".</t>
  </si>
  <si>
    <t xml:space="preserve">CHRW pre-close buybacks (% of standalone pace, Jan-27 to close)</t>
  </si>
  <si>
    <t xml:space="preserve">Company intends to pause repurchases (to reach 1.75–2.25x); Base assumes the pause starts at announcement.</t>
  </si>
  <si>
    <t xml:space="preserve">RXO debt refinanced at close — principal, 30-Jun-26 ($m)</t>
  </si>
  <si>
    <t xml:space="preserve">$400m 6.375% senior notes 2031 (101% change-of-control put) + $65m ABL (must be repaid at close) + $36m finance leases / other (RXO 10-Q Q2/26).</t>
  </si>
  <si>
    <t xml:space="preserve">Leverage target for resuming buybacks (net debt / adj. EBITDA, x)</t>
  </si>
  <si>
    <t xml:space="preserve">Company: 1.75–2.25x by end-2028; buybacks paused until within range.</t>
  </si>
  <si>
    <t xml:space="preserve">RXO cash, 30-Jun-26 ($m)</t>
  </si>
  <si>
    <t xml:space="preserve">RXO 10-Q Q2/26.</t>
  </si>
  <si>
    <t xml:space="preserve">Active scenario:</t>
  </si>
  <si>
    <t xml:space="preserve">Implied enterprise value ($m)</t>
  </si>
  <si>
    <t xml:space="preserve">Investor presentation: "$5.8B implied enterprise value" (the press release "implied value of $5.8 billion" is EV).</t>
  </si>
  <si>
    <t xml:space="preserve">Cash consideration ($m) = shares × $17.25</t>
  </si>
  <si>
    <t xml:space="preserve">Aggregate cash fixed as if all shares took the standard consideration (8-K Item 1.01).</t>
  </si>
  <si>
    <t xml:space="preserve">New CHRW shares issued (m) = shares × 0.0856</t>
  </si>
  <si>
    <t xml:space="preserve">Stock consideration ($m)</t>
  </si>
  <si>
    <t xml:space="preserve">  Cash % of consideration</t>
  </si>
  <si>
    <t xml:space="preserve">Company: ~57% cash / 43% stock.</t>
  </si>
  <si>
    <t xml:space="preserve">CHRW shares outstanding before issuance (m; Model YE2026E)</t>
  </si>
  <si>
    <t xml:space="preserve">Merger agreement rep: 115.46m at 30-Sep-26.</t>
  </si>
  <si>
    <t xml:space="preserve">RXO holders' pro forma ownership %</t>
  </si>
  <si>
    <t xml:space="preserve">Company: "RXO stockholders are expected to own 11% of the combined company".</t>
  </si>
  <si>
    <t xml:space="preserve">RXO undisturbed share price, 2-Oct-26 ($; implied by 29% premium)</t>
  </si>
  <si>
    <t xml:space="preserve">29% premium to the 2-Oct-26 close; 27% to the 90-day VWAP (press release).</t>
  </si>
  <si>
    <t xml:space="preserve">Premium paid over undisturbed equity value ($m)</t>
  </si>
  <si>
    <t xml:space="preserve">Compare with capitalised synergy value (section 6).</t>
  </si>
  <si>
    <t xml:space="preserve">RXO 2026E consensus adjusted EBITDA ($m)</t>
  </si>
  <si>
    <t xml:space="preserve">Investor presentation p.3 (consensus); LTM Q2/26 actual $95m; Q3/26 guidance $35–45m.</t>
  </si>
  <si>
    <t xml:space="preserve">EV / RXO 2026E adjusted EBITDA (x)</t>
  </si>
  <si>
    <t xml:space="preserve">EV / (2026E adjusted EBITDA + run-rate synergies) (x)</t>
  </si>
  <si>
    <t xml:space="preserve">Company: 13.2x including ~$300m synergies (deck p.3).</t>
  </si>
  <si>
    <t xml:space="preserve">Termination fee payable by RXO ($m)</t>
  </si>
  <si>
    <t xml:space="preserve">Merger agreement §9; no reverse termination fee payable by CHRW identified.</t>
  </si>
  <si>
    <t xml:space="preserve">Committed bridge facility ($m; Morgan Stanley Senior Funding, 364-day)</t>
  </si>
  <si>
    <t xml:space="preserve">To be replaced by permanent financing (bonds, term loans, cash). CHRW expects to keep investment-grade ratings.</t>
  </si>
  <si>
    <t xml:space="preserve">2. SOURCES &amp; USES AT CLOSE ($m)</t>
  </si>
  <si>
    <t xml:space="preserve">Basis</t>
  </si>
  <si>
    <t xml:space="preserve">Uses</t>
  </si>
  <si>
    <t xml:space="preserve">  Cash consideration to RXO stockholders</t>
  </si>
  <si>
    <t xml:space="preserve">  Stock consideration (CHRW shares issued)</t>
  </si>
  <si>
    <t xml:space="preserve">  Refinance RXO debt (principal)</t>
  </si>
  <si>
    <t xml:space="preserve">  Change-of-control premium on RXO 2031 notes (1% × $400m)</t>
  </si>
  <si>
    <t xml:space="preserve">Assumes all 6.375% notes are put at 101% (holders likely to accept given the coupon vs. CHRW credit).</t>
  </si>
  <si>
    <t xml:space="preserve">  Transaction, advisory &amp; financing fees (assumption)</t>
  </si>
  <si>
    <t xml:space="preserve">~1.9% of EV (advisory, bridge commitment &amp; bond issuance). Not disclosed; expensed / capitalised, excluded from adjusted EPS.</t>
  </si>
  <si>
    <t xml:space="preserve">Total uses</t>
  </si>
  <si>
    <t xml:space="preserve">Sources</t>
  </si>
  <si>
    <t xml:space="preserve">  CHRW common stock issued to RXO holders</t>
  </si>
  <si>
    <t xml:space="preserve">  RXO cash acquired</t>
  </si>
  <si>
    <t xml:space="preserve">  New CHRW acquisition debt (bonds / term loans; plug)</t>
  </si>
  <si>
    <t xml:space="preserve">Bridge ($4.5bn) to be refinanced by senior notes and term loans; CHRW cash on hand assumed nil (minimum cash).</t>
  </si>
  <si>
    <t xml:space="preserve">Total sources</t>
  </si>
  <si>
    <t xml:space="preserve">  Check: sources − uses (should be 0)</t>
  </si>
  <si>
    <t xml:space="preserve">Acquisition debt financing mix (assumption)</t>
  </si>
  <si>
    <t xml:space="preserve">  Senior notes % of acquisition debt</t>
  </si>
  <si>
    <t xml:space="preserve">Permanent mix not disclosed ("new debt financing"; bonds, new term loans and cash).</t>
  </si>
  <si>
    <t xml:space="preserve">  Senior notes coupon %</t>
  </si>
  <si>
    <t xml:space="preserve">BBB+/Baa1 5–10-year new issue (~T + 110–130bp).</t>
  </si>
  <si>
    <t xml:space="preserve">  Term loans / revolver rate % (prepayable; SOFR + ~1.1%)</t>
  </si>
  <si>
    <t xml:space="preserve">Prepaid first from post-close free cash flow (buyback pause).</t>
  </si>
  <si>
    <t xml:space="preserve">  Blended cost of acquisition debt %</t>
  </si>
  <si>
    <t xml:space="preserve">  Tax rate on pro forma adjustments %</t>
  </si>
  <si>
    <t xml:space="preserve">US federal + state blended marginal rate.</t>
  </si>
  <si>
    <t xml:space="preserve">3. ILLUSTRATIVE PURCHASE PRICE ALLOCATION ($m)</t>
  </si>
  <si>
    <t xml:space="preserve">Basis (preliminary; company has not published a PPA)</t>
  </si>
  <si>
    <t xml:space="preserve">Purchase consideration (cash + stock)</t>
  </si>
  <si>
    <t xml:space="preserve">Stock valued at the Model reference price; final value at the closing-date price.</t>
  </si>
  <si>
    <t xml:space="preserve">RXO book stockholders' equity, 30-Jun-26</t>
  </si>
  <si>
    <t xml:space="preserve">RXO 10-Q Q2/26 balance sheet.</t>
  </si>
  <si>
    <t xml:space="preserve">  (−) existing RXO goodwill</t>
  </si>
  <si>
    <t xml:space="preserve">Incl. $493m from Coyote (Sep-2024).</t>
  </si>
  <si>
    <t xml:space="preserve">  (−) existing RXO intangible assets</t>
  </si>
  <si>
    <t xml:space="preserve">RXO tangible book value</t>
  </si>
  <si>
    <t xml:space="preserve">Fair value of identifiable intangibles (customer relationships, carrier network, trade names, technology)</t>
  </si>
  <si>
    <t xml:space="preserve">Assumption ~17% of EV (Coyote PPA: intangibles $459m on $1.05bn price, ~44%; RXO legacy relationships largely internally generated).</t>
  </si>
  <si>
    <t xml:space="preserve">  Weighted-average amortization life (years)</t>
  </si>
  <si>
    <t xml:space="preserve">  (−) Deferred tax liability on intangible step-up</t>
  </si>
  <si>
    <t xml:space="preserve">Goodwill (residual)</t>
  </si>
  <si>
    <t xml:space="preserve">Annual amortization of acquired intangibles (excluded from deal-basis adjusted EPS)</t>
  </si>
  <si>
    <t xml:space="preserve">Company deal definition of adjusted EPS excludes "amortization of intangibles related to this acquisition".</t>
  </si>
  <si>
    <t xml:space="preserve">  Memo: RXO historical amortization of acquired intangibles (FY2025)</t>
  </si>
  <si>
    <t xml:space="preserve">RXO adjusted net income reconciliation; replaced by the new PPA amortization.</t>
  </si>
  <si>
    <t xml:space="preserve">4. RXO STANDALONE — HISTORY (as reported) &amp; FORECAST ($m)</t>
  </si>
  <si>
    <t xml:space="preserve">  Truck brokerage revenue</t>
  </si>
  <si>
    <t xml:space="preserve">  Managed transportation revenue (incl. freight forwarding, recast)</t>
  </si>
  <si>
    <t xml:space="preserve">  Last mile revenue</t>
  </si>
  <si>
    <t xml:space="preserve">  Eliminations</t>
  </si>
  <si>
    <t xml:space="preserve">2026E: consensus $6.8bn (investor presentation p.5). 2027E+: scenario growth. Coyote consolidated from 16-Sep-2024 (FY2024 partial).</t>
  </si>
  <si>
    <t xml:space="preserve">  Gross margin (company definition; after direct D&amp;A from Q2/23)</t>
  </si>
  <si>
    <t xml:space="preserve">  Gross margin % of revenues</t>
  </si>
  <si>
    <t xml:space="preserve">Adjusted EBITDA (company definition)</t>
  </si>
  <si>
    <t xml:space="preserve">RXO definition: net income + interest + taxes + D&amp;A + transaction/integration/restructuring + impairment + other (incl. the Q3/24 $216m PIPE charge).</t>
  </si>
  <si>
    <t xml:space="preserve">  Depreciation &amp; amortization (total)</t>
  </si>
  <si>
    <t xml:space="preserve">2026E ~$105m; 2027E+ 1.55% of revenues (FY25 2.0% incl. Coyote intangible amortization).</t>
  </si>
  <si>
    <t xml:space="preserve">  of which: amortization of acquired intangibles</t>
  </si>
  <si>
    <t xml:space="preserve">Adjusted EBIT ex acquired-intangible amortization (= adj. EBITDA − depreciation)</t>
  </si>
  <si>
    <t xml:space="preserve">  Operating income (GAAP)</t>
  </si>
  <si>
    <t xml:space="preserve">  Interest expense</t>
  </si>
  <si>
    <t xml:space="preserve">  Net income (GAAP)</t>
  </si>
  <si>
    <t xml:space="preserve">  Adjusted net income (company definition)</t>
  </si>
  <si>
    <t xml:space="preserve">  Adjusted diluted EPS ($)</t>
  </si>
  <si>
    <t xml:space="preserve">  Capital expenditures</t>
  </si>
  <si>
    <t xml:space="preserve">  Cash flow from operations</t>
  </si>
  <si>
    <t xml:space="preserve">  Net debt (period end; carrying)</t>
  </si>
  <si>
    <t xml:space="preserve">  Shares outstanding, period end (m)</t>
  </si>
  <si>
    <t xml:space="preserve">RXO unlevered FCF for PF (adj. EBITDA − capex − tax on adj. EBIT; ΔWC nil)</t>
  </si>
  <si>
    <t xml:space="preserve">5. SYNERGIES &amp; INTEGRATION COSTS ($m; pro forma years)</t>
  </si>
  <si>
    <t xml:space="preserve">Fraction of year consolidated</t>
  </si>
  <si>
    <t xml:space="preserve">Run-rate net cost synergies (scenario)</t>
  </si>
  <si>
    <t xml:space="preserve">% of run-rate realised (annualised rate in year)</t>
  </si>
  <si>
    <t xml:space="preserve">Synergies realised in year (pre-tax)</t>
  </si>
  <si>
    <t xml:space="preserve">Net of dis-synergies per company ("net run-rate cost synergies"). Applied to the consolidated period only in 2027E.</t>
  </si>
  <si>
    <t xml:space="preserve">Costs to achieve — phasing % (assumption)</t>
  </si>
  <si>
    <t xml:space="preserve">One-time costs to achieve (pre-tax; excluded from adjusted EPS)</t>
  </si>
  <si>
    <t xml:space="preserve">Not disclosed. Severance, systems / TMS migration onto the CHRW platform, facilities.</t>
  </si>
  <si>
    <t xml:space="preserve">Transaction fees expensed at close (pre-tax; excluded from adjusted EPS)</t>
  </si>
  <si>
    <t xml:space="preserve">6. PRO FORMA COMBINED — CHRW + RXO ($m; RXO consolidated from close)</t>
  </si>
  <si>
    <t xml:space="preserve">CHRW standalone (Model tab, active scenario)</t>
  </si>
  <si>
    <t xml:space="preserve">  Revenues</t>
  </si>
  <si>
    <t xml:space="preserve">  Adjusted gross profit</t>
  </si>
  <si>
    <t xml:space="preserve">  Adjusted EBITDA</t>
  </si>
  <si>
    <t xml:space="preserve">  Adjusted income from operations</t>
  </si>
  <si>
    <t xml:space="preserve">  Adjusted net income</t>
  </si>
  <si>
    <t xml:space="preserve">  Diluted shares (m)</t>
  </si>
  <si>
    <t xml:space="preserve">  Adjusted EPS – diluted ($)</t>
  </si>
  <si>
    <t xml:space="preserve">  Net debt (period end)</t>
  </si>
  <si>
    <t xml:space="preserve">  Free cash flow (CFO − capex)</t>
  </si>
  <si>
    <t xml:space="preserve">  Bolt-on acquisitions (cash)</t>
  </si>
  <si>
    <t xml:space="preserve">  Dividends paid</t>
  </si>
  <si>
    <t xml:space="preserve">  Dividends per share ($)</t>
  </si>
  <si>
    <t xml:space="preserve">  Buybacks ex withholding (standalone plan)</t>
  </si>
  <si>
    <t xml:space="preserve">  Buyback price ($)</t>
  </si>
  <si>
    <t xml:space="preserve">RXO contribution (from close) &amp; deal effects</t>
  </si>
  <si>
    <t xml:space="preserve">  RXO revenues consolidated</t>
  </si>
  <si>
    <t xml:space="preserve">  RXO adjusted EBITDA consolidated</t>
  </si>
  <si>
    <t xml:space="preserve">  RXO adjusted EBIT (ex acquired-intangible amortization) consolidated</t>
  </si>
  <si>
    <t xml:space="preserve">  (+) Net cost synergies</t>
  </si>
  <si>
    <t xml:space="preserve">  (−) Incremental interest vs. standalone (acquisition debt net of retained cash; opening balance × blended rate)</t>
  </si>
  <si>
    <t xml:space="preserve">2027E: acquisition debt from close. 2028E+: (PF net debt − standalone net debt) at prior year-end × blended rate (avoided buybacks reduce the gap). RXO interest eliminated (debt refinanced).</t>
  </si>
  <si>
    <t xml:space="preserve">  (−) Amortization of acquired intangibles (GAAP only)</t>
  </si>
  <si>
    <t xml:space="preserve">Pro forma P&amp;L</t>
  </si>
  <si>
    <t xml:space="preserve">Pro forma revenues</t>
  </si>
  <si>
    <t xml:space="preserve">Pro forma adjusted EBITDA (incl. realised synergies)</t>
  </si>
  <si>
    <t xml:space="preserve">  Memo: PF adjusted EBITDA — full-year RXO basis (leverage, LTM)</t>
  </si>
  <si>
    <t xml:space="preserve">Pro forma adjusted net income (deal definition)</t>
  </si>
  <si>
    <t xml:space="preserve">Equals CHRW adjusted net income + after-tax (RXO adjusted EBIT ex acquisition amortization + synergies − incremental interest).</t>
  </si>
  <si>
    <t xml:space="preserve">Pro forma net income (GAAP)</t>
  </si>
  <si>
    <t xml:space="preserve">Pro forma shares &amp; capital allocation</t>
  </si>
  <si>
    <t xml:space="preserve">  (+) New CHRW shares issued to RXO holders (time-weighted, m)</t>
  </si>
  <si>
    <t xml:space="preserve">  Standalone buybacks not executed in PF (pre-close pause + post-close; $m)</t>
  </si>
  <si>
    <t xml:space="preserve">  PF buybacks (resume once leverage within target; $m)</t>
  </si>
  <si>
    <t xml:space="preserve">  (+) Shares not repurchased vs. standalone (cumulative, time-weighted; m)</t>
  </si>
  <si>
    <t xml:space="preserve">Pro forma diluted shares (m)</t>
  </si>
  <si>
    <t xml:space="preserve">  PF dividends paid (incl. dividends on new shares)</t>
  </si>
  <si>
    <t xml:space="preserve">Pro forma net debt &amp; leverage</t>
  </si>
  <si>
    <t xml:space="preserve">  PF net debt before PF buybacks (period end)</t>
  </si>
  <si>
    <t xml:space="preserve">Opening = CHRW standalone YE2026E net debt + acquisition debt (pre-close CHRW buybacks at the scenario % of the standalone pace). Less: CHRW FCF, bolt-ons, PF dividends, RXO unlevered FCF (from close) and after-tax synergies − costs to achieve − incremental interest. Fees are debt-funded at close (sources &amp; uses).</t>
  </si>
  <si>
    <t xml:space="preserve">Pro forma net debt (period end)</t>
  </si>
  <si>
    <t xml:space="preserve">Pro forma net debt / adjusted EBITDA (x; full-year RXO + realised synergies)</t>
  </si>
  <si>
    <t xml:space="preserve">Company: ~2.9x at close (synergized) → 1.75–2.25x by year-end 2028E.</t>
  </si>
  <si>
    <t xml:space="preserve">  Memo: CHRW standalone net debt / adjusted EBITDA (x)</t>
  </si>
  <si>
    <t xml:space="preserve">Accretion / (dilution)</t>
  </si>
  <si>
    <t xml:space="preserve">Pro forma adjusted EPS – diluted ($) (deal definition)</t>
  </si>
  <si>
    <t xml:space="preserve">Adjusted EPS accretion / (dilution) % vs. CHRW standalone</t>
  </si>
  <si>
    <t xml:space="preserve">Company: "accretive to adjusted EPS within nine months of the transaction close and mid-teens accretive to adjusted EPS in 2028".</t>
  </si>
  <si>
    <t xml:space="preserve">  Memo: standalone shares with no post-2026 buybacks (m; time-weighted)</t>
  </si>
  <si>
    <t xml:space="preserve">  Memo: standalone adjusted net income with no post-2026 buybacks (debt-funded buyback interest added back)</t>
  </si>
  <si>
    <t xml:space="preserve">Adjusted EPS accretion % vs. standalone with no post-2026 buybacks (company-style comparison)</t>
  </si>
  <si>
    <t xml:space="preserve">Strips the leverage-funded standalone buybacks out of the comparator (closer to a consensus-EPS comparison). Base case remains below the company's "mid-teens accretive in 2028": that requires RXO adj. EBITDA ~$350m+ and the full $300m synergies in 2028 (see sensitivity, section 8).</t>
  </si>
  <si>
    <t xml:space="preserve">  Adjusted EPS accretion / (dilution) ($)</t>
  </si>
  <si>
    <t xml:space="preserve">Pro forma GAAP diluted EPS ($)</t>
  </si>
  <si>
    <t xml:space="preserve">  GAAP EPS accretion / (dilution) % vs. standalone GAAP EPS</t>
  </si>
  <si>
    <t xml:space="preserve">  Synergies needed for adjusted EPS breakeven ($m pre-tax, in-year)</t>
  </si>
  <si>
    <t xml:space="preserve">In-year synergies at which pro forma adjusted EPS equals standalone.</t>
  </si>
  <si>
    <t xml:space="preserve">7. CROSS-CHECKS vs. COMPANY DEAL METRICS &amp; VALUE CREATION</t>
  </si>
  <si>
    <t xml:space="preserve">Leverage at close, synergized (x) = net debt at close / (CHRW 2026E + RXO 2026E adj. EBITDA + run-rate synergies)</t>
  </si>
  <si>
    <t xml:space="preserve">Company: ~2.9x estimated at close (synergized; deck p.12). Net debt at close = YE2026E standalone + acquisition debt − CHRW pre-close free cash flow after dividends.</t>
  </si>
  <si>
    <t xml:space="preserve">Pro forma leverage YE2028E (x)</t>
  </si>
  <si>
    <t xml:space="preserve">Company target: 1.75–2.25x by year-end 2028.</t>
  </si>
  <si>
    <t xml:space="preserve">  Check: YE2028E leverage within 1.75–2.25x target (1 = yes)</t>
  </si>
  <si>
    <t xml:space="preserve">Adjusted EPS accretion 2028E (%) — vs. standalone incl. buybacks</t>
  </si>
  <si>
    <t xml:space="preserve">Company: mid-teens accretive in 2028.</t>
  </si>
  <si>
    <t xml:space="preserve">Adjusted EPS accretion 2028E (%) — company-style (no post-2026 standalone buybacks)</t>
  </si>
  <si>
    <t xml:space="preserve">Months after close to adjusted EPS accretion (approx.; company: within 9)</t>
  </si>
  <si>
    <t xml:space="preserve">Discount rate for synergies (DCF WACC)</t>
  </si>
  <si>
    <t xml:space="preserve">Linked to DCF tab.</t>
  </si>
  <si>
    <t xml:space="preserve">Capitalised value of run-rate synergies, after tax (perpetuity, g = 2%)</t>
  </si>
  <si>
    <t xml:space="preserve">(−) After-tax costs to achieve + fees</t>
  </si>
  <si>
    <t xml:space="preserve">(−) Premium paid over undisturbed RXO equity value</t>
  </si>
  <si>
    <t xml:space="preserve">Net value created for CHRW holders before RXO standalone upside</t>
  </si>
  <si>
    <t xml:space="preserve">  per pro forma share ($)</t>
  </si>
  <si>
    <t xml:space="preserve">Deal ROIC 2029E = (RXO adj. EBIT + synergies) × (1 − t) / (EV + fees + costs to achieve)</t>
  </si>
  <si>
    <t xml:space="preserve">Compare with WACC (DCF tab) — value accretive if above.</t>
  </si>
  <si>
    <t xml:space="preserve">8. SENSITIVITY — 2028E ADJUSTED EPS ACCRETION: run-rate synergies (across) × RXO standalone adj. EBITDA margin 2028E (down)</t>
  </si>
  <si>
    <t xml:space="preserve">Linear re-computation of 2028E PF adjusted net income; synergies realised at the active 2028E phasing %; shares &amp; interest held at the active case</t>
  </si>
  <si>
    <t xml:space="preserve">RXO 2028E adj. EBITDA margin ↓  /  run-rate synergies →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</si>
</sst>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0.0%;\(0.0%\);\-"/>
    <numFmt numFmtId="166" formatCode="#,##0;\(#,##0\);\-"/>
    <numFmt numFmtId="167" formatCode="0%;\(0%\);&quot;n/m&quot;"/>
    <numFmt numFmtId="168" formatCode="0.0\x;\(0.0&quot;x)&quot;;\-"/>
    <numFmt numFmtId="169" formatCode="\+0.0%;\-0.0%"/>
    <numFmt numFmtId="170" formatCode="#,##0.0;\(#,##0.0\);\-"/>
    <numFmt numFmtId="171" formatCode="\+#,##0;\-#,##0"/>
    <numFmt numFmtId="172" formatCode="0.00;\(0.00\);\-"/>
    <numFmt numFmtId="173" formatCode="d\-mmm\-yy"/>
    <numFmt numFmtId="174" formatCode="0%;\(0%\);\-"/>
    <numFmt numFmtId="175" formatCode="0.00%"/>
    <numFmt numFmtId="176" formatCode="0.00"/>
    <numFmt numFmtId="177" formatCode="0.000"/>
    <numFmt numFmtId="178" formatCode="0"/>
    <numFmt numFmtId="179" formatCode="0.0"/>
    <numFmt numFmtId="180" formatCode="0%"/>
    <numFmt numFmtId="181" formatCode="#,##0"/>
    <numFmt numFmtId="182" formatCode="0.000;\(0.000\);\-"/>
    <numFmt numFmtId="183" formatCode="0.0000"/>
    <numFmt numFmtId="184" formatCode="0.0\x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C00000"/>
      <name val="Calibri"/>
      <family val="0"/>
      <charset val="1"/>
    </font>
    <font>
      <b val="true"/>
      <sz val="16"/>
      <color rgb="FF1F3864"/>
      <name val="Calibri"/>
      <family val="0"/>
      <charset val="1"/>
    </font>
    <font>
      <b val="true"/>
      <sz val="12"/>
      <color rgb="FF0000FF"/>
      <name val="Calibri"/>
      <family val="0"/>
      <charset val="1"/>
    </font>
    <font>
      <sz val="10"/>
      <color rgb="FF595959"/>
      <name val="Calibri"/>
      <family val="0"/>
      <charset val="1"/>
    </font>
    <font>
      <sz val="10"/>
      <color rgb="FFC00000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sz val="9"/>
      <color rgb="FF666666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2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sz val="12"/>
      <color rgb="FF404040"/>
      <name val="Calibri"/>
      <family val="0"/>
      <charset val="1"/>
    </font>
    <font>
      <sz val="12"/>
      <color rgb="FFA6A6A6"/>
      <name val="Calibri"/>
      <family val="0"/>
      <charset val="1"/>
    </font>
    <font>
      <sz val="12"/>
      <color rgb="FF000000"/>
      <name val="Calibri"/>
      <family val="0"/>
      <charset val="1"/>
    </font>
    <font>
      <sz val="12"/>
      <name val="Calibri"/>
      <family val="0"/>
      <charset val="1"/>
    </font>
    <font>
      <sz val="12"/>
      <color rgb="FF0000FF"/>
      <name val="Calibri"/>
      <family val="0"/>
      <charset val="1"/>
    </font>
    <font>
      <b val="true"/>
      <sz val="12"/>
      <color rgb="FF595959"/>
      <name val="Calibri"/>
      <family val="0"/>
      <charset val="1"/>
    </font>
    <font>
      <b val="true"/>
      <i val="true"/>
      <sz val="12"/>
      <color rgb="FF666666"/>
      <name val="Calibri"/>
      <family val="0"/>
      <charset val="1"/>
    </font>
    <font>
      <sz val="10"/>
      <name val="Arial"/>
      <family val="2"/>
    </font>
    <font>
      <b val="true"/>
      <sz val="16"/>
      <color rgb="FF2F3E46"/>
      <name val="Calibri"/>
      <family val="0"/>
      <charset val="1"/>
    </font>
    <font>
      <b val="true"/>
      <sz val="12"/>
      <color rgb="FF2F3E46"/>
      <name val="Calibri"/>
      <family val="0"/>
      <charset val="1"/>
    </font>
    <font>
      <b val="true"/>
      <sz val="12"/>
      <color rgb="FF008000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12"/>
      <color rgb="FF595959"/>
      <name val="Calibri"/>
      <family val="0"/>
      <charset val="1"/>
    </font>
    <font>
      <sz val="12"/>
      <color rgb="FF008000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sz val="11"/>
      <name val="Calibri"/>
      <family val="0"/>
      <charset val="1"/>
    </font>
    <font>
      <sz val="11"/>
      <color rgb="FF0000FF"/>
      <name val="Calibri"/>
      <family val="0"/>
      <charset val="1"/>
    </font>
    <font>
      <sz val="11"/>
      <color rgb="FF008000"/>
      <name val="Calibri"/>
      <family val="0"/>
      <charset val="1"/>
    </font>
    <font>
      <b val="true"/>
      <sz val="14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008000"/>
      <name val="Calibr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DE7"/>
        <bgColor rgb="FFFFF8DC"/>
      </patternFill>
    </fill>
    <fill>
      <patternFill patternType="solid">
        <fgColor rgb="FFFFFF00"/>
        <bgColor rgb="FFFFFF00"/>
      </patternFill>
    </fill>
    <fill>
      <patternFill patternType="solid">
        <fgColor rgb="FF84A98C"/>
        <bgColor rgb="FFA6A6A6"/>
      </patternFill>
    </fill>
    <fill>
      <patternFill patternType="solid">
        <fgColor rgb="FF2F3E46"/>
        <bgColor rgb="FF404040"/>
      </patternFill>
    </fill>
    <fill>
      <patternFill patternType="solid">
        <fgColor rgb="FFCAD2C5"/>
        <bgColor rgb="FFD9D9D9"/>
      </patternFill>
    </fill>
    <fill>
      <patternFill patternType="solid">
        <fgColor rgb="FF52796F"/>
        <bgColor rgb="FF666666"/>
      </patternFill>
    </fill>
    <fill>
      <patternFill patternType="solid">
        <fgColor rgb="FFE9ECEC"/>
        <bgColor rgb="FFF5F5F5"/>
      </patternFill>
    </fill>
    <fill>
      <patternFill patternType="solid">
        <fgColor rgb="FFF5F5F5"/>
        <bgColor rgb="FFF9F9F9"/>
      </patternFill>
    </fill>
    <fill>
      <patternFill patternType="solid">
        <fgColor rgb="FFFFF8DC"/>
        <bgColor rgb="FFFFFDE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5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5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6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6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0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0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20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5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5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0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5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5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8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8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3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3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3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3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0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2" fontId="20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3" fontId="20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4" fontId="3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3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20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2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5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4F81BD"/>
      <rgbColor rgb="FFCAD2C5"/>
      <rgbColor rgb="FF878787"/>
      <rgbColor rgb="FF84A98C"/>
      <rgbColor rgb="FFBE4B48"/>
      <rgbColor rgb="FFFFF8DC"/>
      <rgbColor rgb="FFE9ECE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F9F9F9"/>
      <rgbColor rgb="FFFFFDE7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7D5FA0"/>
      <rgbColor rgb="FFA6A6A6"/>
      <rgbColor rgb="FF1F3864"/>
      <rgbColor rgb="FF52796F"/>
      <rgbColor rgb="FF003300"/>
      <rgbColor rgb="FF404040"/>
      <rgbColor rgb="FF993300"/>
      <rgbColor rgb="FFC0504D"/>
      <rgbColor rgb="FF595959"/>
      <rgbColor rgb="FF2F3E4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NAST AGP Drivers: Volume vs. AGP per Shipment, y/y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"NAST volume %"</c:f>
              <c:strCache>
                <c:ptCount val="1"/>
                <c:pt idx="0">
                  <c:v>NAST volume 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Charts!$C$7:$V$7</c:f>
              <c:multiLvlStrCache>
                <c:ptCount val="1"/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  <c:lvl>
                  <c:pt idx="0">
                    <c:v>2010</c:v>
                  </c:pt>
                </c:lvl>
                <c:lvl>
                  <c:pt idx="0">
                    <c:v>2009</c:v>
                  </c:pt>
                </c:lvl>
                <c:lvl>
                  <c:pt idx="0">
                    <c:v>2008</c:v>
                  </c:pt>
                </c:lvl>
                <c:lvl>
                  <c:pt idx="0">
                    <c:v>2007</c:v>
                  </c:pt>
                </c:lvl>
                <c:lvl>
                  <c:pt idx="0">
                    <c:v>2006</c:v>
                  </c:pt>
                </c:lvl>
              </c:multiLvlStrCache>
            </c:multiLvlStrRef>
          </c:cat>
          <c:val>
            <c:numRef>
              <c:f>Charts!$C$8:$V$8</c:f>
              <c:numCache>
                <c:formatCode>0.0%;\(0.0%\);\-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0.090714895553675</c:v>
                </c:pt>
                <c:pt idx="8">
                  <c:v>0.0331423472390026</c:v>
                </c:pt>
                <c:pt idx="9">
                  <c:v>0.118319532517257</c:v>
                </c:pt>
                <c:pt idx="10">
                  <c:v>0.0601432445497038</c:v>
                </c:pt>
                <c:pt idx="11">
                  <c:v>0.0492431856204508</c:v>
                </c:pt>
                <c:pt idx="12">
                  <c:v>-0.00189821684438496</c:v>
                </c:pt>
                <c:pt idx="13">
                  <c:v>-0.00211171127674778</c:v>
                </c:pt>
                <c:pt idx="14">
                  <c:v>0.029673196241156</c:v>
                </c:pt>
                <c:pt idx="15">
                  <c:v>0.045497736469818</c:v>
                </c:pt>
                <c:pt idx="16">
                  <c:v>-0.00241185302919623</c:v>
                </c:pt>
                <c:pt idx="17">
                  <c:v>-0.02875</c:v>
                </c:pt>
                <c:pt idx="18">
                  <c:v>0.00133150579954209</c:v>
                </c:pt>
                <c:pt idx="19">
                  <c:v>0.01</c:v>
                </c:pt>
              </c:numCache>
            </c:numRef>
          </c:val>
        </c:ser>
        <c:ser>
          <c:idx val="1"/>
          <c:order val="1"/>
          <c:tx>
            <c:strRef>
              <c:f>"NAST AGP per shipment %"</c:f>
              <c:strCache>
                <c:ptCount val="1"/>
                <c:pt idx="0">
                  <c:v>NAST AGP per shipment %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Charts!$C$7:$V$7</c:f>
              <c:multiLvlStrCache>
                <c:ptCount val="1"/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  <c:lvl>
                  <c:pt idx="0">
                    <c:v>2010</c:v>
                  </c:pt>
                </c:lvl>
                <c:lvl>
                  <c:pt idx="0">
                    <c:v>2009</c:v>
                  </c:pt>
                </c:lvl>
                <c:lvl>
                  <c:pt idx="0">
                    <c:v>2008</c:v>
                  </c:pt>
                </c:lvl>
                <c:lvl>
                  <c:pt idx="0">
                    <c:v>2007</c:v>
                  </c:pt>
                </c:lvl>
                <c:lvl>
                  <c:pt idx="0">
                    <c:v>2006</c:v>
                  </c:pt>
                </c:lvl>
              </c:multiLvlStrCache>
            </c:multiLvlStrRef>
          </c:cat>
          <c:val>
            <c:numRef>
              <c:f>Charts!$C$9:$V$9</c:f>
              <c:numCache>
                <c:formatCode>0.0%;\(0.0%\);\-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0.0355292550686972</c:v>
                </c:pt>
                <c:pt idx="10">
                  <c:v>-0.0811803786929028</c:v>
                </c:pt>
                <c:pt idx="11">
                  <c:v>-0.0464888135901055</c:v>
                </c:pt>
                <c:pt idx="12">
                  <c:v>0.17496669887325</c:v>
                </c:pt>
                <c:pt idx="13">
                  <c:v>0.00708670426174129</c:v>
                </c:pt>
                <c:pt idx="14">
                  <c:v>-0.180262170747011</c:v>
                </c:pt>
                <c:pt idx="15">
                  <c:v>0.130405277391699</c:v>
                </c:pt>
                <c:pt idx="16">
                  <c:v>0.228149837945935</c:v>
                </c:pt>
                <c:pt idx="17">
                  <c:v>-0.252956374899067</c:v>
                </c:pt>
                <c:pt idx="18">
                  <c:v>0.0283329873109144</c:v>
                </c:pt>
                <c:pt idx="19">
                  <c:v>0.0293930053804372</c:v>
                </c:pt>
              </c:numCache>
            </c:numRef>
          </c:val>
        </c:ser>
        <c:gapWidth val="150"/>
        <c:overlap val="0"/>
        <c:axId val="98380283"/>
        <c:axId val="76761902"/>
      </c:barChart>
      <c:catAx>
        <c:axId val="983802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761902"/>
        <c:crosses val="autoZero"/>
        <c:auto val="1"/>
        <c:lblAlgn val="ctr"/>
        <c:lblOffset val="100"/>
        <c:noMultiLvlLbl val="0"/>
      </c:catAx>
      <c:valAx>
        <c:axId val="76761902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3802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Adjusted vs. GAAP Income from Operations (USDm)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"Adjusted income from operations"</c:f>
              <c:strCache>
                <c:ptCount val="1"/>
                <c:pt idx="0">
                  <c:v>Adjusted income from operations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Charts!$C$7:$V$7</c:f>
              <c:multiLvlStrCache>
                <c:ptCount val="1"/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  <c:lvl>
                  <c:pt idx="0">
                    <c:v>2010</c:v>
                  </c:pt>
                </c:lvl>
                <c:lvl>
                  <c:pt idx="0">
                    <c:v>2009</c:v>
                  </c:pt>
                </c:lvl>
                <c:lvl>
                  <c:pt idx="0">
                    <c:v>2008</c:v>
                  </c:pt>
                </c:lvl>
                <c:lvl>
                  <c:pt idx="0">
                    <c:v>2007</c:v>
                  </c:pt>
                </c:lvl>
                <c:lvl>
                  <c:pt idx="0">
                    <c:v>2006</c:v>
                  </c:pt>
                </c:lvl>
              </c:multiLvlStrCache>
            </c:multiLvlStrRef>
          </c:cat>
          <c:val>
            <c:numRef>
              <c:f>Charts!$C$12:$V$12</c:f>
              <c:numCache>
                <c:formatCode>#,##0;\(#,##0\);\-</c:formatCode>
                <c:ptCount val="20"/>
                <c:pt idx="0">
                  <c:v>417.845000000001</c:v>
                </c:pt>
                <c:pt idx="1">
                  <c:v>509.683999999999</c:v>
                </c:pt>
                <c:pt idx="2">
                  <c:v>571.586000000001</c:v>
                </c:pt>
                <c:pt idx="3">
                  <c:v>584.811</c:v>
                </c:pt>
                <c:pt idx="4">
                  <c:v>622.860000000001</c:v>
                </c:pt>
                <c:pt idx="5">
                  <c:v>692.73</c:v>
                </c:pt>
                <c:pt idx="6">
                  <c:v>675.319999999998</c:v>
                </c:pt>
                <c:pt idx="7">
                  <c:v>682.649999999999</c:v>
                </c:pt>
                <c:pt idx="8">
                  <c:v>748.417999999998</c:v>
                </c:pt>
                <c:pt idx="9">
                  <c:v>858.31</c:v>
                </c:pt>
                <c:pt idx="10">
                  <c:v>837.531000000002</c:v>
                </c:pt>
                <c:pt idx="11">
                  <c:v>775.118999999997</c:v>
                </c:pt>
                <c:pt idx="12">
                  <c:v>912.082999999999</c:v>
                </c:pt>
                <c:pt idx="13">
                  <c:v>784.176</c:v>
                </c:pt>
                <c:pt idx="14">
                  <c:v>673.268</c:v>
                </c:pt>
                <c:pt idx="15">
                  <c:v>1082.108</c:v>
                </c:pt>
                <c:pt idx="16">
                  <c:v>1278.17</c:v>
                </c:pt>
                <c:pt idx="17">
                  <c:v>552.648</c:v>
                </c:pt>
                <c:pt idx="18">
                  <c:v>759.348999999999</c:v>
                </c:pt>
                <c:pt idx="19">
                  <c:v>833.733</c:v>
                </c:pt>
              </c:numCache>
            </c:numRef>
          </c:val>
        </c:ser>
        <c:ser>
          <c:idx val="1"/>
          <c:order val="1"/>
          <c:tx>
            <c:strRef>
              <c:f>"Income from operations (GAAP)"</c:f>
              <c:strCache>
                <c:ptCount val="1"/>
                <c:pt idx="0">
                  <c:v>Income from operations (GAAP)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Charts!$C$7:$V$7</c:f>
              <c:multiLvlStrCache>
                <c:ptCount val="1"/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  <c:lvl>
                  <c:pt idx="0">
                    <c:v>2010</c:v>
                  </c:pt>
                </c:lvl>
                <c:lvl>
                  <c:pt idx="0">
                    <c:v>2009</c:v>
                  </c:pt>
                </c:lvl>
                <c:lvl>
                  <c:pt idx="0">
                    <c:v>2008</c:v>
                  </c:pt>
                </c:lvl>
                <c:lvl>
                  <c:pt idx="0">
                    <c:v>2007</c:v>
                  </c:pt>
                </c:lvl>
                <c:lvl>
                  <c:pt idx="0">
                    <c:v>2006</c:v>
                  </c:pt>
                </c:lvl>
              </c:multiLvlStrCache>
            </c:multiLvlStrRef>
          </c:cat>
          <c:val>
            <c:numRef>
              <c:f>Charts!$C$13:$V$13</c:f>
              <c:numCache>
                <c:formatCode>#,##0;\(#,##0\);\-</c:formatCode>
                <c:ptCount val="20"/>
                <c:pt idx="0">
                  <c:v>417.845000000001</c:v>
                </c:pt>
                <c:pt idx="1">
                  <c:v>509.683999999999</c:v>
                </c:pt>
                <c:pt idx="2">
                  <c:v>571.586000000001</c:v>
                </c:pt>
                <c:pt idx="3">
                  <c:v>584.811</c:v>
                </c:pt>
                <c:pt idx="4">
                  <c:v>622.860000000001</c:v>
                </c:pt>
                <c:pt idx="5">
                  <c:v>692.73</c:v>
                </c:pt>
                <c:pt idx="6">
                  <c:v>675.319999999998</c:v>
                </c:pt>
                <c:pt idx="7">
                  <c:v>682.649999999999</c:v>
                </c:pt>
                <c:pt idx="8">
                  <c:v>748.417999999998</c:v>
                </c:pt>
                <c:pt idx="9">
                  <c:v>858.31</c:v>
                </c:pt>
                <c:pt idx="10">
                  <c:v>837.531000000002</c:v>
                </c:pt>
                <c:pt idx="11">
                  <c:v>775.118999999997</c:v>
                </c:pt>
                <c:pt idx="12">
                  <c:v>912.082999999999</c:v>
                </c:pt>
                <c:pt idx="13">
                  <c:v>789.975999999999</c:v>
                </c:pt>
                <c:pt idx="14">
                  <c:v>673.268</c:v>
                </c:pt>
                <c:pt idx="15">
                  <c:v>1082.108</c:v>
                </c:pt>
                <c:pt idx="16">
                  <c:v>1266.782</c:v>
                </c:pt>
                <c:pt idx="17">
                  <c:v>514.607</c:v>
                </c:pt>
                <c:pt idx="18">
                  <c:v>669.140999999999</c:v>
                </c:pt>
                <c:pt idx="19">
                  <c:v>794.961</c:v>
                </c:pt>
              </c:numCache>
            </c:numRef>
          </c:val>
        </c:ser>
        <c:gapWidth val="150"/>
        <c:overlap val="0"/>
        <c:axId val="34122835"/>
        <c:axId val="59017690"/>
      </c:barChart>
      <c:catAx>
        <c:axId val="341228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017690"/>
        <c:crosses val="autoZero"/>
        <c:auto val="1"/>
        <c:lblAlgn val="ctr"/>
        <c:lblOffset val="100"/>
        <c:noMultiLvlLbl val="0"/>
      </c:catAx>
      <c:valAx>
        <c:axId val="59017690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1228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Returns Profile: ROIC, RONTA, Adjusted Operating Margin &amp; FCF Margin (% AGP)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"ROIC"</c:f>
              <c:strCache>
                <c:ptCount val="1"/>
                <c:pt idx="0">
                  <c:v>ROIC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Charts!$C$7:$V$7</c:f>
              <c:multiLvlStrCache>
                <c:ptCount val="1"/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  <c:lvl>
                  <c:pt idx="0">
                    <c:v>2010</c:v>
                  </c:pt>
                </c:lvl>
                <c:lvl>
                  <c:pt idx="0">
                    <c:v>2009</c:v>
                  </c:pt>
                </c:lvl>
                <c:lvl>
                  <c:pt idx="0">
                    <c:v>2008</c:v>
                  </c:pt>
                </c:lvl>
                <c:lvl>
                  <c:pt idx="0">
                    <c:v>2007</c:v>
                  </c:pt>
                </c:lvl>
                <c:lvl>
                  <c:pt idx="0">
                    <c:v>2006</c:v>
                  </c:pt>
                </c:lvl>
              </c:multiLvlStrCache>
            </c:multiLvlStrRef>
          </c:cat>
          <c:val>
            <c:numRef>
              <c:f>Charts!$C$18:$V$18</c:f>
              <c:numCache>
                <c:formatCode>0.0%;\(0.0%\);\-</c:formatCode>
                <c:ptCount val="20"/>
                <c:pt idx="0">
                  <c:v>0.551846235417976</c:v>
                </c:pt>
                <c:pt idx="1">
                  <c:v>0.537332716652674</c:v>
                </c:pt>
                <c:pt idx="2">
                  <c:v>0.582049532501654</c:v>
                </c:pt>
                <c:pt idx="3">
                  <c:v>0.517724879077742</c:v>
                </c:pt>
                <c:pt idx="4">
                  <c:v>0.485141753847719</c:v>
                </c:pt>
                <c:pt idx="5">
                  <c:v>0.491978870013026</c:v>
                </c:pt>
                <c:pt idx="6">
                  <c:v>0.2702757963445</c:v>
                </c:pt>
                <c:pt idx="7">
                  <c:v>0.255126311080919</c:v>
                </c:pt>
                <c:pt idx="8">
                  <c:v>0.229968650326492</c:v>
                </c:pt>
                <c:pt idx="9">
                  <c:v>0.276992741272064</c:v>
                </c:pt>
                <c:pt idx="10">
                  <c:v>0.23534039648587</c:v>
                </c:pt>
                <c:pt idx="11">
                  <c:v>0.210113585728877</c:v>
                </c:pt>
                <c:pt idx="12">
                  <c:v>0.268655942060832</c:v>
                </c:pt>
                <c:pt idx="13">
                  <c:v>0.247966420914881</c:v>
                </c:pt>
                <c:pt idx="14">
                  <c:v>0.198809878096639</c:v>
                </c:pt>
                <c:pt idx="15">
                  <c:v>0.2426290529529</c:v>
                </c:pt>
                <c:pt idx="16">
                  <c:v>0.331332804541066</c:v>
                </c:pt>
                <c:pt idx="17">
                  <c:v>0.153879695054087</c:v>
                </c:pt>
                <c:pt idx="18">
                  <c:v>0.206683310631581</c:v>
                </c:pt>
                <c:pt idx="19">
                  <c:v>0.244215404413891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"RONTA"</c:f>
              <c:strCache>
                <c:ptCount val="1"/>
                <c:pt idx="0">
                  <c:v>RONTA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Charts!$C$7:$V$7</c:f>
              <c:multiLvlStrCache>
                <c:ptCount val="1"/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  <c:lvl>
                  <c:pt idx="0">
                    <c:v>2010</c:v>
                  </c:pt>
                </c:lvl>
                <c:lvl>
                  <c:pt idx="0">
                    <c:v>2009</c:v>
                  </c:pt>
                </c:lvl>
                <c:lvl>
                  <c:pt idx="0">
                    <c:v>2008</c:v>
                  </c:pt>
                </c:lvl>
                <c:lvl>
                  <c:pt idx="0">
                    <c:v>2007</c:v>
                  </c:pt>
                </c:lvl>
                <c:lvl>
                  <c:pt idx="0">
                    <c:v>2006</c:v>
                  </c:pt>
                </c:lvl>
              </c:multiLvlStrCache>
            </c:multiLvlStrRef>
          </c:cat>
          <c:val>
            <c:numRef>
              <c:f>Charts!$C$19:$V$19</c:f>
              <c:numCache>
                <c:formatCode>0.0%;\(0.0%\);\-</c:formatCode>
                <c:ptCount val="20"/>
                <c:pt idx="0">
                  <c:v>0.39855674425339</c:v>
                </c:pt>
                <c:pt idx="1">
                  <c:v>0.430570009837961</c:v>
                </c:pt>
                <c:pt idx="2">
                  <c:v>0.470569761613475</c:v>
                </c:pt>
                <c:pt idx="3">
                  <c:v>0.518562158713276</c:v>
                </c:pt>
                <c:pt idx="4">
                  <c:v>0.468476174845047</c:v>
                </c:pt>
                <c:pt idx="5">
                  <c:v>0.499437273359101</c:v>
                </c:pt>
                <c:pt idx="6">
                  <c:v>0.495971481282513</c:v>
                </c:pt>
                <c:pt idx="7">
                  <c:v>0.453276944183693</c:v>
                </c:pt>
                <c:pt idx="8">
                  <c:v>0.361475154621945</c:v>
                </c:pt>
                <c:pt idx="9">
                  <c:v>0.576081278821271</c:v>
                </c:pt>
                <c:pt idx="10">
                  <c:v>0.466432864167179</c:v>
                </c:pt>
                <c:pt idx="11">
                  <c:v>0.365757909440349</c:v>
                </c:pt>
                <c:pt idx="12">
                  <c:v>0.443332158907821</c:v>
                </c:pt>
                <c:pt idx="13">
                  <c:v>0.349063990753355</c:v>
                </c:pt>
                <c:pt idx="14">
                  <c:v>0.33900057415544</c:v>
                </c:pt>
                <c:pt idx="15">
                  <c:v>0.36696931750789</c:v>
                </c:pt>
                <c:pt idx="16">
                  <c:v>0.556448086720179</c:v>
                </c:pt>
                <c:pt idx="17">
                  <c:v>0.295244855364989</c:v>
                </c:pt>
                <c:pt idx="18">
                  <c:v>0.390758005023241</c:v>
                </c:pt>
                <c:pt idx="19">
                  <c:v>0.497607679868528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"Adj. operating margin % of AGP"</c:f>
              <c:strCache>
                <c:ptCount val="1"/>
                <c:pt idx="0">
                  <c:v>Adj. operating margin % of AGP</c:v>
                </c:pt>
              </c:strCache>
            </c:strRef>
          </c:tx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Charts!$C$7:$V$7</c:f>
              <c:multiLvlStrCache>
                <c:ptCount val="1"/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  <c:lvl>
                  <c:pt idx="0">
                    <c:v>2010</c:v>
                  </c:pt>
                </c:lvl>
                <c:lvl>
                  <c:pt idx="0">
                    <c:v>2009</c:v>
                  </c:pt>
                </c:lvl>
                <c:lvl>
                  <c:pt idx="0">
                    <c:v>2008</c:v>
                  </c:pt>
                </c:lvl>
                <c:lvl>
                  <c:pt idx="0">
                    <c:v>2007</c:v>
                  </c:pt>
                </c:lvl>
                <c:lvl>
                  <c:pt idx="0">
                    <c:v>2006</c:v>
                  </c:pt>
                </c:lvl>
              </c:multiLvlStrCache>
            </c:multiLvlStrRef>
          </c:cat>
          <c:val>
            <c:numRef>
              <c:f>Charts!$C$20:$V$20</c:f>
              <c:numCache>
                <c:formatCode>0.0%;\(0.0%\);\-</c:formatCode>
                <c:ptCount val="20"/>
                <c:pt idx="0">
                  <c:v>0.385984311030314</c:v>
                </c:pt>
                <c:pt idx="1">
                  <c:v>0.409786955549945</c:v>
                </c:pt>
                <c:pt idx="2">
                  <c:v>0.41571009547166</c:v>
                </c:pt>
                <c:pt idx="3">
                  <c:v>0.423175361931866</c:v>
                </c:pt>
                <c:pt idx="4">
                  <c:v>0.424297911821567</c:v>
                </c:pt>
                <c:pt idx="5">
                  <c:v>0.424295841505079</c:v>
                </c:pt>
                <c:pt idx="6">
                  <c:v>0.393183163898319</c:v>
                </c:pt>
                <c:pt idx="7">
                  <c:v>0.371794487757986</c:v>
                </c:pt>
                <c:pt idx="8">
                  <c:v>0.372782733262537</c:v>
                </c:pt>
                <c:pt idx="9">
                  <c:v>0.378363485682042</c:v>
                </c:pt>
                <c:pt idx="10">
                  <c:v>0.36773686207151</c:v>
                </c:pt>
                <c:pt idx="11">
                  <c:v>0.32732374738709</c:v>
                </c:pt>
                <c:pt idx="12">
                  <c:v>0.337154812798148</c:v>
                </c:pt>
                <c:pt idx="13">
                  <c:v>0.303202632321725</c:v>
                </c:pt>
                <c:pt idx="14">
                  <c:v>0.279102931404075</c:v>
                </c:pt>
                <c:pt idx="15">
                  <c:v>0.343298682238985</c:v>
                </c:pt>
                <c:pt idx="16">
                  <c:v>0.355721413111572</c:v>
                </c:pt>
                <c:pt idx="17">
                  <c:v>0.212180873283043</c:v>
                </c:pt>
                <c:pt idx="18">
                  <c:v>0.274627542573021</c:v>
                </c:pt>
                <c:pt idx="19">
                  <c:v>0.305462719049172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"FCF % of AGP"</c:f>
              <c:strCache>
                <c:ptCount val="1"/>
                <c:pt idx="0">
                  <c:v>FCF % of AGP</c:v>
                </c:pt>
              </c:strCache>
            </c:strRef>
          </c:tx>
          <c:spPr>
            <a:solidFill>
              <a:srgbClr val="7d5fa0"/>
            </a:solidFill>
            <a:ln w="4752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Charts!$C$7:$V$7</c:f>
              <c:multiLvlStrCache>
                <c:ptCount val="1"/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  <c:lvl>
                  <c:pt idx="0">
                    <c:v>2010</c:v>
                  </c:pt>
                </c:lvl>
                <c:lvl>
                  <c:pt idx="0">
                    <c:v>2009</c:v>
                  </c:pt>
                </c:lvl>
                <c:lvl>
                  <c:pt idx="0">
                    <c:v>2008</c:v>
                  </c:pt>
                </c:lvl>
                <c:lvl>
                  <c:pt idx="0">
                    <c:v>2007</c:v>
                  </c:pt>
                </c:lvl>
                <c:lvl>
                  <c:pt idx="0">
                    <c:v>2006</c:v>
                  </c:pt>
                </c:lvl>
              </c:multiLvlStrCache>
            </c:multiLvlStrRef>
          </c:cat>
          <c:val>
            <c:numRef>
              <c:f>Charts!$C$21:$V$21</c:f>
              <c:numCache>
                <c:formatCode>0.0%;\(0.0%\);\-</c:formatCode>
                <c:ptCount val="20"/>
                <c:pt idx="0">
                  <c:v>0.278819151923617</c:v>
                </c:pt>
                <c:pt idx="1">
                  <c:v>0.212832997528498</c:v>
                </c:pt>
                <c:pt idx="2">
                  <c:v>0.308249021973682</c:v>
                </c:pt>
                <c:pt idx="3">
                  <c:v>0.24465631758974</c:v>
                </c:pt>
                <c:pt idx="4">
                  <c:v>0.21533156491446</c:v>
                </c:pt>
                <c:pt idx="5">
                  <c:v>0.230854226665964</c:v>
                </c:pt>
                <c:pt idx="6">
                  <c:v>0.238526384062144</c:v>
                </c:pt>
                <c:pt idx="7">
                  <c:v>0.163156590481429</c:v>
                </c:pt>
                <c:pt idx="8">
                  <c:v>0.241039781794853</c:v>
                </c:pt>
                <c:pt idx="9">
                  <c:v>0.296980356890958</c:v>
                </c:pt>
                <c:pt idx="10">
                  <c:v>0.192301038669996</c:v>
                </c:pt>
                <c:pt idx="11">
                  <c:v>0.136211650936425</c:v>
                </c:pt>
                <c:pt idx="12">
                  <c:v>0.269486754385479</c:v>
                </c:pt>
                <c:pt idx="13">
                  <c:v>0.295770421952512</c:v>
                </c:pt>
                <c:pt idx="14">
                  <c:v>0.184549987832971</c:v>
                </c:pt>
                <c:pt idx="15">
                  <c:v>0.00762446745634403</c:v>
                </c:pt>
                <c:pt idx="16">
                  <c:v>0.423489853129974</c:v>
                </c:pt>
                <c:pt idx="17">
                  <c:v>0.248726487824655</c:v>
                </c:pt>
                <c:pt idx="18">
                  <c:v>0.157249113386044</c:v>
                </c:pt>
                <c:pt idx="19">
                  <c:v>0.30921554475143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9334694"/>
        <c:axId val="39794402"/>
      </c:lineChart>
      <c:catAx>
        <c:axId val="4933469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794402"/>
        <c:crosses val="autoZero"/>
        <c:auto val="1"/>
        <c:lblAlgn val="ctr"/>
        <c:lblOffset val="100"/>
        <c:noMultiLvlLbl val="0"/>
      </c:catAx>
      <c:valAx>
        <c:axId val="39794402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3346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21</xdr:row>
      <xdr:rowOff>160920</xdr:rowOff>
    </xdr:from>
    <xdr:to>
      <xdr:col>13</xdr:col>
      <xdr:colOff>325440</xdr:colOff>
      <xdr:row>44</xdr:row>
      <xdr:rowOff>99000</xdr:rowOff>
    </xdr:to>
    <xdr:graphicFrame>
      <xdr:nvGraphicFramePr>
        <xdr:cNvPr id="0" name="Chart 1"/>
        <xdr:cNvGraphicFramePr/>
      </xdr:nvGraphicFramePr>
      <xdr:xfrm>
        <a:off x="758880" y="4191120"/>
        <a:ext cx="113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46</xdr:row>
      <xdr:rowOff>160560</xdr:rowOff>
    </xdr:from>
    <xdr:to>
      <xdr:col>13</xdr:col>
      <xdr:colOff>325440</xdr:colOff>
      <xdr:row>69</xdr:row>
      <xdr:rowOff>99000</xdr:rowOff>
    </xdr:to>
    <xdr:graphicFrame>
      <xdr:nvGraphicFramePr>
        <xdr:cNvPr id="1" name="Chart 2"/>
        <xdr:cNvGraphicFramePr/>
      </xdr:nvGraphicFramePr>
      <xdr:xfrm>
        <a:off x="758880" y="8953560"/>
        <a:ext cx="113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71</xdr:row>
      <xdr:rowOff>160560</xdr:rowOff>
    </xdr:from>
    <xdr:to>
      <xdr:col>13</xdr:col>
      <xdr:colOff>325440</xdr:colOff>
      <xdr:row>94</xdr:row>
      <xdr:rowOff>98640</xdr:rowOff>
    </xdr:to>
    <xdr:graphicFrame>
      <xdr:nvGraphicFramePr>
        <xdr:cNvPr id="2" name="Chart 3"/>
        <xdr:cNvGraphicFramePr/>
      </xdr:nvGraphicFramePr>
      <xdr:xfrm>
        <a:off x="758880" y="13716000"/>
        <a:ext cx="113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R408"/>
  <sheetViews>
    <sheetView showFormulas="false" showGridLines="false" showRowColHeaders="true" showZeros="true" rightToLeft="false" tabSelected="true" showOutlineSymbols="true" defaultGridColor="true" view="normal" topLeftCell="A1" colorId="64" zoomScale="70" zoomScaleNormal="70" zoomScalePageLayoutView="100" workbookViewId="0">
      <pane xSplit="0" ySplit="7" topLeftCell="H8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1" outlineLevelCol="1"/>
  <cols>
    <col collapsed="false" customWidth="true" hidden="false" outlineLevel="0" max="1" min="1" style="0" width="2.43"/>
    <col collapsed="false" customWidth="true" hidden="false" outlineLevel="0" max="2" min="2" style="0" width="62"/>
    <col collapsed="false" customWidth="true" hidden="false" outlineLevel="0" max="9" min="3" style="0" width="14.14"/>
    <col collapsed="false" customWidth="true" hidden="true" outlineLevel="1" max="13" min="10" style="0" width="9.57"/>
    <col collapsed="false" customWidth="true" hidden="false" outlineLevel="0" max="14" min="14" style="0" width="14.14"/>
    <col collapsed="false" customWidth="true" hidden="true" outlineLevel="1" max="18" min="15" style="0" width="9.57"/>
    <col collapsed="false" customWidth="true" hidden="false" outlineLevel="0" max="19" min="19" style="0" width="14.14"/>
    <col collapsed="false" customWidth="true" hidden="true" outlineLevel="1" max="23" min="20" style="0" width="9.57"/>
    <col collapsed="false" customWidth="true" hidden="false" outlineLevel="0" max="24" min="24" style="0" width="14.14"/>
    <col collapsed="false" customWidth="true" hidden="true" outlineLevel="1" max="28" min="25" style="0" width="9.57"/>
    <col collapsed="false" customWidth="true" hidden="false" outlineLevel="0" max="29" min="29" style="0" width="14.14"/>
    <col collapsed="false" customWidth="true" hidden="true" outlineLevel="1" max="33" min="30" style="0" width="9.57"/>
    <col collapsed="false" customWidth="true" hidden="false" outlineLevel="0" max="34" min="34" style="0" width="14.14"/>
    <col collapsed="false" customWidth="true" hidden="true" outlineLevel="1" max="38" min="35" style="0" width="9.57"/>
    <col collapsed="false" customWidth="true" hidden="false" outlineLevel="0" max="39" min="39" style="0" width="14.14"/>
    <col collapsed="false" customWidth="true" hidden="true" outlineLevel="1" max="43" min="40" style="0" width="9.57"/>
    <col collapsed="false" customWidth="true" hidden="false" outlineLevel="0" max="44" min="44" style="0" width="14.14"/>
    <col collapsed="false" customWidth="true" hidden="true" outlineLevel="1" max="48" min="45" style="0" width="9.57"/>
    <col collapsed="false" customWidth="true" hidden="false" outlineLevel="0" max="49" min="49" style="0" width="14.14"/>
    <col collapsed="false" customWidth="true" hidden="true" outlineLevel="1" max="53" min="50" style="0" width="9.57"/>
    <col collapsed="false" customWidth="true" hidden="false" outlineLevel="0" max="54" min="54" style="0" width="14.14"/>
    <col collapsed="false" customWidth="true" hidden="true" outlineLevel="1" max="58" min="55" style="0" width="9.57"/>
    <col collapsed="false" customWidth="true" hidden="false" outlineLevel="0" max="59" min="59" style="0" width="14.14"/>
    <col collapsed="false" customWidth="true" hidden="true" outlineLevel="1" max="63" min="60" style="0" width="9.57"/>
    <col collapsed="false" customWidth="true" hidden="false" outlineLevel="0" max="64" min="64" style="0" width="14.14"/>
    <col collapsed="false" customWidth="true" hidden="true" outlineLevel="1" max="68" min="65" style="0" width="9.57"/>
    <col collapsed="false" customWidth="true" hidden="false" outlineLevel="0" max="69" min="69" style="0" width="14.14"/>
    <col collapsed="false" customWidth="true" hidden="true" outlineLevel="1" max="73" min="70" style="0" width="9.57"/>
    <col collapsed="false" customWidth="true" hidden="false" outlineLevel="0" max="74" min="74" style="0" width="14.14"/>
    <col collapsed="false" customWidth="true" hidden="true" outlineLevel="1" max="76" min="75" style="0" width="9.57"/>
    <col collapsed="false" customWidth="true" hidden="true" outlineLevel="1" max="78" min="77" style="0" width="11.43"/>
    <col collapsed="false" customWidth="true" hidden="false" outlineLevel="0" max="83" min="79" style="0" width="14.14"/>
    <col collapsed="false" customWidth="true" hidden="false" outlineLevel="0" max="84" min="84" style="0" width="86.86"/>
    <col collapsed="false" customWidth="true" hidden="false" outlineLevel="0" max="85" min="85" style="0" width="2"/>
    <col collapsed="false" customWidth="true" hidden="false" outlineLevel="0" max="86" min="86" style="0" width="14.14"/>
    <col collapsed="false" customWidth="true" hidden="false" outlineLevel="0" max="87" min="87" style="0" width="12.43"/>
    <col collapsed="false" customWidth="true" hidden="false" outlineLevel="0" max="89" min="88" style="0" width="13.43"/>
    <col collapsed="false" customWidth="true" hidden="false" outlineLevel="0" max="90" min="90" style="0" width="2"/>
    <col collapsed="false" customWidth="true" hidden="false" outlineLevel="0" max="91" min="91" style="0" width="6"/>
    <col collapsed="false" customWidth="true" hidden="false" outlineLevel="0" max="92" min="92" style="0" width="46"/>
    <col collapsed="false" customWidth="true" hidden="false" outlineLevel="0" max="95" min="93" style="0" width="11.57"/>
    <col collapsed="false" customWidth="true" hidden="false" outlineLevel="0" max="96" min="96" style="0" width="60"/>
  </cols>
  <sheetData>
    <row r="1" customFormat="false" ht="15" hidden="false" customHeight="false" outlineLevel="0" collapsed="false">
      <c r="CF1" s="1" t="s">
        <v>0</v>
      </c>
    </row>
    <row r="2" customFormat="false" ht="19.7" hidden="false" customHeight="false" outlineLevel="0" collapsed="false">
      <c r="B2" s="2" t="s">
        <v>1</v>
      </c>
      <c r="CF2" s="3" t="s">
        <v>2</v>
      </c>
    </row>
    <row r="3" customFormat="false" ht="15" hidden="false" customHeight="false" outlineLevel="0" collapsed="false">
      <c r="B3" s="4" t="s">
        <v>3</v>
      </c>
    </row>
    <row r="4" customFormat="false" ht="15" hidden="false" customHeight="false" outlineLevel="0" collapsed="false">
      <c r="B4" s="5" t="s">
        <v>4</v>
      </c>
    </row>
    <row r="5" customFormat="false" ht="15" hidden="false" customHeight="false" outlineLevel="0" collapsed="false">
      <c r="BY5" s="6"/>
      <c r="BZ5" s="6"/>
      <c r="CA5" s="6"/>
      <c r="CB5" s="6"/>
      <c r="CC5" s="6"/>
      <c r="CD5" s="6"/>
      <c r="CE5" s="6"/>
      <c r="CH5" s="7" t="s">
        <v>5</v>
      </c>
      <c r="CI5" s="7" t="s">
        <v>6</v>
      </c>
      <c r="CJ5" s="7" t="s">
        <v>6</v>
      </c>
      <c r="CK5" s="7" t="s">
        <v>6</v>
      </c>
    </row>
    <row r="6" customFormat="false" ht="15" hidden="false" customHeight="false" outlineLevel="0" collapsed="false">
      <c r="B6" s="8" t="s">
        <v>7</v>
      </c>
      <c r="C6" s="9" t="n">
        <v>2006</v>
      </c>
      <c r="D6" s="9" t="n">
        <v>2007</v>
      </c>
      <c r="E6" s="9" t="n">
        <v>2008</v>
      </c>
      <c r="F6" s="9" t="n">
        <v>2009</v>
      </c>
      <c r="G6" s="9" t="n">
        <v>2010</v>
      </c>
      <c r="H6" s="9" t="n">
        <v>2011</v>
      </c>
      <c r="I6" s="9" t="n">
        <v>2012</v>
      </c>
      <c r="J6" s="9" t="s">
        <v>8</v>
      </c>
      <c r="K6" s="9" t="s">
        <v>9</v>
      </c>
      <c r="L6" s="9" t="s">
        <v>10</v>
      </c>
      <c r="M6" s="9" t="s">
        <v>11</v>
      </c>
      <c r="N6" s="9" t="n">
        <v>2013</v>
      </c>
      <c r="O6" s="9" t="s">
        <v>12</v>
      </c>
      <c r="P6" s="9" t="s">
        <v>13</v>
      </c>
      <c r="Q6" s="9" t="s">
        <v>14</v>
      </c>
      <c r="R6" s="9" t="s">
        <v>15</v>
      </c>
      <c r="S6" s="9" t="n">
        <v>2014</v>
      </c>
      <c r="T6" s="9" t="s">
        <v>16</v>
      </c>
      <c r="U6" s="9" t="s">
        <v>17</v>
      </c>
      <c r="V6" s="9" t="s">
        <v>18</v>
      </c>
      <c r="W6" s="9" t="s">
        <v>19</v>
      </c>
      <c r="X6" s="9" t="n">
        <v>2015</v>
      </c>
      <c r="Y6" s="9" t="s">
        <v>20</v>
      </c>
      <c r="Z6" s="9" t="s">
        <v>21</v>
      </c>
      <c r="AA6" s="9" t="s">
        <v>22</v>
      </c>
      <c r="AB6" s="9" t="s">
        <v>23</v>
      </c>
      <c r="AC6" s="9" t="n">
        <v>2016</v>
      </c>
      <c r="AD6" s="9" t="s">
        <v>24</v>
      </c>
      <c r="AE6" s="9" t="s">
        <v>25</v>
      </c>
      <c r="AF6" s="9" t="s">
        <v>26</v>
      </c>
      <c r="AG6" s="9" t="s">
        <v>27</v>
      </c>
      <c r="AH6" s="9" t="n">
        <v>2017</v>
      </c>
      <c r="AI6" s="9" t="s">
        <v>28</v>
      </c>
      <c r="AJ6" s="9" t="s">
        <v>29</v>
      </c>
      <c r="AK6" s="9" t="s">
        <v>30</v>
      </c>
      <c r="AL6" s="9" t="s">
        <v>31</v>
      </c>
      <c r="AM6" s="9" t="n">
        <v>2018</v>
      </c>
      <c r="AN6" s="9" t="s">
        <v>32</v>
      </c>
      <c r="AO6" s="9" t="s">
        <v>33</v>
      </c>
      <c r="AP6" s="9" t="s">
        <v>34</v>
      </c>
      <c r="AQ6" s="9" t="s">
        <v>35</v>
      </c>
      <c r="AR6" s="9" t="n">
        <v>2019</v>
      </c>
      <c r="AS6" s="9" t="s">
        <v>36</v>
      </c>
      <c r="AT6" s="9" t="s">
        <v>37</v>
      </c>
      <c r="AU6" s="9" t="s">
        <v>38</v>
      </c>
      <c r="AV6" s="9" t="s">
        <v>39</v>
      </c>
      <c r="AW6" s="9" t="n">
        <v>2020</v>
      </c>
      <c r="AX6" s="9" t="s">
        <v>40</v>
      </c>
      <c r="AY6" s="9" t="s">
        <v>41</v>
      </c>
      <c r="AZ6" s="9" t="s">
        <v>42</v>
      </c>
      <c r="BA6" s="9" t="s">
        <v>43</v>
      </c>
      <c r="BB6" s="9" t="n">
        <v>2021</v>
      </c>
      <c r="BC6" s="9" t="s">
        <v>44</v>
      </c>
      <c r="BD6" s="9" t="s">
        <v>45</v>
      </c>
      <c r="BE6" s="9" t="s">
        <v>46</v>
      </c>
      <c r="BF6" s="9" t="s">
        <v>47</v>
      </c>
      <c r="BG6" s="9" t="n">
        <v>2022</v>
      </c>
      <c r="BH6" s="9" t="s">
        <v>48</v>
      </c>
      <c r="BI6" s="9" t="s">
        <v>49</v>
      </c>
      <c r="BJ6" s="9" t="s">
        <v>50</v>
      </c>
      <c r="BK6" s="9" t="s">
        <v>51</v>
      </c>
      <c r="BL6" s="9" t="n">
        <v>2023</v>
      </c>
      <c r="BM6" s="9" t="s">
        <v>52</v>
      </c>
      <c r="BN6" s="9" t="s">
        <v>53</v>
      </c>
      <c r="BO6" s="9" t="s">
        <v>54</v>
      </c>
      <c r="BP6" s="9" t="s">
        <v>55</v>
      </c>
      <c r="BQ6" s="9" t="n">
        <v>2024</v>
      </c>
      <c r="BR6" s="9" t="s">
        <v>56</v>
      </c>
      <c r="BS6" s="9" t="s">
        <v>57</v>
      </c>
      <c r="BT6" s="9" t="s">
        <v>58</v>
      </c>
      <c r="BU6" s="9" t="s">
        <v>59</v>
      </c>
      <c r="BV6" s="9" t="n">
        <v>2025</v>
      </c>
      <c r="BW6" s="9" t="s">
        <v>60</v>
      </c>
      <c r="BX6" s="9" t="s">
        <v>61</v>
      </c>
      <c r="BY6" s="9" t="s">
        <v>62</v>
      </c>
      <c r="BZ6" s="9" t="s">
        <v>63</v>
      </c>
      <c r="CA6" s="9" t="s">
        <v>64</v>
      </c>
      <c r="CB6" s="9" t="s">
        <v>65</v>
      </c>
      <c r="CC6" s="9" t="s">
        <v>66</v>
      </c>
      <c r="CD6" s="9" t="s">
        <v>67</v>
      </c>
      <c r="CE6" s="9" t="s">
        <v>68</v>
      </c>
      <c r="CF6" s="9" t="s">
        <v>69</v>
      </c>
      <c r="CG6" s="10"/>
      <c r="CH6" s="7" t="s">
        <v>70</v>
      </c>
      <c r="CI6" s="7" t="s">
        <v>70</v>
      </c>
      <c r="CJ6" s="7" t="s">
        <v>71</v>
      </c>
      <c r="CK6" s="7" t="s">
        <v>72</v>
      </c>
    </row>
    <row r="7" customFormat="false" ht="15" hidden="false" customHeight="false" outlineLevel="0" collapsed="false">
      <c r="CH7" s="11" t="s">
        <v>73</v>
      </c>
      <c r="CI7" s="11" t="s">
        <v>74</v>
      </c>
      <c r="CJ7" s="11" t="s">
        <v>75</v>
      </c>
      <c r="CK7" s="11" t="s">
        <v>76</v>
      </c>
    </row>
    <row r="8" customFormat="false" ht="15" hidden="false" customHeight="false" outlineLevel="0" collapsed="false">
      <c r="B8" s="8" t="s">
        <v>77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8" t="s">
        <v>78</v>
      </c>
    </row>
    <row r="9" customFormat="false" ht="15" hidden="false" customHeight="false" outlineLevel="0" collapsed="false">
      <c r="CN9" s="12" t="s">
        <v>79</v>
      </c>
      <c r="CO9" s="13" t="s">
        <v>80</v>
      </c>
      <c r="CP9" s="13" t="s">
        <v>2</v>
      </c>
      <c r="CQ9" s="13" t="s">
        <v>81</v>
      </c>
      <c r="CR9" s="14" t="s">
        <v>82</v>
      </c>
    </row>
    <row r="10" customFormat="false" ht="15" hidden="false" customHeight="false" outlineLevel="0" collapsed="false">
      <c r="B10" s="15" t="s">
        <v>83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7" t="s">
        <v>84</v>
      </c>
    </row>
    <row r="11" customFormat="false" ht="15" hidden="false" customHeight="false" outlineLevel="0" collapsed="false">
      <c r="B11" s="18" t="s">
        <v>85</v>
      </c>
      <c r="C11" s="19"/>
      <c r="D11" s="19"/>
      <c r="E11" s="19"/>
      <c r="F11" s="19"/>
      <c r="G11" s="19"/>
      <c r="H11" s="19"/>
      <c r="I11" s="19"/>
      <c r="J11" s="20" t="n">
        <f aca="false">IFERROR((J67*J22+J68*J23)/(J67+J68),"")</f>
        <v>0.095364588269463</v>
      </c>
      <c r="K11" s="20" t="n">
        <f aca="false">IFERROR((K67*K22+K68*K23)/(K67+K68),"")</f>
        <v>0.0881322335915532</v>
      </c>
      <c r="L11" s="20" t="n">
        <f aca="false">IFERROR((L67*L22+L68*L23)/(L67+L68),"")</f>
        <v>0.114967257489792</v>
      </c>
      <c r="M11" s="20" t="n">
        <f aca="false">IFERROR((M67*M22+M68*M23)/(M67+M68),"")</f>
        <v>0.0643955028638921</v>
      </c>
      <c r="N11" s="20" t="n">
        <f aca="false">IFERROR(AVERAGE(J11,K11,L11,M11),"")</f>
        <v>0.090714895553675</v>
      </c>
      <c r="O11" s="20" t="n">
        <f aca="false">IFERROR((O67*O22+O68*O23)/(O67+O68),"")</f>
        <v>0.0327099931813016</v>
      </c>
      <c r="P11" s="20" t="n">
        <f aca="false">IFERROR((P67*P22+P68*P23)/(P67+P68),"")</f>
        <v>0.0472265288775316</v>
      </c>
      <c r="Q11" s="20" t="n">
        <f aca="false">IFERROR((Q67*Q22+Q68*Q23)/(Q67+Q68),"")</f>
        <v>0.0208649132529093</v>
      </c>
      <c r="R11" s="20" t="n">
        <f aca="false">IFERROR((R67*R22+R68*R23)/(R67+R68),"")</f>
        <v>0.0317679536442677</v>
      </c>
      <c r="S11" s="20" t="n">
        <f aca="false">IFERROR(AVERAGE(O11,P11,Q11,R11),"")</f>
        <v>0.0331423472390026</v>
      </c>
      <c r="T11" s="20" t="n">
        <f aca="false">IFERROR((T67*T22+T68*T23)/(T67+T68),"")</f>
        <v>0.108941758957655</v>
      </c>
      <c r="U11" s="20" t="n">
        <f aca="false">IFERROR((U67*U22+U68*U23)/(U67+U68),"")</f>
        <v>0.125850540990917</v>
      </c>
      <c r="V11" s="20" t="n">
        <f aca="false">IFERROR((V67*V22+V68*V23)/(V67+V68),"")</f>
        <v>0.123650562194552</v>
      </c>
      <c r="W11" s="20" t="n">
        <f aca="false">IFERROR((W67*W22+W68*W23)/(W67+W68),"")</f>
        <v>0.114835267925902</v>
      </c>
      <c r="X11" s="20" t="n">
        <f aca="false">IFERROR(AVERAGE(T11,U11,V11,W11),"")</f>
        <v>0.118319532517257</v>
      </c>
      <c r="Y11" s="20" t="n">
        <f aca="false">IFERROR((Y67*Y22+Y68*Y23)/(Y67+Y68),"")</f>
        <v>0.0454742515927037</v>
      </c>
      <c r="Z11" s="20" t="n">
        <f aca="false">IFERROR((Z67*Z22+Z68*Z23)/(Z67+Z68),"")</f>
        <v>0.0392920902034373</v>
      </c>
      <c r="AA11" s="20" t="n">
        <f aca="false">IFERROR((AA67*AA22+AA68*AA23)/(AA67+AA68),"")</f>
        <v>0.0678641293893073</v>
      </c>
      <c r="AB11" s="20" t="n">
        <f aca="false">IFERROR((AB67*AB22+AB68*AB23)/(AB67+AB68),"")</f>
        <v>0.087942507013367</v>
      </c>
      <c r="AC11" s="20" t="n">
        <f aca="false">IFERROR(AVERAGE(Y11,Z11,AA11,AB11),"")</f>
        <v>0.0601432445497038</v>
      </c>
      <c r="AD11" s="20" t="n">
        <f aca="false">IFERROR((AD67*AD22+AD68*AD23)/(AD67+AD68),"")</f>
        <v>0.103925064406527</v>
      </c>
      <c r="AE11" s="20" t="n">
        <f aca="false">IFERROR((AE67*AE22+AE68*AE23)/(AE67+AE68),"")</f>
        <v>0.0760169614814084</v>
      </c>
      <c r="AF11" s="20" t="n">
        <f aca="false">IFERROR((AF67*AF22+AF68*AF23)/(AF67+AF68),"")</f>
        <v>0.0164349272142866</v>
      </c>
      <c r="AG11" s="20" t="n">
        <f aca="false">IFERROR((AG67*AG22+AG68*AG23)/(AG67+AG68),"")</f>
        <v>0.000595789379581619</v>
      </c>
      <c r="AH11" s="20" t="n">
        <f aca="false">IFERROR(AVERAGE(AD11,AE11,AF11,AG11),"")</f>
        <v>0.0492431856204508</v>
      </c>
      <c r="AI11" s="21" t="n">
        <v>0.01</v>
      </c>
      <c r="AJ11" s="20" t="n">
        <f aca="false">IFERROR((AJ67*AJ22+AJ68*AJ23)/(AJ67+AJ68),"")</f>
        <v>-0.0178310838827608</v>
      </c>
      <c r="AK11" s="20" t="n">
        <f aca="false">IFERROR((AK67*AK22+AK68*AK23)/(AK67+AK68),"")</f>
        <v>0.00723253549566231</v>
      </c>
      <c r="AL11" s="20" t="n">
        <f aca="false">IFERROR((AL67*AL22+AL68*AL23)/(AL67+AL68),"")</f>
        <v>-0.00699431899044132</v>
      </c>
      <c r="AM11" s="20" t="n">
        <f aca="false">IFERROR(AVERAGE(AI11,AJ11,AK11,AL11),"")</f>
        <v>-0.00189821684438496</v>
      </c>
      <c r="AN11" s="20" t="n">
        <f aca="false">IFERROR((AN67*AN22+AN68*AN23)/(AN67+AN68),"")</f>
        <v>0.0061758784513842</v>
      </c>
      <c r="AO11" s="20" t="n">
        <f aca="false">IFERROR((AO67*AO22+AO68*AO23)/(AO67+AO68),"")</f>
        <v>-0.0100721565232167</v>
      </c>
      <c r="AP11" s="20" t="n">
        <f aca="false">IFERROR((AP67*AP22+AP68*AP23)/(AP67+AP68),"")</f>
        <v>-0.0174880286002897</v>
      </c>
      <c r="AQ11" s="20" t="n">
        <f aca="false">IFERROR((AQ67*AQ22+AQ68*AQ23)/(AQ67+AQ68),"")</f>
        <v>0.0129374615651311</v>
      </c>
      <c r="AR11" s="20" t="n">
        <f aca="false">IFERROR(AVERAGE(AN11,AO11,AP11,AQ11),"")</f>
        <v>-0.00211171127674778</v>
      </c>
      <c r="AS11" s="20" t="n">
        <f aca="false">IFERROR((AS67*AS22+AS68*AS23)/(AS67+AS68),"")</f>
        <v>0.075</v>
      </c>
      <c r="AT11" s="20" t="n">
        <f aca="false">IFERROR((AT67*AT22+AT68*AT23)/(AT67+AT68),"")</f>
        <v>-0.0380606090490551</v>
      </c>
      <c r="AU11" s="20" t="n">
        <f aca="false">IFERROR((AU67*AU22+AU68*AU23)/(AU67+AU68),"")</f>
        <v>0.046697927403668</v>
      </c>
      <c r="AV11" s="20" t="n">
        <f aca="false">IFERROR((AV67*AV22+AV68*AV23)/(AV67+AV68),"")</f>
        <v>0.0350554666100113</v>
      </c>
      <c r="AW11" s="20" t="n">
        <f aca="false">IFERROR(AVERAGE(AS11,AT11,AU11,AV11),"")</f>
        <v>0.029673196241156</v>
      </c>
      <c r="AX11" s="20" t="n">
        <f aca="false">IFERROR((AX67*AX22+AX68*AX23)/(AX67+AX68),"")</f>
        <v>-0.00300905412072794</v>
      </c>
      <c r="AY11" s="21" t="n">
        <v>0.16</v>
      </c>
      <c r="AZ11" s="21" t="n">
        <v>0.025</v>
      </c>
      <c r="BA11" s="21" t="n">
        <v>0</v>
      </c>
      <c r="BB11" s="20" t="n">
        <f aca="false">IFERROR(AVERAGE(AX11,AY11,AZ11,BA11),"")</f>
        <v>0.045497736469818</v>
      </c>
      <c r="BC11" s="21" t="n">
        <v>0.01</v>
      </c>
      <c r="BD11" s="20" t="n">
        <f aca="false">IFERROR((BD67*BD22+BD68*BD23)/(BD67+BD68),"")</f>
        <v>0.00113728428744808</v>
      </c>
      <c r="BE11" s="20" t="n">
        <f aca="false">IFERROR((BE67*BE22+BE68*BE23)/(BE67+BE68),"")</f>
        <v>-0.000784696404233001</v>
      </c>
      <c r="BF11" s="21" t="n">
        <v>-0.02</v>
      </c>
      <c r="BG11" s="20" t="n">
        <f aca="false">IFERROR(AVERAGE(BC11,BD11,BE11,BF11),"")</f>
        <v>-0.00241185302919623</v>
      </c>
      <c r="BH11" s="21" t="n">
        <v>-0.045</v>
      </c>
      <c r="BI11" s="21" t="n">
        <v>-0.025</v>
      </c>
      <c r="BJ11" s="21" t="n">
        <v>-0.035</v>
      </c>
      <c r="BK11" s="21" t="n">
        <v>-0.01</v>
      </c>
      <c r="BL11" s="20" t="n">
        <f aca="false">IFERROR(AVERAGE(BH11,BI11,BJ11,BK11),"")</f>
        <v>-0.02875</v>
      </c>
      <c r="BM11" s="21" t="n">
        <v>0.015</v>
      </c>
      <c r="BN11" s="21" t="n">
        <v>0.015</v>
      </c>
      <c r="BO11" s="20" t="n">
        <f aca="false">IFERROR((BO67*BO22+BO68*BO23)/(BO67+BO68),"")</f>
        <v>-0.0146739768018316</v>
      </c>
      <c r="BP11" s="21" t="n">
        <v>-0.01</v>
      </c>
      <c r="BQ11" s="20" t="n">
        <f aca="false">IFERROR(AVERAGE(BM11,BN11,BO11,BP11),"")</f>
        <v>0.00133150579954209</v>
      </c>
      <c r="BR11" s="21" t="n">
        <v>-0.01</v>
      </c>
      <c r="BS11" s="21" t="n">
        <v>0.01</v>
      </c>
      <c r="BT11" s="21" t="n">
        <v>0.03</v>
      </c>
      <c r="BU11" s="21" t="n">
        <v>0.01</v>
      </c>
      <c r="BV11" s="20" t="n">
        <f aca="false">IFERROR(AVERAGE(BR11,BS11,BT11,BU11),"")</f>
        <v>0.01</v>
      </c>
      <c r="BW11" s="21" t="n">
        <v>0</v>
      </c>
      <c r="BX11" s="21" t="n">
        <v>0.015</v>
      </c>
      <c r="BY11" s="22" t="n">
        <f aca="false">$BX$11</f>
        <v>0.015</v>
      </c>
      <c r="BZ11" s="22" t="n">
        <f aca="false">$BX$11</f>
        <v>0.015</v>
      </c>
      <c r="CA11" s="22" t="n">
        <f aca="false">AVERAGE(BW11:BZ11)</f>
        <v>0.01125</v>
      </c>
      <c r="CB11" s="22" t="n">
        <f aca="false">CHOOSE(MATCH($CF$2,{"Bull","Base","Bear"},0),$CO$20,$CP$20,$CQ$20)</f>
        <v>0.03</v>
      </c>
      <c r="CC11" s="22" t="n">
        <f aca="false">CHOOSE(MATCH($CF$2,{"Bull","Base","Bear"},0),$CO$21,$CP$21,$CQ$21)</f>
        <v>0.035</v>
      </c>
      <c r="CD11" s="22" t="n">
        <f aca="false">CHOOSE(MATCH($CF$2,{"Bull","Base","Bear"},0),$CO$22,$CP$22,$CQ$22)</f>
        <v>0.03</v>
      </c>
      <c r="CE11" s="22" t="n">
        <f aca="false">CHOOSE(MATCH($CF$2,{"Bull","Base","Bear"},0),$CO$23,$CP$23,$CQ$23)</f>
        <v>0.03</v>
      </c>
      <c r="CF11" s="23" t="s">
        <v>86</v>
      </c>
      <c r="CN11" s="17" t="s">
        <v>87</v>
      </c>
      <c r="CO11" s="24" t="s">
        <v>88</v>
      </c>
      <c r="CP11" s="24" t="s">
        <v>89</v>
      </c>
      <c r="CQ11" s="24" t="s">
        <v>90</v>
      </c>
      <c r="CR11" s="14" t="s">
        <v>91</v>
      </c>
    </row>
    <row r="12" customFormat="false" ht="15" hidden="false" customHeight="false" outlineLevel="0" collapsed="false">
      <c r="B12" s="25" t="s">
        <v>92</v>
      </c>
      <c r="T12" s="26" t="str">
        <f aca="false">IFERROR((1+T14)/(1+T11)-1,"")</f>
        <v/>
      </c>
      <c r="U12" s="26" t="str">
        <f aca="false">IFERROR((1+U14)/(1+U11)-1,"")</f>
        <v/>
      </c>
      <c r="V12" s="26" t="str">
        <f aca="false">IFERROR((1+V14)/(1+V11)-1,"")</f>
        <v/>
      </c>
      <c r="W12" s="26" t="str">
        <f aca="false">IFERROR((1+W14)/(1+W11)-1,"")</f>
        <v/>
      </c>
      <c r="X12" s="26" t="n">
        <f aca="false">IFERROR((1+X14)/(1+X11)-1,"")</f>
        <v>0.0355292550686972</v>
      </c>
      <c r="Y12" s="26" t="n">
        <f aca="false">IFERROR((1+Y14)/(1+Y11)-1,"")</f>
        <v>0.0254049779731664</v>
      </c>
      <c r="Z12" s="26" t="n">
        <f aca="false">IFERROR((1+Z14)/(1+Z11)-1,"")</f>
        <v>-0.0352642697047247</v>
      </c>
      <c r="AA12" s="26" t="n">
        <f aca="false">IFERROR((1+AA14)/(1+AA11)-1,"")</f>
        <v>-0.137478798027896</v>
      </c>
      <c r="AB12" s="26" t="n">
        <f aca="false">IFERROR((1+AB14)/(1+AB11)-1,"")</f>
        <v>-0.161603742643051</v>
      </c>
      <c r="AC12" s="26" t="n">
        <f aca="false">IFERROR((1+AC14)/(1+AC11)-1,"")</f>
        <v>-0.0811803786929028</v>
      </c>
      <c r="AD12" s="26" t="n">
        <f aca="false">IFERROR((1+AD14)/(1+AD11)-1,"")</f>
        <v>-0.120949112604523</v>
      </c>
      <c r="AE12" s="26" t="n">
        <f aca="false">IFERROR((1+AE14)/(1+AE11)-1,"")</f>
        <v>-0.162130901941741</v>
      </c>
      <c r="AF12" s="26" t="n">
        <f aca="false">IFERROR((1+AF14)/(1+AF11)-1,"")</f>
        <v>-0.0179126781850366</v>
      </c>
      <c r="AG12" s="26" t="n">
        <f aca="false">IFERROR((1+AG14)/(1+AG11)-1,"")</f>
        <v>0.142552754116845</v>
      </c>
      <c r="AH12" s="26" t="n">
        <f aca="false">IFERROR((1+AH14)/(1+AH11)-1,"")</f>
        <v>-0.0464888135901055</v>
      </c>
      <c r="AI12" s="26" t="n">
        <f aca="false">IFERROR((1+AI14)/(1+AI11)-1,"")</f>
        <v>0.102626936520309</v>
      </c>
      <c r="AJ12" s="26" t="n">
        <f aca="false">IFERROR((1+AJ14)/(1+AJ11)-1,"")</f>
        <v>0.235720588912766</v>
      </c>
      <c r="AK12" s="26" t="n">
        <f aca="false">IFERROR((1+AK14)/(1+AK11)-1,"")</f>
        <v>0.224630625643753</v>
      </c>
      <c r="AL12" s="26" t="n">
        <f aca="false">IFERROR((1+AL14)/(1+AL11)-1,"")</f>
        <v>0.143022292155039</v>
      </c>
      <c r="AM12" s="26" t="n">
        <f aca="false">IFERROR((1+AM14)/(1+AM11)-1,"")</f>
        <v>0.17496669887325</v>
      </c>
      <c r="AN12" s="26" t="n">
        <f aca="false">IFERROR((1+AN14)/(1+AN11)-1,"")</f>
        <v>0.165862371988096</v>
      </c>
      <c r="AO12" s="26" t="n">
        <f aca="false">IFERROR((1+AO14)/(1+AO11)-1,"")</f>
        <v>0.124891261499944</v>
      </c>
      <c r="AP12" s="26" t="n">
        <f aca="false">IFERROR((1+AP14)/(1+AP11)-1,"")</f>
        <v>-0.0516439055283092</v>
      </c>
      <c r="AQ12" s="26" t="n">
        <f aca="false">IFERROR((1+AQ14)/(1+AQ11)-1,"")</f>
        <v>-0.181891057917552</v>
      </c>
      <c r="AR12" s="26" t="n">
        <f aca="false">IFERROR((1+AR14)/(1+AR11)-1,"")</f>
        <v>0.00708670426174129</v>
      </c>
      <c r="AS12" s="26" t="n">
        <f aca="false">IFERROR((1+AS14)/(1+AS11)-1,"")</f>
        <v>-0.287287570531005</v>
      </c>
      <c r="AT12" s="26" t="n">
        <f aca="false">IFERROR((1+AT14)/(1+AT11)-1,"")</f>
        <v>-0.18881760966173</v>
      </c>
      <c r="AU12" s="26" t="n">
        <f aca="false">IFERROR((1+AU14)/(1+AU11)-1,"")</f>
        <v>-0.189580876431058</v>
      </c>
      <c r="AV12" s="26" t="n">
        <f aca="false">IFERROR((1+AV14)/(1+AV11)-1,"")</f>
        <v>-0.0186011614744881</v>
      </c>
      <c r="AW12" s="26" t="n">
        <f aca="false">IFERROR((1+AW14)/(1+AW11)-1,"")</f>
        <v>-0.180262170747011</v>
      </c>
      <c r="AX12" s="26" t="n">
        <f aca="false">IFERROR((1+AX14)/(1+AX11)-1,"")</f>
        <v>0.133057640616045</v>
      </c>
      <c r="AY12" s="26" t="n">
        <f aca="false">IFERROR((1+AY14)/(1+AY11)-1,"")</f>
        <v>-0.00837857373097617</v>
      </c>
      <c r="AZ12" s="26" t="n">
        <f aca="false">IFERROR((1+AZ14)/(1+AZ11)-1,"")</f>
        <v>0.220096193319445</v>
      </c>
      <c r="BA12" s="26" t="n">
        <f aca="false">IFERROR((1+BA14)/(1+BA11)-1,"")</f>
        <v>0.197286386065008</v>
      </c>
      <c r="BB12" s="26" t="n">
        <f aca="false">IFERROR((1+BB14)/(1+BB11)-1,"")</f>
        <v>0.130405277391699</v>
      </c>
      <c r="BC12" s="26" t="n">
        <f aca="false">IFERROR((1+BC14)/(1+BC11)-1,"")</f>
        <v>0.189930157847609</v>
      </c>
      <c r="BD12" s="26" t="n">
        <f aca="false">IFERROR((1+BD14)/(1+BD11)-1,"")</f>
        <v>0.428875928426524</v>
      </c>
      <c r="BE12" s="26" t="n">
        <f aca="false">IFERROR((1+BE14)/(1+BE11)-1,"")</f>
        <v>0.226189232303547</v>
      </c>
      <c r="BF12" s="26" t="n">
        <f aca="false">IFERROR((1+BF14)/(1+BF11)-1,"")</f>
        <v>0.0787546338257468</v>
      </c>
      <c r="BG12" s="26" t="n">
        <f aca="false">IFERROR((1+BG14)/(1+BG11)-1,"")</f>
        <v>0.228149837945935</v>
      </c>
      <c r="BH12" s="26" t="n">
        <f aca="false">IFERROR((1+BH14)/(1+BH11)-1,"")</f>
        <v>-0.117251210623069</v>
      </c>
      <c r="BI12" s="26" t="n">
        <f aca="false">IFERROR((1+BI14)/(1+BI11)-1,"")</f>
        <v>-0.342244186172064</v>
      </c>
      <c r="BJ12" s="26" t="n">
        <f aca="false">IFERROR((1+BJ14)/(1+BJ11)-1,"")</f>
        <v>-0.289574790817585</v>
      </c>
      <c r="BK12" s="26" t="n">
        <f aca="false">IFERROR((1+BK14)/(1+BK11)-1,"")</f>
        <v>-0.235470906457993</v>
      </c>
      <c r="BL12" s="26" t="n">
        <f aca="false">IFERROR((1+BL14)/(1+BL11)-1,"")</f>
        <v>-0.252956374899067</v>
      </c>
      <c r="BM12" s="26" t="n">
        <f aca="false">IFERROR((1+BM14)/(1+BM11)-1,"")</f>
        <v>-0.0830029431031046</v>
      </c>
      <c r="BN12" s="26" t="n">
        <f aca="false">IFERROR((1+BN14)/(1+BN11)-1,"")</f>
        <v>0.0322650185597984</v>
      </c>
      <c r="BO12" s="26" t="n">
        <f aca="false">IFERROR((1+BO14)/(1+BO11)-1,"")</f>
        <v>0.104573600845868</v>
      </c>
      <c r="BP12" s="26" t="n">
        <f aca="false">IFERROR((1+BP14)/(1+BP11)-1,"")</f>
        <v>0.0728262908283268</v>
      </c>
      <c r="BQ12" s="26" t="n">
        <f aca="false">IFERROR((1+BQ14)/(1+BQ11)-1,"")</f>
        <v>0.0283329873109144</v>
      </c>
      <c r="BR12" s="26" t="n">
        <f aca="false">IFERROR((1+BR14)/(1+BR11)-1,"")</f>
        <v>0.0640615823058974</v>
      </c>
      <c r="BS12" s="26" t="n">
        <f aca="false">IFERROR((1+BS14)/(1+BS11)-1,"")</f>
        <v>0.0198050237019356</v>
      </c>
      <c r="BT12" s="26" t="n">
        <f aca="false">IFERROR((1+BT14)/(1+BT11)-1,"")</f>
        <v>0.0250530414329708</v>
      </c>
      <c r="BU12" s="26" t="n">
        <f aca="false">IFERROR((1+BU14)/(1+BU11)-1,"")</f>
        <v>0.00935837335033751</v>
      </c>
      <c r="BV12" s="26" t="n">
        <f aca="false">IFERROR((1+BV14)/(1+BV11)-1,"")</f>
        <v>0.0293930053804372</v>
      </c>
      <c r="BW12" s="26" t="n">
        <f aca="false">IFERROR((1+BW14)/(1+BW11)-1,"")</f>
        <v>0.0304859391285224</v>
      </c>
      <c r="BX12" s="26" t="n">
        <f aca="false">IFERROR((1+BX14)/(1+BX11)-1,"")</f>
        <v>0.0698770537949707</v>
      </c>
      <c r="BY12" s="27" t="n">
        <f aca="false">$BX$12+BY109</f>
        <v>0.0847156721156408</v>
      </c>
      <c r="BZ12" s="27" t="n">
        <f aca="false">$BX$12+BY109</f>
        <v>0.0847156721156408</v>
      </c>
      <c r="CA12" s="27" t="n">
        <f aca="false">IFERROR((1+CA14)/(1+CA11)-1,"")</f>
        <v>0.0678736094547692</v>
      </c>
      <c r="CB12" s="27" t="n">
        <f aca="false">CHOOSE(MATCH($CF$2,{"Bull","Base","Bear"},0),$CO$25,$CP$25,$CQ$25)</f>
        <v>0.04</v>
      </c>
      <c r="CC12" s="27" t="n">
        <f aca="false">CHOOSE(MATCH($CF$2,{"Bull","Base","Bear"},0),$CO$26,$CP$26,$CQ$26)</f>
        <v>0.03</v>
      </c>
      <c r="CD12" s="27" t="n">
        <f aca="false">CHOOSE(MATCH($CF$2,{"Bull","Base","Bear"},0),$CO$27,$CP$27,$CQ$27)</f>
        <v>0.02</v>
      </c>
      <c r="CE12" s="27" t="n">
        <f aca="false">CHOOSE(MATCH($CF$2,{"Bull","Base","Bear"},0),$CO$28,$CP$28,$CQ$28)</f>
        <v>0.02</v>
      </c>
      <c r="CF12" s="23" t="s">
        <v>93</v>
      </c>
      <c r="CN12" s="28" t="s">
        <v>94</v>
      </c>
      <c r="CO12" s="29" t="n">
        <v>1040</v>
      </c>
      <c r="CP12" s="30" t="n">
        <f aca="false">AVERAGE(CO12,CQ12)</f>
        <v>1002</v>
      </c>
      <c r="CQ12" s="29" t="n">
        <v>964</v>
      </c>
      <c r="CR12" s="14" t="s">
        <v>95</v>
      </c>
    </row>
    <row r="13" customFormat="false" ht="15" hidden="false" customHeight="false" outlineLevel="0" collapsed="false">
      <c r="B13" s="18" t="s">
        <v>96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31" t="n">
        <v>1351.335</v>
      </c>
      <c r="T13" s="31" t="n">
        <v>358.009</v>
      </c>
      <c r="U13" s="31" t="n">
        <v>398.151</v>
      </c>
      <c r="V13" s="31" t="n">
        <v>410.478</v>
      </c>
      <c r="W13" s="31" t="n">
        <v>398.279</v>
      </c>
      <c r="X13" s="31" t="n">
        <v>1564.917</v>
      </c>
      <c r="Y13" s="31" t="n">
        <v>383.798</v>
      </c>
      <c r="Z13" s="31" t="n">
        <v>399.203</v>
      </c>
      <c r="AA13" s="31" t="n">
        <v>378.073</v>
      </c>
      <c r="AB13" s="31" t="n">
        <v>363.281</v>
      </c>
      <c r="AC13" s="31" t="n">
        <v>1524.355</v>
      </c>
      <c r="AD13" s="31" t="n">
        <v>372.44</v>
      </c>
      <c r="AE13" s="31" t="n">
        <v>359.906</v>
      </c>
      <c r="AF13" s="31" t="n">
        <v>377.403</v>
      </c>
      <c r="AG13" s="31" t="n">
        <v>415.315</v>
      </c>
      <c r="AH13" s="31" t="n">
        <v>1525.064</v>
      </c>
      <c r="AI13" s="31" t="n">
        <v>414.769</v>
      </c>
      <c r="AJ13" s="31" t="n">
        <v>436.813</v>
      </c>
      <c r="AK13" s="31" t="n">
        <v>465.522</v>
      </c>
      <c r="AL13" s="31" t="n">
        <v>471.394</v>
      </c>
      <c r="AM13" s="31" t="n">
        <v>1788.498</v>
      </c>
      <c r="AN13" s="31" t="n">
        <v>486.55</v>
      </c>
      <c r="AO13" s="31" t="n">
        <v>486.418</v>
      </c>
      <c r="AP13" s="31" t="n">
        <v>433.76</v>
      </c>
      <c r="AQ13" s="31" t="n">
        <v>390.641</v>
      </c>
      <c r="AR13" s="31" t="n">
        <v>1797.369</v>
      </c>
      <c r="AS13" s="31" t="n">
        <v>372.778</v>
      </c>
      <c r="AT13" s="31" t="n">
        <v>379.556</v>
      </c>
      <c r="AU13" s="31" t="n">
        <v>367.943</v>
      </c>
      <c r="AV13" s="31" t="n">
        <v>396.814</v>
      </c>
      <c r="AW13" s="31" t="n">
        <v>1517.091</v>
      </c>
      <c r="AX13" s="31" t="n">
        <v>421.108</v>
      </c>
      <c r="AY13" s="31" t="n">
        <v>436.596</v>
      </c>
      <c r="AZ13" s="31" t="n">
        <v>460.149</v>
      </c>
      <c r="BA13" s="31" t="n">
        <v>475.1</v>
      </c>
      <c r="BB13" s="31" t="n">
        <v>1792.953</v>
      </c>
      <c r="BC13" s="31" t="n">
        <v>506.1</v>
      </c>
      <c r="BD13" s="31" t="n">
        <v>624.551</v>
      </c>
      <c r="BE13" s="31" t="n">
        <v>563.787</v>
      </c>
      <c r="BF13" s="31" t="n">
        <v>502.266</v>
      </c>
      <c r="BG13" s="31" t="n">
        <v>2196.704</v>
      </c>
      <c r="BH13" s="31" t="n">
        <v>426.655</v>
      </c>
      <c r="BI13" s="31" t="n">
        <v>400.532</v>
      </c>
      <c r="BJ13" s="31" t="n">
        <v>386.51</v>
      </c>
      <c r="BK13" s="31" t="n">
        <v>380.157</v>
      </c>
      <c r="BL13" s="31" t="n">
        <v>1593.854</v>
      </c>
      <c r="BM13" s="31" t="n">
        <v>397.11</v>
      </c>
      <c r="BN13" s="31" t="n">
        <v>419.657</v>
      </c>
      <c r="BO13" s="31" t="n">
        <v>420.664</v>
      </c>
      <c r="BP13" s="31" t="n">
        <v>403.764</v>
      </c>
      <c r="BQ13" s="31" t="n">
        <v>1641.195</v>
      </c>
      <c r="BR13" s="31" t="n">
        <v>418.324</v>
      </c>
      <c r="BS13" s="31" t="n">
        <v>432.248</v>
      </c>
      <c r="BT13" s="31" t="n">
        <v>444.139</v>
      </c>
      <c r="BU13" s="31" t="n">
        <v>411.618</v>
      </c>
      <c r="BV13" s="31" t="n">
        <v>1706.329</v>
      </c>
      <c r="BW13" s="31" t="n">
        <v>431.077</v>
      </c>
      <c r="BX13" s="31" t="n">
        <v>469.389</v>
      </c>
      <c r="BY13" s="32" t="n">
        <f aca="false">BT13*(1+BY11)*(1+BY12)</f>
        <v>488.991001906235</v>
      </c>
      <c r="BZ13" s="32" t="n">
        <f aca="false">BU13*(1+BZ11)*(1+BZ12)</f>
        <v>453.185822957769</v>
      </c>
      <c r="CA13" s="32" t="n">
        <f aca="false">SUM(BW13,BX13,BY13,BZ13)</f>
        <v>1842.642824864</v>
      </c>
      <c r="CB13" s="32" t="n">
        <f aca="false">CA13*(1+CB11)*(1+CB12)</f>
        <v>1973.83899399432</v>
      </c>
      <c r="CC13" s="32" t="n">
        <f aca="false">CB13*(1+CC11)*(1+CC12)</f>
        <v>2104.21105954765</v>
      </c>
      <c r="CD13" s="32" t="n">
        <f aca="false">CC13*(1+CD11)*(1+CD12)</f>
        <v>2210.68413916076</v>
      </c>
      <c r="CE13" s="32" t="n">
        <f aca="false">CD13*(1+CE11)*(1+CE12)</f>
        <v>2322.54475660229</v>
      </c>
      <c r="CF13" s="23" t="s">
        <v>97</v>
      </c>
      <c r="CH13" s="33" t="n">
        <f aca="false">IFERROR((CE13/BV13)^(1/5)-1,"n/m")</f>
        <v>0.0636047396703654</v>
      </c>
      <c r="CI13" s="33" t="n">
        <f aca="false">IFERROR((BV13/AW13)^(1/5)-1,"n/m")</f>
        <v>0.0237884554209968</v>
      </c>
      <c r="CJ13" s="33" t="n">
        <f aca="false">IFERROR((BV13/X13)^(1/10)-1,"n/m")</f>
        <v>0.00868867851733501</v>
      </c>
      <c r="CK13" s="33" t="str">
        <f aca="false">IFERROR((BV13/C13)^(1/19)-1,"n/m")</f>
        <v>n/m</v>
      </c>
      <c r="CN13" s="28" t="s">
        <v>98</v>
      </c>
      <c r="CO13" s="34" t="n">
        <v>0.18</v>
      </c>
      <c r="CP13" s="34" t="n">
        <v>0.19</v>
      </c>
      <c r="CQ13" s="34" t="n">
        <v>0.2</v>
      </c>
      <c r="CR13" s="14" t="s">
        <v>99</v>
      </c>
    </row>
    <row r="14" customFormat="false" ht="15" hidden="false" customHeight="false" outlineLevel="0" collapsed="false">
      <c r="B14" s="25" t="s">
        <v>100</v>
      </c>
      <c r="D14" s="26" t="str">
        <f aca="false">IF(AND(ISNUMBER(D13),ISNUMBER(C13)),IFERROR(D13/C13-1,""),"")</f>
        <v/>
      </c>
      <c r="E14" s="26" t="str">
        <f aca="false">IF(AND(ISNUMBER(E13),ISNUMBER(D13)),IFERROR(E13/D13-1,""),"")</f>
        <v/>
      </c>
      <c r="F14" s="26" t="str">
        <f aca="false">IF(AND(ISNUMBER(F13),ISNUMBER(E13)),IFERROR(F13/E13-1,""),"")</f>
        <v/>
      </c>
      <c r="G14" s="26" t="str">
        <f aca="false">IF(AND(ISNUMBER(G13),ISNUMBER(F13)),IFERROR(G13/F13-1,""),"")</f>
        <v/>
      </c>
      <c r="H14" s="26" t="str">
        <f aca="false">IF(AND(ISNUMBER(H13),ISNUMBER(G13)),IFERROR(H13/G13-1,""),"")</f>
        <v/>
      </c>
      <c r="I14" s="26" t="str">
        <f aca="false">IF(AND(ISNUMBER(I13),ISNUMBER(H13)),IFERROR(I13/H13-1,""),"")</f>
        <v/>
      </c>
      <c r="N14" s="26" t="str">
        <f aca="false">IF(AND(ISNUMBER(N13),ISNUMBER(I13)),IFERROR(N13/I13-1,""),"")</f>
        <v/>
      </c>
      <c r="O14" s="26" t="str">
        <f aca="false">IF(AND(ISNUMBER(O13),ISNUMBER(J13)),IFERROR(O13/J13-1,""),"")</f>
        <v/>
      </c>
      <c r="P14" s="26" t="str">
        <f aca="false">IF(AND(ISNUMBER(P13),ISNUMBER(K13)),IFERROR(P13/K13-1,""),"")</f>
        <v/>
      </c>
      <c r="Q14" s="26" t="str">
        <f aca="false">IF(AND(ISNUMBER(Q13),ISNUMBER(L13)),IFERROR(Q13/L13-1,""),"")</f>
        <v/>
      </c>
      <c r="R14" s="26" t="str">
        <f aca="false">IF(AND(ISNUMBER(R13),ISNUMBER(M13)),IFERROR(R13/M13-1,""),"")</f>
        <v/>
      </c>
      <c r="S14" s="26" t="str">
        <f aca="false">IF(AND(ISNUMBER(S13),ISNUMBER(N13)),IFERROR(S13/N13-1,""),"")</f>
        <v/>
      </c>
      <c r="T14" s="26" t="str">
        <f aca="false">IF(AND(ISNUMBER(T13),ISNUMBER(O13)),IFERROR(T13/O13-1,""),"")</f>
        <v/>
      </c>
      <c r="U14" s="26" t="str">
        <f aca="false">IF(AND(ISNUMBER(U13),ISNUMBER(P13)),IFERROR(U13/P13-1,""),"")</f>
        <v/>
      </c>
      <c r="V14" s="26" t="str">
        <f aca="false">IF(AND(ISNUMBER(V13),ISNUMBER(Q13)),IFERROR(V13/Q13-1,""),"")</f>
        <v/>
      </c>
      <c r="W14" s="26" t="str">
        <f aca="false">IF(AND(ISNUMBER(W13),ISNUMBER(R13)),IFERROR(W13/R13-1,""),"")</f>
        <v/>
      </c>
      <c r="X14" s="26" t="n">
        <f aca="false">IF(AND(ISNUMBER(X13),ISNUMBER(S13)),IFERROR(X13/S13-1,""),"")</f>
        <v>0.158052592436369</v>
      </c>
      <c r="Y14" s="26" t="n">
        <f aca="false">IF(AND(ISNUMBER(Y13),ISNUMBER(T13)),IFERROR(Y13/T13-1,""),"")</f>
        <v>0.0720345019259292</v>
      </c>
      <c r="Z14" s="26" t="n">
        <f aca="false">IF(AND(ISNUMBER(Z13),ISNUMBER(U13)),IFERROR(Z13/U13-1,""),"")</f>
        <v>0.00264221363251616</v>
      </c>
      <c r="AA14" s="26" t="n">
        <f aca="false">IF(AND(ISNUMBER(AA13),ISNUMBER(V13)),IFERROR(AA13/V13-1,""),"")</f>
        <v>-0.0789445475762405</v>
      </c>
      <c r="AB14" s="26" t="n">
        <f aca="false">IF(AND(ISNUMBER(AB13),ISNUMBER(W13)),IFERROR(AB13/W13-1,""),"")</f>
        <v>-0.0878730739004567</v>
      </c>
      <c r="AC14" s="26" t="n">
        <f aca="false">IF(AND(ISNUMBER(AC13),ISNUMBER(X13)),IFERROR(AC13/X13-1,""),"")</f>
        <v>-0.0259195855115638</v>
      </c>
      <c r="AD14" s="26" t="n">
        <f aca="false">IF(AND(ISNUMBER(AD13),ISNUMBER(Y13)),IFERROR(AD13/Y13-1,""),"")</f>
        <v>-0.0295936925153336</v>
      </c>
      <c r="AE14" s="26" t="n">
        <f aca="false">IF(AND(ISNUMBER(AE13),ISNUMBER(Z13)),IFERROR(AE13/Z13-1,""),"")</f>
        <v>-0.0984386389881838</v>
      </c>
      <c r="AF14" s="26" t="n">
        <f aca="false">IF(AND(ISNUMBER(AF13),ISNUMBER(AA13)),IFERROR(AF13/AA13-1,""),"")</f>
        <v>-0.00177214453293406</v>
      </c>
      <c r="AG14" s="26" t="n">
        <f aca="false">IF(AND(ISNUMBER(AG13),ISNUMBER(AB13)),IFERROR(AG13/AB13-1,""),"")</f>
        <v>0.143233474913359</v>
      </c>
      <c r="AH14" s="26" t="n">
        <f aca="false">IF(AND(ISNUMBER(AH13),ISNUMBER(AC13)),IFERROR(AH13/AC13-1,""),"")</f>
        <v>0.000465114753453122</v>
      </c>
      <c r="AI14" s="26" t="n">
        <f aca="false">IF(AND(ISNUMBER(AI13),ISNUMBER(AD13)),IFERROR(AI13/AD13-1,""),"")</f>
        <v>0.113653205885512</v>
      </c>
      <c r="AJ14" s="26" t="n">
        <f aca="false">IF(AND(ISNUMBER(AJ13),ISNUMBER(AE13)),IFERROR(AJ13/AE13-1,""),"")</f>
        <v>0.213686351436208</v>
      </c>
      <c r="AK14" s="26" t="n">
        <f aca="false">IF(AND(ISNUMBER(AK13),ISNUMBER(AF13)),IFERROR(AK13/AF13-1,""),"")</f>
        <v>0.233487810112797</v>
      </c>
      <c r="AL14" s="26" t="n">
        <f aca="false">IF(AND(ISNUMBER(AL13),ISNUMBER(AG13)),IFERROR(AL13/AG13-1,""),"")</f>
        <v>0.135027629630522</v>
      </c>
      <c r="AM14" s="26" t="n">
        <f aca="false">IF(AND(ISNUMBER(AM13),ISNUMBER(AH13)),IFERROR(AM13/AH13-1,""),"")</f>
        <v>0.172736357293858</v>
      </c>
      <c r="AN14" s="26" t="n">
        <f aca="false">IF(AND(ISNUMBER(AN13),ISNUMBER(AI13)),IFERROR(AN13/AI13-1,""),"")</f>
        <v>0.173062596288537</v>
      </c>
      <c r="AO14" s="26" t="n">
        <f aca="false">IF(AND(ISNUMBER(AO13),ISNUMBER(AJ13)),IFERROR(AO13/AJ13-1,""),"")</f>
        <v>0.113561180642518</v>
      </c>
      <c r="AP14" s="26" t="n">
        <f aca="false">IF(AND(ISNUMBER(AP13),ISNUMBER(AK13)),IFERROR(AP13/AK13-1,""),"")</f>
        <v>-0.0682287840316892</v>
      </c>
      <c r="AQ14" s="26" t="n">
        <f aca="false">IF(AND(ISNUMBER(AQ13),ISNUMBER(AL13)),IFERROR(AQ13/AL13-1,""),"")</f>
        <v>-0.17130680492327</v>
      </c>
      <c r="AR14" s="26" t="n">
        <f aca="false">IF(AND(ISNUMBER(AR13),ISNUMBER(AM13)),IFERROR(AR13/AM13-1,""),"")</f>
        <v>0.00496002791168904</v>
      </c>
      <c r="AS14" s="26" t="n">
        <f aca="false">IF(AND(ISNUMBER(AS13),ISNUMBER(AN13)),IFERROR(AS13/AN13-1,""),"")</f>
        <v>-0.23383413832083</v>
      </c>
      <c r="AT14" s="26" t="n">
        <f aca="false">IF(AND(ISNUMBER(AT13),ISNUMBER(AO13)),IFERROR(AT13/AO13-1,""),"")</f>
        <v>-0.219691705487873</v>
      </c>
      <c r="AU14" s="26" t="n">
        <f aca="false">IF(AND(ISNUMBER(AU13),ISNUMBER(AP13)),IFERROR(AU13/AP13-1,""),"")</f>
        <v>-0.151735983032091</v>
      </c>
      <c r="AV14" s="26" t="n">
        <f aca="false">IF(AND(ISNUMBER(AV13),ISNUMBER(AQ13)),IFERROR(AV13/AQ13-1,""),"")</f>
        <v>0.0158022327405469</v>
      </c>
      <c r="AW14" s="26" t="n">
        <f aca="false">IF(AND(ISNUMBER(AW13),ISNUMBER(AR13)),IFERROR(AW13/AR13-1,""),"")</f>
        <v>-0.155937929273288</v>
      </c>
      <c r="AX14" s="26" t="n">
        <f aca="false">IF(AND(ISNUMBER(AX13),ISNUMBER(AS13)),IFERROR(AX13/AS13-1,""),"")</f>
        <v>0.129648208853527</v>
      </c>
      <c r="AY14" s="26" t="n">
        <f aca="false">IF(AND(ISNUMBER(AY13),ISNUMBER(AT13)),IFERROR(AY13/AT13-1,""),"")</f>
        <v>0.150280854472068</v>
      </c>
      <c r="AZ14" s="26" t="n">
        <f aca="false">IF(AND(ISNUMBER(AZ13),ISNUMBER(AU13)),IFERROR(AZ13/AU13-1,""),"")</f>
        <v>0.250598598152431</v>
      </c>
      <c r="BA14" s="26" t="n">
        <f aca="false">IF(AND(ISNUMBER(BA13),ISNUMBER(AV13)),IFERROR(BA13/AV13-1,""),"")</f>
        <v>0.197286386065008</v>
      </c>
      <c r="BB14" s="26" t="n">
        <f aca="false">IF(AND(ISNUMBER(BB13),ISNUMBER(AW13)),IFERROR(BB13/AW13-1,""),"")</f>
        <v>0.181836158806558</v>
      </c>
      <c r="BC14" s="26" t="n">
        <f aca="false">IF(AND(ISNUMBER(BC13),ISNUMBER(AX13)),IFERROR(BC13/AX13-1,""),"")</f>
        <v>0.201829459426085</v>
      </c>
      <c r="BD14" s="26" t="n">
        <f aca="false">IF(AND(ISNUMBER(BD13),ISNUMBER(AY13)),IFERROR(BD13/AY13-1,""),"")</f>
        <v>0.430500966568636</v>
      </c>
      <c r="BE14" s="26" t="n">
        <f aca="false">IF(AND(ISNUMBER(BE13),ISNUMBER(AZ13)),IFERROR(BE13/AZ13-1,""),"")</f>
        <v>0.225227046022049</v>
      </c>
      <c r="BF14" s="26" t="n">
        <f aca="false">IF(AND(ISNUMBER(BF13),ISNUMBER(BA13)),IFERROR(BF13/BA13-1,""),"")</f>
        <v>0.0571795411492317</v>
      </c>
      <c r="BG14" s="26" t="n">
        <f aca="false">IF(AND(ISNUMBER(BG13),ISNUMBER(BB13)),IFERROR(BG13/BB13-1,""),"")</f>
        <v>0.225187721038979</v>
      </c>
      <c r="BH14" s="26" t="n">
        <f aca="false">IF(AND(ISNUMBER(BH13),ISNUMBER(BC13)),IFERROR(BH13/BC13-1,""),"")</f>
        <v>-0.156974906145031</v>
      </c>
      <c r="BI14" s="26" t="n">
        <f aca="false">IF(AND(ISNUMBER(BI13),ISNUMBER(BD13)),IFERROR(BI13/BD13-1,""),"")</f>
        <v>-0.358688081517762</v>
      </c>
      <c r="BJ14" s="26" t="n">
        <f aca="false">IF(AND(ISNUMBER(BJ13),ISNUMBER(BE13)),IFERROR(BJ13/BE13-1,""),"")</f>
        <v>-0.314439673138969</v>
      </c>
      <c r="BK14" s="26" t="n">
        <f aca="false">IF(AND(ISNUMBER(BK13),ISNUMBER(BF13)),IFERROR(BK13/BF13-1,""),"")</f>
        <v>-0.243116197393413</v>
      </c>
      <c r="BL14" s="26" t="n">
        <f aca="false">IF(AND(ISNUMBER(BL13),ISNUMBER(BG13)),IFERROR(BL13/BG13-1,""),"")</f>
        <v>-0.274433879120719</v>
      </c>
      <c r="BM14" s="26" t="n">
        <f aca="false">IF(AND(ISNUMBER(BM13),ISNUMBER(BH13)),IFERROR(BM13/BH13-1,""),"")</f>
        <v>-0.0692479872496513</v>
      </c>
      <c r="BN14" s="26" t="n">
        <f aca="false">IF(AND(ISNUMBER(BN13),ISNUMBER(BI13)),IFERROR(BN13/BI13-1,""),"")</f>
        <v>0.0477489938381952</v>
      </c>
      <c r="BO14" s="26" t="n">
        <f aca="false">IF(AND(ISNUMBER(BO13),ISNUMBER(BJ13)),IFERROR(BO13/BJ13-1,""),"")</f>
        <v>0.0883651134511396</v>
      </c>
      <c r="BP14" s="26" t="n">
        <f aca="false">IF(AND(ISNUMBER(BP13),ISNUMBER(BK13)),IFERROR(BP13/BK13-1,""),"")</f>
        <v>0.0620980279200436</v>
      </c>
      <c r="BQ14" s="26" t="n">
        <f aca="false">IF(AND(ISNUMBER(BQ13),ISNUMBER(BL13)),IFERROR(BQ13/BL13-1,""),"")</f>
        <v>0.0297022186473792</v>
      </c>
      <c r="BR14" s="26" t="n">
        <f aca="false">IF(AND(ISNUMBER(BR13),ISNUMBER(BM13)),IFERROR(BR13/BM13-1,""),"")</f>
        <v>0.0534209664828385</v>
      </c>
      <c r="BS14" s="26" t="n">
        <f aca="false">IF(AND(ISNUMBER(BS13),ISNUMBER(BN13)),IFERROR(BS13/BN13-1,""),"")</f>
        <v>0.030003073938955</v>
      </c>
      <c r="BT14" s="26" t="n">
        <f aca="false">IF(AND(ISNUMBER(BT13),ISNUMBER(BO13)),IFERROR(BT13/BO13-1,""),"")</f>
        <v>0.05580463267596</v>
      </c>
      <c r="BU14" s="26" t="n">
        <f aca="false">IF(AND(ISNUMBER(BU13),ISNUMBER(BP13)),IFERROR(BU13/BP13-1,""),"")</f>
        <v>0.019451957083841</v>
      </c>
      <c r="BV14" s="26" t="n">
        <f aca="false">IF(AND(ISNUMBER(BV13),ISNUMBER(BQ13)),IFERROR(BV13/BQ13-1,""),"")</f>
        <v>0.0396869354342415</v>
      </c>
      <c r="BW14" s="26" t="n">
        <f aca="false">IF(AND(ISNUMBER(BW13),ISNUMBER(BR13)),IFERROR(BW13/BR13-1,""),"")</f>
        <v>0.0304859391285224</v>
      </c>
      <c r="BX14" s="26" t="n">
        <f aca="false">IF(AND(ISNUMBER(BX13),ISNUMBER(BS13)),IFERROR(BX13/BS13-1,""),"")</f>
        <v>0.0859252096018952</v>
      </c>
      <c r="BY14" s="27" t="n">
        <f aca="false">IFERROR(BY13/BT13-1,"")</f>
        <v>0.100986407197375</v>
      </c>
      <c r="BZ14" s="27" t="n">
        <f aca="false">IFERROR(BZ13/BU13-1,"")</f>
        <v>0.100986407197375</v>
      </c>
      <c r="CA14" s="27" t="n">
        <f aca="false">IFERROR(CA13/BV13-1,"")</f>
        <v>0.0798871875611353</v>
      </c>
      <c r="CB14" s="27" t="n">
        <f aca="false">IFERROR(CB13/CA13-1,"")</f>
        <v>0.0712000000000002</v>
      </c>
      <c r="CC14" s="27" t="n">
        <f aca="false">IFERROR(CC13/CB13-1,"")</f>
        <v>0.0660499999999999</v>
      </c>
      <c r="CD14" s="27" t="n">
        <f aca="false">IFERROR(CD13/CC13-1,"")</f>
        <v>0.0506000000000002</v>
      </c>
      <c r="CE14" s="27" t="n">
        <f aca="false">IFERROR(CE13/CD13-1,"")</f>
        <v>0.0506</v>
      </c>
      <c r="CN14" s="28" t="s">
        <v>101</v>
      </c>
      <c r="CO14" s="29" t="n">
        <v>75</v>
      </c>
      <c r="CP14" s="29" t="n">
        <v>70</v>
      </c>
      <c r="CQ14" s="29" t="n">
        <v>65</v>
      </c>
      <c r="CR14" s="14" t="s">
        <v>102</v>
      </c>
    </row>
    <row r="15" customFormat="false" ht="15" hidden="false" customHeight="false" outlineLevel="0" collapsed="false">
      <c r="B15" s="25" t="s">
        <v>103</v>
      </c>
      <c r="C15" s="26" t="str">
        <f aca="false">IF(AND(ISNUMBER(C13),ISNUMBER(C16)),IFERROR(C13/C16,""),"")</f>
        <v/>
      </c>
      <c r="D15" s="26" t="str">
        <f aca="false">IF(AND(ISNUMBER(D13),ISNUMBER(D16)),IFERROR(D13/D16,""),"")</f>
        <v/>
      </c>
      <c r="E15" s="26" t="str">
        <f aca="false">IF(AND(ISNUMBER(E13),ISNUMBER(E16)),IFERROR(E13/E16,""),"")</f>
        <v/>
      </c>
      <c r="F15" s="26" t="str">
        <f aca="false">IF(AND(ISNUMBER(F13),ISNUMBER(F16)),IFERROR(F13/F16,""),"")</f>
        <v/>
      </c>
      <c r="G15" s="26" t="str">
        <f aca="false">IF(AND(ISNUMBER(G13),ISNUMBER(G16)),IFERROR(G13/G16,""),"")</f>
        <v/>
      </c>
      <c r="H15" s="26" t="str">
        <f aca="false">IF(AND(ISNUMBER(H13),ISNUMBER(H16)),IFERROR(H13/H16,""),"")</f>
        <v/>
      </c>
      <c r="I15" s="26" t="str">
        <f aca="false">IF(AND(ISNUMBER(I13),ISNUMBER(I16)),IFERROR(I13/I16,""),"")</f>
        <v/>
      </c>
      <c r="J15" s="26" t="str">
        <f aca="false">IF(AND(ISNUMBER(J13),ISNUMBER(J16)),IFERROR(J13/J16,""),"")</f>
        <v/>
      </c>
      <c r="K15" s="26" t="str">
        <f aca="false">IF(AND(ISNUMBER(K13),ISNUMBER(K16)),IFERROR(K13/K16,""),"")</f>
        <v/>
      </c>
      <c r="L15" s="26" t="str">
        <f aca="false">IF(AND(ISNUMBER(L13),ISNUMBER(L16)),IFERROR(L13/L16,""),"")</f>
        <v/>
      </c>
      <c r="M15" s="26" t="str">
        <f aca="false">IF(AND(ISNUMBER(M13),ISNUMBER(M16)),IFERROR(M13/M16,""),"")</f>
        <v/>
      </c>
      <c r="N15" s="26" t="str">
        <f aca="false">IF(AND(ISNUMBER(N13),ISNUMBER(N16)),IFERROR(N13/N16,""),"")</f>
        <v/>
      </c>
      <c r="O15" s="26" t="str">
        <f aca="false">IF(AND(ISNUMBER(O13),ISNUMBER(O16)),IFERROR(O13/O16,""),"")</f>
        <v/>
      </c>
      <c r="P15" s="26" t="str">
        <f aca="false">IF(AND(ISNUMBER(P13),ISNUMBER(P16)),IFERROR(P13/P16,""),"")</f>
        <v/>
      </c>
      <c r="Q15" s="26" t="str">
        <f aca="false">IF(AND(ISNUMBER(Q13),ISNUMBER(Q16)),IFERROR(Q13/Q16,""),"")</f>
        <v/>
      </c>
      <c r="R15" s="26" t="str">
        <f aca="false">IF(AND(ISNUMBER(R13),ISNUMBER(R16)),IFERROR(R13/R16,""),"")</f>
        <v/>
      </c>
      <c r="S15" s="26" t="n">
        <f aca="false">IF(AND(ISNUMBER(S13),ISNUMBER(S16)),IFERROR(S13/S16,""),"")</f>
        <v>0.1546371579358</v>
      </c>
      <c r="T15" s="26" t="n">
        <f aca="false">IF(AND(ISNUMBER(T13),ISNUMBER(T16)),IFERROR(T13/T16,""),"")</f>
        <v>0.16312055445014</v>
      </c>
      <c r="U15" s="26" t="n">
        <f aca="false">IF(AND(ISNUMBER(U13),ISNUMBER(U16)),IFERROR(U13/U16,""),"")</f>
        <v>0.171621544732268</v>
      </c>
      <c r="V15" s="26" t="n">
        <f aca="false">IF(AND(ISNUMBER(V13),ISNUMBER(V16)),IFERROR(V13/V16,""),"")</f>
        <v>0.179857902450887</v>
      </c>
      <c r="W15" s="26" t="n">
        <f aca="false">IF(AND(ISNUMBER(W13),ISNUMBER(W16)),IFERROR(W13/W16,""),"")</f>
        <v>0.183418093263094</v>
      </c>
      <c r="X15" s="26" t="n">
        <f aca="false">IF(AND(ISNUMBER(X13),ISNUMBER(X16)),IFERROR(X13/X16,""),"")</f>
        <v>0.174493320899978</v>
      </c>
      <c r="Y15" s="26" t="n">
        <f aca="false">IF(AND(ISNUMBER(Y13),ISNUMBER(Y16)),IFERROR(Y13/Y16,""),"")</f>
        <v>0.187632334528978</v>
      </c>
      <c r="Z15" s="26" t="n">
        <f aca="false">IF(AND(ISNUMBER(Z13),ISNUMBER(Z16)),IFERROR(Z13/Z16,""),"")</f>
        <v>0.184934784572515</v>
      </c>
      <c r="AA15" s="26" t="n">
        <f aca="false">IF(AND(ISNUMBER(AA13),ISNUMBER(AA16)),IFERROR(AA13/AA16,""),"")</f>
        <v>0.16786927550865</v>
      </c>
      <c r="AB15" s="26" t="n">
        <f aca="false">IF(AND(ISNUMBER(AB13),ISNUMBER(AB16)),IFERROR(AB13/AB16,""),"")</f>
        <v>0.159233552566696</v>
      </c>
      <c r="AC15" s="26" t="n">
        <f aca="false">IF(AND(ISNUMBER(AC13),ISNUMBER(AC16)),IFERROR(AC13/AC16,""),"")</f>
        <v>0.174456917574341</v>
      </c>
      <c r="AD15" s="26" t="n">
        <f aca="false">IF(AND(ISNUMBER(AD13),ISNUMBER(AD16)),IFERROR(AD13/AD16,""),"")</f>
        <v>0.164851021488528</v>
      </c>
      <c r="AE15" s="26" t="n">
        <f aca="false">IF(AND(ISNUMBER(AE13),ISNUMBER(AE16)),IFERROR(AE13/AE16,""),"")</f>
        <v>0.151122524774821</v>
      </c>
      <c r="AF15" s="26" t="n">
        <f aca="false">IF(AND(ISNUMBER(AF13),ISNUMBER(AF16)),IFERROR(AF13/AF16,""),"")</f>
        <v>0.152830624195155</v>
      </c>
      <c r="AG15" s="26" t="n">
        <f aca="false">IF(AND(ISNUMBER(AG13),ISNUMBER(AG16)),IFERROR(AG13/AG16,""),"")</f>
        <v>0.158602712073343</v>
      </c>
      <c r="AH15" s="26" t="n">
        <f aca="false">IF(AND(ISNUMBER(AH13),ISNUMBER(AH16)),IFERROR(AH13/AH16,""),"")</f>
        <v>0.156757506827659</v>
      </c>
      <c r="AI15" s="26" t="n">
        <f aca="false">IF(AND(ISNUMBER(AI13),ISNUMBER(AI16)),IFERROR(AI13/AI16,""),"")</f>
        <v>0.155751891374087</v>
      </c>
      <c r="AJ15" s="26" t="n">
        <f aca="false">IF(AND(ISNUMBER(AJ13),ISNUMBER(AJ16)),IFERROR(AJ13/AJ16,""),"")</f>
        <v>0.1517289218397</v>
      </c>
      <c r="AK15" s="26" t="n">
        <f aca="false">IF(AND(ISNUMBER(AK13),ISNUMBER(AK16)),IFERROR(AK13/AK16,""),"")</f>
        <v>0.158802044441321</v>
      </c>
      <c r="AL15" s="26" t="n">
        <f aca="false">IF(AND(ISNUMBER(AL13),ISNUMBER(AL16)),IFERROR(AL13/AL16,""),"")</f>
        <v>0.16990085506559</v>
      </c>
      <c r="AM15" s="26" t="n">
        <f aca="false">IF(AND(ISNUMBER(AM13),ISNUMBER(AM16)),IFERROR(AM13/AM16,""),"")</f>
        <v>0.159007281359187</v>
      </c>
      <c r="AN15" s="26" t="n">
        <f aca="false">IF(AND(ISNUMBER(AN13),ISNUMBER(AN16)),IFERROR(AN13/AN16,""),"")</f>
        <v>0.173967671439768</v>
      </c>
      <c r="AO15" s="26" t="n">
        <f aca="false">IF(AND(ISNUMBER(AO13),ISNUMBER(AO16)),IFERROR(AO13/AO16,""),"")</f>
        <v>0.169362473464104</v>
      </c>
      <c r="AP15" s="26" t="n">
        <f aca="false">IF(AND(ISNUMBER(AP13),ISNUMBER(AP16)),IFERROR(AP13/AP16,""),"")</f>
        <v>0.153472303797038</v>
      </c>
      <c r="AQ15" s="26" t="n">
        <f aca="false">IF(AND(ISNUMBER(AQ13),ISNUMBER(AQ16)),IFERROR(AQ13/AQ16,""),"")</f>
        <v>0.140087651382602</v>
      </c>
      <c r="AR15" s="26" t="n">
        <f aca="false">IF(AND(ISNUMBER(AR13),ISNUMBER(AR16)),IFERROR(AR13/AR16,""),"")</f>
        <v>0.159289087295187</v>
      </c>
      <c r="AS15" s="26" t="n">
        <f aca="false">IF(AND(ISNUMBER(AS13),ISNUMBER(AS16)),IFERROR(AS13/AS16,""),"")</f>
        <v>0.132015461736099</v>
      </c>
      <c r="AT15" s="26" t="n">
        <f aca="false">IF(AND(ISNUMBER(AT13),ISNUMBER(AT16)),IFERROR(AT13/AT16,""),"")</f>
        <v>0.153337868825173</v>
      </c>
      <c r="AU15" s="26" t="n">
        <f aca="false">IF(AND(ISNUMBER(AU13),ISNUMBER(AU16)),IFERROR(AU13/AU16,""),"")</f>
        <v>0.125842299276089</v>
      </c>
      <c r="AV15" s="26" t="n">
        <f aca="false">IF(AND(ISNUMBER(AV13),ISNUMBER(AV16)),IFERROR(AV13/AV16,""),"")</f>
        <v>0.128432320044121</v>
      </c>
      <c r="AW15" s="26" t="n">
        <f aca="false">IF(AND(ISNUMBER(AW13),ISNUMBER(AW16)),IFERROR(AW13/AW16,""),"")</f>
        <v>0.134106863410938</v>
      </c>
      <c r="AX15" s="26" t="n">
        <f aca="false">IF(AND(ISNUMBER(AX13),ISNUMBER(AX16)),IFERROR(AX13/AX16,""),"")</f>
        <v>0.131128163434091</v>
      </c>
      <c r="AY15" s="26" t="n">
        <f aca="false">IF(AND(ISNUMBER(AY13),ISNUMBER(AY16)),IFERROR(AY13/AY16,""),"")</f>
        <v>0.121767762818991</v>
      </c>
      <c r="AZ15" s="26" t="n">
        <f aca="false">IF(AND(ISNUMBER(AZ13),ISNUMBER(AZ16)),IFERROR(AZ13/AZ16,""),"")</f>
        <v>0.12061610678723</v>
      </c>
      <c r="BA15" s="26" t="n">
        <f aca="false">IF(AND(ISNUMBER(BA13),ISNUMBER(BA16)),IFERROR(BA13/BA16,""),"")</f>
        <v>0.121944802715588</v>
      </c>
      <c r="BB15" s="26" t="n">
        <f aca="false">IF(AND(ISNUMBER(BB13),ISNUMBER(BB16)),IFERROR(BB13/BB16,""),"")</f>
        <v>0.123584453922641</v>
      </c>
      <c r="BC15" s="26" t="n">
        <f aca="false">IF(AND(ISNUMBER(BC13),ISNUMBER(BC16)),IFERROR(BC13/BC16,""),"")</f>
        <v>0.122992382054534</v>
      </c>
      <c r="BD15" s="26" t="n">
        <f aca="false">IF(AND(ISNUMBER(BD13),ISNUMBER(BD16)),IFERROR(BD13/BD16,""),"")</f>
        <v>0.150601416044095</v>
      </c>
      <c r="BE15" s="26" t="n">
        <f aca="false">IF(AND(ISNUMBER(BE13),ISNUMBER(BE16)),IFERROR(BE13/BE16,""),"")</f>
        <v>0.140860085832192</v>
      </c>
      <c r="BF15" s="26" t="n">
        <f aca="false">IF(AND(ISNUMBER(BF13),ISNUMBER(BF16)),IFERROR(BF13/BF16,""),"")</f>
        <v>0.140964353502919</v>
      </c>
      <c r="BG15" s="26" t="n">
        <f aca="false">IF(AND(ISNUMBER(BG13),ISNUMBER(BG16)),IFERROR(BG13/BG16,""),"")</f>
        <v>0.138790622656171</v>
      </c>
      <c r="BH15" s="26" t="n">
        <f aca="false">IF(AND(ISNUMBER(BH13),ISNUMBER(BH16)),IFERROR(BH13/BH16,""),"")</f>
        <v>0.129125560992765</v>
      </c>
      <c r="BI15" s="26" t="n">
        <f aca="false">IF(AND(ISNUMBER(BI13),ISNUMBER(BI16)),IFERROR(BI13/BI16,""),"")</f>
        <v>0.130073770779289</v>
      </c>
      <c r="BJ15" s="26" t="n">
        <f aca="false">IF(AND(ISNUMBER(BJ13),ISNUMBER(BJ16)),IFERROR(BJ13/BJ16,""),"")</f>
        <v>0.125206918110639</v>
      </c>
      <c r="BK15" s="26" t="n">
        <f aca="false">IF(AND(ISNUMBER(BK13),ISNUMBER(BK16)),IFERROR(BK13/BK16,""),"")</f>
        <v>0.126691550164131</v>
      </c>
      <c r="BL15" s="26" t="n">
        <f aca="false">IF(AND(ISNUMBER(BL13),ISNUMBER(BL16)),IFERROR(BL13/BL16,""),"")</f>
        <v>0.127804058591581</v>
      </c>
      <c r="BM15" s="26" t="n">
        <f aca="false">IF(AND(ISNUMBER(BM13),ISNUMBER(BM16)),IFERROR(BM13/BM16,""),"")</f>
        <v>0.132356190837423</v>
      </c>
      <c r="BN15" s="26" t="n">
        <f aca="false">IF(AND(ISNUMBER(BN13),ISNUMBER(BN16)),IFERROR(BN13/BN16,""),"")</f>
        <v>0.140357783464313</v>
      </c>
      <c r="BO15" s="26" t="n">
        <f aca="false">IF(AND(ISNUMBER(BO13),ISNUMBER(BO16)),IFERROR(BO13/BO16,""),"")</f>
        <v>0.143345451893722</v>
      </c>
      <c r="BP15" s="26" t="n">
        <f aca="false">IF(AND(ISNUMBER(BP13),ISNUMBER(BP16)),IFERROR(BP13/BP16,""),"")</f>
        <v>0.144062511149963</v>
      </c>
      <c r="BQ15" s="26" t="n">
        <f aca="false">IF(AND(ISNUMBER(BQ13),ISNUMBER(BQ16)),IFERROR(BQ13/BQ16,""),"")</f>
        <v>0.139943682984128</v>
      </c>
      <c r="BR15" s="26" t="n">
        <f aca="false">IF(AND(ISNUMBER(BR13),ISNUMBER(BR16)),IFERROR(BR13/BR16,""),"")</f>
        <v>0.145837778289093</v>
      </c>
      <c r="BS15" s="26" t="n">
        <f aca="false">IF(AND(ISNUMBER(BS13),ISNUMBER(BS16)),IFERROR(BS13/BS16,""),"")</f>
        <v>0.148120074277978</v>
      </c>
      <c r="BT15" s="26" t="n">
        <f aca="false">IF(AND(ISNUMBER(BT13),ISNUMBER(BT16)),IFERROR(BT13/BT16,""),"")</f>
        <v>0.149758876000019</v>
      </c>
      <c r="BU15" s="26" t="n">
        <f aca="false">IF(AND(ISNUMBER(BU13),ISNUMBER(BU16)),IFERROR(BU13/BU16,""),"")</f>
        <v>0.146463832380969</v>
      </c>
      <c r="BV15" s="26" t="n">
        <f aca="false">IF(AND(ISNUMBER(BV13),ISNUMBER(BV16)),IFERROR(BV13/BV16,""),"")</f>
        <v>0.147571668727602</v>
      </c>
      <c r="BW15" s="26" t="n">
        <f aca="false">IF(AND(ISNUMBER(BW13),ISNUMBER(BW16)),IFERROR(BW13/BW16,""),"")</f>
        <v>0.146260521836256</v>
      </c>
      <c r="BX15" s="26" t="n">
        <f aca="false">IF(AND(ISNUMBER(BX13),ISNUMBER(BX16)),IFERROR(BX13/BX16,""),"")</f>
        <v>0.13063007528799</v>
      </c>
      <c r="BY15" s="27" t="n">
        <f aca="false">$BX$15</f>
        <v>0.13063007528799</v>
      </c>
      <c r="BZ15" s="27" t="n">
        <f aca="false">$BX$15</f>
        <v>0.13063007528799</v>
      </c>
      <c r="CA15" s="27" t="n">
        <f aca="false">IF(AND(ISNUMBER(CA13),ISNUMBER(CA16)),IFERROR(CA13/CA16,""),"")</f>
        <v>0.133979706388015</v>
      </c>
      <c r="CB15" s="35" t="n">
        <v>0.135</v>
      </c>
      <c r="CC15" s="35" t="n">
        <v>0.14</v>
      </c>
      <c r="CD15" s="35" t="n">
        <v>0.145</v>
      </c>
      <c r="CE15" s="35" t="n">
        <v>0.145</v>
      </c>
      <c r="CF15" s="23" t="s">
        <v>104</v>
      </c>
      <c r="CN15" s="17" t="s">
        <v>105</v>
      </c>
    </row>
    <row r="16" customFormat="false" ht="15" hidden="false" customHeight="false" outlineLevel="0" collapsed="false">
      <c r="B16" s="18" t="s">
        <v>106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31" t="n">
        <v>8738.747</v>
      </c>
      <c r="T16" s="31" t="n">
        <v>2194.751</v>
      </c>
      <c r="U16" s="31" t="n">
        <v>2319.936</v>
      </c>
      <c r="V16" s="31" t="n">
        <v>2282.235</v>
      </c>
      <c r="W16" s="31" t="n">
        <v>2171.427</v>
      </c>
      <c r="X16" s="31" t="n">
        <v>8968.349</v>
      </c>
      <c r="Y16" s="31" t="n">
        <v>2045.479</v>
      </c>
      <c r="Z16" s="31" t="n">
        <v>2158.615</v>
      </c>
      <c r="AA16" s="31" t="n">
        <v>2252.187</v>
      </c>
      <c r="AB16" s="31" t="n">
        <v>2281.435</v>
      </c>
      <c r="AC16" s="31" t="n">
        <v>8737.716</v>
      </c>
      <c r="AD16" s="31" t="n">
        <v>2259.252</v>
      </c>
      <c r="AE16" s="31" t="n">
        <v>2381.551</v>
      </c>
      <c r="AF16" s="31" t="n">
        <v>2469.42</v>
      </c>
      <c r="AG16" s="31" t="n">
        <v>2618.587</v>
      </c>
      <c r="AH16" s="31" t="n">
        <v>9728.81</v>
      </c>
      <c r="AI16" s="31" t="n">
        <v>2663.011</v>
      </c>
      <c r="AJ16" s="31" t="n">
        <v>2878.904</v>
      </c>
      <c r="AK16" s="31" t="n">
        <v>2931.461</v>
      </c>
      <c r="AL16" s="31" t="n">
        <v>2774.524</v>
      </c>
      <c r="AM16" s="31" t="n">
        <v>11247.9</v>
      </c>
      <c r="AN16" s="31" t="n">
        <v>2796.784</v>
      </c>
      <c r="AO16" s="31" t="n">
        <v>2872.053</v>
      </c>
      <c r="AP16" s="31" t="n">
        <v>2826.308</v>
      </c>
      <c r="AQ16" s="31" t="n">
        <v>2788.547</v>
      </c>
      <c r="AR16" s="31" t="n">
        <v>11283.692</v>
      </c>
      <c r="AS16" s="31" t="n">
        <v>2823.745</v>
      </c>
      <c r="AT16" s="31" t="n">
        <v>2475.292</v>
      </c>
      <c r="AU16" s="31" t="n">
        <v>2923.842</v>
      </c>
      <c r="AV16" s="31" t="n">
        <v>3089.674</v>
      </c>
      <c r="AW16" s="31" t="n">
        <v>11312.553</v>
      </c>
      <c r="AX16" s="31" t="n">
        <v>3211.423</v>
      </c>
      <c r="AY16" s="31" t="n">
        <v>3585.481</v>
      </c>
      <c r="AZ16" s="31" t="n">
        <v>3814.988</v>
      </c>
      <c r="BA16" s="31" t="n">
        <v>3896.025</v>
      </c>
      <c r="BB16" s="31" t="n">
        <v>14507.917</v>
      </c>
      <c r="BC16" s="31" t="n">
        <v>4114.889</v>
      </c>
      <c r="BD16" s="31" t="n">
        <v>4147.046</v>
      </c>
      <c r="BE16" s="31" t="n">
        <v>4002.461</v>
      </c>
      <c r="BF16" s="31" t="n">
        <v>3563.071</v>
      </c>
      <c r="BG16" s="31" t="n">
        <v>15827.467</v>
      </c>
      <c r="BH16" s="31" t="n">
        <v>3304.187</v>
      </c>
      <c r="BI16" s="31" t="n">
        <v>3079.268</v>
      </c>
      <c r="BJ16" s="31" t="n">
        <v>3086.97</v>
      </c>
      <c r="BK16" s="31" t="n">
        <v>3000.65</v>
      </c>
      <c r="BL16" s="31" t="n">
        <v>12471.075</v>
      </c>
      <c r="BM16" s="31" t="n">
        <v>3000.313</v>
      </c>
      <c r="BN16" s="31" t="n">
        <v>2989.909</v>
      </c>
      <c r="BO16" s="31" t="n">
        <v>2934.617</v>
      </c>
      <c r="BP16" s="31" t="n">
        <v>2802.7</v>
      </c>
      <c r="BQ16" s="31" t="n">
        <v>11727.539</v>
      </c>
      <c r="BR16" s="31" t="n">
        <v>2868.42</v>
      </c>
      <c r="BS16" s="31" t="n">
        <v>2918.227</v>
      </c>
      <c r="BT16" s="31" t="n">
        <v>2965.694</v>
      </c>
      <c r="BU16" s="31" t="n">
        <v>2810.373</v>
      </c>
      <c r="BV16" s="31" t="n">
        <v>11562.714</v>
      </c>
      <c r="BW16" s="31" t="n">
        <v>2947.323</v>
      </c>
      <c r="BX16" s="31" t="n">
        <v>3593.269</v>
      </c>
      <c r="BY16" s="32" t="n">
        <f aca="false">IF(AND(ISNUMBER(BY13),ISNUMBER(BY15)),IFERROR(BY13/BY15,""),"")</f>
        <v>3743.32634217806</v>
      </c>
      <c r="BZ16" s="32" t="n">
        <f aca="false">IF(AND(ISNUMBER(BZ13),ISNUMBER(BZ15)),IFERROR(BZ13/BZ15,""),"")</f>
        <v>3469.23035877202</v>
      </c>
      <c r="CA16" s="32" t="n">
        <f aca="false">SUM(BW16,BX16,BY16,BZ16)</f>
        <v>13753.1487009501</v>
      </c>
      <c r="CB16" s="32" t="n">
        <f aca="false">IF(AND(ISNUMBER(CB13),ISNUMBER(CB15)),IFERROR(CB13/CB15,""),"")</f>
        <v>14621.0295851431</v>
      </c>
      <c r="CC16" s="32" t="n">
        <f aca="false">IF(AND(ISNUMBER(CC13),ISNUMBER(CC15)),IFERROR(CC13/CC15,""),"")</f>
        <v>15030.0789967689</v>
      </c>
      <c r="CD16" s="32" t="n">
        <f aca="false">IF(AND(ISNUMBER(CD13),ISNUMBER(CD15)),IFERROR(CD13/CD15,""),"")</f>
        <v>15246.0975114535</v>
      </c>
      <c r="CE16" s="32" t="n">
        <f aca="false">IF(AND(ISNUMBER(CE13),ISNUMBER(CE15)),IFERROR(CE13/CE15,""),"")</f>
        <v>16017.5500455331</v>
      </c>
      <c r="CH16" s="33" t="n">
        <f aca="false">IFERROR((CE16/BV16)^(1/5)-1,"n/m")</f>
        <v>0.0673509996920898</v>
      </c>
      <c r="CI16" s="33" t="n">
        <f aca="false">IFERROR((BV16/AW16)^(1/5)-1,"n/m")</f>
        <v>0.00438410553010993</v>
      </c>
      <c r="CJ16" s="33" t="n">
        <f aca="false">IFERROR((BV16/X16)^(1/10)-1,"n/m")</f>
        <v>0.0257339457241246</v>
      </c>
      <c r="CK16" s="33" t="str">
        <f aca="false">IFERROR((BV16/C16)^(1/19)-1,"n/m")</f>
        <v>n/m</v>
      </c>
      <c r="CN16" s="28" t="s">
        <v>107</v>
      </c>
      <c r="CO16" s="29" t="n">
        <v>350</v>
      </c>
      <c r="CP16" s="29" t="n">
        <v>250</v>
      </c>
      <c r="CQ16" s="29" t="n">
        <v>150</v>
      </c>
      <c r="CR16" s="14" t="s">
        <v>108</v>
      </c>
    </row>
    <row r="17" customFormat="false" ht="15" hidden="false" customHeight="false" outlineLevel="0" collapsed="false">
      <c r="B17" s="25" t="s">
        <v>109</v>
      </c>
      <c r="D17" s="26" t="str">
        <f aca="false">IF(AND(ISNUMBER(D16),ISNUMBER(C16)),IFERROR(D16/C16-1,""),"")</f>
        <v/>
      </c>
      <c r="E17" s="26" t="str">
        <f aca="false">IF(AND(ISNUMBER(E16),ISNUMBER(D16)),IFERROR(E16/D16-1,""),"")</f>
        <v/>
      </c>
      <c r="F17" s="26" t="str">
        <f aca="false">IF(AND(ISNUMBER(F16),ISNUMBER(E16)),IFERROR(F16/E16-1,""),"")</f>
        <v/>
      </c>
      <c r="G17" s="26" t="str">
        <f aca="false">IF(AND(ISNUMBER(G16),ISNUMBER(F16)),IFERROR(G16/F16-1,""),"")</f>
        <v/>
      </c>
      <c r="H17" s="26" t="str">
        <f aca="false">IF(AND(ISNUMBER(H16),ISNUMBER(G16)),IFERROR(H16/G16-1,""),"")</f>
        <v/>
      </c>
      <c r="I17" s="26" t="str">
        <f aca="false">IF(AND(ISNUMBER(I16),ISNUMBER(H16)),IFERROR(I16/H16-1,""),"")</f>
        <v/>
      </c>
      <c r="N17" s="26" t="str">
        <f aca="false">IF(AND(ISNUMBER(N16),ISNUMBER(I16)),IFERROR(N16/I16-1,""),"")</f>
        <v/>
      </c>
      <c r="O17" s="26" t="str">
        <f aca="false">IF(AND(ISNUMBER(O16),ISNUMBER(J16)),IFERROR(O16/J16-1,""),"")</f>
        <v/>
      </c>
      <c r="P17" s="26" t="str">
        <f aca="false">IF(AND(ISNUMBER(P16),ISNUMBER(K16)),IFERROR(P16/K16-1,""),"")</f>
        <v/>
      </c>
      <c r="Q17" s="26" t="str">
        <f aca="false">IF(AND(ISNUMBER(Q16),ISNUMBER(L16)),IFERROR(Q16/L16-1,""),"")</f>
        <v/>
      </c>
      <c r="R17" s="26" t="str">
        <f aca="false">IF(AND(ISNUMBER(R16),ISNUMBER(M16)),IFERROR(R16/M16-1,""),"")</f>
        <v/>
      </c>
      <c r="S17" s="26" t="str">
        <f aca="false">IF(AND(ISNUMBER(S16),ISNUMBER(N16)),IFERROR(S16/N16-1,""),"")</f>
        <v/>
      </c>
      <c r="T17" s="26" t="str">
        <f aca="false">IF(AND(ISNUMBER(T16),ISNUMBER(O16)),IFERROR(T16/O16-1,""),"")</f>
        <v/>
      </c>
      <c r="U17" s="26" t="str">
        <f aca="false">IF(AND(ISNUMBER(U16),ISNUMBER(P16)),IFERROR(U16/P16-1,""),"")</f>
        <v/>
      </c>
      <c r="V17" s="26" t="str">
        <f aca="false">IF(AND(ISNUMBER(V16),ISNUMBER(Q16)),IFERROR(V16/Q16-1,""),"")</f>
        <v/>
      </c>
      <c r="W17" s="26" t="str">
        <f aca="false">IF(AND(ISNUMBER(W16),ISNUMBER(R16)),IFERROR(W16/R16-1,""),"")</f>
        <v/>
      </c>
      <c r="X17" s="26" t="n">
        <f aca="false">IF(AND(ISNUMBER(X16),ISNUMBER(S16)),IFERROR(X16/S16-1,""),"")</f>
        <v>0.0262740184605415</v>
      </c>
      <c r="Y17" s="26" t="n">
        <f aca="false">IF(AND(ISNUMBER(Y16),ISNUMBER(T16)),IFERROR(Y16/T16-1,""),"")</f>
        <v>-0.068013182361006</v>
      </c>
      <c r="Z17" s="26" t="n">
        <f aca="false">IF(AND(ISNUMBER(Z16),ISNUMBER(U16)),IFERROR(Z16/U16-1,""),"")</f>
        <v>-0.0695368320505395</v>
      </c>
      <c r="AA17" s="26" t="n">
        <f aca="false">IF(AND(ISNUMBER(AA16),ISNUMBER(V16)),IFERROR(AA16/V16-1,""),"")</f>
        <v>-0.0131660411833138</v>
      </c>
      <c r="AB17" s="26" t="n">
        <f aca="false">IF(AND(ISNUMBER(AB16),ISNUMBER(W16)),IFERROR(AB16/W16-1,""),"")</f>
        <v>0.0506616156103796</v>
      </c>
      <c r="AC17" s="26" t="n">
        <f aca="false">IF(AND(ISNUMBER(AC16),ISNUMBER(X16)),IFERROR(AC16/X16-1,""),"")</f>
        <v>-0.0257163274979597</v>
      </c>
      <c r="AD17" s="26" t="n">
        <f aca="false">IF(AND(ISNUMBER(AD16),ISNUMBER(Y16)),IFERROR(AD16/Y16-1,""),"")</f>
        <v>0.104509994969394</v>
      </c>
      <c r="AE17" s="26" t="n">
        <f aca="false">IF(AND(ISNUMBER(AE16),ISNUMBER(Z16)),IFERROR(AE16/Z16-1,""),"")</f>
        <v>0.103277332919488</v>
      </c>
      <c r="AF17" s="26" t="n">
        <f aca="false">IF(AND(ISNUMBER(AF16),ISNUMBER(AA16)),IFERROR(AF16/AA16-1,""),"")</f>
        <v>0.096454246472429</v>
      </c>
      <c r="AG17" s="26" t="n">
        <f aca="false">IF(AND(ISNUMBER(AG16),ISNUMBER(AB16)),IFERROR(AG16/AB16-1,""),"")</f>
        <v>0.147780673128974</v>
      </c>
      <c r="AH17" s="26" t="n">
        <f aca="false">IF(AND(ISNUMBER(AH16),ISNUMBER(AC16)),IFERROR(AH16/AC16-1,""),"")</f>
        <v>0.113427124433891</v>
      </c>
      <c r="AI17" s="26" t="n">
        <f aca="false">IF(AND(ISNUMBER(AI16),ISNUMBER(AD16)),IFERROR(AI16/AD16-1,""),"")</f>
        <v>0.178713574227222</v>
      </c>
      <c r="AJ17" s="26" t="n">
        <f aca="false">IF(AND(ISNUMBER(AJ16),ISNUMBER(AE16)),IFERROR(AJ16/AE16-1,""),"")</f>
        <v>0.2088357545146</v>
      </c>
      <c r="AK17" s="26" t="n">
        <f aca="false">IF(AND(ISNUMBER(AK16),ISNUMBER(AF16)),IFERROR(AK16/AF16-1,""),"")</f>
        <v>0.187105069206534</v>
      </c>
      <c r="AL17" s="26" t="n">
        <f aca="false">IF(AND(ISNUMBER(AL16),ISNUMBER(AG16)),IFERROR(AL16/AG16-1,""),"")</f>
        <v>0.0595500550487724</v>
      </c>
      <c r="AM17" s="26" t="n">
        <f aca="false">IF(AND(ISNUMBER(AM16),ISNUMBER(AH16)),IFERROR(AM16/AH16-1,""),"")</f>
        <v>0.156143454338198</v>
      </c>
      <c r="AN17" s="26" t="n">
        <f aca="false">IF(AND(ISNUMBER(AN16),ISNUMBER(AI16)),IFERROR(AN16/AI16-1,""),"")</f>
        <v>0.0502337391771945</v>
      </c>
      <c r="AO17" s="26" t="n">
        <f aca="false">IF(AND(ISNUMBER(AO16),ISNUMBER(AJ16)),IFERROR(AO16/AJ16-1,""),"")</f>
        <v>-0.00237972506203754</v>
      </c>
      <c r="AP17" s="26" t="n">
        <f aca="false">IF(AND(ISNUMBER(AP16),ISNUMBER(AK16)),IFERROR(AP16/AK16-1,""),"")</f>
        <v>-0.035870509619606</v>
      </c>
      <c r="AQ17" s="26" t="n">
        <f aca="false">IF(AND(ISNUMBER(AQ16),ISNUMBER(AL16)),IFERROR(AQ16/AL16-1,""),"")</f>
        <v>0.00505420028804937</v>
      </c>
      <c r="AR17" s="26" t="n">
        <f aca="false">IF(AND(ISNUMBER(AR16),ISNUMBER(AM16)),IFERROR(AR16/AM16-1,""),"")</f>
        <v>0.00318210510406391</v>
      </c>
      <c r="AS17" s="26" t="n">
        <f aca="false">IF(AND(ISNUMBER(AS16),ISNUMBER(AN16)),IFERROR(AS16/AN16-1,""),"")</f>
        <v>0.00964000080091987</v>
      </c>
      <c r="AT17" s="26" t="n">
        <f aca="false">IF(AND(ISNUMBER(AT16),ISNUMBER(AO16)),IFERROR(AT16/AO16-1,""),"")</f>
        <v>-0.138145431160219</v>
      </c>
      <c r="AU17" s="26" t="n">
        <f aca="false">IF(AND(ISNUMBER(AU16),ISNUMBER(AP16)),IFERROR(AU16/AP16-1,""),"")</f>
        <v>0.0345093316085863</v>
      </c>
      <c r="AV17" s="26" t="n">
        <f aca="false">IF(AND(ISNUMBER(AV16),ISNUMBER(AQ16)),IFERROR(AV16/AQ16-1,""),"")</f>
        <v>0.107987062796503</v>
      </c>
      <c r="AW17" s="26" t="n">
        <f aca="false">IF(AND(ISNUMBER(AW16),ISNUMBER(AR16)),IFERROR(AW16/AR16-1,""),"")</f>
        <v>0.00255776212253944</v>
      </c>
      <c r="AX17" s="26" t="n">
        <f aca="false">IF(AND(ISNUMBER(AX16),ISNUMBER(AS16)),IFERROR(AX16/AS16-1,""),"")</f>
        <v>0.137292142172895</v>
      </c>
      <c r="AY17" s="26" t="n">
        <f aca="false">IF(AND(ISNUMBER(AY16),ISNUMBER(AT16)),IFERROR(AY16/AT16-1,""),"")</f>
        <v>0.448508297202916</v>
      </c>
      <c r="AZ17" s="26" t="n">
        <f aca="false">IF(AND(ISNUMBER(AZ16),ISNUMBER(AU16)),IFERROR(AZ16/AU16-1,""),"")</f>
        <v>0.304785963126598</v>
      </c>
      <c r="BA17" s="26" t="n">
        <f aca="false">IF(AND(ISNUMBER(BA16),ISNUMBER(AV16)),IFERROR(BA16/AV16-1,""),"")</f>
        <v>0.260982550262584</v>
      </c>
      <c r="BB17" s="26" t="n">
        <f aca="false">IF(AND(ISNUMBER(BB16),ISNUMBER(AW16)),IFERROR(BB16/AW16-1,""),"")</f>
        <v>0.282461792665192</v>
      </c>
      <c r="BC17" s="26" t="n">
        <f aca="false">IF(AND(ISNUMBER(BC16),ISNUMBER(AX16)),IFERROR(BC16/AX16-1,""),"")</f>
        <v>0.281328868853465</v>
      </c>
      <c r="BD17" s="26" t="n">
        <f aca="false">IF(AND(ISNUMBER(BD16),ISNUMBER(AY16)),IFERROR(BD16/AY16-1,""),"")</f>
        <v>0.156621942774205</v>
      </c>
      <c r="BE17" s="26" t="n">
        <f aca="false">IF(AND(ISNUMBER(BE16),ISNUMBER(AZ16)),IFERROR(BE16/AZ16-1,""),"")</f>
        <v>0.049141176852981</v>
      </c>
      <c r="BF17" s="26" t="n">
        <f aca="false">IF(AND(ISNUMBER(BF16),ISNUMBER(BA16)),IFERROR(BF16/BA16-1,""),"")</f>
        <v>-0.0854599238967922</v>
      </c>
      <c r="BG17" s="26" t="n">
        <f aca="false">IF(AND(ISNUMBER(BG16),ISNUMBER(BB16)),IFERROR(BG16/BB16-1,""),"")</f>
        <v>0.0909537875078827</v>
      </c>
      <c r="BH17" s="26" t="n">
        <f aca="false">IF(AND(ISNUMBER(BH16),ISNUMBER(BC16)),IFERROR(BH16/BC16-1,""),"")</f>
        <v>-0.197016736052904</v>
      </c>
      <c r="BI17" s="26" t="n">
        <f aca="false">IF(AND(ISNUMBER(BI16),ISNUMBER(BD16)),IFERROR(BI16/BD16-1,""),"")</f>
        <v>-0.257479179155476</v>
      </c>
      <c r="BJ17" s="26" t="n">
        <f aca="false">IF(AND(ISNUMBER(BJ16),ISNUMBER(BE16)),IFERROR(BJ16/BE16-1,""),"")</f>
        <v>-0.228732022623081</v>
      </c>
      <c r="BK17" s="26" t="n">
        <f aca="false">IF(AND(ISNUMBER(BK16),ISNUMBER(BF16)),IFERROR(BK16/BF16-1,""),"")</f>
        <v>-0.15784726153366</v>
      </c>
      <c r="BL17" s="26" t="n">
        <f aca="false">IF(AND(ISNUMBER(BL16),ISNUMBER(BG16)),IFERROR(BL16/BG16-1,""),"")</f>
        <v>-0.212061222430601</v>
      </c>
      <c r="BM17" s="26" t="n">
        <f aca="false">IF(AND(ISNUMBER(BM16),ISNUMBER(BH16)),IFERROR(BM16/BH16-1,""),"")</f>
        <v>-0.0919663445198471</v>
      </c>
      <c r="BN17" s="26" t="n">
        <f aca="false">IF(AND(ISNUMBER(BN16),ISNUMBER(BI16)),IFERROR(BN16/BI16-1,""),"")</f>
        <v>-0.0290195591939383</v>
      </c>
      <c r="BO17" s="26" t="n">
        <f aca="false">IF(AND(ISNUMBER(BO16),ISNUMBER(BJ16)),IFERROR(BO16/BJ16-1,""),"")</f>
        <v>-0.0493535732449618</v>
      </c>
      <c r="BP17" s="26" t="n">
        <f aca="false">IF(AND(ISNUMBER(BP16),ISNUMBER(BK16)),IFERROR(BP16/BK16-1,""),"")</f>
        <v>-0.0659690400413244</v>
      </c>
      <c r="BQ17" s="26" t="n">
        <f aca="false">IF(AND(ISNUMBER(BQ16),ISNUMBER(BL16)),IFERROR(BQ16/BL16-1,""),"")</f>
        <v>-0.0596208426298455</v>
      </c>
      <c r="BR17" s="26" t="n">
        <f aca="false">IF(AND(ISNUMBER(BR16),ISNUMBER(BM16)),IFERROR(BR16/BM16-1,""),"")</f>
        <v>-0.0439597468664102</v>
      </c>
      <c r="BS17" s="26" t="n">
        <f aca="false">IF(AND(ISNUMBER(BS16),ISNUMBER(BN16)),IFERROR(BS16/BN16-1,""),"")</f>
        <v>-0.0239746427065173</v>
      </c>
      <c r="BT17" s="26" t="n">
        <f aca="false">IF(AND(ISNUMBER(BT16),ISNUMBER(BO16)),IFERROR(BT16/BO16-1,""),"")</f>
        <v>0.0105897975783551</v>
      </c>
      <c r="BU17" s="26" t="n">
        <f aca="false">IF(AND(ISNUMBER(BU16),ISNUMBER(BP16)),IFERROR(BU16/BP16-1,""),"")</f>
        <v>0.00273771720127036</v>
      </c>
      <c r="BV17" s="26" t="n">
        <f aca="false">IF(AND(ISNUMBER(BV16),ISNUMBER(BQ16)),IFERROR(BV16/BQ16-1,""),"")</f>
        <v>-0.0140545258472388</v>
      </c>
      <c r="BW17" s="26" t="n">
        <f aca="false">IF(AND(ISNUMBER(BW16),ISNUMBER(BR16)),IFERROR(BW16/BR16-1,""),"")</f>
        <v>0.0275074779843956</v>
      </c>
      <c r="BX17" s="26" t="n">
        <f aca="false">IF(AND(ISNUMBER(BX16),ISNUMBER(BS16)),IFERROR(BX16/BS16-1,""),"")</f>
        <v>0.231319222253786</v>
      </c>
      <c r="BY17" s="27" t="n">
        <f aca="false">IFERROR(BY16/BT16-1,"")</f>
        <v>0.262209230681943</v>
      </c>
      <c r="BZ17" s="27" t="n">
        <f aca="false">IFERROR(BZ16/BU16-1,"")</f>
        <v>0.234437691641651</v>
      </c>
      <c r="CA17" s="27" t="n">
        <f aca="false">IFERROR(CA16/BV16-1,"")</f>
        <v>0.189439494996597</v>
      </c>
      <c r="CB17" s="27" t="n">
        <f aca="false">IFERROR(CB16/CA16-1,"")</f>
        <v>0.0631041591321624</v>
      </c>
      <c r="CC17" s="27" t="n">
        <f aca="false">IFERROR(CC16/CB16-1,"")</f>
        <v>0.0279767857142856</v>
      </c>
      <c r="CD17" s="27" t="n">
        <f aca="false">IFERROR(CD16/CC16-1,"")</f>
        <v>0.0143724137931038</v>
      </c>
      <c r="CE17" s="27" t="n">
        <f aca="false">IFERROR(CE16/CD16-1,"")</f>
        <v>0.0506</v>
      </c>
      <c r="CN17" s="28" t="s">
        <v>110</v>
      </c>
      <c r="CO17" s="36" t="n">
        <v>1.5</v>
      </c>
      <c r="CP17" s="36" t="n">
        <v>1.25</v>
      </c>
      <c r="CQ17" s="36" t="n">
        <v>1</v>
      </c>
      <c r="CR17" s="14" t="s">
        <v>111</v>
      </c>
    </row>
    <row r="18" customFormat="false" ht="15" hidden="false" customHeight="false" outlineLevel="0" collapsed="false">
      <c r="B18" s="28" t="s">
        <v>112</v>
      </c>
      <c r="S18" s="37" t="n">
        <v>644.708</v>
      </c>
      <c r="T18" s="37" t="n">
        <v>150.093</v>
      </c>
      <c r="U18" s="37" t="n">
        <v>187.063</v>
      </c>
      <c r="V18" s="37" t="n">
        <v>197.209</v>
      </c>
      <c r="W18" s="37" t="n">
        <v>183.964</v>
      </c>
      <c r="X18" s="37" t="n">
        <v>718.329</v>
      </c>
      <c r="Y18" s="37" t="n">
        <v>162.351</v>
      </c>
      <c r="Z18" s="37" t="n">
        <v>182.721</v>
      </c>
      <c r="AA18" s="37" t="n">
        <v>171.733</v>
      </c>
      <c r="AB18" s="37" t="n">
        <v>157.631</v>
      </c>
      <c r="AC18" s="37" t="n">
        <v>674.436</v>
      </c>
      <c r="AD18" s="37" t="n">
        <v>155.877</v>
      </c>
      <c r="AE18" s="37" t="n">
        <v>140.284</v>
      </c>
      <c r="AF18" s="37" t="n">
        <v>151.392</v>
      </c>
      <c r="AG18" s="37" t="n">
        <v>180.557</v>
      </c>
      <c r="AH18" s="37" t="n">
        <v>628.11</v>
      </c>
      <c r="AI18" s="37" t="n">
        <v>174.078</v>
      </c>
      <c r="AJ18" s="37" t="n">
        <v>184.566</v>
      </c>
      <c r="AK18" s="37" t="n">
        <v>204.158</v>
      </c>
      <c r="AL18" s="37" t="n">
        <v>211.044</v>
      </c>
      <c r="AM18" s="37" t="n">
        <v>773.846</v>
      </c>
      <c r="AN18" s="37" t="n">
        <v>211.283</v>
      </c>
      <c r="AO18" s="37" t="n">
        <v>204.732</v>
      </c>
      <c r="AP18" s="37" t="n">
        <v>176.2</v>
      </c>
      <c r="AQ18" s="37" t="n">
        <v>130.548</v>
      </c>
      <c r="AR18" s="37" t="n">
        <v>722.763</v>
      </c>
      <c r="AS18" s="37" t="n">
        <v>98.526</v>
      </c>
      <c r="AT18" s="37" t="n">
        <v>136.846</v>
      </c>
      <c r="AU18" s="37" t="n">
        <v>122.526</v>
      </c>
      <c r="AV18" s="37" t="n">
        <v>150.577</v>
      </c>
      <c r="AW18" s="37" t="n">
        <v>508.475</v>
      </c>
      <c r="AX18" s="37" t="n">
        <v>136.784</v>
      </c>
      <c r="AY18" s="37" t="n">
        <v>151.092</v>
      </c>
      <c r="AZ18" s="37" t="n">
        <v>149.035</v>
      </c>
      <c r="BA18" s="37" t="n">
        <v>148.44</v>
      </c>
      <c r="BB18" s="37" t="n">
        <v>585.351</v>
      </c>
      <c r="BC18" s="37" t="n">
        <v>182.354</v>
      </c>
      <c r="BD18" s="37" t="n">
        <v>276.499</v>
      </c>
      <c r="BE18" s="37" t="n">
        <v>211.899</v>
      </c>
      <c r="BF18" s="37" t="n">
        <v>162.55</v>
      </c>
      <c r="BG18" s="37" t="n">
        <v>833.302</v>
      </c>
      <c r="BH18" s="37" t="n">
        <v>134.022</v>
      </c>
      <c r="BI18" s="37" t="n">
        <v>117.859</v>
      </c>
      <c r="BJ18" s="37" t="n">
        <v>112.121</v>
      </c>
      <c r="BK18" s="37" t="n">
        <v>95.958</v>
      </c>
      <c r="BL18" s="37" t="n">
        <v>459.96</v>
      </c>
      <c r="BM18" s="37" t="n">
        <v>108.895</v>
      </c>
      <c r="BN18" s="37" t="n">
        <v>141.102</v>
      </c>
      <c r="BO18" s="37" t="n">
        <v>148.767</v>
      </c>
      <c r="BP18" s="37" t="n">
        <v>132.528</v>
      </c>
      <c r="BQ18" s="37" t="n">
        <v>531.292</v>
      </c>
      <c r="BR18" s="37" t="n">
        <v>143.671</v>
      </c>
      <c r="BS18" s="37" t="n">
        <v>163.991</v>
      </c>
      <c r="BT18" s="37" t="n">
        <v>172.878</v>
      </c>
      <c r="BU18" s="37" t="n">
        <v>141.296</v>
      </c>
      <c r="BV18" s="37" t="n">
        <v>621.836</v>
      </c>
      <c r="BW18" s="37" t="n">
        <v>145.13</v>
      </c>
      <c r="BX18" s="37" t="n">
        <v>189.845</v>
      </c>
      <c r="BY18" s="6"/>
      <c r="BZ18" s="6"/>
      <c r="CA18" s="6"/>
      <c r="CB18" s="6"/>
      <c r="CC18" s="6"/>
      <c r="CD18" s="6"/>
      <c r="CE18" s="6"/>
    </row>
    <row r="19" customFormat="false" ht="15" hidden="false" customHeight="false" outlineLevel="0" collapsed="false">
      <c r="B19" s="25" t="s">
        <v>113</v>
      </c>
      <c r="C19" s="26" t="str">
        <f aca="false">IF(AND(ISNUMBER(C18),ISNUMBER(C13)),IFERROR(C18/C13,""),"")</f>
        <v/>
      </c>
      <c r="D19" s="26" t="str">
        <f aca="false">IF(AND(ISNUMBER(D18),ISNUMBER(D13)),IFERROR(D18/D13,""),"")</f>
        <v/>
      </c>
      <c r="E19" s="26" t="str">
        <f aca="false">IF(AND(ISNUMBER(E18),ISNUMBER(E13)),IFERROR(E18/E13,""),"")</f>
        <v/>
      </c>
      <c r="F19" s="26" t="str">
        <f aca="false">IF(AND(ISNUMBER(F18),ISNUMBER(F13)),IFERROR(F18/F13,""),"")</f>
        <v/>
      </c>
      <c r="G19" s="26" t="str">
        <f aca="false">IF(AND(ISNUMBER(G18),ISNUMBER(G13)),IFERROR(G18/G13,""),"")</f>
        <v/>
      </c>
      <c r="H19" s="26" t="str">
        <f aca="false">IF(AND(ISNUMBER(H18),ISNUMBER(H13)),IFERROR(H18/H13,""),"")</f>
        <v/>
      </c>
      <c r="I19" s="26" t="str">
        <f aca="false">IF(AND(ISNUMBER(I18),ISNUMBER(I13)),IFERROR(I18/I13,""),"")</f>
        <v/>
      </c>
      <c r="J19" s="26" t="str">
        <f aca="false">IF(AND(ISNUMBER(J18),ISNUMBER(J13)),IFERROR(J18/J13,""),"")</f>
        <v/>
      </c>
      <c r="K19" s="26" t="str">
        <f aca="false">IF(AND(ISNUMBER(K18),ISNUMBER(K13)),IFERROR(K18/K13,""),"")</f>
        <v/>
      </c>
      <c r="L19" s="26" t="str">
        <f aca="false">IF(AND(ISNUMBER(L18),ISNUMBER(L13)),IFERROR(L18/L13,""),"")</f>
        <v/>
      </c>
      <c r="M19" s="26" t="str">
        <f aca="false">IF(AND(ISNUMBER(M18),ISNUMBER(M13)),IFERROR(M18/M13,""),"")</f>
        <v/>
      </c>
      <c r="N19" s="26" t="str">
        <f aca="false">IF(AND(ISNUMBER(N18),ISNUMBER(N13)),IFERROR(N18/N13,""),"")</f>
        <v/>
      </c>
      <c r="O19" s="26" t="str">
        <f aca="false">IF(AND(ISNUMBER(O18),ISNUMBER(O13)),IFERROR(O18/O13,""),"")</f>
        <v/>
      </c>
      <c r="P19" s="26" t="str">
        <f aca="false">IF(AND(ISNUMBER(P18),ISNUMBER(P13)),IFERROR(P18/P13,""),"")</f>
        <v/>
      </c>
      <c r="Q19" s="26" t="str">
        <f aca="false">IF(AND(ISNUMBER(Q18),ISNUMBER(Q13)),IFERROR(Q18/Q13,""),"")</f>
        <v/>
      </c>
      <c r="R19" s="26" t="str">
        <f aca="false">IF(AND(ISNUMBER(R18),ISNUMBER(R13)),IFERROR(R18/R13,""),"")</f>
        <v/>
      </c>
      <c r="S19" s="26" t="n">
        <f aca="false">IF(AND(ISNUMBER(S18),ISNUMBER(S13)),IFERROR(S18/S13,""),"")</f>
        <v>0.477089692785283</v>
      </c>
      <c r="T19" s="26" t="n">
        <f aca="false">IF(AND(ISNUMBER(T18),ISNUMBER(T13)),IFERROR(T18/T13,""),"")</f>
        <v>0.419243650299294</v>
      </c>
      <c r="U19" s="26" t="n">
        <f aca="false">IF(AND(ISNUMBER(U18),ISNUMBER(U13)),IFERROR(U18/U13,""),"")</f>
        <v>0.469829285873952</v>
      </c>
      <c r="V19" s="26" t="n">
        <f aca="false">IF(AND(ISNUMBER(V18),ISNUMBER(V13)),IFERROR(V18/V13,""),"")</f>
        <v>0.480437441227057</v>
      </c>
      <c r="W19" s="26" t="n">
        <f aca="false">IF(AND(ISNUMBER(W18),ISNUMBER(W13)),IFERROR(W18/W13,""),"")</f>
        <v>0.46189731319</v>
      </c>
      <c r="X19" s="26" t="n">
        <f aca="false">IF(AND(ISNUMBER(X18),ISNUMBER(X13)),IFERROR(X18/X13,""),"")</f>
        <v>0.459020510352945</v>
      </c>
      <c r="Y19" s="26" t="n">
        <f aca="false">IF(AND(ISNUMBER(Y18),ISNUMBER(Y13)),IFERROR(Y18/Y13,""),"")</f>
        <v>0.423011584218782</v>
      </c>
      <c r="Z19" s="26" t="n">
        <f aca="false">IF(AND(ISNUMBER(Z18),ISNUMBER(Z13)),IFERROR(Z18/Z13,""),"")</f>
        <v>0.457714496133546</v>
      </c>
      <c r="AA19" s="26" t="n">
        <f aca="false">IF(AND(ISNUMBER(AA18),ISNUMBER(AA13)),IFERROR(AA18/AA13,""),"")</f>
        <v>0.454232383693096</v>
      </c>
      <c r="AB19" s="26" t="n">
        <f aca="false">IF(AND(ISNUMBER(AB18),ISNUMBER(AB13)),IFERROR(AB18/AB13,""),"")</f>
        <v>0.433909287851553</v>
      </c>
      <c r="AC19" s="26" t="n">
        <f aca="false">IF(AND(ISNUMBER(AC18),ISNUMBER(AC13)),IFERROR(AC18/AC13,""),"")</f>
        <v>0.44244024521847</v>
      </c>
      <c r="AD19" s="26" t="n">
        <f aca="false">IF(AND(ISNUMBER(AD18),ISNUMBER(AD13)),IFERROR(AD18/AD13,""),"")</f>
        <v>0.418529159059177</v>
      </c>
      <c r="AE19" s="26" t="n">
        <f aca="false">IF(AND(ISNUMBER(AE18),ISNUMBER(AE13)),IFERROR(AE18/AE13,""),"")</f>
        <v>0.389779553550094</v>
      </c>
      <c r="AF19" s="26" t="n">
        <f aca="false">IF(AND(ISNUMBER(AF18),ISNUMBER(AF13)),IFERROR(AF18/AF13,""),"")</f>
        <v>0.401141485361802</v>
      </c>
      <c r="AG19" s="26" t="n">
        <f aca="false">IF(AND(ISNUMBER(AG18),ISNUMBER(AG13)),IFERROR(AG18/AG13,""),"")</f>
        <v>0.434747119656165</v>
      </c>
      <c r="AH19" s="26" t="n">
        <f aca="false">IF(AND(ISNUMBER(AH18),ISNUMBER(AH13)),IFERROR(AH18/AH13,""),"")</f>
        <v>0.411858125298348</v>
      </c>
      <c r="AI19" s="26" t="n">
        <f aca="false">IF(AND(ISNUMBER(AI18),ISNUMBER(AI13)),IFERROR(AI18/AI13,""),"")</f>
        <v>0.419698675648373</v>
      </c>
      <c r="AJ19" s="26" t="n">
        <f aca="false">IF(AND(ISNUMBER(AJ18),ISNUMBER(AJ13)),IFERROR(AJ18/AJ13,""),"")</f>
        <v>0.422528633534258</v>
      </c>
      <c r="AK19" s="26" t="n">
        <f aca="false">IF(AND(ISNUMBER(AK18),ISNUMBER(AK13)),IFERROR(AK18/AK13,""),"")</f>
        <v>0.43855714660102</v>
      </c>
      <c r="AL19" s="26" t="n">
        <f aca="false">IF(AND(ISNUMBER(AL18),ISNUMBER(AL13)),IFERROR(AL18/AL13,""),"")</f>
        <v>0.447701922383399</v>
      </c>
      <c r="AM19" s="26" t="n">
        <f aca="false">IF(AND(ISNUMBER(AM18),ISNUMBER(AM13)),IFERROR(AM18/AM13,""),"")</f>
        <v>0.432679264947459</v>
      </c>
      <c r="AN19" s="26" t="n">
        <f aca="false">IF(AND(ISNUMBER(AN18),ISNUMBER(AN13)),IFERROR(AN18/AN13,""),"")</f>
        <v>0.434247251053335</v>
      </c>
      <c r="AO19" s="26" t="n">
        <f aca="false">IF(AND(ISNUMBER(AO18),ISNUMBER(AO13)),IFERROR(AO18/AO13,""),"")</f>
        <v>0.420897252979947</v>
      </c>
      <c r="AP19" s="26" t="n">
        <f aca="false">IF(AND(ISNUMBER(AP18),ISNUMBER(AP13)),IFERROR(AP18/AP13,""),"")</f>
        <v>0.406215418664699</v>
      </c>
      <c r="AQ19" s="26" t="n">
        <f aca="false">IF(AND(ISNUMBER(AQ18),ISNUMBER(AQ13)),IFERROR(AQ18/AQ13,""),"")</f>
        <v>0.334189191610712</v>
      </c>
      <c r="AR19" s="26" t="n">
        <f aca="false">IF(AND(ISNUMBER(AR18),ISNUMBER(AR13)),IFERROR(AR18/AR13,""),"")</f>
        <v>0.40212276944801</v>
      </c>
      <c r="AS19" s="26" t="n">
        <f aca="false">IF(AND(ISNUMBER(AS18),ISNUMBER(AS13)),IFERROR(AS18/AS13,""),"")</f>
        <v>0.264302077912323</v>
      </c>
      <c r="AT19" s="26" t="n">
        <f aca="false">IF(AND(ISNUMBER(AT18),ISNUMBER(AT13)),IFERROR(AT18/AT13,""),"")</f>
        <v>0.360542317866138</v>
      </c>
      <c r="AU19" s="26" t="n">
        <f aca="false">IF(AND(ISNUMBER(AU18),ISNUMBER(AU13)),IFERROR(AU18/AU13,""),"")</f>
        <v>0.333002666173837</v>
      </c>
      <c r="AV19" s="26" t="n">
        <f aca="false">IF(AND(ISNUMBER(AV18),ISNUMBER(AV13)),IFERROR(AV18/AV13,""),"")</f>
        <v>0.379464938233026</v>
      </c>
      <c r="AW19" s="26" t="n">
        <f aca="false">IF(AND(ISNUMBER(AW18),ISNUMBER(AW13)),IFERROR(AW18/AW13,""),"")</f>
        <v>0.335164469369339</v>
      </c>
      <c r="AX19" s="26" t="n">
        <f aca="false">IF(AND(ISNUMBER(AX18),ISNUMBER(AX13)),IFERROR(AX18/AX13,""),"")</f>
        <v>0.324819286263856</v>
      </c>
      <c r="AY19" s="26" t="n">
        <f aca="false">IF(AND(ISNUMBER(AY18),ISNUMBER(AY13)),IFERROR(AY18/AY13,""),"")</f>
        <v>0.346068218673556</v>
      </c>
      <c r="AZ19" s="26" t="n">
        <f aca="false">IF(AND(ISNUMBER(AZ18),ISNUMBER(AZ13)),IFERROR(AZ18/AZ13,""),"")</f>
        <v>0.323884220111312</v>
      </c>
      <c r="BA19" s="26" t="n">
        <f aca="false">IF(AND(ISNUMBER(BA18),ISNUMBER(BA13)),IFERROR(BA18/BA13,""),"")</f>
        <v>0.312439486423911</v>
      </c>
      <c r="BB19" s="26" t="n">
        <f aca="false">IF(AND(ISNUMBER(BB18),ISNUMBER(BB13)),IFERROR(BB18/BB13,""),"")</f>
        <v>0.326473142352309</v>
      </c>
      <c r="BC19" s="26" t="n">
        <f aca="false">IF(AND(ISNUMBER(BC18),ISNUMBER(BC13)),IFERROR(BC18/BC13,""),"")</f>
        <v>0.360312191266548</v>
      </c>
      <c r="BD19" s="26" t="n">
        <f aca="false">IF(AND(ISNUMBER(BD18),ISNUMBER(BD13)),IFERROR(BD18/BD13,""),"")</f>
        <v>0.442716447495881</v>
      </c>
      <c r="BE19" s="26" t="n">
        <f aca="false">IF(AND(ISNUMBER(BE18),ISNUMBER(BE13)),IFERROR(BE18/BE13,""),"")</f>
        <v>0.375849389929175</v>
      </c>
      <c r="BF19" s="26" t="n">
        <f aca="false">IF(AND(ISNUMBER(BF18),ISNUMBER(BF13)),IFERROR(BF18/BF13,""),"")</f>
        <v>0.323633293911991</v>
      </c>
      <c r="BG19" s="26" t="n">
        <f aca="false">IF(AND(ISNUMBER(BG18),ISNUMBER(BG13)),IFERROR(BG18/BG13,""),"")</f>
        <v>0.379341959590368</v>
      </c>
      <c r="BH19" s="26" t="n">
        <f aca="false">IF(AND(ISNUMBER(BH18),ISNUMBER(BH13)),IFERROR(BH18/BH13,""),"")</f>
        <v>0.31412265179126</v>
      </c>
      <c r="BI19" s="26" t="n">
        <f aca="false">IF(AND(ISNUMBER(BI18),ISNUMBER(BI13)),IFERROR(BI18/BI13,""),"")</f>
        <v>0.294256139334685</v>
      </c>
      <c r="BJ19" s="26" t="n">
        <f aca="false">IF(AND(ISNUMBER(BJ18),ISNUMBER(BJ13)),IFERROR(BJ18/BJ13,""),"")</f>
        <v>0.29008563814649</v>
      </c>
      <c r="BK19" s="26" t="n">
        <f aca="false">IF(AND(ISNUMBER(BK18),ISNUMBER(BK13)),IFERROR(BK18/BK13,""),"")</f>
        <v>0.252416764652499</v>
      </c>
      <c r="BL19" s="26" t="n">
        <f aca="false">IF(AND(ISNUMBER(BL18),ISNUMBER(BL13)),IFERROR(BL18/BL13,""),"")</f>
        <v>0.288583521451777</v>
      </c>
      <c r="BM19" s="26" t="n">
        <f aca="false">IF(AND(ISNUMBER(BM18),ISNUMBER(BM13)),IFERROR(BM18/BM13,""),"")</f>
        <v>0.27421873032661</v>
      </c>
      <c r="BN19" s="26" t="n">
        <f aca="false">IF(AND(ISNUMBER(BN18),ISNUMBER(BN13)),IFERROR(BN18/BN13,""),"")</f>
        <v>0.336231732105029</v>
      </c>
      <c r="BO19" s="26" t="n">
        <f aca="false">IF(AND(ISNUMBER(BO18),ISNUMBER(BO13)),IFERROR(BO18/BO13,""),"")</f>
        <v>0.353648042142898</v>
      </c>
      <c r="BP19" s="26" t="n">
        <f aca="false">IF(AND(ISNUMBER(BP18),ISNUMBER(BP13)),IFERROR(BP18/BP13,""),"")</f>
        <v>0.328231343061789</v>
      </c>
      <c r="BQ19" s="26" t="n">
        <f aca="false">IF(AND(ISNUMBER(BQ18),ISNUMBER(BQ13)),IFERROR(BQ18/BQ13,""),"")</f>
        <v>0.323722653310545</v>
      </c>
      <c r="BR19" s="26" t="n">
        <f aca="false">IF(AND(ISNUMBER(BR18),ISNUMBER(BR13)),IFERROR(BR18/BR13,""),"")</f>
        <v>0.343444315889119</v>
      </c>
      <c r="BS19" s="26" t="n">
        <f aca="false">IF(AND(ISNUMBER(BS18),ISNUMBER(BS13)),IFERROR(BS18/BS13,""),"")</f>
        <v>0.379390997760545</v>
      </c>
      <c r="BT19" s="26" t="n">
        <f aca="false">IF(AND(ISNUMBER(BT18),ISNUMBER(BT13)),IFERROR(BT18/BT13,""),"")</f>
        <v>0.389243007256737</v>
      </c>
      <c r="BU19" s="26" t="n">
        <f aca="false">IF(AND(ISNUMBER(BU18),ISNUMBER(BU13)),IFERROR(BU18/BU13,""),"")</f>
        <v>0.343269730672614</v>
      </c>
      <c r="BV19" s="26" t="n">
        <f aca="false">IF(AND(ISNUMBER(BV18),ISNUMBER(BV13)),IFERROR(BV18/BV13,""),"")</f>
        <v>0.364429134123607</v>
      </c>
      <c r="BW19" s="26" t="n">
        <f aca="false">IF(AND(ISNUMBER(BW18),ISNUMBER(BW13)),IFERROR(BW18/BW13,""),"")</f>
        <v>0.336668391029909</v>
      </c>
      <c r="BX19" s="26" t="n">
        <f aca="false">IF(AND(ISNUMBER(BX18),ISNUMBER(BX13)),IFERROR(BX18/BX13,""),"")</f>
        <v>0.404451318629111</v>
      </c>
      <c r="BY19" s="6"/>
      <c r="BZ19" s="6"/>
      <c r="CA19" s="6"/>
      <c r="CB19" s="6"/>
      <c r="CC19" s="6"/>
      <c r="CD19" s="6"/>
      <c r="CE19" s="6"/>
      <c r="CN19" s="17" t="s">
        <v>114</v>
      </c>
      <c r="CO19" s="38" t="n">
        <v>0.02</v>
      </c>
      <c r="CP19" s="24" t="s">
        <v>115</v>
      </c>
      <c r="CQ19" s="38" t="n">
        <v>-0.02</v>
      </c>
      <c r="CR19" s="14" t="s">
        <v>116</v>
      </c>
    </row>
    <row r="20" customFormat="false" ht="15" hidden="false" customHeight="false" outlineLevel="0" collapsed="false">
      <c r="B20" s="28" t="s">
        <v>117</v>
      </c>
      <c r="S20" s="37" t="n">
        <v>5447</v>
      </c>
      <c r="T20" s="37" t="n">
        <v>6391</v>
      </c>
      <c r="U20" s="37" t="n">
        <v>6575</v>
      </c>
      <c r="V20" s="37" t="n">
        <v>6723</v>
      </c>
      <c r="W20" s="37" t="n">
        <v>6683</v>
      </c>
      <c r="X20" s="37" t="n">
        <v>6575</v>
      </c>
      <c r="Y20" s="37" t="n">
        <v>6666</v>
      </c>
      <c r="Z20" s="37" t="n">
        <v>6800</v>
      </c>
      <c r="AA20" s="37" t="n">
        <v>6869</v>
      </c>
      <c r="AB20" s="37" t="n">
        <v>6809</v>
      </c>
      <c r="AC20" s="37" t="n">
        <v>6773</v>
      </c>
      <c r="AD20" s="37" t="n">
        <v>6844</v>
      </c>
      <c r="AE20" s="37" t="n">
        <v>7003</v>
      </c>
      <c r="AF20" s="37" t="n">
        <v>6998</v>
      </c>
      <c r="AG20" s="37" t="n">
        <v>6878</v>
      </c>
      <c r="AH20" s="37" t="n">
        <v>6907</v>
      </c>
      <c r="AI20" s="37" t="n">
        <v>6855</v>
      </c>
      <c r="AJ20" s="37" t="n">
        <v>6957</v>
      </c>
      <c r="AK20" s="37" t="n">
        <v>7007</v>
      </c>
      <c r="AL20" s="37" t="n">
        <v>6964</v>
      </c>
      <c r="AM20" s="37" t="n">
        <v>6938</v>
      </c>
      <c r="AN20" s="37" t="n">
        <v>7424</v>
      </c>
      <c r="AO20" s="37" t="n">
        <v>7533</v>
      </c>
      <c r="AP20" s="37" t="n">
        <v>7448</v>
      </c>
      <c r="AQ20" s="37" t="n">
        <v>7154</v>
      </c>
      <c r="AR20" s="37" t="n">
        <v>7354</v>
      </c>
      <c r="AS20" s="37" t="n">
        <v>7038</v>
      </c>
      <c r="AT20" s="37" t="n">
        <v>6960</v>
      </c>
      <c r="AU20" s="37" t="n">
        <v>6702</v>
      </c>
      <c r="AV20" s="37" t="n">
        <v>6555</v>
      </c>
      <c r="AW20" s="37" t="n">
        <v>6811</v>
      </c>
      <c r="AX20" s="37" t="n">
        <v>6537</v>
      </c>
      <c r="AY20" s="37" t="n">
        <v>6580</v>
      </c>
      <c r="AZ20" s="37" t="n">
        <v>6764</v>
      </c>
      <c r="BA20" s="37" t="n">
        <v>7044</v>
      </c>
      <c r="BB20" s="37" t="n">
        <v>6764</v>
      </c>
      <c r="BC20" s="37" t="n">
        <v>7348</v>
      </c>
      <c r="BD20" s="37" t="n">
        <v>7552</v>
      </c>
      <c r="BE20" s="37" t="n">
        <v>7493</v>
      </c>
      <c r="BF20" s="37" t="n">
        <v>7251</v>
      </c>
      <c r="BG20" s="37" t="n">
        <v>7365</v>
      </c>
      <c r="BH20" s="37" t="n">
        <v>6870</v>
      </c>
      <c r="BI20" s="37" t="n">
        <v>6497</v>
      </c>
      <c r="BJ20" s="37" t="n">
        <v>6278</v>
      </c>
      <c r="BK20" s="37" t="n">
        <v>6103</v>
      </c>
      <c r="BL20" s="37" t="n">
        <v>6469</v>
      </c>
      <c r="BM20" s="37" t="n">
        <v>6004</v>
      </c>
      <c r="BN20" s="37" t="n">
        <v>5868</v>
      </c>
      <c r="BO20" s="37" t="n">
        <v>5595</v>
      </c>
      <c r="BP20" s="37" t="n">
        <v>5348</v>
      </c>
      <c r="BQ20" s="37" t="n">
        <v>5696</v>
      </c>
      <c r="BR20" s="37" t="n">
        <v>5280</v>
      </c>
      <c r="BS20" s="37" t="n">
        <v>5283</v>
      </c>
      <c r="BT20" s="37" t="n">
        <v>5187</v>
      </c>
      <c r="BU20" s="37" t="n">
        <v>4970</v>
      </c>
      <c r="BV20" s="37" t="n">
        <v>5158</v>
      </c>
      <c r="BW20" s="37" t="n">
        <v>4752</v>
      </c>
      <c r="BX20" s="37" t="n">
        <v>4671</v>
      </c>
      <c r="BY20" s="6"/>
      <c r="BZ20" s="6"/>
      <c r="CA20" s="6"/>
      <c r="CB20" s="6"/>
      <c r="CC20" s="6"/>
      <c r="CD20" s="6"/>
      <c r="CE20" s="6"/>
      <c r="CN20" s="28" t="s">
        <v>118</v>
      </c>
      <c r="CO20" s="39" t="n">
        <f aca="false">CP20+$CO$19</f>
        <v>0.05</v>
      </c>
      <c r="CP20" s="34" t="n">
        <v>0.03</v>
      </c>
      <c r="CQ20" s="39" t="n">
        <f aca="false">CP20+$CQ$19</f>
        <v>0.01</v>
      </c>
    </row>
    <row r="21" customFormat="false" ht="15" hidden="false" customHeight="false" outlineLevel="0" collapsed="false">
      <c r="B21" s="25" t="s">
        <v>119</v>
      </c>
      <c r="C21" s="40" t="str">
        <f aca="false">IFERROR(C13*1/C20*1000,"")</f>
        <v/>
      </c>
      <c r="D21" s="40" t="str">
        <f aca="false">IFERROR(D13*1/D20*1000,"")</f>
        <v/>
      </c>
      <c r="E21" s="40" t="str">
        <f aca="false">IFERROR(E13*1/E20*1000,"")</f>
        <v/>
      </c>
      <c r="F21" s="40" t="str">
        <f aca="false">IFERROR(F13*1/F20*1000,"")</f>
        <v/>
      </c>
      <c r="G21" s="40" t="str">
        <f aca="false">IFERROR(G13*1/G20*1000,"")</f>
        <v/>
      </c>
      <c r="H21" s="40" t="str">
        <f aca="false">IFERROR(H13*1/H20*1000,"")</f>
        <v/>
      </c>
      <c r="I21" s="40" t="str">
        <f aca="false">IFERROR(I13*1/I20*1000,"")</f>
        <v/>
      </c>
      <c r="J21" s="40" t="str">
        <f aca="false">IFERROR(J13*4/J20*1000,"")</f>
        <v/>
      </c>
      <c r="K21" s="40" t="str">
        <f aca="false">IFERROR(K13*4/K20*1000,"")</f>
        <v/>
      </c>
      <c r="L21" s="40" t="str">
        <f aca="false">IFERROR(L13*4/L20*1000,"")</f>
        <v/>
      </c>
      <c r="M21" s="40" t="str">
        <f aca="false">IFERROR(M13*4/M20*1000,"")</f>
        <v/>
      </c>
      <c r="N21" s="40" t="str">
        <f aca="false">IFERROR(N13*1/N20*1000,"")</f>
        <v/>
      </c>
      <c r="O21" s="40" t="str">
        <f aca="false">IFERROR(O13*4/O20*1000,"")</f>
        <v/>
      </c>
      <c r="P21" s="40" t="str">
        <f aca="false">IFERROR(P13*4/P20*1000,"")</f>
        <v/>
      </c>
      <c r="Q21" s="40" t="str">
        <f aca="false">IFERROR(Q13*4/Q20*1000,"")</f>
        <v/>
      </c>
      <c r="R21" s="40" t="str">
        <f aca="false">IFERROR(R13*4/R20*1000,"")</f>
        <v/>
      </c>
      <c r="S21" s="40" t="n">
        <f aca="false">IFERROR(S13*1/S20*1000,"")</f>
        <v>248.087938314669</v>
      </c>
      <c r="T21" s="40" t="n">
        <f aca="false">IFERROR(T13*4/T20*1000,"")</f>
        <v>224.070724456267</v>
      </c>
      <c r="U21" s="40" t="n">
        <f aca="false">IFERROR(U13*4/U20*1000,"")</f>
        <v>242.221140684411</v>
      </c>
      <c r="V21" s="40" t="n">
        <f aca="false">IFERROR(V13*4/V20*1000,"")</f>
        <v>244.223114680946</v>
      </c>
      <c r="W21" s="40" t="n">
        <f aca="false">IFERROR(W13*4/W20*1000,"")</f>
        <v>238.383360766123</v>
      </c>
      <c r="X21" s="40" t="n">
        <f aca="false">IFERROR(X13*1/X20*1000,"")</f>
        <v>238.010190114068</v>
      </c>
      <c r="Y21" s="40" t="n">
        <f aca="false">IFERROR(Y13*4/Y20*1000,"")</f>
        <v>230.301830183018</v>
      </c>
      <c r="Z21" s="40" t="n">
        <f aca="false">IFERROR(Z13*4/Z20*1000,"")</f>
        <v>234.825294117647</v>
      </c>
      <c r="AA21" s="40" t="n">
        <f aca="false">IFERROR(AA13*4/AA20*1000,"")</f>
        <v>220.161886737516</v>
      </c>
      <c r="AB21" s="40" t="n">
        <f aca="false">IFERROR(AB13*4/AB20*1000,"")</f>
        <v>213.412248494639</v>
      </c>
      <c r="AC21" s="40" t="n">
        <f aca="false">IFERROR(AC13*1/AC20*1000,"")</f>
        <v>225.063487376347</v>
      </c>
      <c r="AD21" s="40" t="n">
        <f aca="false">IFERROR(AD13*4/AD20*1000,"")</f>
        <v>217.673874926943</v>
      </c>
      <c r="AE21" s="40" t="n">
        <f aca="false">IFERROR(AE13*4/AE20*1000,"")</f>
        <v>205.572468941882</v>
      </c>
      <c r="AF21" s="40" t="n">
        <f aca="false">IFERROR(AF13*4/AF20*1000,"")</f>
        <v>215.72049156902</v>
      </c>
      <c r="AG21" s="40" t="n">
        <f aca="false">IFERROR(AG13*4/AG20*1000,"")</f>
        <v>241.53242221576</v>
      </c>
      <c r="AH21" s="40" t="n">
        <f aca="false">IFERROR(AH13*1/AH20*1000,"")</f>
        <v>220.799768350948</v>
      </c>
      <c r="AI21" s="40" t="n">
        <f aca="false">IFERROR(AI13*4/AI20*1000,"")</f>
        <v>242.024215900802</v>
      </c>
      <c r="AJ21" s="40" t="n">
        <f aca="false">IFERROR(AJ13*4/AJ20*1000,"")</f>
        <v>251.150208423171</v>
      </c>
      <c r="AK21" s="40" t="n">
        <f aca="false">IFERROR(AK13*4/AK20*1000,"")</f>
        <v>265.746824603967</v>
      </c>
      <c r="AL21" s="40" t="n">
        <f aca="false">IFERROR(AL13*4/AL20*1000,"")</f>
        <v>270.760482481333</v>
      </c>
      <c r="AM21" s="40" t="n">
        <f aca="false">IFERROR(AM13*1/AM20*1000,"")</f>
        <v>257.782934563275</v>
      </c>
      <c r="AN21" s="40" t="n">
        <f aca="false">IFERROR(AN13*4/AN20*1000,"")</f>
        <v>262.149784482759</v>
      </c>
      <c r="AO21" s="40" t="n">
        <f aca="false">IFERROR(AO13*4/AO20*1000,"")</f>
        <v>258.286472852781</v>
      </c>
      <c r="AP21" s="40" t="n">
        <f aca="false">IFERROR(AP13*4/AP20*1000,"")</f>
        <v>232.953813104189</v>
      </c>
      <c r="AQ21" s="40" t="n">
        <f aca="false">IFERROR(AQ13*4/AQ20*1000,"")</f>
        <v>218.418227564999</v>
      </c>
      <c r="AR21" s="40" t="n">
        <f aca="false">IFERROR(AR13*1/AR20*1000,"")</f>
        <v>244.406989393527</v>
      </c>
      <c r="AS21" s="40" t="n">
        <f aca="false">IFERROR(AS13*4/AS20*1000,"")</f>
        <v>211.865870986076</v>
      </c>
      <c r="AT21" s="40" t="n">
        <f aca="false">IFERROR(AT13*4/AT20*1000,"")</f>
        <v>218.135632183908</v>
      </c>
      <c r="AU21" s="40" t="n">
        <f aca="false">IFERROR(AU13*4/AU20*1000,"")</f>
        <v>219.601909877648</v>
      </c>
      <c r="AV21" s="40" t="n">
        <f aca="false">IFERROR(AV13*4/AV20*1000,"")</f>
        <v>242.144317315027</v>
      </c>
      <c r="AW21" s="40" t="n">
        <f aca="false">IFERROR(AW13*1/AW20*1000,"")</f>
        <v>222.741300836882</v>
      </c>
      <c r="AX21" s="40" t="n">
        <f aca="false">IFERROR(AX13*4/AX20*1000,"")</f>
        <v>257.676610065779</v>
      </c>
      <c r="AY21" s="40" t="n">
        <f aca="false">IFERROR(AY13*4/AY20*1000,"")</f>
        <v>265.407902735562</v>
      </c>
      <c r="AZ21" s="40" t="n">
        <f aca="false">IFERROR(AZ13*4/AZ20*1000,"")</f>
        <v>272.116499112951</v>
      </c>
      <c r="BA21" s="40" t="n">
        <f aca="false">IFERROR(BA13*4/BA20*1000,"")</f>
        <v>269.789892106758</v>
      </c>
      <c r="BB21" s="40" t="n">
        <f aca="false">IFERROR(BB13*1/BB20*1000,"")</f>
        <v>265.072885866351</v>
      </c>
      <c r="BC21" s="40" t="n">
        <f aca="false">IFERROR(BC13*4/BC20*1000,"")</f>
        <v>275.50353837779</v>
      </c>
      <c r="BD21" s="40" t="n">
        <f aca="false">IFERROR(BD13*4/BD20*1000,"")</f>
        <v>330.80031779661</v>
      </c>
      <c r="BE21" s="40" t="n">
        <f aca="false">IFERROR(BE13*4/BE20*1000,"")</f>
        <v>300.967302815962</v>
      </c>
      <c r="BF21" s="40" t="n">
        <f aca="false">IFERROR(BF13*4/BF20*1000,"")</f>
        <v>277.074058750517</v>
      </c>
      <c r="BG21" s="40" t="n">
        <f aca="false">IFERROR(BG13*1/BG20*1000,"")</f>
        <v>298.262593346911</v>
      </c>
      <c r="BH21" s="40" t="n">
        <f aca="false">IFERROR(BH13*4/BH20*1000,"")</f>
        <v>248.416302765648</v>
      </c>
      <c r="BI21" s="40" t="n">
        <f aca="false">IFERROR(BI13*4/BI20*1000,"")</f>
        <v>246.5950438664</v>
      </c>
      <c r="BJ21" s="40" t="n">
        <f aca="false">IFERROR(BJ13*4/BJ20*1000,"")</f>
        <v>246.263141127748</v>
      </c>
      <c r="BK21" s="40" t="n">
        <f aca="false">IFERROR(BK13*4/BK20*1000,"")</f>
        <v>249.160740619368</v>
      </c>
      <c r="BL21" s="40" t="n">
        <f aca="false">IFERROR(BL13*1/BL20*1000,"")</f>
        <v>246.383366826403</v>
      </c>
      <c r="BM21" s="40" t="n">
        <f aca="false">IFERROR(BM13*4/BM20*1000,"")</f>
        <v>264.5636242505</v>
      </c>
      <c r="BN21" s="40" t="n">
        <f aca="false">IFERROR(BN13*4/BN20*1000,"")</f>
        <v>286.064758009543</v>
      </c>
      <c r="BO21" s="40" t="n">
        <f aca="false">IFERROR(BO13*4/BO20*1000,"")</f>
        <v>300.742806076854</v>
      </c>
      <c r="BP21" s="40" t="n">
        <f aca="false">IFERROR(BP13*4/BP20*1000,"")</f>
        <v>301.992520568437</v>
      </c>
      <c r="BQ21" s="40" t="n">
        <f aca="false">IFERROR(BQ13*1/BQ20*1000,"")</f>
        <v>288.131144662921</v>
      </c>
      <c r="BR21" s="40" t="n">
        <f aca="false">IFERROR(BR13*4/BR20*1000,"")</f>
        <v>316.912121212121</v>
      </c>
      <c r="BS21" s="40" t="n">
        <f aca="false">IFERROR(BS13*4/BS20*1000,"")</f>
        <v>327.274654552338</v>
      </c>
      <c r="BT21" s="40" t="n">
        <f aca="false">IFERROR(BT13*4/BT20*1000,"")</f>
        <v>342.501638712165</v>
      </c>
      <c r="BU21" s="40" t="n">
        <f aca="false">IFERROR(BU13*4/BU20*1000,"")</f>
        <v>331.282092555332</v>
      </c>
      <c r="BV21" s="40" t="n">
        <f aca="false">IFERROR(BV13*1/BV20*1000,"")</f>
        <v>330.812136487011</v>
      </c>
      <c r="BW21" s="40" t="n">
        <f aca="false">IFERROR(BW13*4/BW20*1000,"")</f>
        <v>362.859427609428</v>
      </c>
      <c r="BX21" s="40" t="n">
        <f aca="false">IFERROR(BX13*4/BX20*1000,"")</f>
        <v>401.960179833012</v>
      </c>
      <c r="BY21" s="6"/>
      <c r="BZ21" s="6"/>
      <c r="CA21" s="6"/>
      <c r="CB21" s="6"/>
      <c r="CC21" s="6"/>
      <c r="CD21" s="6"/>
      <c r="CE21" s="6"/>
      <c r="CN21" s="28" t="s">
        <v>120</v>
      </c>
      <c r="CO21" s="39" t="n">
        <f aca="false">CP21+$CO$19</f>
        <v>0.055</v>
      </c>
      <c r="CP21" s="34" t="n">
        <v>0.035</v>
      </c>
      <c r="CQ21" s="39" t="n">
        <f aca="false">CP21+$CQ$19</f>
        <v>0.015</v>
      </c>
    </row>
    <row r="22" customFormat="false" ht="15" hidden="false" customHeight="false" outlineLevel="1" collapsed="false">
      <c r="B22" s="25" t="s">
        <v>121</v>
      </c>
      <c r="J22" s="41" t="n">
        <v>0.09</v>
      </c>
      <c r="K22" s="41" t="n">
        <v>0.09</v>
      </c>
      <c r="L22" s="41" t="n">
        <v>0.13</v>
      </c>
      <c r="M22" s="41" t="n">
        <v>0.07</v>
      </c>
      <c r="O22" s="41" t="n">
        <v>0.04</v>
      </c>
      <c r="P22" s="41" t="n">
        <v>0.04</v>
      </c>
      <c r="Q22" s="41" t="n">
        <v>0.01</v>
      </c>
      <c r="R22" s="41" t="n">
        <v>0.03</v>
      </c>
      <c r="T22" s="41" t="n">
        <v>0.06</v>
      </c>
      <c r="U22" s="41" t="n">
        <v>0.07</v>
      </c>
      <c r="V22" s="41" t="n">
        <v>0.07</v>
      </c>
      <c r="W22" s="41" t="n">
        <v>0.05</v>
      </c>
      <c r="Y22" s="41" t="n">
        <v>0.03</v>
      </c>
      <c r="Z22" s="41" t="n">
        <v>0.03</v>
      </c>
      <c r="AA22" s="41" t="n">
        <v>0.075</v>
      </c>
      <c r="AB22" s="41" t="n">
        <v>0.1</v>
      </c>
      <c r="AD22" s="41" t="n">
        <v>0.11</v>
      </c>
      <c r="AE22" s="41" t="n">
        <v>0.08</v>
      </c>
      <c r="AF22" s="41" t="n">
        <v>0</v>
      </c>
      <c r="AG22" s="41" t="n">
        <v>-0.03</v>
      </c>
      <c r="AI22" s="41" t="n">
        <v>-0.07</v>
      </c>
      <c r="AJ22" s="41" t="n">
        <v>-0.045</v>
      </c>
      <c r="AK22" s="41" t="n">
        <v>-0.005</v>
      </c>
      <c r="AL22" s="41" t="n">
        <v>-0.015</v>
      </c>
      <c r="AN22" s="41" t="n">
        <v>0.005</v>
      </c>
      <c r="AO22" s="41" t="n">
        <v>-0.025</v>
      </c>
      <c r="AP22" s="41" t="n">
        <v>-0.04</v>
      </c>
      <c r="AQ22" s="41" t="n">
        <v>0</v>
      </c>
      <c r="AS22" s="41" t="n">
        <v>0.075</v>
      </c>
      <c r="AT22" s="41" t="n">
        <v>-0.045</v>
      </c>
      <c r="AU22" s="41" t="n">
        <v>0.005</v>
      </c>
      <c r="AV22" s="41" t="n">
        <v>-0.035</v>
      </c>
      <c r="AX22" s="41" t="n">
        <v>-0.065</v>
      </c>
      <c r="AY22" s="41" t="n">
        <v>0.06</v>
      </c>
      <c r="AZ22" s="41" t="n">
        <v>0.045</v>
      </c>
      <c r="BA22" s="41" t="n">
        <v>0.06</v>
      </c>
      <c r="BC22" s="41" t="n">
        <v>0.04</v>
      </c>
      <c r="BD22" s="41" t="n">
        <v>0.02</v>
      </c>
      <c r="BE22" s="41" t="n">
        <v>0.005</v>
      </c>
      <c r="BF22" s="41" t="n">
        <v>-0.04</v>
      </c>
      <c r="BH22" s="41" t="n">
        <v>-0.035</v>
      </c>
      <c r="BI22" s="41" t="n">
        <v>-0.065</v>
      </c>
      <c r="BJ22" s="41" t="n">
        <v>-0.06</v>
      </c>
      <c r="BK22" s="41" t="n">
        <v>-0.015</v>
      </c>
      <c r="BM22" s="41" t="n">
        <v>-0.005</v>
      </c>
      <c r="BN22" s="41" t="n">
        <v>0.015</v>
      </c>
      <c r="BO22" s="41" t="n">
        <v>-0.035</v>
      </c>
      <c r="BP22" s="41" t="n">
        <v>-0.065</v>
      </c>
      <c r="BR22" s="41" t="n">
        <v>-0.045</v>
      </c>
      <c r="BT22" s="41" t="n">
        <v>0.03</v>
      </c>
      <c r="BU22" s="41" t="n">
        <v>0.03</v>
      </c>
      <c r="BW22" s="41" t="n">
        <v>-0.035</v>
      </c>
      <c r="BX22" s="41" t="n">
        <v>0.005</v>
      </c>
      <c r="BY22" s="6"/>
      <c r="BZ22" s="6"/>
      <c r="CA22" s="6"/>
      <c r="CB22" s="6"/>
      <c r="CC22" s="6"/>
      <c r="CD22" s="6"/>
      <c r="CE22" s="6"/>
      <c r="CN22" s="28" t="s">
        <v>122</v>
      </c>
      <c r="CO22" s="39" t="n">
        <f aca="false">CP22+$CO$19</f>
        <v>0.05</v>
      </c>
      <c r="CP22" s="34" t="n">
        <v>0.03</v>
      </c>
      <c r="CQ22" s="39" t="n">
        <f aca="false">CP22+$CQ$19</f>
        <v>0.01</v>
      </c>
    </row>
    <row r="23" customFormat="false" ht="15" hidden="false" customHeight="false" outlineLevel="1" collapsed="false">
      <c r="B23" s="25" t="s">
        <v>123</v>
      </c>
      <c r="J23" s="41" t="n">
        <v>0.12</v>
      </c>
      <c r="K23" s="41" t="n">
        <v>0.08</v>
      </c>
      <c r="L23" s="41" t="n">
        <v>0.05</v>
      </c>
      <c r="M23" s="41" t="n">
        <v>0.04</v>
      </c>
      <c r="P23" s="41" t="n">
        <v>0.08</v>
      </c>
      <c r="Q23" s="41" t="n">
        <v>0.07</v>
      </c>
      <c r="R23" s="41" t="n">
        <v>0.04</v>
      </c>
      <c r="T23" s="41" t="n">
        <v>0.28</v>
      </c>
      <c r="U23" s="41" t="n">
        <v>0.33</v>
      </c>
      <c r="V23" s="41" t="n">
        <v>0.32</v>
      </c>
      <c r="W23" s="41" t="n">
        <v>0.36</v>
      </c>
      <c r="Y23" s="41" t="n">
        <v>0.1</v>
      </c>
      <c r="Z23" s="41" t="n">
        <v>0.07</v>
      </c>
      <c r="AA23" s="41" t="n">
        <v>0.045</v>
      </c>
      <c r="AB23" s="41" t="n">
        <v>0.05</v>
      </c>
      <c r="AD23" s="41" t="n">
        <v>0.085</v>
      </c>
      <c r="AE23" s="41" t="n">
        <v>0.065</v>
      </c>
      <c r="AF23" s="41" t="n">
        <v>0.065</v>
      </c>
      <c r="AG23" s="41" t="n">
        <v>0.1</v>
      </c>
      <c r="AI23" s="41" t="n">
        <v>0.08</v>
      </c>
      <c r="AJ23" s="41" t="n">
        <v>0.06</v>
      </c>
      <c r="AK23" s="41" t="n">
        <v>0.045</v>
      </c>
      <c r="AL23" s="41" t="n">
        <v>0.02</v>
      </c>
      <c r="AN23" s="41" t="n">
        <v>0.01</v>
      </c>
      <c r="AO23" s="41" t="n">
        <v>0.035</v>
      </c>
      <c r="AP23" s="41" t="n">
        <v>0.04</v>
      </c>
      <c r="AQ23" s="41" t="n">
        <v>0.045</v>
      </c>
      <c r="AS23" s="41" t="n">
        <v>0.075</v>
      </c>
      <c r="AT23" s="41" t="n">
        <v>-0.02</v>
      </c>
      <c r="AU23" s="41" t="n">
        <v>0.135</v>
      </c>
      <c r="AV23" s="41" t="n">
        <v>0.2</v>
      </c>
      <c r="AX23" s="41" t="n">
        <v>0.15</v>
      </c>
      <c r="AY23" s="41" t="n">
        <v>0.235</v>
      </c>
      <c r="AZ23" s="41" t="n">
        <v>0.01</v>
      </c>
      <c r="BA23" s="41" t="n">
        <v>-0.04</v>
      </c>
      <c r="BC23" s="41" t="n">
        <v>-0.01</v>
      </c>
      <c r="BD23" s="41" t="n">
        <v>-0.05</v>
      </c>
      <c r="BE23" s="41" t="n">
        <v>-0.015</v>
      </c>
      <c r="BF23" s="41" t="n">
        <v>-0.01</v>
      </c>
      <c r="BH23" s="41" t="n">
        <v>-0.05</v>
      </c>
      <c r="BI23" s="41" t="n">
        <v>0</v>
      </c>
      <c r="BJ23" s="41" t="n">
        <v>-0.02</v>
      </c>
      <c r="BK23" s="41" t="n">
        <v>-0.005</v>
      </c>
      <c r="BM23" s="41" t="n">
        <v>0.03</v>
      </c>
      <c r="BN23" s="41" t="n">
        <v>0.015</v>
      </c>
      <c r="BO23" s="41" t="n">
        <v>0.025</v>
      </c>
      <c r="BP23" s="41" t="n">
        <v>0.025</v>
      </c>
      <c r="BR23" s="41" t="n">
        <v>0.01</v>
      </c>
      <c r="BS23" s="41" t="n">
        <v>0.015</v>
      </c>
      <c r="BT23" s="41" t="n">
        <v>0.025</v>
      </c>
      <c r="BU23" s="41" t="n">
        <v>0.005</v>
      </c>
      <c r="BW23" s="41" t="n">
        <v>0.02</v>
      </c>
      <c r="BX23" s="41" t="n">
        <v>0.02</v>
      </c>
      <c r="BY23" s="6"/>
      <c r="BZ23" s="6"/>
      <c r="CA23" s="6"/>
      <c r="CB23" s="6"/>
      <c r="CC23" s="6"/>
      <c r="CD23" s="6"/>
      <c r="CE23" s="6"/>
      <c r="CN23" s="28" t="s">
        <v>124</v>
      </c>
      <c r="CO23" s="39" t="n">
        <f aca="false">CP23+$CO$19</f>
        <v>0.05</v>
      </c>
      <c r="CP23" s="34" t="n">
        <v>0.03</v>
      </c>
      <c r="CQ23" s="39" t="n">
        <f aca="false">CP23+$CQ$19</f>
        <v>0.01</v>
      </c>
    </row>
    <row r="24" customFormat="false" ht="15" hidden="false" customHeight="false" outlineLevel="1" collapsed="false">
      <c r="B24" s="25" t="s">
        <v>125</v>
      </c>
      <c r="AX24" s="41" t="n">
        <v>0.23</v>
      </c>
      <c r="AY24" s="41" t="n">
        <v>0.07</v>
      </c>
      <c r="AZ24" s="41" t="n">
        <v>0.3</v>
      </c>
      <c r="BA24" s="41" t="n">
        <v>0.15</v>
      </c>
      <c r="BC24" s="41" t="n">
        <v>0.15</v>
      </c>
      <c r="BD24" s="41" t="n">
        <v>0.48</v>
      </c>
      <c r="BE24" s="41" t="n">
        <v>0.205</v>
      </c>
      <c r="BF24" s="41" t="n">
        <v>0.065</v>
      </c>
      <c r="BH24" s="41" t="n">
        <v>-0.19</v>
      </c>
      <c r="BI24" s="41" t="n">
        <v>-0.415</v>
      </c>
      <c r="BJ24" s="41" t="n">
        <v>-0.365</v>
      </c>
      <c r="BK24" s="41" t="n">
        <v>-0.295</v>
      </c>
      <c r="BM24" s="41" t="n">
        <v>-0.095</v>
      </c>
      <c r="BN24" s="41" t="n">
        <v>0.065</v>
      </c>
      <c r="BO24" s="41" t="n">
        <v>0.21</v>
      </c>
      <c r="BP24" s="41" t="n">
        <v>0.17</v>
      </c>
      <c r="BR24" s="41" t="n">
        <v>0.115</v>
      </c>
      <c r="BS24" s="41" t="n">
        <v>0.025</v>
      </c>
      <c r="BU24" s="41" t="n">
        <v>-0.03</v>
      </c>
      <c r="BW24" s="41" t="n">
        <v>0.015</v>
      </c>
      <c r="BX24" s="41" t="n">
        <v>0</v>
      </c>
      <c r="BY24" s="6"/>
      <c r="BZ24" s="6"/>
      <c r="CA24" s="6"/>
      <c r="CB24" s="6"/>
      <c r="CC24" s="6"/>
      <c r="CD24" s="6"/>
      <c r="CE24" s="6"/>
      <c r="CN24" s="17" t="s">
        <v>126</v>
      </c>
      <c r="CO24" s="38" t="n">
        <v>0.02</v>
      </c>
      <c r="CP24" s="24" t="s">
        <v>115</v>
      </c>
      <c r="CQ24" s="38" t="n">
        <v>-0.03</v>
      </c>
      <c r="CR24" s="14" t="s">
        <v>127</v>
      </c>
    </row>
    <row r="25" customFormat="false" ht="15" hidden="false" customHeight="false" outlineLevel="1" collapsed="false">
      <c r="B25" s="25" t="s">
        <v>128</v>
      </c>
      <c r="AZ25" s="41" t="n">
        <v>0.105</v>
      </c>
      <c r="BA25" s="41" t="n">
        <v>0.235</v>
      </c>
      <c r="BC25" s="41" t="n">
        <v>0.27</v>
      </c>
      <c r="BD25" s="41" t="n">
        <v>0.37</v>
      </c>
      <c r="BE25" s="41" t="n">
        <v>0.245</v>
      </c>
      <c r="BF25" s="41" t="n">
        <v>0.08</v>
      </c>
      <c r="BH25" s="41" t="n">
        <v>-0.045</v>
      </c>
      <c r="BI25" s="41" t="n">
        <v>-0.19</v>
      </c>
      <c r="BJ25" s="41" t="n">
        <v>-0.135</v>
      </c>
      <c r="BK25" s="41" t="n">
        <v>-0.085</v>
      </c>
      <c r="BM25" s="41" t="n">
        <v>-0.01</v>
      </c>
      <c r="BN25" s="41" t="n">
        <v>0.05</v>
      </c>
      <c r="BO25" s="41" t="n">
        <v>0.01</v>
      </c>
      <c r="BP25" s="41" t="n">
        <v>0.02</v>
      </c>
      <c r="BR25" s="41" t="n">
        <v>0.04</v>
      </c>
      <c r="BS25" s="41" t="n">
        <v>0.03</v>
      </c>
      <c r="BT25" s="41" t="n">
        <v>0.08</v>
      </c>
      <c r="BU25" s="41" t="n">
        <v>0.055</v>
      </c>
      <c r="BW25" s="41" t="n">
        <v>0.085</v>
      </c>
      <c r="BX25" s="41" t="n">
        <v>0.195</v>
      </c>
      <c r="BY25" s="6"/>
      <c r="BZ25" s="6"/>
      <c r="CA25" s="6"/>
      <c r="CB25" s="6"/>
      <c r="CC25" s="6"/>
      <c r="CD25" s="6"/>
      <c r="CE25" s="6"/>
      <c r="CN25" s="28" t="s">
        <v>118</v>
      </c>
      <c r="CO25" s="39" t="n">
        <f aca="false">CP25+$CO$24</f>
        <v>0.06</v>
      </c>
      <c r="CP25" s="34" t="n">
        <v>0.04</v>
      </c>
      <c r="CQ25" s="39" t="n">
        <f aca="false">CP25+$CQ$24</f>
        <v>0.01</v>
      </c>
    </row>
    <row r="26" customFormat="false" ht="15" hidden="false" customHeight="false" outlineLevel="1" collapsed="false">
      <c r="B26" s="25" t="s">
        <v>129</v>
      </c>
      <c r="J26" s="41" t="n">
        <v>0.015</v>
      </c>
      <c r="K26" s="41" t="n">
        <v>0.01</v>
      </c>
      <c r="L26" s="41" t="n">
        <v>0.02</v>
      </c>
      <c r="M26" s="41" t="n">
        <v>0.035</v>
      </c>
      <c r="O26" s="41" t="n">
        <v>0.1</v>
      </c>
      <c r="P26" s="41" t="n">
        <v>0.1</v>
      </c>
      <c r="Q26" s="41" t="n">
        <v>0.1</v>
      </c>
      <c r="R26" s="41" t="n">
        <v>0.12</v>
      </c>
      <c r="T26" s="41" t="n">
        <v>0.06</v>
      </c>
      <c r="U26" s="41" t="n">
        <v>0.03</v>
      </c>
      <c r="V26" s="41" t="n">
        <v>0</v>
      </c>
      <c r="W26" s="41" t="n">
        <v>-0.03</v>
      </c>
      <c r="Y26" s="41" t="n">
        <v>-0.05</v>
      </c>
      <c r="Z26" s="41" t="n">
        <v>-0.075</v>
      </c>
      <c r="AA26" s="41" t="n">
        <v>-0.055</v>
      </c>
      <c r="AB26" s="41" t="n">
        <v>-0.035</v>
      </c>
      <c r="AD26" s="41" t="n">
        <v>-0.04</v>
      </c>
      <c r="AE26" s="41" t="n">
        <v>0</v>
      </c>
      <c r="AF26" s="41" t="n">
        <v>0.065</v>
      </c>
      <c r="AG26" s="41" t="n">
        <v>0.15</v>
      </c>
      <c r="AI26" s="41" t="n">
        <v>0.21</v>
      </c>
      <c r="AJ26" s="41" t="n">
        <v>0.205</v>
      </c>
      <c r="AK26" s="41" t="n">
        <v>0.14</v>
      </c>
      <c r="AL26" s="41" t="n">
        <v>0.015</v>
      </c>
      <c r="AN26" s="41" t="n">
        <v>-0.055</v>
      </c>
      <c r="AO26" s="41" t="n">
        <v>-0.115</v>
      </c>
      <c r="AP26" s="41" t="n">
        <v>-0.125</v>
      </c>
      <c r="AQ26" s="41" t="n">
        <v>-0.11</v>
      </c>
      <c r="AS26" s="41" t="n">
        <v>-0.085</v>
      </c>
      <c r="AT26" s="41" t="n">
        <v>-0.055</v>
      </c>
      <c r="AU26" s="41" t="n">
        <v>0.105</v>
      </c>
      <c r="AV26" s="41" t="n">
        <v>0.29</v>
      </c>
      <c r="AX26" s="41" t="n">
        <v>0.33</v>
      </c>
      <c r="AY26" s="41" t="n">
        <v>0.42</v>
      </c>
      <c r="AZ26" s="41" t="n">
        <v>0.27</v>
      </c>
      <c r="BA26" s="41" t="n">
        <v>0.185</v>
      </c>
      <c r="BC26" s="41" t="n">
        <v>0.205</v>
      </c>
      <c r="BD26" s="41" t="n">
        <v>0.015</v>
      </c>
      <c r="BE26" s="41" t="n">
        <v>-0.13</v>
      </c>
      <c r="BF26" s="41" t="n">
        <v>-0.21</v>
      </c>
      <c r="BH26" s="41" t="n">
        <v>-0.275</v>
      </c>
      <c r="BI26" s="41" t="n">
        <v>-0.23</v>
      </c>
      <c r="BJ26" s="41" t="n">
        <v>-0.165</v>
      </c>
      <c r="BK26" s="41" t="n">
        <v>-0.135</v>
      </c>
      <c r="BM26" s="41" t="n">
        <v>-0.075</v>
      </c>
      <c r="BN26" s="41" t="n">
        <v>-0.02</v>
      </c>
      <c r="BO26" s="41" t="n">
        <v>0.025</v>
      </c>
      <c r="BP26" s="41" t="n">
        <v>0.06</v>
      </c>
      <c r="BR26" s="41" t="n">
        <v>0.04</v>
      </c>
      <c r="BS26" s="41" t="n">
        <v>0.035</v>
      </c>
      <c r="BT26" s="41" t="n">
        <v>-0.015</v>
      </c>
      <c r="BU26" s="41" t="n">
        <v>0.025</v>
      </c>
      <c r="BW26" s="41" t="n">
        <v>0.11</v>
      </c>
      <c r="BX26" s="41" t="n">
        <v>0.255</v>
      </c>
      <c r="BY26" s="6"/>
      <c r="BZ26" s="6"/>
      <c r="CA26" s="6"/>
      <c r="CB26" s="6"/>
      <c r="CC26" s="6"/>
      <c r="CD26" s="6"/>
      <c r="CE26" s="6"/>
      <c r="CN26" s="28" t="s">
        <v>120</v>
      </c>
      <c r="CO26" s="39" t="n">
        <f aca="false">CP26+$CO$24</f>
        <v>0.05</v>
      </c>
      <c r="CP26" s="34" t="n">
        <v>0.03</v>
      </c>
      <c r="CQ26" s="39" t="n">
        <f aca="false">CP26+$CQ$24</f>
        <v>0</v>
      </c>
    </row>
    <row r="27" customFormat="false" ht="15" hidden="false" customHeight="false" outlineLevel="1" collapsed="false">
      <c r="B27" s="25" t="s">
        <v>130</v>
      </c>
      <c r="J27" s="41" t="n">
        <v>0.025</v>
      </c>
      <c r="K27" s="41" t="n">
        <v>0.01</v>
      </c>
      <c r="L27" s="41" t="n">
        <v>0.04</v>
      </c>
      <c r="M27" s="41" t="n">
        <v>0.05</v>
      </c>
      <c r="O27" s="41" t="n">
        <v>0.12</v>
      </c>
      <c r="P27" s="41" t="n">
        <v>0.09</v>
      </c>
      <c r="Q27" s="41" t="n">
        <v>0.08</v>
      </c>
      <c r="R27" s="41" t="n">
        <v>0.11</v>
      </c>
      <c r="T27" s="41" t="n">
        <v>0.06</v>
      </c>
      <c r="U27" s="41" t="n">
        <v>0.025</v>
      </c>
      <c r="V27" s="41" t="n">
        <v>-0.01</v>
      </c>
      <c r="W27" s="41" t="n">
        <v>-0.05</v>
      </c>
      <c r="Y27" s="41" t="n">
        <v>-0.07</v>
      </c>
      <c r="Z27" s="41" t="n">
        <v>-0.08</v>
      </c>
      <c r="AA27" s="41" t="n">
        <v>-0.035</v>
      </c>
      <c r="AB27" s="41" t="n">
        <v>0</v>
      </c>
      <c r="AD27" s="41" t="n">
        <v>-0.02</v>
      </c>
      <c r="AE27" s="41" t="n">
        <v>0.04</v>
      </c>
      <c r="AF27" s="41" t="n">
        <v>0.085</v>
      </c>
      <c r="AG27" s="41" t="n">
        <v>0.145</v>
      </c>
      <c r="AI27" s="41" t="n">
        <v>0.215</v>
      </c>
      <c r="AJ27" s="41" t="n">
        <v>0.195</v>
      </c>
      <c r="AK27" s="41" t="n">
        <v>0.12</v>
      </c>
      <c r="AL27" s="41" t="n">
        <v>-0.01</v>
      </c>
      <c r="AN27" s="41" t="n">
        <v>-0.085</v>
      </c>
      <c r="AO27" s="41" t="n">
        <v>-0.145</v>
      </c>
      <c r="AP27" s="41" t="n">
        <v>-0.12</v>
      </c>
      <c r="AQ27" s="41" t="n">
        <v>-0.075</v>
      </c>
      <c r="AS27" s="41" t="n">
        <v>-0.025</v>
      </c>
      <c r="AT27" s="41" t="n">
        <v>-0.02</v>
      </c>
      <c r="AU27" s="41" t="n">
        <v>0.165</v>
      </c>
      <c r="AV27" s="41" t="n">
        <v>0.325</v>
      </c>
      <c r="AX27" s="41" t="n">
        <v>0.335</v>
      </c>
      <c r="AY27" s="41" t="n">
        <v>0.475</v>
      </c>
      <c r="AZ27" s="41" t="n">
        <v>0.26</v>
      </c>
      <c r="BA27" s="41" t="n">
        <v>0.18</v>
      </c>
      <c r="BC27" s="41" t="n">
        <v>0.21</v>
      </c>
      <c r="BD27" s="41" t="n">
        <v>-0.05</v>
      </c>
      <c r="BE27" s="41" t="n">
        <v>-0.17</v>
      </c>
      <c r="BF27" s="41" t="n">
        <v>-0.24</v>
      </c>
      <c r="BH27" s="41" t="n">
        <v>-0.285</v>
      </c>
      <c r="BI27" s="41" t="n">
        <v>-0.19</v>
      </c>
      <c r="BJ27" s="41" t="n">
        <v>-0.135</v>
      </c>
      <c r="BK27" s="41" t="n">
        <v>-0.105</v>
      </c>
      <c r="BM27" s="41" t="n">
        <v>-0.075</v>
      </c>
      <c r="BN27" s="41" t="n">
        <v>-0.035</v>
      </c>
      <c r="BO27" s="41" t="n">
        <v>-0.005</v>
      </c>
      <c r="BP27" s="41" t="n">
        <v>0.04</v>
      </c>
      <c r="BR27" s="41" t="n">
        <v>0.03</v>
      </c>
      <c r="BS27" s="41" t="n">
        <v>0.035</v>
      </c>
      <c r="BT27" s="41" t="n">
        <v>-0.015</v>
      </c>
      <c r="BU27" s="41" t="n">
        <v>0.025</v>
      </c>
      <c r="BW27" s="41" t="n">
        <v>0.13</v>
      </c>
      <c r="BX27" s="41" t="n">
        <v>0.29</v>
      </c>
      <c r="BY27" s="6"/>
      <c r="BZ27" s="6"/>
      <c r="CA27" s="6"/>
      <c r="CB27" s="6"/>
      <c r="CC27" s="6"/>
      <c r="CD27" s="6"/>
      <c r="CE27" s="6"/>
      <c r="CN27" s="28" t="s">
        <v>122</v>
      </c>
      <c r="CO27" s="39" t="n">
        <f aca="false">CP27+$CO$24</f>
        <v>0.04</v>
      </c>
      <c r="CP27" s="34" t="n">
        <v>0.02</v>
      </c>
      <c r="CQ27" s="39" t="n">
        <f aca="false">CP27+$CQ$24</f>
        <v>-0.01</v>
      </c>
    </row>
    <row r="28" customFormat="false" ht="15" hidden="false" customHeight="false" outlineLevel="0" collapsed="false">
      <c r="CN28" s="28" t="s">
        <v>124</v>
      </c>
      <c r="CO28" s="39" t="n">
        <f aca="false">CP28+$CO$24</f>
        <v>0.04</v>
      </c>
      <c r="CP28" s="34" t="n">
        <v>0.02</v>
      </c>
      <c r="CQ28" s="39" t="n">
        <f aca="false">CP28+$CQ$24</f>
        <v>-0.01</v>
      </c>
    </row>
    <row r="29" customFormat="false" ht="15" hidden="false" customHeight="false" outlineLevel="0" collapsed="false">
      <c r="B29" s="15" t="s">
        <v>131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7" t="s">
        <v>132</v>
      </c>
      <c r="CN29" s="17" t="s">
        <v>133</v>
      </c>
      <c r="CO29" s="38" t="n">
        <v>0.02</v>
      </c>
      <c r="CP29" s="24" t="s">
        <v>115</v>
      </c>
      <c r="CQ29" s="38" t="n">
        <v>-0.03</v>
      </c>
      <c r="CR29" s="14" t="s">
        <v>134</v>
      </c>
    </row>
    <row r="30" customFormat="false" ht="15" hidden="false" customHeight="false" outlineLevel="0" collapsed="false">
      <c r="B30" s="18" t="s">
        <v>135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21" t="n">
        <v>0</v>
      </c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21" t="n">
        <v>0</v>
      </c>
      <c r="AO30" s="19"/>
      <c r="AP30" s="19"/>
      <c r="AQ30" s="19"/>
      <c r="AR30" s="20" t="n">
        <f aca="false">IFERROR(AVERAGE(AN30,AO30,AP30,AQ30),"")</f>
        <v>0</v>
      </c>
      <c r="AS30" s="21" t="n">
        <v>-0.03</v>
      </c>
      <c r="AT30" s="21" t="n">
        <v>-0.085</v>
      </c>
      <c r="AU30" s="21" t="n">
        <v>0.015</v>
      </c>
      <c r="AV30" s="21" t="n">
        <v>0.12</v>
      </c>
      <c r="AW30" s="20" t="n">
        <f aca="false">IFERROR(AVERAGE(AS30,AT30,AU30,AV30),"")</f>
        <v>0.005</v>
      </c>
      <c r="AX30" s="21" t="n">
        <v>0.27</v>
      </c>
      <c r="AY30" s="21" t="n">
        <v>0.29</v>
      </c>
      <c r="AZ30" s="21" t="n">
        <v>0.12</v>
      </c>
      <c r="BA30" s="21" t="n">
        <v>0.05</v>
      </c>
      <c r="BB30" s="20" t="n">
        <f aca="false">IFERROR(AVERAGE(AX30,AY30,AZ30,BA30),"")</f>
        <v>0.1825</v>
      </c>
      <c r="BC30" s="21" t="n">
        <v>0.07</v>
      </c>
      <c r="BD30" s="21" t="n">
        <v>0.025</v>
      </c>
      <c r="BE30" s="21" t="n">
        <v>-0.025</v>
      </c>
      <c r="BF30" s="21" t="n">
        <v>-0.095</v>
      </c>
      <c r="BG30" s="20" t="n">
        <f aca="false">IFERROR(AVERAGE(BC30,BD30,BE30,BF30),"")</f>
        <v>-0.00625</v>
      </c>
      <c r="BH30" s="21" t="n">
        <v>-0.145</v>
      </c>
      <c r="BI30" s="21" t="n">
        <v>-0.07</v>
      </c>
      <c r="BJ30" s="21" t="n">
        <v>-0.005</v>
      </c>
      <c r="BK30" s="21" t="n">
        <v>0.04</v>
      </c>
      <c r="BL30" s="20" t="n">
        <f aca="false">IFERROR(AVERAGE(BH30,BI30,BJ30,BK30),"")</f>
        <v>-0.045</v>
      </c>
      <c r="BM30" s="21" t="n">
        <v>0.07</v>
      </c>
      <c r="BN30" s="21" t="n">
        <v>0.04</v>
      </c>
      <c r="BO30" s="21" t="n">
        <v>0.07</v>
      </c>
      <c r="BP30" s="21" t="n">
        <v>0.035</v>
      </c>
      <c r="BQ30" s="20" t="n">
        <f aca="false">IFERROR(AVERAGE(BM30,BN30,BO30,BP30),"")</f>
        <v>0.05375</v>
      </c>
      <c r="BR30" s="21" t="n">
        <v>0.015</v>
      </c>
      <c r="BS30" s="21" t="n">
        <v>-0.04</v>
      </c>
      <c r="BT30" s="21" t="n">
        <v>-0.07</v>
      </c>
      <c r="BU30" s="21" t="n">
        <v>-0.08</v>
      </c>
      <c r="BV30" s="20" t="n">
        <f aca="false">IFERROR(AVERAGE(BR30,BS30,BT30,BU30),"")</f>
        <v>-0.04375</v>
      </c>
      <c r="BW30" s="21" t="n">
        <v>-0.105</v>
      </c>
      <c r="BX30" s="21" t="n">
        <v>0.01</v>
      </c>
      <c r="BY30" s="22" t="n">
        <f aca="false">$BX$30</f>
        <v>0.01</v>
      </c>
      <c r="BZ30" s="22" t="n">
        <f aca="false">$BX$30</f>
        <v>0.01</v>
      </c>
      <c r="CA30" s="22" t="n">
        <f aca="false">AVERAGE(BW30:BZ30)</f>
        <v>-0.01875</v>
      </c>
      <c r="CB30" s="22" t="n">
        <f aca="false">CHOOSE(MATCH($CF$2,{"Bull","Base","Bear"},0),$CO$30,$CP$30,$CQ$30)</f>
        <v>0.02</v>
      </c>
      <c r="CC30" s="22" t="n">
        <f aca="false">CHOOSE(MATCH($CF$2,{"Bull","Base","Bear"},0),$CO$31,$CP$31,$CQ$31)</f>
        <v>0.03</v>
      </c>
      <c r="CD30" s="22" t="n">
        <f aca="false">CHOOSE(MATCH($CF$2,{"Bull","Base","Bear"},0),$CO$32,$CP$32,$CQ$32)</f>
        <v>0.03</v>
      </c>
      <c r="CE30" s="22" t="n">
        <f aca="false">CHOOSE(MATCH($CF$2,{"Bull","Base","Bear"},0),$CO$33,$CP$33,$CQ$33)</f>
        <v>0.03</v>
      </c>
      <c r="CF30" s="23" t="s">
        <v>136</v>
      </c>
      <c r="CN30" s="28" t="s">
        <v>118</v>
      </c>
      <c r="CO30" s="39" t="n">
        <f aca="false">CP30+$CO$29</f>
        <v>0.04</v>
      </c>
      <c r="CP30" s="34" t="n">
        <v>0.02</v>
      </c>
      <c r="CQ30" s="39" t="n">
        <f aca="false">CP30+$CQ$29</f>
        <v>-0.01</v>
      </c>
    </row>
    <row r="31" customFormat="false" ht="15" hidden="false" customHeight="false" outlineLevel="0" collapsed="false">
      <c r="B31" s="25" t="s">
        <v>137</v>
      </c>
      <c r="AN31" s="26" t="n">
        <f aca="false">IFERROR((1+AN33)/(1+AN30)-1,"")</f>
        <v>0.0341279452522412</v>
      </c>
      <c r="AO31" s="26" t="n">
        <f aca="false">IFERROR((1+AO33)/(1+AO30)-1,"")</f>
        <v>-0.0145454797925446</v>
      </c>
      <c r="AP31" s="26" t="n">
        <f aca="false">IFERROR((1+AP33)/(1+AP30)-1,"")</f>
        <v>0.0127814110260176</v>
      </c>
      <c r="AQ31" s="26" t="n">
        <f aca="false">IFERROR((1+AQ33)/(1+AQ30)-1,"")</f>
        <v>-0.0963170025991859</v>
      </c>
      <c r="AR31" s="26" t="n">
        <f aca="false">IFERROR((1+AR33)/(1+AR30)-1,"")</f>
        <v>-0.0182568311436166</v>
      </c>
      <c r="AS31" s="26" t="n">
        <f aca="false">IFERROR((1+AS33)/(1+AS30)-1,"")</f>
        <v>0.0396623143355976</v>
      </c>
      <c r="AT31" s="26" t="n">
        <f aca="false">IFERROR((1+AT33)/(1+AT30)-1,"")</f>
        <v>0.254779341786</v>
      </c>
      <c r="AU31" s="26" t="n">
        <f aca="false">IFERROR((1+AU33)/(1+AU30)-1,"")</f>
        <v>0.14366670541589</v>
      </c>
      <c r="AV31" s="26" t="n">
        <f aca="false">IFERROR((1+AV33)/(1+AV30)-1,"")</f>
        <v>0.246347972086213</v>
      </c>
      <c r="AW31" s="26" t="n">
        <f aca="false">IFERROR((1+AW33)/(1+AW30)-1,"")</f>
        <v>0.172072726990842</v>
      </c>
      <c r="AX31" s="26" t="n">
        <f aca="false">IFERROR((1+AX33)/(1+AX30)-1,"")</f>
        <v>0.315056482381618</v>
      </c>
      <c r="AY31" s="26" t="n">
        <f aca="false">IFERROR((1+AY33)/(1+AY30)-1,"")</f>
        <v>0.135742637181141</v>
      </c>
      <c r="AZ31" s="26" t="n">
        <f aca="false">IFERROR((1+AZ33)/(1+AZ30)-1,"")</f>
        <v>0.760705201798842</v>
      </c>
      <c r="BA31" s="26" t="n">
        <f aca="false">IFERROR((1+BA33)/(1+BA30)-1,"")</f>
        <v>0.637518489515357</v>
      </c>
      <c r="BB31" s="26" t="n">
        <f aca="false">IFERROR((1+BB33)/(1+BB30)-1,"")</f>
        <v>0.443361530668997</v>
      </c>
      <c r="BC31" s="26" t="n">
        <f aca="false">IFERROR((1+BC33)/(1+BC30)-1,"")</f>
        <v>0.403604868709687</v>
      </c>
      <c r="BD31" s="26" t="n">
        <f aca="false">IFERROR((1+BD33)/(1+BD30)-1,"")</f>
        <v>0.325756871497696</v>
      </c>
      <c r="BE31" s="26" t="n">
        <f aca="false">IFERROR((1+BE33)/(1+BE30)-1,"")</f>
        <v>-0.180428703552043</v>
      </c>
      <c r="BF31" s="26" t="n">
        <f aca="false">IFERROR((1+BF33)/(1+BF30)-1,"")</f>
        <v>-0.326324801788092</v>
      </c>
      <c r="BG31" s="26" t="n">
        <f aca="false">IFERROR((1+BG33)/(1+BG30)-1,"")</f>
        <v>0.0155991206646828</v>
      </c>
      <c r="BH31" s="26" t="n">
        <f aca="false">IFERROR((1+BH33)/(1+BH30)-1,"")</f>
        <v>-0.353445111789358</v>
      </c>
      <c r="BI31" s="26" t="n">
        <f aca="false">IFERROR((1+BI33)/(1+BI30)-1,"")</f>
        <v>-0.405992715588427</v>
      </c>
      <c r="BJ31" s="26" t="n">
        <f aca="false">IFERROR((1+BJ33)/(1+BJ30)-1,"")</f>
        <v>-0.312705100899069</v>
      </c>
      <c r="BK31" s="26" t="n">
        <f aca="false">IFERROR((1+BK33)/(1+BK30)-1,"")</f>
        <v>-0.173087824815781</v>
      </c>
      <c r="BL31" s="26" t="n">
        <f aca="false">IFERROR((1+BL33)/(1+BL30)-1,"")</f>
        <v>-0.33376450770876</v>
      </c>
      <c r="BM31" s="26" t="n">
        <f aca="false">IFERROR((1+BM33)/(1+BM30)-1,"")</f>
        <v>-0.0542530300856744</v>
      </c>
      <c r="BN31" s="26" t="n">
        <f aca="false">IFERROR((1+BN33)/(1+BN30)-1,"")</f>
        <v>-0.0125173658574688</v>
      </c>
      <c r="BO31" s="26" t="n">
        <f aca="false">IFERROR((1+BO33)/(1+BO30)-1,"")</f>
        <v>0.290729937716158</v>
      </c>
      <c r="BP31" s="26" t="n">
        <f aca="false">IFERROR((1+BP33)/(1+BP30)-1,"")</f>
        <v>0.213077578787603</v>
      </c>
      <c r="BQ31" s="26" t="n">
        <f aca="false">IFERROR((1+BQ33)/(1+BQ30)-1,"")</f>
        <v>0.104802734243909</v>
      </c>
      <c r="BR31" s="26" t="n">
        <f aca="false">IFERROR((1+BR33)/(1+BR30)-1,"")</f>
        <v>0.0103002437677391</v>
      </c>
      <c r="BS31" s="26" t="n">
        <f aca="false">IFERROR((1+BS33)/(1+BS30)-1,"")</f>
        <v>0.0615529942901225</v>
      </c>
      <c r="BT31" s="26" t="n">
        <f aca="false">IFERROR((1+BT33)/(1+BT30)-1,"")</f>
        <v>-0.121242383764594</v>
      </c>
      <c r="BU31" s="26" t="n">
        <f aca="false">IFERROR((1+BU33)/(1+BU30)-1,"")</f>
        <v>-0.0508804091288539</v>
      </c>
      <c r="BV31" s="26" t="n">
        <f aca="false">IFERROR((1+BV33)/(1+BV30)-1,"")</f>
        <v>-0.0332489380222071</v>
      </c>
      <c r="BW31" s="26" t="n">
        <f aca="false">IFERROR((1+BW33)/(1+BW30)-1,"")</f>
        <v>-0.0178590124088261</v>
      </c>
      <c r="BX31" s="26" t="n">
        <f aca="false">IFERROR((1+BX33)/(1+BX30)-1,"")</f>
        <v>-0.00330845853469186</v>
      </c>
      <c r="BY31" s="27" t="n">
        <f aca="false">$BX$31+BY109</f>
        <v>0.0115301597859782</v>
      </c>
      <c r="BZ31" s="27" t="n">
        <f aca="false">$BX$31+BY109</f>
        <v>0.0115301597859782</v>
      </c>
      <c r="CA31" s="27" t="n">
        <f aca="false">IFERROR((1+CA33)/(1+CA30)-1,"")</f>
        <v>0.00113405803547373</v>
      </c>
      <c r="CB31" s="27" t="n">
        <f aca="false">CHOOSE(MATCH($CF$2,{"Bull","Base","Bear"},0),$CO$35,$CP$35,$CQ$35)</f>
        <v>0</v>
      </c>
      <c r="CC31" s="27" t="n">
        <f aca="false">CHOOSE(MATCH($CF$2,{"Bull","Base","Bear"},0),$CO$36,$CP$36,$CQ$36)</f>
        <v>0.01</v>
      </c>
      <c r="CD31" s="27" t="n">
        <f aca="false">CHOOSE(MATCH($CF$2,{"Bull","Base","Bear"},0),$CO$37,$CP$37,$CQ$37)</f>
        <v>0.015</v>
      </c>
      <c r="CE31" s="27" t="n">
        <f aca="false">CHOOSE(MATCH($CF$2,{"Bull","Base","Bear"},0),$CO$38,$CP$38,$CQ$38)</f>
        <v>0.015</v>
      </c>
      <c r="CF31" s="23" t="s">
        <v>138</v>
      </c>
      <c r="CN31" s="28" t="s">
        <v>120</v>
      </c>
      <c r="CO31" s="39" t="n">
        <f aca="false">CP31+$CO$29</f>
        <v>0.05</v>
      </c>
      <c r="CP31" s="34" t="n">
        <v>0.03</v>
      </c>
      <c r="CQ31" s="39" t="n">
        <f aca="false">CP31+$CQ$29</f>
        <v>0</v>
      </c>
    </row>
    <row r="32" customFormat="false" ht="15" hidden="false" customHeight="false" outlineLevel="0" collapsed="false">
      <c r="B32" s="18" t="s">
        <v>139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31" t="n">
        <v>350.193</v>
      </c>
      <c r="T32" s="31" t="n">
        <v>86.333</v>
      </c>
      <c r="U32" s="31" t="n">
        <v>94.846</v>
      </c>
      <c r="V32" s="31" t="n">
        <v>94.797</v>
      </c>
      <c r="W32" s="31" t="n">
        <v>89.491</v>
      </c>
      <c r="X32" s="31" t="n">
        <v>365.467</v>
      </c>
      <c r="Y32" s="31" t="n">
        <v>92.866</v>
      </c>
      <c r="Z32" s="31" t="n">
        <v>97.224</v>
      </c>
      <c r="AA32" s="31" t="n">
        <v>93.368</v>
      </c>
      <c r="AB32" s="31" t="n">
        <v>114.079</v>
      </c>
      <c r="AC32" s="31" t="n">
        <v>397.537</v>
      </c>
      <c r="AD32" s="31" t="n">
        <v>106.546</v>
      </c>
      <c r="AE32" s="31" t="n">
        <v>121.023</v>
      </c>
      <c r="AF32" s="31" t="n">
        <v>129.842</v>
      </c>
      <c r="AG32" s="31" t="n">
        <v>127.869</v>
      </c>
      <c r="AH32" s="31" t="n">
        <v>485.28</v>
      </c>
      <c r="AI32" s="31" t="n">
        <v>123.037</v>
      </c>
      <c r="AJ32" s="31" t="n">
        <v>144.031</v>
      </c>
      <c r="AK32" s="31" t="n">
        <v>134.101</v>
      </c>
      <c r="AL32" s="31" t="n">
        <v>142.737</v>
      </c>
      <c r="AM32" s="31" t="n">
        <v>543.906</v>
      </c>
      <c r="AN32" s="31" t="n">
        <v>127.236</v>
      </c>
      <c r="AO32" s="31" t="n">
        <v>141.936</v>
      </c>
      <c r="AP32" s="31" t="n">
        <v>135.815</v>
      </c>
      <c r="AQ32" s="31" t="n">
        <v>128.989</v>
      </c>
      <c r="AR32" s="31" t="n">
        <v>533.976</v>
      </c>
      <c r="AS32" s="31" t="n">
        <v>128.314</v>
      </c>
      <c r="AT32" s="31" t="n">
        <v>162.96</v>
      </c>
      <c r="AU32" s="31" t="n">
        <v>157.657</v>
      </c>
      <c r="AV32" s="31" t="n">
        <v>180.057</v>
      </c>
      <c r="AW32" s="31" t="n">
        <v>628.988</v>
      </c>
      <c r="AX32" s="31" t="n">
        <v>214.3</v>
      </c>
      <c r="AY32" s="31" t="n">
        <v>238.754</v>
      </c>
      <c r="AZ32" s="31" t="n">
        <v>310.898</v>
      </c>
      <c r="BA32" s="31" t="n">
        <v>309.589</v>
      </c>
      <c r="BB32" s="31" t="n">
        <v>1073.541</v>
      </c>
      <c r="BC32" s="31" t="n">
        <v>321.848</v>
      </c>
      <c r="BD32" s="31" t="n">
        <v>324.443</v>
      </c>
      <c r="BE32" s="31" t="n">
        <v>248.433</v>
      </c>
      <c r="BF32" s="31" t="n">
        <v>188.749</v>
      </c>
      <c r="BG32" s="31" t="n">
        <v>1083.473</v>
      </c>
      <c r="BH32" s="31" t="n">
        <v>177.919</v>
      </c>
      <c r="BI32" s="31" t="n">
        <v>179.231</v>
      </c>
      <c r="BJ32" s="31" t="n">
        <v>169.893</v>
      </c>
      <c r="BK32" s="31" t="n">
        <v>162.322</v>
      </c>
      <c r="BL32" s="31" t="n">
        <v>689.365</v>
      </c>
      <c r="BM32" s="31" t="n">
        <v>180.045</v>
      </c>
      <c r="BN32" s="31" t="n">
        <v>184.067</v>
      </c>
      <c r="BO32" s="31" t="n">
        <v>234.636</v>
      </c>
      <c r="BP32" s="31" t="n">
        <v>203.801</v>
      </c>
      <c r="BQ32" s="31" t="n">
        <v>802.549</v>
      </c>
      <c r="BR32" s="31" t="n">
        <v>184.628</v>
      </c>
      <c r="BS32" s="31" t="n">
        <v>187.581</v>
      </c>
      <c r="BT32" s="31" t="n">
        <v>191.755</v>
      </c>
      <c r="BU32" s="31" t="n">
        <v>177.957</v>
      </c>
      <c r="BV32" s="31" t="n">
        <v>741.921</v>
      </c>
      <c r="BW32" s="31" t="n">
        <v>162.291</v>
      </c>
      <c r="BX32" s="31" t="n">
        <v>188.83</v>
      </c>
      <c r="BY32" s="32" t="n">
        <f aca="false">BT32*(1+BY30)*(1+BY31)</f>
        <v>195.905625447658</v>
      </c>
      <c r="BZ32" s="32" t="n">
        <f aca="false">BU32*(1+BZ30)*(1+BZ31)</f>
        <v>181.808961371484</v>
      </c>
      <c r="CA32" s="32" t="n">
        <f aca="false">SUM(BW32,BX32,BY32,BZ32)</f>
        <v>728.835586819142</v>
      </c>
      <c r="CB32" s="32" t="n">
        <f aca="false">CA32*(1+CB30)*(1+CB31)</f>
        <v>743.412298555524</v>
      </c>
      <c r="CC32" s="32" t="n">
        <f aca="false">CB32*(1+CC30)*(1+CC31)</f>
        <v>773.371814187312</v>
      </c>
      <c r="CD32" s="32" t="n">
        <f aca="false">CC32*(1+CD30)*(1+CD31)</f>
        <v>808.521563142125</v>
      </c>
      <c r="CE32" s="32" t="n">
        <f aca="false">CD32*(1+CE30)*(1+CE31)</f>
        <v>845.268868186935</v>
      </c>
      <c r="CH32" s="33" t="n">
        <f aca="false">IFERROR((CE32/BV32)^(1/5)-1,"n/m")</f>
        <v>0.0264255215186422</v>
      </c>
      <c r="CI32" s="33" t="n">
        <f aca="false">IFERROR((BV32/AW32)^(1/5)-1,"n/m")</f>
        <v>0.0335775338418878</v>
      </c>
      <c r="CJ32" s="33" t="n">
        <f aca="false">IFERROR((BV32/X32)^(1/10)-1,"n/m")</f>
        <v>0.0733736991298983</v>
      </c>
      <c r="CK32" s="33" t="str">
        <f aca="false">IFERROR((BV32/C32)^(1/19)-1,"n/m")</f>
        <v>n/m</v>
      </c>
      <c r="CN32" s="28" t="s">
        <v>122</v>
      </c>
      <c r="CO32" s="39" t="n">
        <f aca="false">CP32+$CO$29</f>
        <v>0.05</v>
      </c>
      <c r="CP32" s="34" t="n">
        <v>0.03</v>
      </c>
      <c r="CQ32" s="39" t="n">
        <f aca="false">CP32+$CQ$29</f>
        <v>0</v>
      </c>
    </row>
    <row r="33" customFormat="false" ht="15" hidden="false" customHeight="false" outlineLevel="0" collapsed="false">
      <c r="B33" s="25" t="s">
        <v>100</v>
      </c>
      <c r="D33" s="26" t="str">
        <f aca="false">IF(AND(ISNUMBER(D32),ISNUMBER(C32)),IFERROR(D32/C32-1,""),"")</f>
        <v/>
      </c>
      <c r="E33" s="26" t="str">
        <f aca="false">IF(AND(ISNUMBER(E32),ISNUMBER(D32)),IFERROR(E32/D32-1,""),"")</f>
        <v/>
      </c>
      <c r="F33" s="26" t="str">
        <f aca="false">IF(AND(ISNUMBER(F32),ISNUMBER(E32)),IFERROR(F32/E32-1,""),"")</f>
        <v/>
      </c>
      <c r="G33" s="26" t="str">
        <f aca="false">IF(AND(ISNUMBER(G32),ISNUMBER(F32)),IFERROR(G32/F32-1,""),"")</f>
        <v/>
      </c>
      <c r="H33" s="26" t="str">
        <f aca="false">IF(AND(ISNUMBER(H32),ISNUMBER(G32)),IFERROR(H32/G32-1,""),"")</f>
        <v/>
      </c>
      <c r="I33" s="26" t="str">
        <f aca="false">IF(AND(ISNUMBER(I32),ISNUMBER(H32)),IFERROR(I32/H32-1,""),"")</f>
        <v/>
      </c>
      <c r="N33" s="26" t="str">
        <f aca="false">IF(AND(ISNUMBER(N32),ISNUMBER(I32)),IFERROR(N32/I32-1,""),"")</f>
        <v/>
      </c>
      <c r="O33" s="26" t="str">
        <f aca="false">IF(AND(ISNUMBER(O32),ISNUMBER(J32)),IFERROR(O32/J32-1,""),"")</f>
        <v/>
      </c>
      <c r="P33" s="26" t="str">
        <f aca="false">IF(AND(ISNUMBER(P32),ISNUMBER(K32)),IFERROR(P32/K32-1,""),"")</f>
        <v/>
      </c>
      <c r="Q33" s="26" t="str">
        <f aca="false">IF(AND(ISNUMBER(Q32),ISNUMBER(L32)),IFERROR(Q32/L32-1,""),"")</f>
        <v/>
      </c>
      <c r="R33" s="26" t="str">
        <f aca="false">IF(AND(ISNUMBER(R32),ISNUMBER(M32)),IFERROR(R32/M32-1,""),"")</f>
        <v/>
      </c>
      <c r="S33" s="26" t="str">
        <f aca="false">IF(AND(ISNUMBER(S32),ISNUMBER(N32)),IFERROR(S32/N32-1,""),"")</f>
        <v/>
      </c>
      <c r="T33" s="26" t="str">
        <f aca="false">IF(AND(ISNUMBER(T32),ISNUMBER(O32)),IFERROR(T32/O32-1,""),"")</f>
        <v/>
      </c>
      <c r="U33" s="26" t="str">
        <f aca="false">IF(AND(ISNUMBER(U32),ISNUMBER(P32)),IFERROR(U32/P32-1,""),"")</f>
        <v/>
      </c>
      <c r="V33" s="26" t="str">
        <f aca="false">IF(AND(ISNUMBER(V32),ISNUMBER(Q32)),IFERROR(V32/Q32-1,""),"")</f>
        <v/>
      </c>
      <c r="W33" s="26" t="str">
        <f aca="false">IF(AND(ISNUMBER(W32),ISNUMBER(R32)),IFERROR(W32/R32-1,""),"")</f>
        <v/>
      </c>
      <c r="X33" s="26" t="n">
        <f aca="false">IF(AND(ISNUMBER(X32),ISNUMBER(S32)),IFERROR(X32/S32-1,""),"")</f>
        <v>0.0436159489195958</v>
      </c>
      <c r="Y33" s="26" t="n">
        <f aca="false">IF(AND(ISNUMBER(Y32),ISNUMBER(T32)),IFERROR(Y32/T32-1,""),"")</f>
        <v>0.0756721068421113</v>
      </c>
      <c r="Z33" s="26" t="n">
        <f aca="false">IF(AND(ISNUMBER(Z32),ISNUMBER(U32)),IFERROR(Z32/U32-1,""),"")</f>
        <v>0.0250722223393711</v>
      </c>
      <c r="AA33" s="26" t="n">
        <f aca="false">IF(AND(ISNUMBER(AA32),ISNUMBER(V32)),IFERROR(AA32/V32-1,""),"")</f>
        <v>-0.0150743166977858</v>
      </c>
      <c r="AB33" s="26" t="n">
        <f aca="false">IF(AND(ISNUMBER(AB32),ISNUMBER(W32)),IFERROR(AB32/W32-1,""),"")</f>
        <v>0.274753885865618</v>
      </c>
      <c r="AC33" s="26" t="n">
        <f aca="false">IF(AND(ISNUMBER(AC32),ISNUMBER(X32)),IFERROR(AC32/X32-1,""),"")</f>
        <v>0.0877507408329616</v>
      </c>
      <c r="AD33" s="26" t="n">
        <f aca="false">IF(AND(ISNUMBER(AD32),ISNUMBER(Y32)),IFERROR(AD32/Y32-1,""),"")</f>
        <v>0.147309025908298</v>
      </c>
      <c r="AE33" s="26" t="n">
        <f aca="false">IF(AND(ISNUMBER(AE32),ISNUMBER(Z32)),IFERROR(AE32/Z32-1,""),"")</f>
        <v>0.244785238212787</v>
      </c>
      <c r="AF33" s="26" t="n">
        <f aca="false">IF(AND(ISNUMBER(AF32),ISNUMBER(AA32)),IFERROR(AF32/AA32-1,""),"")</f>
        <v>0.39064775940365</v>
      </c>
      <c r="AG33" s="26" t="n">
        <f aca="false">IF(AND(ISNUMBER(AG32),ISNUMBER(AB32)),IFERROR(AG32/AB32-1,""),"")</f>
        <v>0.120881143768792</v>
      </c>
      <c r="AH33" s="26" t="n">
        <f aca="false">IF(AND(ISNUMBER(AH32),ISNUMBER(AC32)),IFERROR(AH32/AC32-1,""),"")</f>
        <v>0.220716562231943</v>
      </c>
      <c r="AI33" s="26" t="n">
        <f aca="false">IF(AND(ISNUMBER(AI32),ISNUMBER(AD32)),IFERROR(AI32/AD32-1,""),"")</f>
        <v>0.154778217858953</v>
      </c>
      <c r="AJ33" s="26" t="n">
        <f aca="false">IF(AND(ISNUMBER(AJ32),ISNUMBER(AE32)),IFERROR(AJ32/AE32-1,""),"")</f>
        <v>0.19011262322038</v>
      </c>
      <c r="AK33" s="26" t="n">
        <f aca="false">IF(AND(ISNUMBER(AK32),ISNUMBER(AF32)),IFERROR(AK32/AF32-1,""),"")</f>
        <v>0.0328014047842762</v>
      </c>
      <c r="AL33" s="26" t="n">
        <f aca="false">IF(AND(ISNUMBER(AL32),ISNUMBER(AG32)),IFERROR(AL32/AG32-1,""),"")</f>
        <v>0.116275250451634</v>
      </c>
      <c r="AM33" s="26" t="n">
        <f aca="false">IF(AND(ISNUMBER(AM32),ISNUMBER(AH32)),IFERROR(AM32/AH32-1,""),"")</f>
        <v>0.120808605341246</v>
      </c>
      <c r="AN33" s="26" t="n">
        <f aca="false">IF(AND(ISNUMBER(AN32),ISNUMBER(AI32)),IFERROR(AN32/AI32-1,""),"")</f>
        <v>0.0341279452522412</v>
      </c>
      <c r="AO33" s="26" t="n">
        <f aca="false">IF(AND(ISNUMBER(AO32),ISNUMBER(AJ32)),IFERROR(AO32/AJ32-1,""),"")</f>
        <v>-0.0145454797925446</v>
      </c>
      <c r="AP33" s="26" t="n">
        <f aca="false">IF(AND(ISNUMBER(AP32),ISNUMBER(AK32)),IFERROR(AP32/AK32-1,""),"")</f>
        <v>0.0127814110260176</v>
      </c>
      <c r="AQ33" s="26" t="n">
        <f aca="false">IF(AND(ISNUMBER(AQ32),ISNUMBER(AL32)),IFERROR(AQ32/AL32-1,""),"")</f>
        <v>-0.0963170025991859</v>
      </c>
      <c r="AR33" s="26" t="n">
        <f aca="false">IF(AND(ISNUMBER(AR32),ISNUMBER(AM32)),IFERROR(AR32/AM32-1,""),"")</f>
        <v>-0.0182568311436166</v>
      </c>
      <c r="AS33" s="26" t="n">
        <f aca="false">IF(AND(ISNUMBER(AS32),ISNUMBER(AN32)),IFERROR(AS32/AN32-1,""),"")</f>
        <v>0.00847244490552979</v>
      </c>
      <c r="AT33" s="26" t="n">
        <f aca="false">IF(AND(ISNUMBER(AT32),ISNUMBER(AO32)),IFERROR(AT32/AO32-1,""),"")</f>
        <v>0.14812309773419</v>
      </c>
      <c r="AU33" s="26" t="n">
        <f aca="false">IF(AND(ISNUMBER(AU32),ISNUMBER(AP32)),IFERROR(AU32/AP32-1,""),"")</f>
        <v>0.160821705997129</v>
      </c>
      <c r="AV33" s="26" t="n">
        <f aca="false">IF(AND(ISNUMBER(AV32),ISNUMBER(AQ32)),IFERROR(AV32/AQ32-1,""),"")</f>
        <v>0.395909728736559</v>
      </c>
      <c r="AW33" s="26" t="n">
        <f aca="false">IF(AND(ISNUMBER(AW32),ISNUMBER(AR32)),IFERROR(AW32/AR32-1,""),"")</f>
        <v>0.177933090625796</v>
      </c>
      <c r="AX33" s="26" t="n">
        <f aca="false">IF(AND(ISNUMBER(AX32),ISNUMBER(AS32)),IFERROR(AX32/AS32-1,""),"")</f>
        <v>0.670121732624655</v>
      </c>
      <c r="AY33" s="26" t="n">
        <f aca="false">IF(AND(ISNUMBER(AY32),ISNUMBER(AT32)),IFERROR(AY32/AT32-1,""),"")</f>
        <v>0.465108001963672</v>
      </c>
      <c r="AZ33" s="26" t="n">
        <f aca="false">IF(AND(ISNUMBER(AZ32),ISNUMBER(AU32)),IFERROR(AZ32/AU32-1,""),"")</f>
        <v>0.971989826014703</v>
      </c>
      <c r="BA33" s="26" t="n">
        <f aca="false">IF(AND(ISNUMBER(BA32),ISNUMBER(AV32)),IFERROR(BA32/AV32-1,""),"")</f>
        <v>0.719394413991125</v>
      </c>
      <c r="BB33" s="26" t="n">
        <f aca="false">IF(AND(ISNUMBER(BB32),ISNUMBER(AW32)),IFERROR(BB32/AW32-1,""),"")</f>
        <v>0.706775010016089</v>
      </c>
      <c r="BC33" s="26" t="n">
        <f aca="false">IF(AND(ISNUMBER(BC32),ISNUMBER(AX32)),IFERROR(BC32/AX32-1,""),"")</f>
        <v>0.501857209519365</v>
      </c>
      <c r="BD33" s="26" t="n">
        <f aca="false">IF(AND(ISNUMBER(BD32),ISNUMBER(AY32)),IFERROR(BD32/AY32-1,""),"")</f>
        <v>0.358900793285139</v>
      </c>
      <c r="BE33" s="26" t="n">
        <f aca="false">IF(AND(ISNUMBER(BE32),ISNUMBER(AZ32)),IFERROR(BE32/AZ32-1,""),"")</f>
        <v>-0.200917985963242</v>
      </c>
      <c r="BF33" s="26" t="n">
        <f aca="false">IF(AND(ISNUMBER(BF32),ISNUMBER(BA32)),IFERROR(BF32/BA32-1,""),"")</f>
        <v>-0.390323945618223</v>
      </c>
      <c r="BG33" s="26" t="n">
        <f aca="false">IF(AND(ISNUMBER(BG32),ISNUMBER(BB32)),IFERROR(BG32/BB32-1,""),"")</f>
        <v>0.00925162616052866</v>
      </c>
      <c r="BH33" s="26" t="n">
        <f aca="false">IF(AND(ISNUMBER(BH32),ISNUMBER(BC32)),IFERROR(BH32/BC32-1,""),"")</f>
        <v>-0.447195570579901</v>
      </c>
      <c r="BI33" s="26" t="n">
        <f aca="false">IF(AND(ISNUMBER(BI32),ISNUMBER(BD32)),IFERROR(BI32/BD32-1,""),"")</f>
        <v>-0.447573225497237</v>
      </c>
      <c r="BJ33" s="26" t="n">
        <f aca="false">IF(AND(ISNUMBER(BJ32),ISNUMBER(BE32)),IFERROR(BJ32/BE32-1,""),"")</f>
        <v>-0.316141575394573</v>
      </c>
      <c r="BK33" s="26" t="n">
        <f aca="false">IF(AND(ISNUMBER(BK32),ISNUMBER(BF32)),IFERROR(BK32/BF32-1,""),"")</f>
        <v>-0.140011337808412</v>
      </c>
      <c r="BL33" s="26" t="n">
        <f aca="false">IF(AND(ISNUMBER(BL32),ISNUMBER(BG32)),IFERROR(BL32/BG32-1,""),"")</f>
        <v>-0.363745104861866</v>
      </c>
      <c r="BM33" s="26" t="n">
        <f aca="false">IF(AND(ISNUMBER(BM32),ISNUMBER(BH32)),IFERROR(BM32/BH32-1,""),"")</f>
        <v>0.0119492578083285</v>
      </c>
      <c r="BN33" s="26" t="n">
        <f aca="false">IF(AND(ISNUMBER(BN32),ISNUMBER(BI32)),IFERROR(BN32/BI32-1,""),"")</f>
        <v>0.0269819395082325</v>
      </c>
      <c r="BO33" s="26" t="n">
        <f aca="false">IF(AND(ISNUMBER(BO32),ISNUMBER(BJ32)),IFERROR(BO32/BJ32-1,""),"")</f>
        <v>0.381081033356289</v>
      </c>
      <c r="BP33" s="26" t="n">
        <f aca="false">IF(AND(ISNUMBER(BP32),ISNUMBER(BK32)),IFERROR(BP32/BK32-1,""),"")</f>
        <v>0.255535294045169</v>
      </c>
      <c r="BQ33" s="26" t="n">
        <f aca="false">IF(AND(ISNUMBER(BQ32),ISNUMBER(BL32)),IFERROR(BQ32/BL32-1,""),"")</f>
        <v>0.164185881209519</v>
      </c>
      <c r="BR33" s="26" t="n">
        <f aca="false">IF(AND(ISNUMBER(BR32),ISNUMBER(BM32)),IFERROR(BR32/BM32-1,""),"")</f>
        <v>0.025454747424255</v>
      </c>
      <c r="BS33" s="26" t="n">
        <f aca="false">IF(AND(ISNUMBER(BS32),ISNUMBER(BN32)),IFERROR(BS32/BN32-1,""),"")</f>
        <v>0.0190908745185177</v>
      </c>
      <c r="BT33" s="26" t="n">
        <f aca="false">IF(AND(ISNUMBER(BT32),ISNUMBER(BO32)),IFERROR(BT32/BO32-1,""),"")</f>
        <v>-0.182755416901072</v>
      </c>
      <c r="BU33" s="26" t="n">
        <f aca="false">IF(AND(ISNUMBER(BU32),ISNUMBER(BP32)),IFERROR(BU32/BP32-1,""),"")</f>
        <v>-0.126809976398546</v>
      </c>
      <c r="BV33" s="26" t="n">
        <f aca="false">IF(AND(ISNUMBER(BV32),ISNUMBER(BQ32)),IFERROR(BV32/BQ32-1,""),"")</f>
        <v>-0.0755442969837354</v>
      </c>
      <c r="BW33" s="26" t="n">
        <f aca="false">IF(AND(ISNUMBER(BW32),ISNUMBER(BR32)),IFERROR(BW32/BR32-1,""),"")</f>
        <v>-0.120983816105899</v>
      </c>
      <c r="BX33" s="26" t="n">
        <f aca="false">IF(AND(ISNUMBER(BX32),ISNUMBER(BS32)),IFERROR(BX32/BS32-1,""),"")</f>
        <v>0.00665845687996125</v>
      </c>
      <c r="BY33" s="27" t="n">
        <f aca="false">IFERROR(BY32/BT32-1,"")</f>
        <v>0.0216454613838379</v>
      </c>
      <c r="BZ33" s="27" t="n">
        <f aca="false">IFERROR(BZ32/BU32-1,"")</f>
        <v>0.0216454613838382</v>
      </c>
      <c r="CA33" s="27" t="n">
        <f aca="false">IFERROR(CA32/BV32-1,"")</f>
        <v>-0.0176372055526916</v>
      </c>
      <c r="CB33" s="27" t="n">
        <f aca="false">IFERROR(CB32/CA32-1,"")</f>
        <v>0.02</v>
      </c>
      <c r="CC33" s="27" t="n">
        <f aca="false">IFERROR(CC32/CB32-1,"")</f>
        <v>0.0403</v>
      </c>
      <c r="CD33" s="27" t="n">
        <f aca="false">IFERROR(CD32/CC32-1,"")</f>
        <v>0.04545</v>
      </c>
      <c r="CE33" s="27" t="n">
        <f aca="false">IFERROR(CE32/CD32-1,"")</f>
        <v>0.04545</v>
      </c>
      <c r="CN33" s="28" t="s">
        <v>124</v>
      </c>
      <c r="CO33" s="39" t="n">
        <f aca="false">CP33+$CO$29</f>
        <v>0.05</v>
      </c>
      <c r="CP33" s="34" t="n">
        <v>0.03</v>
      </c>
      <c r="CQ33" s="39" t="n">
        <f aca="false">CP33+$CQ$29</f>
        <v>0</v>
      </c>
    </row>
    <row r="34" customFormat="false" ht="15" hidden="false" customHeight="false" outlineLevel="0" collapsed="false">
      <c r="B34" s="25" t="s">
        <v>103</v>
      </c>
      <c r="C34" s="26" t="str">
        <f aca="false">IF(AND(ISNUMBER(C32),ISNUMBER(C35)),IFERROR(C32/C35,""),"")</f>
        <v/>
      </c>
      <c r="D34" s="26" t="str">
        <f aca="false">IF(AND(ISNUMBER(D32),ISNUMBER(D35)),IFERROR(D32/D35,""),"")</f>
        <v/>
      </c>
      <c r="E34" s="26" t="str">
        <f aca="false">IF(AND(ISNUMBER(E32),ISNUMBER(E35)),IFERROR(E32/E35,""),"")</f>
        <v/>
      </c>
      <c r="F34" s="26" t="str">
        <f aca="false">IF(AND(ISNUMBER(F32),ISNUMBER(F35)),IFERROR(F32/F35,""),"")</f>
        <v/>
      </c>
      <c r="G34" s="26" t="str">
        <f aca="false">IF(AND(ISNUMBER(G32),ISNUMBER(G35)),IFERROR(G32/G35,""),"")</f>
        <v/>
      </c>
      <c r="H34" s="26" t="str">
        <f aca="false">IF(AND(ISNUMBER(H32),ISNUMBER(H35)),IFERROR(H32/H35,""),"")</f>
        <v/>
      </c>
      <c r="I34" s="26" t="str">
        <f aca="false">IF(AND(ISNUMBER(I32),ISNUMBER(I35)),IFERROR(I32/I35,""),"")</f>
        <v/>
      </c>
      <c r="J34" s="26" t="str">
        <f aca="false">IF(AND(ISNUMBER(J32),ISNUMBER(J35)),IFERROR(J32/J35,""),"")</f>
        <v/>
      </c>
      <c r="K34" s="26" t="str">
        <f aca="false">IF(AND(ISNUMBER(K32),ISNUMBER(K35)),IFERROR(K32/K35,""),"")</f>
        <v/>
      </c>
      <c r="L34" s="26" t="str">
        <f aca="false">IF(AND(ISNUMBER(L32),ISNUMBER(L35)),IFERROR(L32/L35,""),"")</f>
        <v/>
      </c>
      <c r="M34" s="26" t="str">
        <f aca="false">IF(AND(ISNUMBER(M32),ISNUMBER(M35)),IFERROR(M32/M35,""),"")</f>
        <v/>
      </c>
      <c r="N34" s="26" t="str">
        <f aca="false">IF(AND(ISNUMBER(N32),ISNUMBER(N35)),IFERROR(N32/N35,""),"")</f>
        <v/>
      </c>
      <c r="O34" s="26" t="str">
        <f aca="false">IF(AND(ISNUMBER(O32),ISNUMBER(O35)),IFERROR(O32/O35,""),"")</f>
        <v/>
      </c>
      <c r="P34" s="26" t="str">
        <f aca="false">IF(AND(ISNUMBER(P32),ISNUMBER(P35)),IFERROR(P32/P35,""),"")</f>
        <v/>
      </c>
      <c r="Q34" s="26" t="str">
        <f aca="false">IF(AND(ISNUMBER(Q32),ISNUMBER(Q35)),IFERROR(Q32/Q35,""),"")</f>
        <v/>
      </c>
      <c r="R34" s="26" t="str">
        <f aca="false">IF(AND(ISNUMBER(R32),ISNUMBER(R35)),IFERROR(R32/R35,""),"")</f>
        <v/>
      </c>
      <c r="S34" s="26" t="n">
        <f aca="false">IF(AND(ISNUMBER(S32),ISNUMBER(S35)),IFERROR(S32/S35,""),"")</f>
        <v>0.204936361364686</v>
      </c>
      <c r="T34" s="26" t="n">
        <f aca="false">IF(AND(ISNUMBER(T32),ISNUMBER(T35)),IFERROR(T32/T35,""),"")</f>
        <v>0.209825714362099</v>
      </c>
      <c r="U34" s="26" t="n">
        <f aca="false">IF(AND(ISNUMBER(U32),ISNUMBER(U35)),IFERROR(U32/U35,""),"")</f>
        <v>0.220010299282298</v>
      </c>
      <c r="V34" s="26" t="n">
        <f aca="false">IF(AND(ISNUMBER(V32),ISNUMBER(V35)),IFERROR(V32/V35,""),"")</f>
        <v>0.225370160807174</v>
      </c>
      <c r="W34" s="26" t="n">
        <f aca="false">IF(AND(ISNUMBER(W32),ISNUMBER(W35)),IFERROR(W32/W35,""),"")</f>
        <v>0.237523456141329</v>
      </c>
      <c r="X34" s="26" t="n">
        <f aca="false">IF(AND(ISNUMBER(X32),ISNUMBER(X35)),IFERROR(X32/X35,""),"")</f>
        <v>0.222853341333607</v>
      </c>
      <c r="Y34" s="26" t="n">
        <f aca="false">IF(AND(ISNUMBER(Y32),ISNUMBER(Y35)),IFERROR(Y32/Y35,""),"")</f>
        <v>0.264491102554171</v>
      </c>
      <c r="Z34" s="26" t="n">
        <f aca="false">IF(AND(ISNUMBER(Z32),ISNUMBER(Z35)),IFERROR(Z32/Z35,""),"")</f>
        <v>0.272509410745768</v>
      </c>
      <c r="AA34" s="26" t="n">
        <f aca="false">IF(AND(ISNUMBER(AA32),ISNUMBER(AA35)),IFERROR(AA32/AA35,""),"")</f>
        <v>0.238896707008162</v>
      </c>
      <c r="AB34" s="26" t="n">
        <f aca="false">IF(AND(ISNUMBER(AB32),ISNUMBER(AB35)),IFERROR(AB32/AB35,""),"")</f>
        <v>0.239676366837475</v>
      </c>
      <c r="AC34" s="26" t="n">
        <f aca="false">IF(AND(ISNUMBER(AC32),ISNUMBER(AC35)),IFERROR(AC32/AC35,""),"")</f>
        <v>0.252454775110721</v>
      </c>
      <c r="AD34" s="26" t="n">
        <f aca="false">IF(AND(ISNUMBER(AD32),ISNUMBER(AD35)),IFERROR(AD32/AD35,""),"")</f>
        <v>0.227279708524962</v>
      </c>
      <c r="AE34" s="26" t="n">
        <f aca="false">IF(AND(ISNUMBER(AE32),ISNUMBER(AE35)),IFERROR(AE32/AE35,""),"")</f>
        <v>0.228854808819636</v>
      </c>
      <c r="AF34" s="26" t="n">
        <f aca="false">IF(AND(ISNUMBER(AF32),ISNUMBER(AF35)),IFERROR(AF32/AF35,""),"")</f>
        <v>0.235163927597286</v>
      </c>
      <c r="AG34" s="26" t="n">
        <f aca="false">IF(AND(ISNUMBER(AG32),ISNUMBER(AG35)),IFERROR(AG32/AG35,""),"")</f>
        <v>0.216270750704023</v>
      </c>
      <c r="AH34" s="26" t="n">
        <f aca="false">IF(AND(ISNUMBER(AH32),ISNUMBER(AH35)),IFERROR(AH32/AH35,""),"")</f>
        <v>0.226661815321625</v>
      </c>
      <c r="AI34" s="26" t="n">
        <f aca="false">IF(AND(ISNUMBER(AI32),ISNUMBER(AI35)),IFERROR(AI32/AI35,""),"")</f>
        <v>0.222187108354974</v>
      </c>
      <c r="AJ34" s="26" t="n">
        <f aca="false">IF(AND(ISNUMBER(AJ32),ISNUMBER(AJ35)),IFERROR(AJ32/AJ35,""),"")</f>
        <v>0.233211948892239</v>
      </c>
      <c r="AK34" s="26" t="n">
        <f aca="false">IF(AND(ISNUMBER(AK32),ISNUMBER(AK35)),IFERROR(AK32/AK35,""),"")</f>
        <v>0.209772740071457</v>
      </c>
      <c r="AL34" s="26" t="n">
        <f aca="false">IF(AND(ISNUMBER(AL32),ISNUMBER(AL35)),IFERROR(AL32/AL35,""),"")</f>
        <v>0.210798597009415</v>
      </c>
      <c r="AM34" s="26" t="n">
        <f aca="false">IF(AND(ISNUMBER(AM32),ISNUMBER(AM35)),IFERROR(AM32/AM35,""),"")</f>
        <v>0.218634232461218</v>
      </c>
      <c r="AN34" s="26" t="n">
        <f aca="false">IF(AND(ISNUMBER(AN32),ISNUMBER(AN35)),IFERROR(AN32/AN35,""),"")</f>
        <v>0.236688636021184</v>
      </c>
      <c r="AO34" s="26" t="n">
        <f aca="false">IF(AND(ISNUMBER(AO32),ISNUMBER(AO35)),IFERROR(AO32/AO35,""),"")</f>
        <v>0.239561303868634</v>
      </c>
      <c r="AP34" s="26" t="n">
        <f aca="false">IF(AND(ISNUMBER(AP32),ISNUMBER(AP35)),IFERROR(AP32/AP35,""),"")</f>
        <v>0.227231280167979</v>
      </c>
      <c r="AQ34" s="26" t="n">
        <f aca="false">IF(AND(ISNUMBER(AQ32),ISNUMBER(AQ35)),IFERROR(AQ32/AQ35,""),"")</f>
        <v>0.214921488649845</v>
      </c>
      <c r="AR34" s="26" t="n">
        <f aca="false">IF(AND(ISNUMBER(AR32),ISNUMBER(AR35)),IFERROR(AR32/AR35,""),"")</f>
        <v>0.229379706200361</v>
      </c>
      <c r="AS34" s="26" t="n">
        <f aca="false">IF(AND(ISNUMBER(AS32),ISNUMBER(AS35)),IFERROR(AS32/AS35,""),"")</f>
        <v>0.241926604120788</v>
      </c>
      <c r="AT34" s="26" t="n">
        <f aca="false">IF(AND(ISNUMBER(AT32),ISNUMBER(AT35)),IFERROR(AT32/AT35,""),"")</f>
        <v>0.230228024073917</v>
      </c>
      <c r="AU34" s="26" t="n">
        <f aca="false">IF(AND(ISNUMBER(AU32),ISNUMBER(AU35)),IFERROR(AU32/AU35,""),"")</f>
        <v>0.189501380480001</v>
      </c>
      <c r="AV34" s="26" t="n">
        <f aca="false">IF(AND(ISNUMBER(AV32),ISNUMBER(AV35)),IFERROR(AV32/AV35,""),"")</f>
        <v>0.174750864742945</v>
      </c>
      <c r="AW34" s="26" t="n">
        <f aca="false">IF(AND(ISNUMBER(AW32),ISNUMBER(AW35)),IFERROR(AW32/AW35,""),"")</f>
        <v>0.20286499866958</v>
      </c>
      <c r="AX34" s="26" t="n">
        <f aca="false">IF(AND(ISNUMBER(AX32),ISNUMBER(AX35)),IFERROR(AX32/AX35,""),"")</f>
        <v>0.185374368857798</v>
      </c>
      <c r="AY34" s="26" t="n">
        <f aca="false">IF(AND(ISNUMBER(AY32),ISNUMBER(AY35)),IFERROR(AY32/AY35,""),"")</f>
        <v>0.164567815968359</v>
      </c>
      <c r="AZ34" s="26" t="n">
        <f aca="false">IF(AND(ISNUMBER(AZ32),ISNUMBER(AZ35)),IFERROR(AZ32/AZ35,""),"")</f>
        <v>0.157106393902474</v>
      </c>
      <c r="BA34" s="26" t="n">
        <f aca="false">IF(AND(ISNUMBER(BA32),ISNUMBER(BA35)),IFERROR(BA32/BA35,""),"")</f>
        <v>0.14439408299037</v>
      </c>
      <c r="BB34" s="26" t="n">
        <f aca="false">IF(AND(ISNUMBER(BB32),ISNUMBER(BB35)),IFERROR(BB32/BB35,""),"")</f>
        <v>0.159520727987055</v>
      </c>
      <c r="BC34" s="26" t="n">
        <f aca="false">IF(AND(ISNUMBER(BC32),ISNUMBER(BC35)),IFERROR(BC32/BC35,""),"")</f>
        <v>0.146668082393478</v>
      </c>
      <c r="BD34" s="26" t="n">
        <f aca="false">IF(AND(ISNUMBER(BD32),ISNUMBER(BD35)),IFERROR(BD32/BD35,""),"")</f>
        <v>0.154999307277409</v>
      </c>
      <c r="BE34" s="26" t="n">
        <f aca="false">IF(AND(ISNUMBER(BE32),ISNUMBER(BE35)),IFERROR(BE32/BE35,""),"")</f>
        <v>0.164403768078538</v>
      </c>
      <c r="BF34" s="26" t="n">
        <f aca="false">IF(AND(ISNUMBER(BF32),ISNUMBER(BF35)),IFERROR(BF32/BF35,""),"")</f>
        <v>0.186270484927554</v>
      </c>
      <c r="BG34" s="26" t="n">
        <f aca="false">IF(AND(ISNUMBER(BG32),ISNUMBER(BG35)),IFERROR(BG32/BG35,""),"")</f>
        <v>0.159053395122261</v>
      </c>
      <c r="BH34" s="26" t="n">
        <f aca="false">IF(AND(ISNUMBER(BH32),ISNUMBER(BH35)),IFERROR(BH32/BH35,""),"")</f>
        <v>0.225220196005458</v>
      </c>
      <c r="BI34" s="26" t="n">
        <f aca="false">IF(AND(ISNUMBER(BI32),ISNUMBER(BI35)),IFERROR(BI32/BI35,""),"")</f>
        <v>0.22982252101961</v>
      </c>
      <c r="BJ34" s="26" t="n">
        <f aca="false">IF(AND(ISNUMBER(BJ32),ISNUMBER(BJ35)),IFERROR(BJ32/BJ35,""),"")</f>
        <v>0.236275893720143</v>
      </c>
      <c r="BK34" s="26" t="n">
        <f aca="false">IF(AND(ISNUMBER(BK32),ISNUMBER(BK35)),IFERROR(BK32/BK35,""),"")</f>
        <v>0.229005070441611</v>
      </c>
      <c r="BL34" s="26" t="n">
        <f aca="false">IF(AND(ISNUMBER(BL32),ISNUMBER(BL35)),IFERROR(BL32/BL35,""),"")</f>
        <v>0.229964332702628</v>
      </c>
      <c r="BM34" s="26" t="n">
        <f aca="false">IF(AND(ISNUMBER(BM32),ISNUMBER(BM35)),IFERROR(BM32/BM35,""),"")</f>
        <v>0.209686980644906</v>
      </c>
      <c r="BN34" s="26" t="n">
        <f aca="false">IF(AND(ISNUMBER(BN32),ISNUMBER(BN35)),IFERROR(BN32/BN35,""),"")</f>
        <v>0.19980721280298</v>
      </c>
      <c r="BO34" s="26" t="n">
        <f aca="false">IF(AND(ISNUMBER(BO32),ISNUMBER(BO35)),IFERROR(BO32/BO35,""),"")</f>
        <v>0.205606428377396</v>
      </c>
      <c r="BP34" s="26" t="n">
        <f aca="false">IF(AND(ISNUMBER(BP32),ISNUMBER(BP35)),IFERROR(BP32/BP35,""),"")</f>
        <v>0.230552463437591</v>
      </c>
      <c r="BQ34" s="26" t="n">
        <f aca="false">IF(AND(ISNUMBER(BQ32),ISNUMBER(BQ35)),IFERROR(BQ32/BQ35,""),"")</f>
        <v>0.2109185817255</v>
      </c>
      <c r="BR34" s="26" t="n">
        <f aca="false">IF(AND(ISNUMBER(BR32),ISNUMBER(BR35)),IFERROR(BR32/BR35,""),"")</f>
        <v>0.238264110426281</v>
      </c>
      <c r="BS34" s="26" t="n">
        <f aca="false">IF(AND(ISNUMBER(BS32),ISNUMBER(BS35)),IFERROR(BS32/BS35,""),"")</f>
        <v>0.235122837803961</v>
      </c>
      <c r="BT34" s="26" t="n">
        <f aca="false">IF(AND(ISNUMBER(BT32),ISNUMBER(BT35)),IFERROR(BT32/BT35,""),"")</f>
        <v>0.243855448040115</v>
      </c>
      <c r="BU34" s="26" t="n">
        <f aca="false">IF(AND(ISNUMBER(BU32),ISNUMBER(BU35)),IFERROR(BU32/BU35,""),"")</f>
        <v>0.243448890056267</v>
      </c>
      <c r="BV34" s="26" t="n">
        <f aca="false">IF(AND(ISNUMBER(BV32),ISNUMBER(BV35)),IFERROR(BV32/BV35,""),"")</f>
        <v>0.240102484839894</v>
      </c>
      <c r="BW34" s="26" t="n">
        <f aca="false">IF(AND(ISNUMBER(BW32),ISNUMBER(BW35)),IFERROR(BW32/BW35,""),"")</f>
        <v>0.244145743384532</v>
      </c>
      <c r="BX34" s="26" t="n">
        <f aca="false">IF(AND(ISNUMBER(BX32),ISNUMBER(BX35)),IFERROR(BX32/BX35,""),"")</f>
        <v>0.210605796985068</v>
      </c>
      <c r="BY34" s="27" t="n">
        <f aca="false">$BX$34</f>
        <v>0.210605796985068</v>
      </c>
      <c r="BZ34" s="27" t="n">
        <f aca="false">$BX$34</f>
        <v>0.210605796985068</v>
      </c>
      <c r="CA34" s="27" t="n">
        <f aca="false">IF(AND(ISNUMBER(CA32),ISNUMBER(CA35)),IFERROR(CA32/CA35,""),"")</f>
        <v>0.217251498864406</v>
      </c>
      <c r="CB34" s="35" t="n">
        <v>0.22</v>
      </c>
      <c r="CC34" s="35" t="n">
        <v>0.225</v>
      </c>
      <c r="CD34" s="35" t="n">
        <v>0.225</v>
      </c>
      <c r="CE34" s="35" t="n">
        <v>0.225</v>
      </c>
      <c r="CF34" s="23" t="s">
        <v>140</v>
      </c>
      <c r="CN34" s="17" t="s">
        <v>141</v>
      </c>
      <c r="CO34" s="38" t="n">
        <v>0.03</v>
      </c>
      <c r="CP34" s="24" t="s">
        <v>115</v>
      </c>
      <c r="CQ34" s="38" t="n">
        <v>-0.04</v>
      </c>
      <c r="CR34" s="14" t="s">
        <v>142</v>
      </c>
    </row>
    <row r="35" customFormat="false" ht="15" hidden="false" customHeight="false" outlineLevel="0" collapsed="false">
      <c r="B35" s="18" t="s">
        <v>106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31" t="n">
        <v>1708.789</v>
      </c>
      <c r="T35" s="31" t="n">
        <v>411.451</v>
      </c>
      <c r="U35" s="31" t="n">
        <v>431.098</v>
      </c>
      <c r="V35" s="31" t="n">
        <v>420.628</v>
      </c>
      <c r="W35" s="31" t="n">
        <v>376.767</v>
      </c>
      <c r="X35" s="31" t="n">
        <v>1639.944</v>
      </c>
      <c r="Y35" s="31" t="n">
        <v>351.112</v>
      </c>
      <c r="Z35" s="31" t="n">
        <v>356.773</v>
      </c>
      <c r="AA35" s="31" t="n">
        <v>390.83</v>
      </c>
      <c r="AB35" s="31" t="n">
        <v>475.971</v>
      </c>
      <c r="AC35" s="31" t="n">
        <v>1574.686</v>
      </c>
      <c r="AD35" s="31" t="n">
        <v>468.788</v>
      </c>
      <c r="AE35" s="31" t="n">
        <v>528.82</v>
      </c>
      <c r="AF35" s="31" t="n">
        <v>552.134</v>
      </c>
      <c r="AG35" s="31" t="n">
        <v>591.245</v>
      </c>
      <c r="AH35" s="31" t="n">
        <v>2140.987</v>
      </c>
      <c r="AI35" s="31" t="n">
        <v>553.754</v>
      </c>
      <c r="AJ35" s="31" t="n">
        <v>617.597</v>
      </c>
      <c r="AK35" s="31" t="n">
        <v>639.268</v>
      </c>
      <c r="AL35" s="31" t="n">
        <v>677.125</v>
      </c>
      <c r="AM35" s="31" t="n">
        <v>2487.744</v>
      </c>
      <c r="AN35" s="31" t="n">
        <v>537.567</v>
      </c>
      <c r="AO35" s="31" t="n">
        <v>592.483</v>
      </c>
      <c r="AP35" s="31" t="n">
        <v>597.695</v>
      </c>
      <c r="AQ35" s="31" t="n">
        <v>600.168</v>
      </c>
      <c r="AR35" s="31" t="n">
        <v>2327.913</v>
      </c>
      <c r="AS35" s="31" t="n">
        <v>530.384</v>
      </c>
      <c r="AT35" s="31" t="n">
        <v>707.82</v>
      </c>
      <c r="AU35" s="31" t="n">
        <v>831.957</v>
      </c>
      <c r="AV35" s="31" t="n">
        <v>1030.364</v>
      </c>
      <c r="AW35" s="31" t="n">
        <v>3100.525</v>
      </c>
      <c r="AX35" s="31" t="n">
        <v>1156.039</v>
      </c>
      <c r="AY35" s="31" t="n">
        <v>1450.794</v>
      </c>
      <c r="AZ35" s="31" t="n">
        <v>1978.901</v>
      </c>
      <c r="BA35" s="31" t="n">
        <v>2144.056</v>
      </c>
      <c r="BB35" s="31" t="n">
        <v>6729.79</v>
      </c>
      <c r="BC35" s="31" t="n">
        <v>2194.397</v>
      </c>
      <c r="BD35" s="31" t="n">
        <v>2093.19</v>
      </c>
      <c r="BE35" s="31" t="n">
        <v>1511.115</v>
      </c>
      <c r="BF35" s="31" t="n">
        <v>1013.306</v>
      </c>
      <c r="BG35" s="31" t="n">
        <v>6812.008</v>
      </c>
      <c r="BH35" s="31" t="n">
        <v>789.978</v>
      </c>
      <c r="BI35" s="31" t="n">
        <v>779.867</v>
      </c>
      <c r="BJ35" s="31" t="n">
        <v>719.045</v>
      </c>
      <c r="BK35" s="31" t="n">
        <v>708.814</v>
      </c>
      <c r="BL35" s="31" t="n">
        <v>2997.704</v>
      </c>
      <c r="BM35" s="31" t="n">
        <v>858.637</v>
      </c>
      <c r="BN35" s="31" t="n">
        <v>921.223</v>
      </c>
      <c r="BO35" s="31" t="n">
        <v>1141.19</v>
      </c>
      <c r="BP35" s="31" t="n">
        <v>883.968</v>
      </c>
      <c r="BQ35" s="31" t="n">
        <v>3805.018</v>
      </c>
      <c r="BR35" s="31" t="n">
        <v>774.888</v>
      </c>
      <c r="BS35" s="31" t="n">
        <v>797.8</v>
      </c>
      <c r="BT35" s="31" t="n">
        <v>786.347</v>
      </c>
      <c r="BU35" s="31" t="n">
        <v>730.983</v>
      </c>
      <c r="BV35" s="31" t="n">
        <v>3090.018</v>
      </c>
      <c r="BW35" s="31" t="n">
        <v>664.73</v>
      </c>
      <c r="BX35" s="31" t="n">
        <v>896.604</v>
      </c>
      <c r="BY35" s="32" t="n">
        <f aca="false">IF(AND(ISNUMBER(BY32),ISNUMBER(BY34)),IFERROR(BY32/BY34,""),"")</f>
        <v>930.20053698497</v>
      </c>
      <c r="BZ35" s="32" t="n">
        <f aca="false">IF(AND(ISNUMBER(BZ32),ISNUMBER(BZ34)),IFERROR(BZ32/BZ34,""),"")</f>
        <v>863.266652552655</v>
      </c>
      <c r="CA35" s="32" t="n">
        <f aca="false">SUM(BW35,BX35,BY35,BZ35)</f>
        <v>3354.80118953762</v>
      </c>
      <c r="CB35" s="32" t="n">
        <f aca="false">IF(AND(ISNUMBER(CB32),ISNUMBER(CB34)),IFERROR(CB32/CB34,""),"")</f>
        <v>3379.14681161602</v>
      </c>
      <c r="CC35" s="32" t="n">
        <f aca="false">IF(AND(ISNUMBER(CC32),ISNUMBER(CC34)),IFERROR(CC32/CC34,""),"")</f>
        <v>3437.20806305472</v>
      </c>
      <c r="CD35" s="32" t="n">
        <f aca="false">IF(AND(ISNUMBER(CD32),ISNUMBER(CD34)),IFERROR(CD32/CD34,""),"")</f>
        <v>3593.42916952056</v>
      </c>
      <c r="CE35" s="32" t="n">
        <f aca="false">IF(AND(ISNUMBER(CE32),ISNUMBER(CE34)),IFERROR(CE32/CE34,""),"")</f>
        <v>3756.75052527527</v>
      </c>
      <c r="CH35" s="33" t="n">
        <f aca="false">IFERROR((CE35/BV35)^(1/5)-1,"n/m")</f>
        <v>0.0398489779737483</v>
      </c>
      <c r="CI35" s="33" t="n">
        <f aca="false">IFERROR((BV35/AW35)^(1/5)-1,"n/m")</f>
        <v>-0.000678676765769271</v>
      </c>
      <c r="CJ35" s="33" t="n">
        <f aca="false">IFERROR((BV35/X35)^(1/10)-1,"n/m")</f>
        <v>0.0654012429193931</v>
      </c>
      <c r="CK35" s="33" t="str">
        <f aca="false">IFERROR((BV35/C35)^(1/19)-1,"n/m")</f>
        <v>n/m</v>
      </c>
      <c r="CN35" s="28" t="s">
        <v>118</v>
      </c>
      <c r="CO35" s="39" t="n">
        <f aca="false">CP35+$CO$34</f>
        <v>0.03</v>
      </c>
      <c r="CP35" s="34" t="n">
        <v>0</v>
      </c>
      <c r="CQ35" s="39" t="n">
        <f aca="false">CP35+$CQ$34</f>
        <v>-0.04</v>
      </c>
    </row>
    <row r="36" customFormat="false" ht="15" hidden="false" customHeight="false" outlineLevel="0" collapsed="false">
      <c r="B36" s="25" t="s">
        <v>109</v>
      </c>
      <c r="D36" s="26" t="str">
        <f aca="false">IF(AND(ISNUMBER(D35),ISNUMBER(C35)),IFERROR(D35/C35-1,""),"")</f>
        <v/>
      </c>
      <c r="E36" s="26" t="str">
        <f aca="false">IF(AND(ISNUMBER(E35),ISNUMBER(D35)),IFERROR(E35/D35-1,""),"")</f>
        <v/>
      </c>
      <c r="F36" s="26" t="str">
        <f aca="false">IF(AND(ISNUMBER(F35),ISNUMBER(E35)),IFERROR(F35/E35-1,""),"")</f>
        <v/>
      </c>
      <c r="G36" s="26" t="str">
        <f aca="false">IF(AND(ISNUMBER(G35),ISNUMBER(F35)),IFERROR(G35/F35-1,""),"")</f>
        <v/>
      </c>
      <c r="H36" s="26" t="str">
        <f aca="false">IF(AND(ISNUMBER(H35),ISNUMBER(G35)),IFERROR(H35/G35-1,""),"")</f>
        <v/>
      </c>
      <c r="I36" s="26" t="str">
        <f aca="false">IF(AND(ISNUMBER(I35),ISNUMBER(H35)),IFERROR(I35/H35-1,""),"")</f>
        <v/>
      </c>
      <c r="N36" s="26" t="str">
        <f aca="false">IF(AND(ISNUMBER(N35),ISNUMBER(I35)),IFERROR(N35/I35-1,""),"")</f>
        <v/>
      </c>
      <c r="O36" s="26" t="str">
        <f aca="false">IF(AND(ISNUMBER(O35),ISNUMBER(J35)),IFERROR(O35/J35-1,""),"")</f>
        <v/>
      </c>
      <c r="P36" s="26" t="str">
        <f aca="false">IF(AND(ISNUMBER(P35),ISNUMBER(K35)),IFERROR(P35/K35-1,""),"")</f>
        <v/>
      </c>
      <c r="Q36" s="26" t="str">
        <f aca="false">IF(AND(ISNUMBER(Q35),ISNUMBER(L35)),IFERROR(Q35/L35-1,""),"")</f>
        <v/>
      </c>
      <c r="R36" s="26" t="str">
        <f aca="false">IF(AND(ISNUMBER(R35),ISNUMBER(M35)),IFERROR(R35/M35-1,""),"")</f>
        <v/>
      </c>
      <c r="S36" s="26" t="str">
        <f aca="false">IF(AND(ISNUMBER(S35),ISNUMBER(N35)),IFERROR(S35/N35-1,""),"")</f>
        <v/>
      </c>
      <c r="T36" s="26" t="str">
        <f aca="false">IF(AND(ISNUMBER(T35),ISNUMBER(O35)),IFERROR(T35/O35-1,""),"")</f>
        <v/>
      </c>
      <c r="U36" s="26" t="str">
        <f aca="false">IF(AND(ISNUMBER(U35),ISNUMBER(P35)),IFERROR(U35/P35-1,""),"")</f>
        <v/>
      </c>
      <c r="V36" s="26" t="str">
        <f aca="false">IF(AND(ISNUMBER(V35),ISNUMBER(Q35)),IFERROR(V35/Q35-1,""),"")</f>
        <v/>
      </c>
      <c r="W36" s="26" t="str">
        <f aca="false">IF(AND(ISNUMBER(W35),ISNUMBER(R35)),IFERROR(W35/R35-1,""),"")</f>
        <v/>
      </c>
      <c r="X36" s="26" t="n">
        <f aca="false">IF(AND(ISNUMBER(X35),ISNUMBER(S35)),IFERROR(X35/S35-1,""),"")</f>
        <v>-0.0402887659038067</v>
      </c>
      <c r="Y36" s="26" t="n">
        <f aca="false">IF(AND(ISNUMBER(Y35),ISNUMBER(T35)),IFERROR(Y35/T35-1,""),"")</f>
        <v>-0.146649297243171</v>
      </c>
      <c r="Z36" s="26" t="n">
        <f aca="false">IF(AND(ISNUMBER(Z35),ISNUMBER(U35)),IFERROR(Z35/U35-1,""),"")</f>
        <v>-0.172408593869607</v>
      </c>
      <c r="AA36" s="26" t="n">
        <f aca="false">IF(AND(ISNUMBER(AA35),ISNUMBER(V35)),IFERROR(AA35/V35-1,""),"")</f>
        <v>-0.070841693848246</v>
      </c>
      <c r="AB36" s="26" t="n">
        <f aca="false">IF(AND(ISNUMBER(AB35),ISNUMBER(W35)),IFERROR(AB35/W35-1,""),"")</f>
        <v>0.263303314780753</v>
      </c>
      <c r="AC36" s="26" t="n">
        <f aca="false">IF(AND(ISNUMBER(AC35),ISNUMBER(X35)),IFERROR(AC35/X35-1,""),"")</f>
        <v>-0.0397928221939285</v>
      </c>
      <c r="AD36" s="26" t="n">
        <f aca="false">IF(AND(ISNUMBER(AD35),ISNUMBER(Y35)),IFERROR(AD35/Y35-1,""),"")</f>
        <v>0.335152316070086</v>
      </c>
      <c r="AE36" s="26" t="n">
        <f aca="false">IF(AND(ISNUMBER(AE35),ISNUMBER(Z35)),IFERROR(AE35/Z35-1,""),"")</f>
        <v>0.482230998421966</v>
      </c>
      <c r="AF36" s="26" t="n">
        <f aca="false">IF(AND(ISNUMBER(AF35),ISNUMBER(AA35)),IFERROR(AF35/AA35-1,""),"")</f>
        <v>0.412721643681396</v>
      </c>
      <c r="AG36" s="26" t="n">
        <f aca="false">IF(AND(ISNUMBER(AG35),ISNUMBER(AB35)),IFERROR(AG35/AB35-1,""),"")</f>
        <v>0.242187023999361</v>
      </c>
      <c r="AH36" s="26" t="n">
        <f aca="false">IF(AND(ISNUMBER(AH35),ISNUMBER(AC35)),IFERROR(AH35/AC35-1,""),"")</f>
        <v>0.359627887718567</v>
      </c>
      <c r="AI36" s="26" t="n">
        <f aca="false">IF(AND(ISNUMBER(AI35),ISNUMBER(AD35)),IFERROR(AI35/AD35-1,""),"")</f>
        <v>0.181246106982261</v>
      </c>
      <c r="AJ36" s="26" t="n">
        <f aca="false">IF(AND(ISNUMBER(AJ35),ISNUMBER(AE35)),IFERROR(AJ35/AE35-1,""),"")</f>
        <v>0.167877538671003</v>
      </c>
      <c r="AK36" s="26" t="n">
        <f aca="false">IF(AND(ISNUMBER(AK35),ISNUMBER(AF35)),IFERROR(AK35/AF35-1,""),"")</f>
        <v>0.157813139563946</v>
      </c>
      <c r="AL36" s="26" t="n">
        <f aca="false">IF(AND(ISNUMBER(AL35),ISNUMBER(AG35)),IFERROR(AL35/AG35-1,""),"")</f>
        <v>0.145252813977285</v>
      </c>
      <c r="AM36" s="26" t="n">
        <f aca="false">IF(AND(ISNUMBER(AM35),ISNUMBER(AH35)),IFERROR(AM35/AH35-1,""),"")</f>
        <v>0.161961282343144</v>
      </c>
      <c r="AN36" s="26" t="n">
        <f aca="false">IF(AND(ISNUMBER(AN35),ISNUMBER(AI35)),IFERROR(AN35/AI35-1,""),"")</f>
        <v>-0.0292313915565395</v>
      </c>
      <c r="AO36" s="26" t="n">
        <f aca="false">IF(AND(ISNUMBER(AO35),ISNUMBER(AJ35)),IFERROR(AO35/AJ35-1,""),"")</f>
        <v>-0.0406640576298136</v>
      </c>
      <c r="AP36" s="26" t="n">
        <f aca="false">IF(AND(ISNUMBER(AP35),ISNUMBER(AK35)),IFERROR(AP35/AK35-1,""),"")</f>
        <v>-0.0650321930708248</v>
      </c>
      <c r="AQ36" s="26" t="n">
        <f aca="false">IF(AND(ISNUMBER(AQ35),ISNUMBER(AL35)),IFERROR(AQ35/AL35-1,""),"")</f>
        <v>-0.11365257522614</v>
      </c>
      <c r="AR36" s="26" t="n">
        <f aca="false">IF(AND(ISNUMBER(AR35),ISNUMBER(AM35)),IFERROR(AR35/AM35-1,""),"")</f>
        <v>-0.0642473662884927</v>
      </c>
      <c r="AS36" s="26" t="n">
        <f aca="false">IF(AND(ISNUMBER(AS35),ISNUMBER(AN35)),IFERROR(AS35/AN35-1,""),"")</f>
        <v>-0.0133620553344979</v>
      </c>
      <c r="AT36" s="26" t="n">
        <f aca="false">IF(AND(ISNUMBER(AT35),ISNUMBER(AO35)),IFERROR(AT35/AO35-1,""),"")</f>
        <v>0.194667188763222</v>
      </c>
      <c r="AU36" s="26" t="n">
        <f aca="false">IF(AND(ISNUMBER(AU35),ISNUMBER(AP35)),IFERROR(AU35/AP35-1,""),"")</f>
        <v>0.391942378637934</v>
      </c>
      <c r="AV36" s="26" t="n">
        <f aca="false">IF(AND(ISNUMBER(AV35),ISNUMBER(AQ35)),IFERROR(AV35/AQ35-1,""),"")</f>
        <v>0.716792631396542</v>
      </c>
      <c r="AW36" s="26" t="n">
        <f aca="false">IF(AND(ISNUMBER(AW35),ISNUMBER(AR35)),IFERROR(AW35/AR35-1,""),"")</f>
        <v>0.331890409993844</v>
      </c>
      <c r="AX36" s="26" t="n">
        <f aca="false">IF(AND(ISNUMBER(AX35),ISNUMBER(AS35)),IFERROR(AX35/AS35-1,""),"")</f>
        <v>1.17962645932004</v>
      </c>
      <c r="AY36" s="26" t="n">
        <f aca="false">IF(AND(ISNUMBER(AY35),ISNUMBER(AT35)),IFERROR(AY35/AT35-1,""),"")</f>
        <v>1.04966516911079</v>
      </c>
      <c r="AZ36" s="26" t="n">
        <f aca="false">IF(AND(ISNUMBER(AZ35),ISNUMBER(AU35)),IFERROR(AZ35/AU35-1,""),"")</f>
        <v>1.37860971180001</v>
      </c>
      <c r="BA36" s="26" t="n">
        <f aca="false">IF(AND(ISNUMBER(BA35),ISNUMBER(AV35)),IFERROR(BA35/AV35-1,""),"")</f>
        <v>1.08087239072794</v>
      </c>
      <c r="BB36" s="26" t="n">
        <f aca="false">IF(AND(ISNUMBER(BB35),ISNUMBER(AW35)),IFERROR(BB35/AW35-1,""),"")</f>
        <v>1.17053240983382</v>
      </c>
      <c r="BC36" s="26" t="n">
        <f aca="false">IF(AND(ISNUMBER(BC35),ISNUMBER(AX35)),IFERROR(BC35/AX35-1,""),"")</f>
        <v>0.898203261308658</v>
      </c>
      <c r="BD36" s="26" t="n">
        <f aca="false">IF(AND(ISNUMBER(BD35),ISNUMBER(AY35)),IFERROR(BD35/AY35-1,""),"")</f>
        <v>0.442789258847224</v>
      </c>
      <c r="BE36" s="26" t="n">
        <f aca="false">IF(AND(ISNUMBER(BE35),ISNUMBER(AZ35)),IFERROR(BE35/AZ35-1,""),"")</f>
        <v>-0.236386762147273</v>
      </c>
      <c r="BF36" s="26" t="n">
        <f aca="false">IF(AND(ISNUMBER(BF35),ISNUMBER(BA35)),IFERROR(BF35/BA35-1,""),"")</f>
        <v>-0.527388277171865</v>
      </c>
      <c r="BG36" s="26" t="n">
        <f aca="false">IF(AND(ISNUMBER(BG35),ISNUMBER(BB35)),IFERROR(BG35/BB35-1,""),"")</f>
        <v>0.0122170231166203</v>
      </c>
      <c r="BH36" s="26" t="n">
        <f aca="false">IF(AND(ISNUMBER(BH35),ISNUMBER(BC35)),IFERROR(BH35/BC35-1,""),"")</f>
        <v>-0.640002242073791</v>
      </c>
      <c r="BI36" s="26" t="n">
        <f aca="false">IF(AND(ISNUMBER(BI35),ISNUMBER(BD35)),IFERROR(BI35/BD35-1,""),"")</f>
        <v>-0.627426559461874</v>
      </c>
      <c r="BJ36" s="26" t="n">
        <f aca="false">IF(AND(ISNUMBER(BJ35),ISNUMBER(BE35)),IFERROR(BJ35/BE35-1,""),"")</f>
        <v>-0.524162621640312</v>
      </c>
      <c r="BK36" s="26" t="n">
        <f aca="false">IF(AND(ISNUMBER(BK35),ISNUMBER(BF35)),IFERROR(BK35/BF35-1,""),"")</f>
        <v>-0.300493631736119</v>
      </c>
      <c r="BL36" s="26" t="n">
        <f aca="false">IF(AND(ISNUMBER(BL35),ISNUMBER(BG35)),IFERROR(BL35/BG35-1,""),"")</f>
        <v>-0.559938273707253</v>
      </c>
      <c r="BM36" s="26" t="n">
        <f aca="false">IF(AND(ISNUMBER(BM35),ISNUMBER(BH35)),IFERROR(BM35/BH35-1,""),"")</f>
        <v>0.0869125469316867</v>
      </c>
      <c r="BN36" s="26" t="n">
        <f aca="false">IF(AND(ISNUMBER(BN35),ISNUMBER(BI35)),IFERROR(BN35/BI35-1,""),"")</f>
        <v>0.181256547590807</v>
      </c>
      <c r="BO36" s="26" t="n">
        <f aca="false">IF(AND(ISNUMBER(BO35),ISNUMBER(BJ35)),IFERROR(BO35/BJ35-1,""),"")</f>
        <v>0.587091211259379</v>
      </c>
      <c r="BP36" s="26" t="n">
        <f aca="false">IF(AND(ISNUMBER(BP35),ISNUMBER(BK35)),IFERROR(BP35/BK35-1,""),"")</f>
        <v>0.247108550339017</v>
      </c>
      <c r="BQ36" s="26" t="n">
        <f aca="false">IF(AND(ISNUMBER(BQ35),ISNUMBER(BL35)),IFERROR(BQ35/BL35-1,""),"")</f>
        <v>0.269310779183001</v>
      </c>
      <c r="BR36" s="26" t="n">
        <f aca="false">IF(AND(ISNUMBER(BR35),ISNUMBER(BM35)),IFERROR(BR35/BM35-1,""),"")</f>
        <v>-0.0975371431699309</v>
      </c>
      <c r="BS36" s="26" t="n">
        <f aca="false">IF(AND(ISNUMBER(BS35),ISNUMBER(BN35)),IFERROR(BS35/BN35-1,""),"")</f>
        <v>-0.133977332307161</v>
      </c>
      <c r="BT36" s="26" t="n">
        <f aca="false">IF(AND(ISNUMBER(BT35),ISNUMBER(BO35)),IFERROR(BT35/BO35-1,""),"")</f>
        <v>-0.310941210490804</v>
      </c>
      <c r="BU36" s="26" t="n">
        <f aca="false">IF(AND(ISNUMBER(BU35),ISNUMBER(BP35)),IFERROR(BU35/BP35-1,""),"")</f>
        <v>-0.173066219591659</v>
      </c>
      <c r="BV36" s="26" t="n">
        <f aca="false">IF(AND(ISNUMBER(BV35),ISNUMBER(BQ35)),IFERROR(BV35/BQ35-1,""),"")</f>
        <v>-0.187909754960423</v>
      </c>
      <c r="BW36" s="26" t="n">
        <f aca="false">IF(AND(ISNUMBER(BW35),ISNUMBER(BR35)),IFERROR(BW35/BR35-1,""),"")</f>
        <v>-0.142159899237051</v>
      </c>
      <c r="BX36" s="26" t="n">
        <f aca="false">IF(AND(ISNUMBER(BX35),ISNUMBER(BS35)),IFERROR(BX35/BS35-1,""),"")</f>
        <v>0.123845575332164</v>
      </c>
      <c r="BY36" s="27" t="n">
        <f aca="false">IFERROR(BY35/BT35-1,"")</f>
        <v>0.18293900400837</v>
      </c>
      <c r="BZ36" s="27" t="n">
        <f aca="false">IFERROR(BZ35/BU35-1,"")</f>
        <v>0.180966797521494</v>
      </c>
      <c r="CA36" s="27" t="n">
        <f aca="false">IFERROR(CA35/BV35-1,"")</f>
        <v>0.0856898534369781</v>
      </c>
      <c r="CB36" s="27" t="n">
        <f aca="false">IFERROR(CB35/CA35-1,"")</f>
        <v>0.00725694928042864</v>
      </c>
      <c r="CC36" s="27" t="n">
        <f aca="false">IFERROR(CC35/CB35-1,"")</f>
        <v>0.0171822222222222</v>
      </c>
      <c r="CD36" s="27" t="n">
        <f aca="false">IFERROR(CD35/CC35-1,"")</f>
        <v>0.04545</v>
      </c>
      <c r="CE36" s="27" t="n">
        <f aca="false">IFERROR(CE35/CD35-1,"")</f>
        <v>0.04545</v>
      </c>
      <c r="CN36" s="28" t="s">
        <v>120</v>
      </c>
      <c r="CO36" s="39" t="n">
        <f aca="false">CP36+$CO$34</f>
        <v>0.04</v>
      </c>
      <c r="CP36" s="34" t="n">
        <v>0.01</v>
      </c>
      <c r="CQ36" s="39" t="n">
        <f aca="false">CP36+$CQ$34</f>
        <v>-0.03</v>
      </c>
    </row>
    <row r="37" customFormat="false" ht="15" hidden="false" customHeight="false" outlineLevel="0" collapsed="false">
      <c r="B37" s="28" t="s">
        <v>112</v>
      </c>
      <c r="S37" s="37" t="n">
        <v>55.591</v>
      </c>
      <c r="T37" s="37" t="n">
        <v>13.973</v>
      </c>
      <c r="U37" s="37" t="n">
        <v>20.904</v>
      </c>
      <c r="V37" s="37" t="n">
        <v>22.477</v>
      </c>
      <c r="W37" s="37" t="n">
        <v>18.727</v>
      </c>
      <c r="X37" s="37" t="n">
        <v>76.081</v>
      </c>
      <c r="Y37" s="37" t="n">
        <v>16.857</v>
      </c>
      <c r="Z37" s="37" t="n">
        <v>22.396</v>
      </c>
      <c r="AA37" s="37" t="n">
        <v>17.047</v>
      </c>
      <c r="AB37" s="37" t="n">
        <v>24.631</v>
      </c>
      <c r="AC37" s="37" t="n">
        <v>80.931</v>
      </c>
      <c r="AD37" s="37" t="n">
        <v>16.206</v>
      </c>
      <c r="AE37" s="37" t="n">
        <v>27.675</v>
      </c>
      <c r="AF37" s="37" t="n">
        <v>31.125</v>
      </c>
      <c r="AG37" s="37" t="n">
        <v>16.836</v>
      </c>
      <c r="AH37" s="37" t="n">
        <v>91.842</v>
      </c>
      <c r="AI37" s="37" t="n">
        <v>8.221</v>
      </c>
      <c r="AJ37" s="37" t="n">
        <v>29.788</v>
      </c>
      <c r="AK37" s="37" t="n">
        <v>23.835</v>
      </c>
      <c r="AL37" s="37" t="n">
        <v>29.782</v>
      </c>
      <c r="AM37" s="37" t="n">
        <v>91.626</v>
      </c>
      <c r="AN37" s="37" t="n">
        <v>14.203</v>
      </c>
      <c r="AO37" s="37" t="n">
        <v>26.618</v>
      </c>
      <c r="AP37" s="37" t="n">
        <v>24.676</v>
      </c>
      <c r="AQ37" s="37" t="n">
        <v>15.03</v>
      </c>
      <c r="AR37" s="37" t="n">
        <v>80.527</v>
      </c>
      <c r="AS37" s="37" t="n">
        <v>11.959</v>
      </c>
      <c r="AT37" s="37" t="n">
        <v>58.775</v>
      </c>
      <c r="AU37" s="37" t="n">
        <v>46.299</v>
      </c>
      <c r="AV37" s="37" t="n">
        <v>58.48</v>
      </c>
      <c r="AW37" s="37" t="n">
        <v>175.513</v>
      </c>
      <c r="AX37" s="37" t="n">
        <v>90.589</v>
      </c>
      <c r="AY37" s="37" t="n">
        <v>108.212</v>
      </c>
      <c r="AZ37" s="37" t="n">
        <v>165.155</v>
      </c>
      <c r="BA37" s="37" t="n">
        <v>146.8</v>
      </c>
      <c r="BB37" s="37" t="n">
        <v>510.756</v>
      </c>
      <c r="BC37" s="37" t="n">
        <v>167.638</v>
      </c>
      <c r="BD37" s="37" t="n">
        <v>167.557</v>
      </c>
      <c r="BE37" s="37" t="n">
        <v>85.953</v>
      </c>
      <c r="BF37" s="37" t="n">
        <v>28.216</v>
      </c>
      <c r="BG37" s="37" t="n">
        <v>449.364</v>
      </c>
      <c r="BH37" s="37" t="n">
        <v>30.116</v>
      </c>
      <c r="BI37" s="37" t="n">
        <v>29.647</v>
      </c>
      <c r="BJ37" s="37" t="n">
        <v>3.491</v>
      </c>
      <c r="BK37" s="37" t="n">
        <v>22.576</v>
      </c>
      <c r="BL37" s="37" t="n">
        <v>85.83</v>
      </c>
      <c r="BM37" s="37" t="n">
        <v>31.552</v>
      </c>
      <c r="BN37" s="37" t="n">
        <v>40.982</v>
      </c>
      <c r="BO37" s="37" t="n">
        <v>88.115</v>
      </c>
      <c r="BP37" s="37" t="n">
        <v>51.827</v>
      </c>
      <c r="BQ37" s="37" t="n">
        <v>212.476</v>
      </c>
      <c r="BR37" s="37" t="n">
        <v>42.943</v>
      </c>
      <c r="BS37" s="37" t="n">
        <v>51.33</v>
      </c>
      <c r="BT37" s="37" t="n">
        <v>49.021</v>
      </c>
      <c r="BU37" s="37" t="n">
        <v>40.489</v>
      </c>
      <c r="BV37" s="37" t="n">
        <v>183.783</v>
      </c>
      <c r="BW37" s="37" t="n">
        <v>31.684</v>
      </c>
      <c r="BX37" s="37" t="n">
        <v>60.97</v>
      </c>
      <c r="BY37" s="6"/>
      <c r="BZ37" s="6"/>
      <c r="CA37" s="6"/>
      <c r="CB37" s="6"/>
      <c r="CC37" s="6"/>
      <c r="CD37" s="6"/>
      <c r="CE37" s="6"/>
      <c r="CN37" s="28" t="s">
        <v>122</v>
      </c>
      <c r="CO37" s="39" t="n">
        <f aca="false">CP37+$CO$34</f>
        <v>0.045</v>
      </c>
      <c r="CP37" s="34" t="n">
        <v>0.015</v>
      </c>
      <c r="CQ37" s="39" t="n">
        <f aca="false">CP37+$CQ$34</f>
        <v>-0.025</v>
      </c>
    </row>
    <row r="38" customFormat="false" ht="15" hidden="false" customHeight="false" outlineLevel="0" collapsed="false">
      <c r="B38" s="25" t="s">
        <v>143</v>
      </c>
      <c r="C38" s="26" t="str">
        <f aca="false">IF(AND(ISNUMBER(C37),ISNUMBER(C32)),IFERROR(C37/C32,""),"")</f>
        <v/>
      </c>
      <c r="D38" s="26" t="str">
        <f aca="false">IF(AND(ISNUMBER(D37),ISNUMBER(D32)),IFERROR(D37/D32,""),"")</f>
        <v/>
      </c>
      <c r="E38" s="26" t="str">
        <f aca="false">IF(AND(ISNUMBER(E37),ISNUMBER(E32)),IFERROR(E37/E32,""),"")</f>
        <v/>
      </c>
      <c r="F38" s="26" t="str">
        <f aca="false">IF(AND(ISNUMBER(F37),ISNUMBER(F32)),IFERROR(F37/F32,""),"")</f>
        <v/>
      </c>
      <c r="G38" s="26" t="str">
        <f aca="false">IF(AND(ISNUMBER(G37),ISNUMBER(G32)),IFERROR(G37/G32,""),"")</f>
        <v/>
      </c>
      <c r="H38" s="26" t="str">
        <f aca="false">IF(AND(ISNUMBER(H37),ISNUMBER(H32)),IFERROR(H37/H32,""),"")</f>
        <v/>
      </c>
      <c r="I38" s="26" t="str">
        <f aca="false">IF(AND(ISNUMBER(I37),ISNUMBER(I32)),IFERROR(I37/I32,""),"")</f>
        <v/>
      </c>
      <c r="J38" s="26" t="str">
        <f aca="false">IF(AND(ISNUMBER(J37),ISNUMBER(J32)),IFERROR(J37/J32,""),"")</f>
        <v/>
      </c>
      <c r="K38" s="26" t="str">
        <f aca="false">IF(AND(ISNUMBER(K37),ISNUMBER(K32)),IFERROR(K37/K32,""),"")</f>
        <v/>
      </c>
      <c r="L38" s="26" t="str">
        <f aca="false">IF(AND(ISNUMBER(L37),ISNUMBER(L32)),IFERROR(L37/L32,""),"")</f>
        <v/>
      </c>
      <c r="M38" s="26" t="str">
        <f aca="false">IF(AND(ISNUMBER(M37),ISNUMBER(M32)),IFERROR(M37/M32,""),"")</f>
        <v/>
      </c>
      <c r="N38" s="26" t="str">
        <f aca="false">IF(AND(ISNUMBER(N37),ISNUMBER(N32)),IFERROR(N37/N32,""),"")</f>
        <v/>
      </c>
      <c r="O38" s="26" t="str">
        <f aca="false">IF(AND(ISNUMBER(O37),ISNUMBER(O32)),IFERROR(O37/O32,""),"")</f>
        <v/>
      </c>
      <c r="P38" s="26" t="str">
        <f aca="false">IF(AND(ISNUMBER(P37),ISNUMBER(P32)),IFERROR(P37/P32,""),"")</f>
        <v/>
      </c>
      <c r="Q38" s="26" t="str">
        <f aca="false">IF(AND(ISNUMBER(Q37),ISNUMBER(Q32)),IFERROR(Q37/Q32,""),"")</f>
        <v/>
      </c>
      <c r="R38" s="26" t="str">
        <f aca="false">IF(AND(ISNUMBER(R37),ISNUMBER(R32)),IFERROR(R37/R32,""),"")</f>
        <v/>
      </c>
      <c r="S38" s="26" t="n">
        <f aca="false">IF(AND(ISNUMBER(S37),ISNUMBER(S32)),IFERROR(S37/S32,""),"")</f>
        <v>0.15874389265348</v>
      </c>
      <c r="T38" s="26" t="n">
        <f aca="false">IF(AND(ISNUMBER(T37),ISNUMBER(T32)),IFERROR(T37/T32,""),"")</f>
        <v>0.161850045753072</v>
      </c>
      <c r="U38" s="26" t="n">
        <f aca="false">IF(AND(ISNUMBER(U37),ISNUMBER(U32)),IFERROR(U37/U32,""),"")</f>
        <v>0.220399384265019</v>
      </c>
      <c r="V38" s="26" t="n">
        <f aca="false">IF(AND(ISNUMBER(V37),ISNUMBER(V32)),IFERROR(V37/V32,""),"")</f>
        <v>0.237106659493444</v>
      </c>
      <c r="W38" s="26" t="n">
        <f aca="false">IF(AND(ISNUMBER(W37),ISNUMBER(W32)),IFERROR(W37/W32,""),"")</f>
        <v>0.209261266496072</v>
      </c>
      <c r="X38" s="26" t="n">
        <f aca="false">IF(AND(ISNUMBER(X37),ISNUMBER(X32)),IFERROR(X37/X32,""),"")</f>
        <v>0.208174746283522</v>
      </c>
      <c r="Y38" s="26" t="n">
        <f aca="false">IF(AND(ISNUMBER(Y37),ISNUMBER(Y32)),IFERROR(Y37/Y32,""),"")</f>
        <v>0.181519608898844</v>
      </c>
      <c r="Z38" s="26" t="n">
        <f aca="false">IF(AND(ISNUMBER(Z37),ISNUMBER(Z32)),IFERROR(Z37/Z32,""),"")</f>
        <v>0.230354644943635</v>
      </c>
      <c r="AA38" s="26" t="n">
        <f aca="false">IF(AND(ISNUMBER(AA37),ISNUMBER(AA32)),IFERROR(AA37/AA32,""),"")</f>
        <v>0.182578613657784</v>
      </c>
      <c r="AB38" s="26" t="n">
        <f aca="false">IF(AND(ISNUMBER(AB37),ISNUMBER(AB32)),IFERROR(AB37/AB32,""),"")</f>
        <v>0.215911780432858</v>
      </c>
      <c r="AC38" s="26" t="n">
        <f aca="false">IF(AND(ISNUMBER(AC37),ISNUMBER(AC32)),IFERROR(AC37/AC32,""),"")</f>
        <v>0.203581050317329</v>
      </c>
      <c r="AD38" s="26" t="n">
        <f aca="false">IF(AND(ISNUMBER(AD37),ISNUMBER(AD32)),IFERROR(AD37/AD32,""),"")</f>
        <v>0.152103316877217</v>
      </c>
      <c r="AE38" s="26" t="n">
        <f aca="false">IF(AND(ISNUMBER(AE37),ISNUMBER(AE32)),IFERROR(AE37/AE32,""),"")</f>
        <v>0.228675541012865</v>
      </c>
      <c r="AF38" s="26" t="n">
        <f aca="false">IF(AND(ISNUMBER(AF37),ISNUMBER(AF32)),IFERROR(AF37/AF32,""),"")</f>
        <v>0.239714422143836</v>
      </c>
      <c r="AG38" s="26" t="n">
        <f aca="false">IF(AND(ISNUMBER(AG37),ISNUMBER(AG32)),IFERROR(AG37/AG32,""),"")</f>
        <v>0.131666001923844</v>
      </c>
      <c r="AH38" s="26" t="n">
        <f aca="false">IF(AND(ISNUMBER(AH37),ISNUMBER(AH32)),IFERROR(AH37/AH32,""),"")</f>
        <v>0.18925568743818</v>
      </c>
      <c r="AI38" s="26" t="n">
        <f aca="false">IF(AND(ISNUMBER(AI37),ISNUMBER(AI32)),IFERROR(AI37/AI32,""),"")</f>
        <v>0.0668172988613181</v>
      </c>
      <c r="AJ38" s="26" t="n">
        <f aca="false">IF(AND(ISNUMBER(AJ37),ISNUMBER(AJ32)),IFERROR(AJ37/AJ32,""),"")</f>
        <v>0.206816588095618</v>
      </c>
      <c r="AK38" s="26" t="n">
        <f aca="false">IF(AND(ISNUMBER(AK37),ISNUMBER(AK32)),IFERROR(AK37/AK32,""),"")</f>
        <v>0.177739166747452</v>
      </c>
      <c r="AL38" s="26" t="n">
        <f aca="false">IF(AND(ISNUMBER(AL37),ISNUMBER(AL32)),IFERROR(AL37/AL32,""),"")</f>
        <v>0.208649474207809</v>
      </c>
      <c r="AM38" s="26" t="n">
        <f aca="false">IF(AND(ISNUMBER(AM37),ISNUMBER(AM32)),IFERROR(AM37/AM32,""),"")</f>
        <v>0.168459255827294</v>
      </c>
      <c r="AN38" s="26" t="n">
        <f aca="false">IF(AND(ISNUMBER(AN37),ISNUMBER(AN32)),IFERROR(AN37/AN32,""),"")</f>
        <v>0.111627212424157</v>
      </c>
      <c r="AO38" s="26" t="n">
        <f aca="false">IF(AND(ISNUMBER(AO37),ISNUMBER(AO32)),IFERROR(AO37/AO32,""),"")</f>
        <v>0.187535227144629</v>
      </c>
      <c r="AP38" s="26" t="n">
        <f aca="false">IF(AND(ISNUMBER(AP37),ISNUMBER(AP32)),IFERROR(AP37/AP32,""),"")</f>
        <v>0.181688326031734</v>
      </c>
      <c r="AQ38" s="26" t="n">
        <f aca="false">IF(AND(ISNUMBER(AQ37),ISNUMBER(AQ32)),IFERROR(AQ37/AQ32,""),"")</f>
        <v>0.116521563854282</v>
      </c>
      <c r="AR38" s="26" t="n">
        <f aca="false">IF(AND(ISNUMBER(AR37),ISNUMBER(AR32)),IFERROR(AR37/AR32,""),"")</f>
        <v>0.150806403284043</v>
      </c>
      <c r="AS38" s="26" t="n">
        <f aca="false">IF(AND(ISNUMBER(AS37),ISNUMBER(AS32)),IFERROR(AS37/AS32,""),"")</f>
        <v>0.0932010536652275</v>
      </c>
      <c r="AT38" s="26" t="n">
        <f aca="false">IF(AND(ISNUMBER(AT37),ISNUMBER(AT32)),IFERROR(AT37/AT32,""),"")</f>
        <v>0.360671330387825</v>
      </c>
      <c r="AU38" s="26" t="n">
        <f aca="false">IF(AND(ISNUMBER(AU37),ISNUMBER(AU32)),IFERROR(AU37/AU32,""),"")</f>
        <v>0.2936691678771</v>
      </c>
      <c r="AV38" s="26" t="n">
        <f aca="false">IF(AND(ISNUMBER(AV37),ISNUMBER(AV32)),IFERROR(AV37/AV32,""),"")</f>
        <v>0.32478603997623</v>
      </c>
      <c r="AW38" s="26" t="n">
        <f aca="false">IF(AND(ISNUMBER(AW37),ISNUMBER(AW32)),IFERROR(AW37/AW32,""),"")</f>
        <v>0.279040299655955</v>
      </c>
      <c r="AX38" s="26" t="n">
        <f aca="false">IF(AND(ISNUMBER(AX37),ISNUMBER(AX32)),IFERROR(AX37/AX32,""),"")</f>
        <v>0.42272048530098</v>
      </c>
      <c r="AY38" s="26" t="n">
        <f aca="false">IF(AND(ISNUMBER(AY37),ISNUMBER(AY32)),IFERROR(AY37/AY32,""),"")</f>
        <v>0.453236385568409</v>
      </c>
      <c r="AZ38" s="26" t="n">
        <f aca="false">IF(AND(ISNUMBER(AZ37),ISNUMBER(AZ32)),IFERROR(AZ37/AZ32,""),"")</f>
        <v>0.531219242323849</v>
      </c>
      <c r="BA38" s="26" t="n">
        <f aca="false">IF(AND(ISNUMBER(BA37),ISNUMBER(BA32)),IFERROR(BA37/BA32,""),"")</f>
        <v>0.474177054094299</v>
      </c>
      <c r="BB38" s="26" t="n">
        <f aca="false">IF(AND(ISNUMBER(BB37),ISNUMBER(BB32)),IFERROR(BB37/BB32,""),"")</f>
        <v>0.475767576645885</v>
      </c>
      <c r="BC38" s="26" t="n">
        <f aca="false">IF(AND(ISNUMBER(BC37),ISNUMBER(BC32)),IFERROR(BC37/BC32,""),"")</f>
        <v>0.520860779001268</v>
      </c>
      <c r="BD38" s="26" t="n">
        <f aca="false">IF(AND(ISNUMBER(BD37),ISNUMBER(BD32)),IFERROR(BD37/BD32,""),"")</f>
        <v>0.516445107461095</v>
      </c>
      <c r="BE38" s="26" t="n">
        <f aca="false">IF(AND(ISNUMBER(BE37),ISNUMBER(BE32)),IFERROR(BE37/BE32,""),"")</f>
        <v>0.345980606441173</v>
      </c>
      <c r="BF38" s="26" t="n">
        <f aca="false">IF(AND(ISNUMBER(BF37),ISNUMBER(BF32)),IFERROR(BF37/BF32,""),"")</f>
        <v>0.149489533719384</v>
      </c>
      <c r="BG38" s="26" t="n">
        <f aca="false">IF(AND(ISNUMBER(BG37),ISNUMBER(BG32)),IFERROR(BG37/BG32,""),"")</f>
        <v>0.414744068380107</v>
      </c>
      <c r="BH38" s="26" t="n">
        <f aca="false">IF(AND(ISNUMBER(BH37),ISNUMBER(BH32)),IFERROR(BH37/BH32,""),"")</f>
        <v>0.16926803770255</v>
      </c>
      <c r="BI38" s="26" t="n">
        <f aca="false">IF(AND(ISNUMBER(BI37),ISNUMBER(BI32)),IFERROR(BI37/BI32,""),"")</f>
        <v>0.165412233374807</v>
      </c>
      <c r="BJ38" s="26" t="n">
        <f aca="false">IF(AND(ISNUMBER(BJ37),ISNUMBER(BJ32)),IFERROR(BJ37/BJ32,""),"")</f>
        <v>0.0205482274137251</v>
      </c>
      <c r="BK38" s="26" t="n">
        <f aca="false">IF(AND(ISNUMBER(BK37),ISNUMBER(BK32)),IFERROR(BK37/BK32,""),"")</f>
        <v>0.139081578590702</v>
      </c>
      <c r="BL38" s="26" t="n">
        <f aca="false">IF(AND(ISNUMBER(BL37),ISNUMBER(BL32)),IFERROR(BL37/BL32,""),"")</f>
        <v>0.124505885851472</v>
      </c>
      <c r="BM38" s="26" t="n">
        <f aca="false">IF(AND(ISNUMBER(BM37),ISNUMBER(BM32)),IFERROR(BM37/BM32,""),"")</f>
        <v>0.175245077619484</v>
      </c>
      <c r="BN38" s="26" t="n">
        <f aca="false">IF(AND(ISNUMBER(BN37),ISNUMBER(BN32)),IFERROR(BN37/BN32,""),"")</f>
        <v>0.222647188252104</v>
      </c>
      <c r="BO38" s="26" t="n">
        <f aca="false">IF(AND(ISNUMBER(BO37),ISNUMBER(BO32)),IFERROR(BO37/BO32,""),"")</f>
        <v>0.375539132954875</v>
      </c>
      <c r="BP38" s="26" t="n">
        <f aca="false">IF(AND(ISNUMBER(BP37),ISNUMBER(BP32)),IFERROR(BP37/BP32,""),"")</f>
        <v>0.254301990667367</v>
      </c>
      <c r="BQ38" s="26" t="n">
        <f aca="false">IF(AND(ISNUMBER(BQ37),ISNUMBER(BQ32)),IFERROR(BQ37/BQ32,""),"")</f>
        <v>0.26475143573788</v>
      </c>
      <c r="BR38" s="26" t="n">
        <f aca="false">IF(AND(ISNUMBER(BR37),ISNUMBER(BR32)),IFERROR(BR37/BR32,""),"")</f>
        <v>0.232592022878437</v>
      </c>
      <c r="BS38" s="26" t="n">
        <f aca="false">IF(AND(ISNUMBER(BS37),ISNUMBER(BS32)),IFERROR(BS37/BS32,""),"")</f>
        <v>0.273641786748125</v>
      </c>
      <c r="BT38" s="26" t="n">
        <f aca="false">IF(AND(ISNUMBER(BT37),ISNUMBER(BT32)),IFERROR(BT37/BT32,""),"")</f>
        <v>0.255643920627885</v>
      </c>
      <c r="BU38" s="26" t="n">
        <f aca="false">IF(AND(ISNUMBER(BU37),ISNUMBER(BU32)),IFERROR(BU37/BU32,""),"")</f>
        <v>0.227521255134667</v>
      </c>
      <c r="BV38" s="26" t="n">
        <f aca="false">IF(AND(ISNUMBER(BV37),ISNUMBER(BV32)),IFERROR(BV37/BV32,""),"")</f>
        <v>0.247712357515153</v>
      </c>
      <c r="BW38" s="26" t="n">
        <f aca="false">IF(AND(ISNUMBER(BW37),ISNUMBER(BW32)),IFERROR(BW37/BW32,""),"")</f>
        <v>0.195229556783802</v>
      </c>
      <c r="BX38" s="26" t="n">
        <f aca="false">IF(AND(ISNUMBER(BX37),ISNUMBER(BX32)),IFERROR(BX37/BX32,""),"")</f>
        <v>0.322883016469841</v>
      </c>
      <c r="BY38" s="6"/>
      <c r="BZ38" s="6"/>
      <c r="CA38" s="6"/>
      <c r="CB38" s="6"/>
      <c r="CC38" s="6"/>
      <c r="CD38" s="6"/>
      <c r="CE38" s="6"/>
      <c r="CN38" s="28" t="s">
        <v>124</v>
      </c>
      <c r="CO38" s="39" t="n">
        <f aca="false">CP38+$CO$34</f>
        <v>0.045</v>
      </c>
      <c r="CP38" s="34" t="n">
        <v>0.015</v>
      </c>
      <c r="CQ38" s="39" t="n">
        <f aca="false">CP38+$CQ$34</f>
        <v>-0.025</v>
      </c>
    </row>
    <row r="39" customFormat="false" ht="15" hidden="false" customHeight="false" outlineLevel="0" collapsed="false">
      <c r="B39" s="28" t="s">
        <v>117</v>
      </c>
      <c r="S39" s="37" t="n">
        <v>3202</v>
      </c>
      <c r="T39" s="37" t="n">
        <v>3294</v>
      </c>
      <c r="U39" s="37" t="n">
        <v>3350</v>
      </c>
      <c r="V39" s="37" t="n">
        <v>3422</v>
      </c>
      <c r="W39" s="37" t="n">
        <v>3455</v>
      </c>
      <c r="X39" s="37" t="n">
        <v>3381</v>
      </c>
      <c r="Y39" s="37" t="n">
        <v>3488</v>
      </c>
      <c r="Z39" s="37" t="n">
        <v>3514</v>
      </c>
      <c r="AA39" s="37" t="n">
        <v>3559</v>
      </c>
      <c r="AB39" s="37" t="n">
        <v>3934</v>
      </c>
      <c r="AC39" s="37" t="n">
        <v>3673</v>
      </c>
      <c r="AD39" s="37" t="n">
        <v>3926</v>
      </c>
      <c r="AE39" s="37" t="n">
        <v>4021</v>
      </c>
      <c r="AF39" s="37" t="n">
        <v>4301</v>
      </c>
      <c r="AG39" s="37" t="n">
        <v>4683</v>
      </c>
      <c r="AH39" s="37" t="n">
        <v>4310</v>
      </c>
      <c r="AI39" s="37" t="n">
        <v>4767</v>
      </c>
      <c r="AJ39" s="37" t="n">
        <v>4736</v>
      </c>
      <c r="AK39" s="37" t="n">
        <v>4684</v>
      </c>
      <c r="AL39" s="37" t="n">
        <v>4664</v>
      </c>
      <c r="AM39" s="37" t="n">
        <v>4711</v>
      </c>
      <c r="AN39" s="37" t="n">
        <v>4707</v>
      </c>
      <c r="AO39" s="37" t="n">
        <v>4770</v>
      </c>
      <c r="AP39" s="37" t="n">
        <v>4790</v>
      </c>
      <c r="AQ39" s="37" t="n">
        <v>4824</v>
      </c>
      <c r="AR39" s="37" t="n">
        <v>4766</v>
      </c>
      <c r="AS39" s="37" t="n">
        <v>4824</v>
      </c>
      <c r="AT39" s="37" t="n">
        <v>4726</v>
      </c>
      <c r="AU39" s="37" t="n">
        <v>4607</v>
      </c>
      <c r="AV39" s="37" t="n">
        <v>4626</v>
      </c>
      <c r="AW39" s="37" t="n">
        <v>4708</v>
      </c>
      <c r="AX39" s="37" t="n">
        <v>4735</v>
      </c>
      <c r="AY39" s="37" t="n">
        <v>4909</v>
      </c>
      <c r="AZ39" s="37" t="n">
        <v>5167</v>
      </c>
      <c r="BA39" s="37" t="n">
        <v>5430</v>
      </c>
      <c r="BB39" s="37" t="n">
        <v>5071</v>
      </c>
      <c r="BC39" s="37" t="n">
        <v>5610</v>
      </c>
      <c r="BD39" s="37" t="n">
        <v>5759</v>
      </c>
      <c r="BE39" s="37" t="n">
        <v>5861</v>
      </c>
      <c r="BF39" s="37" t="n">
        <v>5745</v>
      </c>
      <c r="BG39" s="37" t="n">
        <v>5712</v>
      </c>
      <c r="BH39" s="37" t="n">
        <v>5471</v>
      </c>
      <c r="BI39" s="37" t="n">
        <v>5225</v>
      </c>
      <c r="BJ39" s="37" t="n">
        <v>5082</v>
      </c>
      <c r="BK39" s="37" t="n">
        <v>5021</v>
      </c>
      <c r="BL39" s="37" t="n">
        <v>5222</v>
      </c>
      <c r="BM39" s="37" t="n">
        <v>4876</v>
      </c>
      <c r="BN39" s="37" t="n">
        <v>4652</v>
      </c>
      <c r="BO39" s="37" t="n">
        <v>4552</v>
      </c>
      <c r="BP39" s="37" t="n">
        <v>4542</v>
      </c>
      <c r="BQ39" s="37" t="n">
        <v>4678</v>
      </c>
      <c r="BR39" s="37" t="n">
        <v>4514</v>
      </c>
      <c r="BS39" s="37" t="n">
        <v>4436</v>
      </c>
      <c r="BT39" s="37" t="n">
        <v>4245</v>
      </c>
      <c r="BU39" s="37" t="n">
        <v>4007</v>
      </c>
      <c r="BV39" s="37" t="n">
        <v>4284</v>
      </c>
      <c r="BW39" s="37" t="n">
        <v>3848</v>
      </c>
      <c r="BX39" s="37" t="n">
        <v>3699</v>
      </c>
      <c r="BY39" s="6"/>
      <c r="BZ39" s="6"/>
      <c r="CA39" s="6"/>
      <c r="CB39" s="6"/>
      <c r="CC39" s="6"/>
      <c r="CD39" s="6"/>
      <c r="CE39" s="6"/>
      <c r="CN39" s="17" t="s">
        <v>144</v>
      </c>
      <c r="CO39" s="38" t="n">
        <v>0.02</v>
      </c>
      <c r="CP39" s="24" t="s">
        <v>115</v>
      </c>
      <c r="CQ39" s="38" t="n">
        <v>-0.03</v>
      </c>
      <c r="CR39" s="14" t="s">
        <v>145</v>
      </c>
    </row>
    <row r="40" customFormat="false" ht="15" hidden="false" customHeight="false" outlineLevel="0" collapsed="false">
      <c r="B40" s="25" t="s">
        <v>119</v>
      </c>
      <c r="C40" s="40" t="str">
        <f aca="false">IFERROR(C32*1/C39*1000,"")</f>
        <v/>
      </c>
      <c r="D40" s="40" t="str">
        <f aca="false">IFERROR(D32*1/D39*1000,"")</f>
        <v/>
      </c>
      <c r="E40" s="40" t="str">
        <f aca="false">IFERROR(E32*1/E39*1000,"")</f>
        <v/>
      </c>
      <c r="F40" s="40" t="str">
        <f aca="false">IFERROR(F32*1/F39*1000,"")</f>
        <v/>
      </c>
      <c r="G40" s="40" t="str">
        <f aca="false">IFERROR(G32*1/G39*1000,"")</f>
        <v/>
      </c>
      <c r="H40" s="40" t="str">
        <f aca="false">IFERROR(H32*1/H39*1000,"")</f>
        <v/>
      </c>
      <c r="I40" s="40" t="str">
        <f aca="false">IFERROR(I32*1/I39*1000,"")</f>
        <v/>
      </c>
      <c r="J40" s="40" t="str">
        <f aca="false">IFERROR(J32*4/J39*1000,"")</f>
        <v/>
      </c>
      <c r="K40" s="40" t="str">
        <f aca="false">IFERROR(K32*4/K39*1000,"")</f>
        <v/>
      </c>
      <c r="L40" s="40" t="str">
        <f aca="false">IFERROR(L32*4/L39*1000,"")</f>
        <v/>
      </c>
      <c r="M40" s="40" t="str">
        <f aca="false">IFERROR(M32*4/M39*1000,"")</f>
        <v/>
      </c>
      <c r="N40" s="40" t="str">
        <f aca="false">IFERROR(N32*1/N39*1000,"")</f>
        <v/>
      </c>
      <c r="O40" s="40" t="str">
        <f aca="false">IFERROR(O32*4/O39*1000,"")</f>
        <v/>
      </c>
      <c r="P40" s="40" t="str">
        <f aca="false">IFERROR(P32*4/P39*1000,"")</f>
        <v/>
      </c>
      <c r="Q40" s="40" t="str">
        <f aca="false">IFERROR(Q32*4/Q39*1000,"")</f>
        <v/>
      </c>
      <c r="R40" s="40" t="str">
        <f aca="false">IFERROR(R32*4/R39*1000,"")</f>
        <v/>
      </c>
      <c r="S40" s="40" t="n">
        <f aca="false">IFERROR(S32*1/S39*1000,"")</f>
        <v>109.366958151156</v>
      </c>
      <c r="T40" s="40" t="n">
        <f aca="false">IFERROR(T32*4/T39*1000,"")</f>
        <v>104.836672738312</v>
      </c>
      <c r="U40" s="40" t="n">
        <f aca="false">IFERROR(U32*4/U39*1000,"")</f>
        <v>113.248955223881</v>
      </c>
      <c r="V40" s="40" t="n">
        <f aca="false">IFERROR(V32*4/V39*1000,"")</f>
        <v>110.808883693746</v>
      </c>
      <c r="W40" s="40" t="n">
        <f aca="false">IFERROR(W32*4/W39*1000,"")</f>
        <v>103.607525325615</v>
      </c>
      <c r="X40" s="40" t="n">
        <f aca="false">IFERROR(X32*1/X39*1000,"")</f>
        <v>108.094350783792</v>
      </c>
      <c r="Y40" s="40" t="n">
        <f aca="false">IFERROR(Y32*4/Y39*1000,"")</f>
        <v>106.497706422018</v>
      </c>
      <c r="Z40" s="40" t="n">
        <f aca="false">IFERROR(Z32*4/Z39*1000,"")</f>
        <v>110.670461013091</v>
      </c>
      <c r="AA40" s="40" t="n">
        <f aca="false">IFERROR(AA32*4/AA39*1000,"")</f>
        <v>104.937341949986</v>
      </c>
      <c r="AB40" s="40" t="n">
        <f aca="false">IFERROR(AB32*4/AB39*1000,"")</f>
        <v>115.992882562278</v>
      </c>
      <c r="AC40" s="40" t="n">
        <f aca="false">IFERROR(AC32*1/AC39*1000,"")</f>
        <v>108.232235230057</v>
      </c>
      <c r="AD40" s="40" t="n">
        <f aca="false">IFERROR(AD32*4/AD39*1000,"")</f>
        <v>108.554253693327</v>
      </c>
      <c r="AE40" s="40" t="n">
        <f aca="false">IFERROR(AE32*4/AE39*1000,"")</f>
        <v>120.390947525491</v>
      </c>
      <c r="AF40" s="40" t="n">
        <f aca="false">IFERROR(AF32*4/AF39*1000,"")</f>
        <v>120.755173215531</v>
      </c>
      <c r="AG40" s="40" t="n">
        <f aca="false">IFERROR(AG32*4/AG39*1000,"")</f>
        <v>109.219730941704</v>
      </c>
      <c r="AH40" s="40" t="n">
        <f aca="false">IFERROR(AH32*1/AH39*1000,"")</f>
        <v>112.593967517401</v>
      </c>
      <c r="AI40" s="40" t="n">
        <f aca="false">IFERROR(AI32*4/AI39*1000,"")</f>
        <v>103.240612544577</v>
      </c>
      <c r="AJ40" s="40" t="n">
        <f aca="false">IFERROR(AJ32*4/AJ39*1000,"")</f>
        <v>121.647804054054</v>
      </c>
      <c r="AK40" s="40" t="n">
        <f aca="false">IFERROR(AK32*4/AK39*1000,"")</f>
        <v>114.518360375747</v>
      </c>
      <c r="AL40" s="40" t="n">
        <f aca="false">IFERROR(AL32*4/AL39*1000,"")</f>
        <v>122.415951972556</v>
      </c>
      <c r="AM40" s="40" t="n">
        <f aca="false">IFERROR(AM32*1/AM39*1000,"")</f>
        <v>115.454468265761</v>
      </c>
      <c r="AN40" s="40" t="n">
        <f aca="false">IFERROR(AN32*4/AN39*1000,"")</f>
        <v>108.124920331421</v>
      </c>
      <c r="AO40" s="40" t="n">
        <f aca="false">IFERROR(AO32*4/AO39*1000,"")</f>
        <v>119.023899371069</v>
      </c>
      <c r="AP40" s="40" t="n">
        <f aca="false">IFERROR(AP32*4/AP39*1000,"")</f>
        <v>113.415448851775</v>
      </c>
      <c r="AQ40" s="40" t="n">
        <f aca="false">IFERROR(AQ32*4/AQ39*1000,"")</f>
        <v>106.956053067993</v>
      </c>
      <c r="AR40" s="40" t="n">
        <f aca="false">IFERROR(AR32*1/AR39*1000,"")</f>
        <v>112.038606798154</v>
      </c>
      <c r="AS40" s="40" t="n">
        <f aca="false">IFERROR(AS32*4/AS39*1000,"")</f>
        <v>106.396351575456</v>
      </c>
      <c r="AT40" s="40" t="n">
        <f aca="false">IFERROR(AT32*4/AT39*1000,"")</f>
        <v>137.926364790521</v>
      </c>
      <c r="AU40" s="40" t="n">
        <f aca="false">IFERROR(AU32*4/AU39*1000,"")</f>
        <v>136.884740612112</v>
      </c>
      <c r="AV40" s="40" t="n">
        <f aca="false">IFERROR(AV32*4/AV39*1000,"")</f>
        <v>155.69130998703</v>
      </c>
      <c r="AW40" s="40" t="n">
        <f aca="false">IFERROR(AW32*1/AW39*1000,"")</f>
        <v>133.599830076466</v>
      </c>
      <c r="AX40" s="40" t="n">
        <f aca="false">IFERROR(AX32*4/AX39*1000,"")</f>
        <v>181.0348468849</v>
      </c>
      <c r="AY40" s="40" t="n">
        <f aca="false">IFERROR(AY32*4/AY39*1000,"")</f>
        <v>194.543898961092</v>
      </c>
      <c r="AZ40" s="40" t="n">
        <f aca="false">IFERROR(AZ32*4/AZ39*1000,"")</f>
        <v>240.679698083995</v>
      </c>
      <c r="BA40" s="40" t="n">
        <f aca="false">IFERROR(BA32*4/BA39*1000,"")</f>
        <v>228.058195211786</v>
      </c>
      <c r="BB40" s="40" t="n">
        <f aca="false">IFERROR(BB32*1/BB39*1000,"")</f>
        <v>211.702031157563</v>
      </c>
      <c r="BC40" s="40" t="n">
        <f aca="false">IFERROR(BC32*4/BC39*1000,"")</f>
        <v>229.481639928699</v>
      </c>
      <c r="BD40" s="40" t="n">
        <f aca="false">IFERROR(BD32*4/BD39*1000,"")</f>
        <v>225.346761590554</v>
      </c>
      <c r="BE40" s="40" t="n">
        <f aca="false">IFERROR(BE32*4/BE39*1000,"")</f>
        <v>169.549906159358</v>
      </c>
      <c r="BF40" s="40" t="n">
        <f aca="false">IFERROR(BF32*4/BF39*1000,"")</f>
        <v>131.417928633594</v>
      </c>
      <c r="BG40" s="40" t="n">
        <f aca="false">IFERROR(BG32*1/BG39*1000,"")</f>
        <v>189.683648459384</v>
      </c>
      <c r="BH40" s="40" t="n">
        <f aca="false">IFERROR(BH32*4/BH39*1000,"")</f>
        <v>130.08152074575</v>
      </c>
      <c r="BI40" s="40" t="n">
        <f aca="false">IFERROR(BI32*4/BI39*1000,"")</f>
        <v>137.21033492823</v>
      </c>
      <c r="BJ40" s="40" t="n">
        <f aca="false">IFERROR(BJ32*4/BJ39*1000,"")</f>
        <v>133.721369539551</v>
      </c>
      <c r="BK40" s="40" t="n">
        <f aca="false">IFERROR(BK32*4/BK39*1000,"")</f>
        <v>129.314479187413</v>
      </c>
      <c r="BL40" s="40" t="n">
        <f aca="false">IFERROR(BL32*1/BL39*1000,"")</f>
        <v>132.011681348142</v>
      </c>
      <c r="BM40" s="40" t="n">
        <f aca="false">IFERROR(BM32*4/BM39*1000,"")</f>
        <v>147.698933552092</v>
      </c>
      <c r="BN40" s="40" t="n">
        <f aca="false">IFERROR(BN32*4/BN39*1000,"")</f>
        <v>158.26913155632</v>
      </c>
      <c r="BO40" s="40" t="n">
        <f aca="false">IFERROR(BO32*4/BO39*1000,"")</f>
        <v>206.182776801406</v>
      </c>
      <c r="BP40" s="40" t="n">
        <f aca="false">IFERROR(BP32*4/BP39*1000,"")</f>
        <v>179.481285777191</v>
      </c>
      <c r="BQ40" s="40" t="n">
        <f aca="false">IFERROR(BQ32*1/BQ39*1000,"")</f>
        <v>171.558144506199</v>
      </c>
      <c r="BR40" s="40" t="n">
        <f aca="false">IFERROR(BR32*4/BR39*1000,"")</f>
        <v>163.604785112982</v>
      </c>
      <c r="BS40" s="40" t="n">
        <f aca="false">IFERROR(BS32*4/BS39*1000,"")</f>
        <v>169.14427412083</v>
      </c>
      <c r="BT40" s="40" t="n">
        <f aca="false">IFERROR(BT32*4/BT39*1000,"")</f>
        <v>180.687868080094</v>
      </c>
      <c r="BU40" s="40" t="n">
        <f aca="false">IFERROR(BU32*4/BU39*1000,"")</f>
        <v>177.64611929124</v>
      </c>
      <c r="BV40" s="40" t="n">
        <f aca="false">IFERROR(BV32*1/BV39*1000,"")</f>
        <v>173.184173669468</v>
      </c>
      <c r="BW40" s="40" t="n">
        <f aca="false">IFERROR(BW32*4/BW39*1000,"")</f>
        <v>168.701663201663</v>
      </c>
      <c r="BX40" s="40" t="n">
        <f aca="false">IFERROR(BX32*4/BX39*1000,"")</f>
        <v>204.195728575291</v>
      </c>
      <c r="BY40" s="6"/>
      <c r="BZ40" s="6"/>
      <c r="CA40" s="6"/>
      <c r="CB40" s="6"/>
      <c r="CC40" s="6"/>
      <c r="CD40" s="6"/>
      <c r="CE40" s="6"/>
      <c r="CN40" s="28" t="s">
        <v>118</v>
      </c>
      <c r="CO40" s="39" t="n">
        <f aca="false">CP40+$CO$39</f>
        <v>0.07</v>
      </c>
      <c r="CP40" s="34" t="n">
        <v>0.05</v>
      </c>
      <c r="CQ40" s="39" t="n">
        <f aca="false">CP40+$CQ$39</f>
        <v>0.02</v>
      </c>
    </row>
    <row r="41" customFormat="false" ht="15" hidden="false" customHeight="false" outlineLevel="1" collapsed="false">
      <c r="B41" s="25" t="s">
        <v>146</v>
      </c>
      <c r="AZ41" s="41" t="n">
        <v>1.165</v>
      </c>
      <c r="BA41" s="41" t="n">
        <v>0.78</v>
      </c>
      <c r="BC41" s="41" t="n">
        <v>0.525</v>
      </c>
      <c r="BD41" s="41" t="n">
        <v>0.475</v>
      </c>
      <c r="BE41" s="41" t="n">
        <v>-0.24</v>
      </c>
      <c r="BF41" s="41" t="n">
        <v>-0.365</v>
      </c>
      <c r="BH41" s="41" t="n">
        <v>-0.415</v>
      </c>
      <c r="BI41" s="41" t="n">
        <v>-0.495</v>
      </c>
      <c r="BJ41" s="41" t="n">
        <v>-0.345</v>
      </c>
      <c r="BK41" s="41" t="n">
        <v>-0.205</v>
      </c>
      <c r="BM41" s="41" t="n">
        <v>-0.04</v>
      </c>
      <c r="BN41" s="41" t="n">
        <v>0.045</v>
      </c>
      <c r="BO41" s="41" t="n">
        <v>0.47</v>
      </c>
      <c r="BP41" s="41" t="n">
        <v>0.235</v>
      </c>
      <c r="BR41" s="41" t="n">
        <v>0.01</v>
      </c>
      <c r="BS41" s="41" t="n">
        <v>-0.035</v>
      </c>
      <c r="BT41" s="41" t="n">
        <v>-0.275</v>
      </c>
      <c r="BU41" s="41" t="n">
        <v>-0.15</v>
      </c>
      <c r="BW41" s="41" t="n">
        <v>-0.125</v>
      </c>
      <c r="BX41" s="41" t="n">
        <v>-0.04</v>
      </c>
      <c r="BY41" s="6"/>
      <c r="BZ41" s="6"/>
      <c r="CA41" s="6"/>
      <c r="CB41" s="6"/>
      <c r="CC41" s="6"/>
      <c r="CD41" s="6"/>
      <c r="CE41" s="6"/>
      <c r="CN41" s="28" t="s">
        <v>120</v>
      </c>
      <c r="CO41" s="39" t="n">
        <f aca="false">CP41+$CO$39</f>
        <v>0.07</v>
      </c>
      <c r="CP41" s="34" t="n">
        <v>0.05</v>
      </c>
      <c r="CQ41" s="39" t="n">
        <f aca="false">CP41+$CQ$39</f>
        <v>0.02</v>
      </c>
    </row>
    <row r="42" customFormat="false" ht="15" hidden="false" customHeight="false" outlineLevel="1" collapsed="false">
      <c r="B42" s="25" t="s">
        <v>147</v>
      </c>
      <c r="AY42" s="41" t="n">
        <v>0.425</v>
      </c>
      <c r="AZ42" s="41" t="n">
        <v>0.505</v>
      </c>
      <c r="BA42" s="41" t="n">
        <v>0.375</v>
      </c>
      <c r="BC42" s="41" t="n">
        <v>0.1</v>
      </c>
      <c r="BD42" s="41" t="n">
        <v>-0.06</v>
      </c>
      <c r="BE42" s="41" t="n">
        <v>-0.165</v>
      </c>
      <c r="BF42" s="41" t="n">
        <v>-0.195</v>
      </c>
      <c r="BH42" s="41" t="n">
        <v>-0.185</v>
      </c>
      <c r="BI42" s="41" t="n">
        <v>-0.02</v>
      </c>
      <c r="BJ42" s="41" t="n">
        <v>-0.02</v>
      </c>
      <c r="BK42" s="41" t="n">
        <v>-0.025</v>
      </c>
      <c r="BM42" s="41" t="n">
        <v>0.23</v>
      </c>
      <c r="BN42" s="41" t="n">
        <v>0.11</v>
      </c>
      <c r="BO42" s="41" t="n">
        <v>0.2</v>
      </c>
      <c r="BP42" s="41" t="n">
        <v>0.155</v>
      </c>
      <c r="BR42" s="41" t="n">
        <v>-0.03</v>
      </c>
      <c r="BS42" s="41" t="n">
        <v>-0.125</v>
      </c>
      <c r="BT42" s="41" t="n">
        <v>-0.1</v>
      </c>
      <c r="BU42" s="41" t="n">
        <v>-0.125</v>
      </c>
      <c r="BW42" s="41" t="n">
        <v>-0.15</v>
      </c>
      <c r="BX42" s="41" t="n">
        <v>-0.075</v>
      </c>
      <c r="BY42" s="6"/>
      <c r="BZ42" s="6"/>
      <c r="CA42" s="6"/>
      <c r="CB42" s="6"/>
      <c r="CC42" s="6"/>
      <c r="CD42" s="6"/>
      <c r="CE42" s="6"/>
      <c r="CN42" s="28" t="s">
        <v>122</v>
      </c>
      <c r="CO42" s="39" t="n">
        <f aca="false">CP42+$CO$39</f>
        <v>0.065</v>
      </c>
      <c r="CP42" s="34" t="n">
        <v>0.045</v>
      </c>
      <c r="CQ42" s="39" t="n">
        <f aca="false">CP42+$CQ$39</f>
        <v>0.015</v>
      </c>
    </row>
    <row r="43" customFormat="false" ht="15" hidden="false" customHeight="false" outlineLevel="1" collapsed="false">
      <c r="B43" s="25" t="s">
        <v>148</v>
      </c>
      <c r="AZ43" s="41" t="n">
        <v>0.17</v>
      </c>
      <c r="BA43" s="41" t="n">
        <v>0.395</v>
      </c>
      <c r="BC43" s="41" t="n">
        <v>0.215</v>
      </c>
      <c r="BD43" s="41" t="n">
        <v>0.14</v>
      </c>
      <c r="BE43" s="41" t="n">
        <v>-0.055</v>
      </c>
      <c r="BF43" s="41" t="n">
        <v>-0.4</v>
      </c>
      <c r="BH43" s="41" t="n">
        <v>-0.375</v>
      </c>
      <c r="BI43" s="41" t="n">
        <v>-0.395</v>
      </c>
      <c r="BJ43" s="41" t="n">
        <v>-0.355</v>
      </c>
      <c r="BK43" s="41" t="n">
        <v>-0.09</v>
      </c>
      <c r="BM43" s="41" t="n">
        <v>-0.205</v>
      </c>
      <c r="BN43" s="41" t="n">
        <v>-0.18</v>
      </c>
      <c r="BO43" s="41" t="n">
        <v>-0.07</v>
      </c>
      <c r="BP43" s="41" t="n">
        <v>0.26</v>
      </c>
      <c r="BR43" s="41" t="n">
        <v>0.11</v>
      </c>
      <c r="BS43" s="41" t="n">
        <v>0.275</v>
      </c>
      <c r="BT43" s="41" t="n">
        <v>0.17</v>
      </c>
      <c r="BU43" s="41" t="n">
        <v>-0.055</v>
      </c>
      <c r="BW43" s="41" t="n">
        <v>0.165</v>
      </c>
      <c r="BX43" s="41" t="n">
        <v>0.335</v>
      </c>
      <c r="BY43" s="6"/>
      <c r="BZ43" s="6"/>
      <c r="CA43" s="6"/>
      <c r="CB43" s="6"/>
      <c r="CC43" s="6"/>
      <c r="CD43" s="6"/>
      <c r="CE43" s="6"/>
      <c r="CN43" s="28" t="s">
        <v>124</v>
      </c>
      <c r="CO43" s="39" t="n">
        <f aca="false">CP43+$CO$39</f>
        <v>0.065</v>
      </c>
      <c r="CP43" s="34" t="n">
        <v>0.045</v>
      </c>
      <c r="CQ43" s="39" t="n">
        <f aca="false">CP43+$CQ$39</f>
        <v>0.015</v>
      </c>
    </row>
    <row r="44" customFormat="false" ht="15" hidden="false" customHeight="false" outlineLevel="1" collapsed="false">
      <c r="B44" s="25" t="s">
        <v>149</v>
      </c>
      <c r="AS44" s="41" t="n">
        <v>-0.025</v>
      </c>
      <c r="AT44" s="41" t="n">
        <v>-0.17</v>
      </c>
      <c r="AU44" s="41" t="n">
        <v>-0.025</v>
      </c>
      <c r="AV44" s="41" t="n">
        <v>0.08</v>
      </c>
      <c r="AX44" s="41" t="n">
        <v>0.135</v>
      </c>
      <c r="AY44" s="41" t="n">
        <v>0.34</v>
      </c>
      <c r="AZ44" s="41" t="n">
        <v>0.105</v>
      </c>
      <c r="BA44" s="41" t="n">
        <v>0.005</v>
      </c>
      <c r="BC44" s="41" t="n">
        <v>0.05</v>
      </c>
      <c r="BD44" s="41" t="n">
        <v>0.105</v>
      </c>
      <c r="BE44" s="41" t="n">
        <v>0.04</v>
      </c>
      <c r="BF44" s="41" t="n">
        <v>-0.055</v>
      </c>
      <c r="BH44" s="41" t="n">
        <v>-0.14</v>
      </c>
      <c r="BI44" s="41" t="n">
        <v>-0.145</v>
      </c>
      <c r="BJ44" s="41" t="n">
        <v>-0.08</v>
      </c>
      <c r="BK44" s="41" t="n">
        <v>0.045</v>
      </c>
      <c r="BM44" s="41" t="n">
        <v>0.085</v>
      </c>
      <c r="BN44" s="41" t="n">
        <v>0.06</v>
      </c>
      <c r="BO44" s="41" t="n">
        <v>0.065</v>
      </c>
      <c r="BP44" s="41" t="n">
        <v>-0.025</v>
      </c>
      <c r="BR44" s="41" t="n">
        <v>0.015</v>
      </c>
      <c r="BS44" s="41" t="n">
        <v>0.005</v>
      </c>
      <c r="BT44" s="41" t="n">
        <v>-0.015</v>
      </c>
      <c r="BU44" s="41" t="n">
        <v>0.03</v>
      </c>
      <c r="BW44" s="41" t="n">
        <v>-0.02</v>
      </c>
      <c r="BX44" s="41" t="n">
        <v>-0.02</v>
      </c>
      <c r="BY44" s="6"/>
      <c r="BZ44" s="6"/>
      <c r="CA44" s="6"/>
      <c r="CB44" s="6"/>
      <c r="CC44" s="6"/>
      <c r="CD44" s="6"/>
      <c r="CE44" s="6"/>
      <c r="CN44" s="17" t="s">
        <v>150</v>
      </c>
      <c r="CO44" s="38" t="n">
        <v>0.02</v>
      </c>
      <c r="CP44" s="24" t="s">
        <v>115</v>
      </c>
      <c r="CQ44" s="38" t="n">
        <v>-0.03</v>
      </c>
      <c r="CR44" s="14" t="s">
        <v>151</v>
      </c>
    </row>
    <row r="45" customFormat="false" ht="15" hidden="false" customHeight="false" outlineLevel="1" collapsed="false">
      <c r="B45" s="25" t="s">
        <v>152</v>
      </c>
      <c r="BE45" s="41" t="n">
        <v>0.055</v>
      </c>
      <c r="BK45" s="41" t="n">
        <v>-0.075</v>
      </c>
      <c r="BM45" s="41" t="n">
        <v>0.035</v>
      </c>
      <c r="BO45" s="41" t="n">
        <v>0.07</v>
      </c>
      <c r="BP45" s="41" t="n">
        <v>0.145</v>
      </c>
      <c r="BR45" s="41" t="n">
        <v>0.015</v>
      </c>
      <c r="BS45" s="41" t="n">
        <v>0.31</v>
      </c>
      <c r="BT45" s="41" t="n">
        <v>0.305</v>
      </c>
      <c r="BU45" s="41" t="n">
        <v>0.26</v>
      </c>
      <c r="BW45" s="41" t="n">
        <v>0.22</v>
      </c>
      <c r="BX45" s="41" t="n">
        <v>-0.075</v>
      </c>
      <c r="BY45" s="6"/>
      <c r="BZ45" s="6"/>
      <c r="CA45" s="6"/>
      <c r="CB45" s="6"/>
      <c r="CC45" s="6"/>
      <c r="CD45" s="6"/>
      <c r="CE45" s="6"/>
      <c r="CN45" s="28" t="s">
        <v>118</v>
      </c>
      <c r="CO45" s="39" t="n">
        <f aca="false">CP45+$CO$44</f>
        <v>0.07</v>
      </c>
      <c r="CP45" s="34" t="n">
        <v>0.05</v>
      </c>
      <c r="CQ45" s="39" t="n">
        <f aca="false">CP45+$CQ$44</f>
        <v>0.02</v>
      </c>
    </row>
    <row r="46" customFormat="false" ht="15" hidden="false" customHeight="false" outlineLevel="0" collapsed="false">
      <c r="CN46" s="28" t="s">
        <v>120</v>
      </c>
      <c r="CO46" s="39" t="n">
        <f aca="false">CP46+$CO$44</f>
        <v>0.06</v>
      </c>
      <c r="CP46" s="34" t="n">
        <v>0.04</v>
      </c>
      <c r="CQ46" s="39" t="n">
        <f aca="false">CP46+$CQ$44</f>
        <v>0.01</v>
      </c>
    </row>
    <row r="47" customFormat="false" ht="15" hidden="false" customHeight="false" outlineLevel="0" collapsed="false">
      <c r="B47" s="15" t="s">
        <v>153</v>
      </c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7" t="s">
        <v>154</v>
      </c>
      <c r="CN47" s="28" t="s">
        <v>122</v>
      </c>
      <c r="CO47" s="39" t="n">
        <f aca="false">CP47+$CO$44</f>
        <v>0.05</v>
      </c>
      <c r="CP47" s="34" t="n">
        <v>0.03</v>
      </c>
      <c r="CQ47" s="39" t="n">
        <f aca="false">CP47+$CQ$44</f>
        <v>0</v>
      </c>
    </row>
    <row r="48" customFormat="false" ht="15" hidden="false" customHeight="false" outlineLevel="0" collapsed="false">
      <c r="B48" s="25" t="s">
        <v>155</v>
      </c>
      <c r="D48" s="26" t="str">
        <f aca="false">IF(AND(ISNUMBER(D49),ISNUMBER(C49)),IFERROR(D49/C49-1,""),"")</f>
        <v/>
      </c>
      <c r="E48" s="26" t="str">
        <f aca="false">IF(AND(ISNUMBER(E49),ISNUMBER(D49)),IFERROR(E49/D49-1,""),"")</f>
        <v/>
      </c>
      <c r="F48" s="26" t="str">
        <f aca="false">IF(AND(ISNUMBER(F49),ISNUMBER(E49)),IFERROR(F49/E49-1,""),"")</f>
        <v/>
      </c>
      <c r="G48" s="26" t="str">
        <f aca="false">IF(AND(ISNUMBER(G49),ISNUMBER(F49)),IFERROR(G49/F49-1,""),"")</f>
        <v/>
      </c>
      <c r="H48" s="26" t="str">
        <f aca="false">IF(AND(ISNUMBER(H49),ISNUMBER(G49)),IFERROR(H49/G49-1,""),"")</f>
        <v/>
      </c>
      <c r="I48" s="26" t="str">
        <f aca="false">IF(AND(ISNUMBER(I49),ISNUMBER(H49)),IFERROR(I49/H49-1,""),"")</f>
        <v/>
      </c>
      <c r="N48" s="26" t="str">
        <f aca="false">IF(AND(ISNUMBER(N49),ISNUMBER(I49)),IFERROR(N49/I49-1,""),"")</f>
        <v/>
      </c>
      <c r="O48" s="26" t="str">
        <f aca="false">IF(AND(ISNUMBER(O49),ISNUMBER(J49)),IFERROR(O49/J49-1,""),"")</f>
        <v/>
      </c>
      <c r="P48" s="26" t="str">
        <f aca="false">IF(AND(ISNUMBER(P49),ISNUMBER(K49)),IFERROR(P49/K49-1,""),"")</f>
        <v/>
      </c>
      <c r="Q48" s="26" t="str">
        <f aca="false">IF(AND(ISNUMBER(Q49),ISNUMBER(L49)),IFERROR(Q49/L49-1,""),"")</f>
        <v/>
      </c>
      <c r="R48" s="26" t="str">
        <f aca="false">IF(AND(ISNUMBER(R49),ISNUMBER(M49)),IFERROR(R49/M49-1,""),"")</f>
        <v/>
      </c>
      <c r="S48" s="26" t="str">
        <f aca="false">IF(AND(ISNUMBER(S49),ISNUMBER(N49)),IFERROR(S49/N49-1,""),"")</f>
        <v/>
      </c>
      <c r="T48" s="26" t="str">
        <f aca="false">IF(AND(ISNUMBER(T49),ISNUMBER(O49)),IFERROR(T49/O49-1,""),"")</f>
        <v/>
      </c>
      <c r="U48" s="26" t="str">
        <f aca="false">IF(AND(ISNUMBER(U49),ISNUMBER(P49)),IFERROR(U49/P49-1,""),"")</f>
        <v/>
      </c>
      <c r="V48" s="26" t="str">
        <f aca="false">IF(AND(ISNUMBER(V49),ISNUMBER(Q49)),IFERROR(V49/Q49-1,""),"")</f>
        <v/>
      </c>
      <c r="W48" s="26" t="str">
        <f aca="false">IF(AND(ISNUMBER(W49),ISNUMBER(R49)),IFERROR(W49/R49-1,""),"")</f>
        <v/>
      </c>
      <c r="X48" s="26" t="n">
        <f aca="false">IF(AND(ISNUMBER(X49),ISNUMBER(S49)),IFERROR(X49/S49-1,""),"")</f>
        <v>0.104441337497223</v>
      </c>
      <c r="Y48" s="26" t="n">
        <f aca="false">IF(AND(ISNUMBER(Y49),ISNUMBER(T49)),IFERROR(Y49/T49-1,""),"")</f>
        <v>0.0730858755942949</v>
      </c>
      <c r="Z48" s="26" t="n">
        <f aca="false">IF(AND(ISNUMBER(Z49),ISNUMBER(U49)),IFERROR(Z49/U49-1,""),"")</f>
        <v>0.074345480713242</v>
      </c>
      <c r="AA48" s="26" t="n">
        <f aca="false">IF(AND(ISNUMBER(AA49),ISNUMBER(V49)),IFERROR(AA49/V49-1,""),"")</f>
        <v>0.0446698679471789</v>
      </c>
      <c r="AB48" s="26" t="n">
        <f aca="false">IF(AND(ISNUMBER(AB49),ISNUMBER(W49)),IFERROR(AB49/W49-1,""),"")</f>
        <v>0.0138422060790053</v>
      </c>
      <c r="AC48" s="26" t="n">
        <f aca="false">IF(AND(ISNUMBER(AC49),ISNUMBER(X49)),IFERROR(AC49/X49-1,""),"")</f>
        <v>0.0518787563295633</v>
      </c>
      <c r="AD48" s="26" t="n">
        <f aca="false">IF(AND(ISNUMBER(AD49),ISNUMBER(Y49)),IFERROR(AD49/Y49-1,""),"")</f>
        <v>0.0335637064300631</v>
      </c>
      <c r="AE48" s="26" t="n">
        <f aca="false">IF(AND(ISNUMBER(AE49),ISNUMBER(Z49)),IFERROR(AE49/Z49-1,""),"")</f>
        <v>-0.0503947314598928</v>
      </c>
      <c r="AF48" s="26" t="n">
        <f aca="false">IF(AND(ISNUMBER(AF49),ISNUMBER(AA49)),IFERROR(AF49/AA49-1,""),"")</f>
        <v>-0.00482642120867383</v>
      </c>
      <c r="AG48" s="26" t="n">
        <f aca="false">IF(AND(ISNUMBER(AG49),ISNUMBER(AB49)),IFERROR(AG49/AB49-1,""),"")</f>
        <v>0.0535790674461711</v>
      </c>
      <c r="AH48" s="26" t="n">
        <f aca="false">IF(AND(ISNUMBER(AH49),ISNUMBER(AC49)),IFERROR(AH49/AC49-1,""),"")</f>
        <v>0.00582055809873006</v>
      </c>
      <c r="AI48" s="26" t="n">
        <f aca="false">IF(AND(ISNUMBER(AI49),ISNUMBER(AD49)),IFERROR(AI49/AD49-1,""),"")</f>
        <v>-0.0163094440723377</v>
      </c>
      <c r="AJ48" s="26" t="n">
        <f aca="false">IF(AND(ISNUMBER(AJ49),ISNUMBER(AE49)),IFERROR(AJ49/AE49-1,""),"")</f>
        <v>-0.0239177256084429</v>
      </c>
      <c r="AK48" s="26" t="n">
        <f aca="false">IF(AND(ISNUMBER(AK49),ISNUMBER(AF49)),IFERROR(AK49/AF49-1,""),"")</f>
        <v>0.0902991882310829</v>
      </c>
      <c r="AL48" s="26" t="n">
        <f aca="false">IF(AND(ISNUMBER(AL49),ISNUMBER(AG49)),IFERROR(AL49/AG49-1,""),"")</f>
        <v>0.123915863080133</v>
      </c>
      <c r="AM48" s="26" t="n">
        <f aca="false">IF(AND(ISNUMBER(AM49),ISNUMBER(AH49)),IFERROR(AM49/AH49-1,""),"")</f>
        <v>0.0422833276489631</v>
      </c>
      <c r="AN48" s="26" t="n">
        <f aca="false">IF(AND(ISNUMBER(AN49),ISNUMBER(AI49)),IFERROR(AN49/AI49-1,""),"")</f>
        <v>-0.262202249231153</v>
      </c>
      <c r="AO48" s="26" t="n">
        <f aca="false">IF(AND(ISNUMBER(AO49),ISNUMBER(AJ49)),IFERROR(AO49/AJ49-1,""),"")</f>
        <v>-0.262326371650173</v>
      </c>
      <c r="AP48" s="26" t="n">
        <f aca="false">IF(AND(ISNUMBER(AP49),ISNUMBER(AK49)),IFERROR(AP49/AK49-1,""),"")</f>
        <v>-0.323709767954163</v>
      </c>
      <c r="AQ48" s="26" t="n">
        <f aca="false">IF(AND(ISNUMBER(AQ49),ISNUMBER(AL49)),IFERROR(AQ49/AL49-1,""),"")</f>
        <v>-0.405601493196323</v>
      </c>
      <c r="AR48" s="26" t="n">
        <f aca="false">IF(AND(ISNUMBER(AR49),ISNUMBER(AM49)),IFERROR(AR49/AM49-1,""),"")</f>
        <v>-0.316137874801183</v>
      </c>
      <c r="AS48" s="26" t="n">
        <f aca="false">IF(AND(ISNUMBER(AS49),ISNUMBER(AN49)),IFERROR(AS49/AN49-1,""),"")</f>
        <v>0.0284092656966193</v>
      </c>
      <c r="AT48" s="26" t="n">
        <f aca="false">IF(AND(ISNUMBER(AT49),ISNUMBER(AO49)),IFERROR(AT49/AO49-1,""),"")</f>
        <v>0.0759026053662768</v>
      </c>
      <c r="AU48" s="26" t="n">
        <f aca="false">IF(AND(ISNUMBER(AU49),ISNUMBER(AP49)),IFERROR(AU49/AP49-1,""),"")</f>
        <v>-0.00286582310197947</v>
      </c>
      <c r="AV48" s="26" t="n">
        <f aca="false">IF(AND(ISNUMBER(AV49),ISNUMBER(AQ49)),IFERROR(AV49/AQ49-1,""),"")</f>
        <v>0.0755322202150828</v>
      </c>
      <c r="AW48" s="26" t="n">
        <f aca="false">IF(AND(ISNUMBER(AW49),ISNUMBER(AR49)),IFERROR(AW49/AR49-1,""),"")</f>
        <v>0.0439785852960211</v>
      </c>
      <c r="AX48" s="26" t="n">
        <f aca="false">IF(AND(ISNUMBER(AX49),ISNUMBER(AS49)),IFERROR(AX49/AS49-1,""),"")</f>
        <v>0.00166016063175833</v>
      </c>
      <c r="AY48" s="26" t="n">
        <f aca="false">IF(AND(ISNUMBER(AY49),ISNUMBER(AT49)),IFERROR(AY49/AT49-1,""),"")</f>
        <v>0.0262590878129474</v>
      </c>
      <c r="AZ48" s="26" t="n">
        <f aca="false">IF(AND(ISNUMBER(AZ49),ISNUMBER(AU49)),IFERROR(AZ49/AU49-1,""),"")</f>
        <v>0.148760070987703</v>
      </c>
      <c r="BA48" s="26" t="n">
        <f aca="false">IF(AND(ISNUMBER(BA49),ISNUMBER(AV49)),IFERROR(BA49/AV49-1,""),"")</f>
        <v>0.124711570157126</v>
      </c>
      <c r="BB48" s="26" t="n">
        <f aca="false">IF(AND(ISNUMBER(BB49),ISNUMBER(AW49)),IFERROR(BB49/AW49-1,""),"")</f>
        <v>0.0729474261584355</v>
      </c>
      <c r="BC48" s="26" t="n">
        <f aca="false">IF(AND(ISNUMBER(BC49),ISNUMBER(AX49)),IFERROR(BC49/AX49-1,""),"")</f>
        <v>0.168368870572777</v>
      </c>
      <c r="BD48" s="26" t="n">
        <f aca="false">IF(AND(ISNUMBER(BD49),ISNUMBER(AY49)),IFERROR(BD49/AY49-1,""),"")</f>
        <v>0.119104380570531</v>
      </c>
      <c r="BE48" s="26" t="n">
        <f aca="false">IF(AND(ISNUMBER(BE49),ISNUMBER(AZ49)),IFERROR(BE49/AZ49-1,""),"")</f>
        <v>0.0250051268029259</v>
      </c>
      <c r="BF48" s="26" t="n">
        <f aca="false">IF(AND(ISNUMBER(BF49),ISNUMBER(BA49)),IFERROR(BF49/BA49-1,""),"")</f>
        <v>0.0768575894601686</v>
      </c>
      <c r="BG48" s="26" t="n">
        <f aca="false">IF(AND(ISNUMBER(BG49),ISNUMBER(BB49)),IFERROR(BG49/BB49-1,""),"")</f>
        <v>0.0959575622822528</v>
      </c>
      <c r="BH48" s="26" t="n">
        <f aca="false">IF(AND(ISNUMBER(BH49),ISNUMBER(BC49)),IFERROR(BH49/BC49-1,""),"")</f>
        <v>0.0360137000306717</v>
      </c>
      <c r="BI48" s="26" t="n">
        <f aca="false">IF(AND(ISNUMBER(BI49),ISNUMBER(BD49)),IFERROR(BI49/BD49-1,""),"")</f>
        <v>0.0376910880063908</v>
      </c>
      <c r="BJ48" s="26" t="n">
        <f aca="false">IF(AND(ISNUMBER(BJ49),ISNUMBER(BE49)),IFERROR(BJ49/BE49-1,""),"")</f>
        <v>0.0463093872542482</v>
      </c>
      <c r="BK48" s="26" t="n">
        <f aca="false">IF(AND(ISNUMBER(BK49),ISNUMBER(BF49)),IFERROR(BK49/BF49-1,""),"")</f>
        <v>-0.0131546546741145</v>
      </c>
      <c r="BL48" s="26" t="n">
        <f aca="false">IF(AND(ISNUMBER(BL49),ISNUMBER(BG49)),IFERROR(BL49/BG49-1,""),"")</f>
        <v>0.0268019169329075</v>
      </c>
      <c r="BM48" s="26" t="n">
        <f aca="false">IF(AND(ISNUMBER(BM49),ISNUMBER(BH49)),IFERROR(BM49/BH49-1,""),"")</f>
        <v>-0.00606912885796762</v>
      </c>
      <c r="BN48" s="26" t="n">
        <f aca="false">IF(AND(ISNUMBER(BN49),ISNUMBER(BI49)),IFERROR(BN49/BI49-1,""),"")</f>
        <v>-0.0238881177609556</v>
      </c>
      <c r="BO48" s="26" t="n">
        <f aca="false">IF(AND(ISNUMBER(BO49),ISNUMBER(BJ49)),IFERROR(BO49/BJ49-1,""),"")</f>
        <v>0.0192106672105652</v>
      </c>
      <c r="BP48" s="26" t="n">
        <f aca="false">IF(AND(ISNUMBER(BP49),ISNUMBER(BK49)),IFERROR(BP49/BK49-1,""),"")</f>
        <v>0.0120035721790293</v>
      </c>
      <c r="BQ48" s="26" t="n">
        <f aca="false">IF(AND(ISNUMBER(BQ49),ISNUMBER(BL49)),IFERROR(BQ49/BL49-1,""),"")</f>
        <v>-0.000370267806303337</v>
      </c>
      <c r="BR48" s="26" t="n">
        <f aca="false">IF(AND(ISNUMBER(BR49),ISNUMBER(BM49)),IFERROR(BR49/BM49-1,""),"")</f>
        <v>-0.12954551095887</v>
      </c>
      <c r="BS48" s="26" t="n">
        <f aca="false">IF(AND(ISNUMBER(BS49),ISNUMBER(BN49)),IFERROR(BS49/BN49-1,""),"")</f>
        <v>-0.122877457130908</v>
      </c>
      <c r="BT48" s="26" t="n">
        <f aca="false">IF(AND(ISNUMBER(BT49),ISNUMBER(BO49)),IFERROR(BT49/BO49-1,""),"")</f>
        <v>-0.122196790614486</v>
      </c>
      <c r="BU48" s="26" t="n">
        <f aca="false">IF(AND(ISNUMBER(BU49),ISNUMBER(BP49)),IFERROR(BU49/BP49-1,""),"")</f>
        <v>-0.124828051597498</v>
      </c>
      <c r="BV48" s="26" t="n">
        <f aca="false">IF(AND(ISNUMBER(BV49),ISNUMBER(BQ49)),IFERROR(BV49/BQ49-1,""),"")</f>
        <v>-0.12484825847418</v>
      </c>
      <c r="BW48" s="26" t="n">
        <f aca="false">IF(AND(ISNUMBER(BW49),ISNUMBER(BR49)),IFERROR(BW49/BR49-1,""),"")</f>
        <v>-0.04293087715296</v>
      </c>
      <c r="BX48" s="26" t="n">
        <f aca="false">IF(AND(ISNUMBER(BX49),ISNUMBER(BS49)),IFERROR(BX49/BS49-1,""),"")</f>
        <v>0.0864417863273481</v>
      </c>
      <c r="BY48" s="27" t="n">
        <f aca="false">$BX$48+BY109</f>
        <v>0.101280404648018</v>
      </c>
      <c r="BZ48" s="27" t="n">
        <f aca="false">$BX$48+BY109</f>
        <v>0.101280404648018</v>
      </c>
      <c r="CA48" s="27" t="n">
        <f aca="false">IFERROR(CA49/BV49-1,"")</f>
        <v>0.0614326783627455</v>
      </c>
      <c r="CB48" s="27" t="n">
        <f aca="false">CHOOSE(MATCH($CF$2,{"Bull","Base","Bear"},0),$CO$40,$CP$40,$CQ$40)</f>
        <v>0.05</v>
      </c>
      <c r="CC48" s="27" t="n">
        <f aca="false">CHOOSE(MATCH($CF$2,{"Bull","Base","Bear"},0),$CO$41,$CP$41,$CQ$41)</f>
        <v>0.05</v>
      </c>
      <c r="CD48" s="27" t="n">
        <f aca="false">CHOOSE(MATCH($CF$2,{"Bull","Base","Bear"},0),$CO$42,$CP$42,$CQ$42)</f>
        <v>0.045</v>
      </c>
      <c r="CE48" s="27" t="n">
        <f aca="false">CHOOSE(MATCH($CF$2,{"Bull","Base","Bear"},0),$CO$43,$CP$43,$CQ$43)</f>
        <v>0.045</v>
      </c>
      <c r="CF48" s="23" t="s">
        <v>156</v>
      </c>
      <c r="CN48" s="28" t="s">
        <v>124</v>
      </c>
      <c r="CO48" s="39" t="n">
        <f aca="false">CP48+$CO$44</f>
        <v>0.05</v>
      </c>
      <c r="CP48" s="34" t="n">
        <v>0.03</v>
      </c>
      <c r="CQ48" s="39" t="n">
        <f aca="false">CP48+$CQ$44</f>
        <v>0</v>
      </c>
    </row>
    <row r="49" customFormat="false" ht="15" hidden="false" customHeight="false" outlineLevel="0" collapsed="false">
      <c r="B49" s="18" t="s">
        <v>139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42" t="n">
        <f aca="false">N(S58)+N(S62)</f>
        <v>306.124</v>
      </c>
      <c r="T49" s="42" t="n">
        <f aca="false">N(T58)+N(T62)</f>
        <v>80.768</v>
      </c>
      <c r="U49" s="42" t="n">
        <f aca="false">N(U58)+N(U62)</f>
        <v>91.021</v>
      </c>
      <c r="V49" s="42" t="n">
        <f aca="false">N(V58)+N(V62)</f>
        <v>83.3</v>
      </c>
      <c r="W49" s="42" t="n">
        <f aca="false">N(W58)+N(W62)</f>
        <v>83.007</v>
      </c>
      <c r="X49" s="42" t="n">
        <f aca="false">N(X58)+N(X62)</f>
        <v>338.096</v>
      </c>
      <c r="Y49" s="42" t="n">
        <f aca="false">N(Y58)+N(Y62)</f>
        <v>86.671</v>
      </c>
      <c r="Z49" s="42" t="n">
        <f aca="false">N(Z58)+N(Z62)</f>
        <v>97.788</v>
      </c>
      <c r="AA49" s="42" t="n">
        <f aca="false">N(AA58)+N(AA62)</f>
        <v>87.021</v>
      </c>
      <c r="AB49" s="42" t="n">
        <f aca="false">N(AB58)+N(AB62)</f>
        <v>84.156</v>
      </c>
      <c r="AC49" s="42" t="n">
        <f aca="false">N(AC58)+N(AC62)</f>
        <v>355.636</v>
      </c>
      <c r="AD49" s="42" t="n">
        <f aca="false">N(AD58)+N(AD62)</f>
        <v>89.58</v>
      </c>
      <c r="AE49" s="42" t="n">
        <f aca="false">N(AE58)+N(AE62)</f>
        <v>92.86</v>
      </c>
      <c r="AF49" s="42" t="n">
        <f aca="false">N(AF58)+N(AF62)</f>
        <v>86.601</v>
      </c>
      <c r="AG49" s="42" t="n">
        <f aca="false">N(AG58)+N(AG62)</f>
        <v>88.665</v>
      </c>
      <c r="AH49" s="42" t="n">
        <f aca="false">N(AH58)+N(AH62)</f>
        <v>357.706</v>
      </c>
      <c r="AI49" s="42" t="n">
        <f aca="false">N(AI58)+N(AI62)</f>
        <v>88.119</v>
      </c>
      <c r="AJ49" s="42" t="n">
        <f aca="false">N(AJ58)+N(AJ62)</f>
        <v>90.639</v>
      </c>
      <c r="AK49" s="42" t="n">
        <f aca="false">N(AK58)+N(AK62)</f>
        <v>94.421</v>
      </c>
      <c r="AL49" s="42" t="n">
        <f aca="false">N(AL58)+N(AL62)</f>
        <v>99.652</v>
      </c>
      <c r="AM49" s="42" t="n">
        <f aca="false">N(AM58)+N(AM62)</f>
        <v>372.831</v>
      </c>
      <c r="AN49" s="31" t="n">
        <v>65.014</v>
      </c>
      <c r="AO49" s="31" t="n">
        <v>66.862</v>
      </c>
      <c r="AP49" s="31" t="n">
        <v>63.856</v>
      </c>
      <c r="AQ49" s="31" t="n">
        <v>59.233</v>
      </c>
      <c r="AR49" s="31" t="n">
        <v>254.965</v>
      </c>
      <c r="AS49" s="31" t="n">
        <v>66.861</v>
      </c>
      <c r="AT49" s="31" t="n">
        <v>71.937</v>
      </c>
      <c r="AU49" s="31" t="n">
        <v>63.673</v>
      </c>
      <c r="AV49" s="31" t="n">
        <v>63.707</v>
      </c>
      <c r="AW49" s="31" t="n">
        <v>266.178</v>
      </c>
      <c r="AX49" s="31" t="n">
        <v>66.972</v>
      </c>
      <c r="AY49" s="31" t="n">
        <v>73.826</v>
      </c>
      <c r="AZ49" s="31" t="n">
        <v>73.145</v>
      </c>
      <c r="BA49" s="31" t="n">
        <v>71.652</v>
      </c>
      <c r="BB49" s="31" t="n">
        <v>285.595</v>
      </c>
      <c r="BC49" s="31" t="n">
        <v>78.248</v>
      </c>
      <c r="BD49" s="31" t="n">
        <v>82.619</v>
      </c>
      <c r="BE49" s="31" t="n">
        <v>74.974</v>
      </c>
      <c r="BF49" s="31" t="n">
        <v>77.159</v>
      </c>
      <c r="BG49" s="31" t="n">
        <v>313</v>
      </c>
      <c r="BH49" s="31" t="n">
        <v>81.066</v>
      </c>
      <c r="BI49" s="31" t="n">
        <v>85.733</v>
      </c>
      <c r="BJ49" s="31" t="n">
        <v>78.446</v>
      </c>
      <c r="BK49" s="31" t="n">
        <v>76.144</v>
      </c>
      <c r="BL49" s="31" t="n">
        <v>321.389</v>
      </c>
      <c r="BM49" s="31" t="n">
        <v>80.574</v>
      </c>
      <c r="BN49" s="31" t="n">
        <v>83.685</v>
      </c>
      <c r="BO49" s="31" t="n">
        <v>79.953</v>
      </c>
      <c r="BP49" s="31" t="n">
        <v>77.058</v>
      </c>
      <c r="BQ49" s="31" t="n">
        <v>321.27</v>
      </c>
      <c r="BR49" s="31" t="n">
        <v>70.136</v>
      </c>
      <c r="BS49" s="31" t="n">
        <v>73.402</v>
      </c>
      <c r="BT49" s="31" t="n">
        <v>70.183</v>
      </c>
      <c r="BU49" s="31" t="n">
        <v>67.439</v>
      </c>
      <c r="BV49" s="31" t="n">
        <v>281.16</v>
      </c>
      <c r="BW49" s="31" t="n">
        <v>67.125</v>
      </c>
      <c r="BX49" s="31" t="n">
        <v>79.747</v>
      </c>
      <c r="BY49" s="32" t="n">
        <f aca="false">BT49*(1+BY48)</f>
        <v>77.2911626394119</v>
      </c>
      <c r="BZ49" s="32" t="n">
        <f aca="false">BU49*(1+BZ48)</f>
        <v>74.2692492090577</v>
      </c>
      <c r="CA49" s="32" t="n">
        <f aca="false">SUM(BW49,BX49,BY49,BZ49)</f>
        <v>298.43241184847</v>
      </c>
      <c r="CB49" s="32" t="n">
        <f aca="false">CA49*(1+CB48)</f>
        <v>313.354032440893</v>
      </c>
      <c r="CC49" s="32" t="n">
        <f aca="false">CB49*(1+CC48)</f>
        <v>329.021734062938</v>
      </c>
      <c r="CD49" s="32" t="n">
        <f aca="false">CC49*(1+CD48)</f>
        <v>343.82771209577</v>
      </c>
      <c r="CE49" s="32" t="n">
        <f aca="false">CD49*(1+CE48)</f>
        <v>359.299959140079</v>
      </c>
      <c r="CF49" s="23" t="s">
        <v>157</v>
      </c>
      <c r="CH49" s="33" t="n">
        <f aca="false">IFERROR((CE49/BV49)^(1/5)-1,"n/m")</f>
        <v>0.0502694345843096</v>
      </c>
      <c r="CI49" s="33" t="n">
        <f aca="false">IFERROR((BV49/AW49)^(1/5)-1,"n/m")</f>
        <v>0.0110119185871647</v>
      </c>
      <c r="CJ49" s="33" t="n">
        <f aca="false">IFERROR((BV49/X49)^(1/10)-1,"n/m")</f>
        <v>-0.0182716101684949</v>
      </c>
      <c r="CK49" s="33" t="str">
        <f aca="false">IFERROR((BV49/C49)^(1/19)-1,"n/m")</f>
        <v>n/m</v>
      </c>
      <c r="CN49" s="17" t="s">
        <v>158</v>
      </c>
      <c r="CO49" s="38" t="n">
        <v>-0.01</v>
      </c>
      <c r="CP49" s="24" t="s">
        <v>115</v>
      </c>
      <c r="CQ49" s="38" t="n">
        <v>0.01</v>
      </c>
      <c r="CR49" s="14" t="s">
        <v>159</v>
      </c>
    </row>
    <row r="50" customFormat="false" ht="15" hidden="false" customHeight="false" outlineLevel="0" collapsed="false">
      <c r="B50" s="25" t="s">
        <v>160</v>
      </c>
      <c r="C50" s="26" t="str">
        <f aca="false">IF(AND(ISNUMBER(C49),ISNUMBER(C51)),IFERROR(C49/C51,""),"")</f>
        <v/>
      </c>
      <c r="D50" s="26" t="str">
        <f aca="false">IF(AND(ISNUMBER(D49),ISNUMBER(D51)),IFERROR(D49/D51,""),"")</f>
        <v/>
      </c>
      <c r="E50" s="26" t="str">
        <f aca="false">IF(AND(ISNUMBER(E49),ISNUMBER(E51)),IFERROR(E49/E51,""),"")</f>
        <v/>
      </c>
      <c r="F50" s="26" t="str">
        <f aca="false">IF(AND(ISNUMBER(F49),ISNUMBER(F51)),IFERROR(F49/F51,""),"")</f>
        <v/>
      </c>
      <c r="G50" s="26" t="str">
        <f aca="false">IF(AND(ISNUMBER(G49),ISNUMBER(G51)),IFERROR(G49/G51,""),"")</f>
        <v/>
      </c>
      <c r="H50" s="26" t="str">
        <f aca="false">IF(AND(ISNUMBER(H49),ISNUMBER(H51)),IFERROR(H49/H51,""),"")</f>
        <v/>
      </c>
      <c r="I50" s="26" t="str">
        <f aca="false">IF(AND(ISNUMBER(I49),ISNUMBER(I51)),IFERROR(I49/I51,""),"")</f>
        <v/>
      </c>
      <c r="J50" s="26" t="str">
        <f aca="false">IF(AND(ISNUMBER(J49),ISNUMBER(J51)),IFERROR(J49/J51,""),"")</f>
        <v/>
      </c>
      <c r="K50" s="26" t="str">
        <f aca="false">IF(AND(ISNUMBER(K49),ISNUMBER(K51)),IFERROR(K49/K51,""),"")</f>
        <v/>
      </c>
      <c r="L50" s="26" t="str">
        <f aca="false">IF(AND(ISNUMBER(L49),ISNUMBER(L51)),IFERROR(L49/L51,""),"")</f>
        <v/>
      </c>
      <c r="M50" s="26" t="str">
        <f aca="false">IF(AND(ISNUMBER(M49),ISNUMBER(M51)),IFERROR(M49/M51,""),"")</f>
        <v/>
      </c>
      <c r="N50" s="26" t="str">
        <f aca="false">IF(AND(ISNUMBER(N49),ISNUMBER(N51)),IFERROR(N49/N51,""),"")</f>
        <v/>
      </c>
      <c r="O50" s="26" t="str">
        <f aca="false">IF(AND(ISNUMBER(O49),ISNUMBER(O51)),IFERROR(O49/O51,""),"")</f>
        <v/>
      </c>
      <c r="P50" s="26" t="str">
        <f aca="false">IF(AND(ISNUMBER(P49),ISNUMBER(P51)),IFERROR(P49/P51,""),"")</f>
        <v/>
      </c>
      <c r="Q50" s="26" t="str">
        <f aca="false">IF(AND(ISNUMBER(Q49),ISNUMBER(Q51)),IFERROR(Q49/Q51,""),"")</f>
        <v/>
      </c>
      <c r="R50" s="26" t="str">
        <f aca="false">IF(AND(ISNUMBER(R49),ISNUMBER(R51)),IFERROR(R49/R51,""),"")</f>
        <v/>
      </c>
      <c r="S50" s="26" t="n">
        <f aca="false">IF(AND(ISNUMBER(S49),ISNUMBER(S51)),IFERROR(S49/S51,""),"")</f>
        <v>0.101280681653885</v>
      </c>
      <c r="T50" s="26" t="n">
        <f aca="false">IF(AND(ISNUMBER(T49),ISNUMBER(T51)),IFERROR(T49/T51,""),"")</f>
        <v>0.116265143488876</v>
      </c>
      <c r="U50" s="26" t="n">
        <f aca="false">IF(AND(ISNUMBER(U49),ISNUMBER(U51)),IFERROR(U49/U51,""),"")</f>
        <v>0.114628224276938</v>
      </c>
      <c r="V50" s="26" t="n">
        <f aca="false">IF(AND(ISNUMBER(V49),ISNUMBER(V51)),IFERROR(V49/V51,""),"")</f>
        <v>0.116277446642192</v>
      </c>
      <c r="W50" s="26" t="n">
        <f aca="false">IF(AND(ISNUMBER(W49),ISNUMBER(W51)),IFERROR(W49/W51,""),"")</f>
        <v>0.125263521660462</v>
      </c>
      <c r="X50" s="26" t="n">
        <f aca="false">IF(AND(ISNUMBER(X49),ISNUMBER(X51)),IFERROR(X49/X51,""),"")</f>
        <v>0.117894225904189</v>
      </c>
      <c r="Y50" s="26" t="n">
        <f aca="false">IF(AND(ISNUMBER(Y49),ISNUMBER(Y51)),IFERROR(Y49/Y51,""),"")</f>
        <v>0.127955627207124</v>
      </c>
      <c r="Z50" s="26" t="n">
        <f aca="false">IF(AND(ISNUMBER(Z49),ISNUMBER(Z51)),IFERROR(Z49/Z51,""),"")</f>
        <v>0.124673456976642</v>
      </c>
      <c r="AA50" s="26" t="n">
        <f aca="false">IF(AND(ISNUMBER(AA49),ISNUMBER(AA51)),IFERROR(AA49/AA51,""),"")</f>
        <v>0.122094124480699</v>
      </c>
      <c r="AB50" s="26" t="n">
        <f aca="false">IF(AND(ISNUMBER(AB49),ISNUMBER(AB51)),IFERROR(AB49/AB51,""),"")</f>
        <v>0.127980485698079</v>
      </c>
      <c r="AC50" s="26" t="n">
        <f aca="false">IF(AND(ISNUMBER(AC49),ISNUMBER(AC51)),IFERROR(AC49/AC51,""),"")</f>
        <v>0.125577195851287</v>
      </c>
      <c r="AD50" s="26" t="n">
        <f aca="false">IF(AND(ISNUMBER(AD49),ISNUMBER(AD51)),IFERROR(AD49/AD51,""),"")</f>
        <v>0.130376882045162</v>
      </c>
      <c r="AE50" s="26" t="n">
        <f aca="false">IF(AND(ISNUMBER(AE49),ISNUMBER(AE51)),IFERROR(AE49/AE51,""),"")</f>
        <v>0.116126240703711</v>
      </c>
      <c r="AF50" s="26" t="n">
        <f aca="false">IF(AND(ISNUMBER(AF49),ISNUMBER(AF51)),IFERROR(AF49/AF51,""),"")</f>
        <v>0.11351597922131</v>
      </c>
      <c r="AG50" s="26" t="n">
        <f aca="false">IF(AND(ISNUMBER(AG49),ISNUMBER(AG51)),IFERROR(AG49/AG51,""),"")</f>
        <v>0.118227251271411</v>
      </c>
      <c r="AH50" s="26" t="n">
        <f aca="false">IF(AND(ISNUMBER(AH49),ISNUMBER(AH51)),IFERROR(AH49/AH51,""),"")</f>
        <v>0.119251909348733</v>
      </c>
      <c r="AI50" s="26" t="n">
        <f aca="false">IF(AND(ISNUMBER(AI49),ISNUMBER(AI51)),IFERROR(AI49/AI51,""),"")</f>
        <v>0.124363146767679</v>
      </c>
      <c r="AJ50" s="26" t="n">
        <f aca="false">IF(AND(ISNUMBER(AJ49),ISNUMBER(AJ51)),IFERROR(AJ49/AJ51,""),"")</f>
        <v>0.116273013690195</v>
      </c>
      <c r="AK50" s="26" t="n">
        <f aca="false">IF(AND(ISNUMBER(AK49),ISNUMBER(AK51)),IFERROR(AK49/AK51,""),"")</f>
        <v>0.130927339008363</v>
      </c>
      <c r="AL50" s="26" t="n">
        <f aca="false">IF(AND(ISNUMBER(AL49),ISNUMBER(AL51)),IFERROR(AL49/AL51,""),"")</f>
        <v>0.145210481756888</v>
      </c>
      <c r="AM50" s="26" t="n">
        <f aca="false">IF(AND(ISNUMBER(AM49),ISNUMBER(AM51)),IFERROR(AM49/AM51,""),"")</f>
        <v>0.128760972092137</v>
      </c>
      <c r="AN50" s="26" t="n">
        <f aca="false">IF(AND(ISNUMBER(AN49),ISNUMBER(AN51)),IFERROR(AN49/AN51,""),"")</f>
        <v>0.155961608121691</v>
      </c>
      <c r="AO50" s="26" t="n">
        <f aca="false">IF(AND(ISNUMBER(AO49),ISNUMBER(AO51)),IFERROR(AO49/AO51,""),"")</f>
        <v>0.150487053909035</v>
      </c>
      <c r="AP50" s="26" t="n">
        <f aca="false">IF(AND(ISNUMBER(AP49),ISNUMBER(AP51)),IFERROR(AP49/AP51,""),"")</f>
        <v>0.147770688845229</v>
      </c>
      <c r="AQ50" s="26" t="n">
        <f aca="false">IF(AND(ISNUMBER(AQ49),ISNUMBER(AQ51)),IFERROR(AQ49/AQ51,""),"")</f>
        <v>0.146394932416568</v>
      </c>
      <c r="AR50" s="26" t="n">
        <f aca="false">IF(AND(ISNUMBER(AR49),ISNUMBER(AR51)),IFERROR(AR49/AR51,""),"")</f>
        <v>0.15016464427002</v>
      </c>
      <c r="AS50" s="26" t="n">
        <f aca="false">IF(AND(ISNUMBER(AS49),ISNUMBER(AS51)),IFERROR(AS49/AS51,""),"")</f>
        <v>0.148290339536772</v>
      </c>
      <c r="AT50" s="26" t="n">
        <f aca="false">IF(AND(ISNUMBER(AT49),ISNUMBER(AT51)),IFERROR(AT49/AT51,""),"")</f>
        <v>0.161752868006494</v>
      </c>
      <c r="AU50" s="26" t="n">
        <f aca="false">IF(AND(ISNUMBER(AU49),ISNUMBER(AU51)),IFERROR(AU49/AU51,""),"")</f>
        <v>0.135763036752587</v>
      </c>
      <c r="AV50" s="26" t="n">
        <f aca="false">IF(AND(ISNUMBER(AV49),ISNUMBER(AV51)),IFERROR(AV49/AV51,""),"")</f>
        <v>0.148357994848794</v>
      </c>
      <c r="AW50" s="26" t="n">
        <f aca="false">IF(AND(ISNUMBER(AW49),ISNUMBER(AW51)),IFERROR(AW49/AW51,""),"")</f>
        <v>0.148368921778255</v>
      </c>
      <c r="AX50" s="26" t="n">
        <f aca="false">IF(AND(ISNUMBER(AX49),ISNUMBER(AX51)),IFERROR(AX49/AX51,""),"")</f>
        <v>0.153462249688937</v>
      </c>
      <c r="AY50" s="26" t="n">
        <f aca="false">IF(AND(ISNUMBER(AY49),ISNUMBER(AY51)),IFERROR(AY49/AY51,""),"")</f>
        <v>0.148707526019688</v>
      </c>
      <c r="AZ50" s="26" t="n">
        <f aca="false">IF(AND(ISNUMBER(AZ49),ISNUMBER(AZ51)),IFERROR(AZ49/AZ51,""),"")</f>
        <v>0.155691923900504</v>
      </c>
      <c r="BA50" s="26" t="n">
        <f aca="false">IF(AND(ISNUMBER(BA49),ISNUMBER(BA51)),IFERROR(BA49/BA51,""),"")</f>
        <v>0.155169165401599</v>
      </c>
      <c r="BB50" s="26" t="n">
        <f aca="false">IF(AND(ISNUMBER(BB49),ISNUMBER(BB51)),IFERROR(BB49/BB51,""),"")</f>
        <v>0.153180782769649</v>
      </c>
      <c r="BC50" s="26" t="n">
        <f aca="false">IF(AND(ISNUMBER(BC49),ISNUMBER(BC51)),IFERROR(BC49/BC51,""),"")</f>
        <v>0.154436740502144</v>
      </c>
      <c r="BD50" s="26" t="n">
        <f aca="false">IF(AND(ISNUMBER(BD49),ISNUMBER(BD51)),IFERROR(BD49/BD51,""),"")</f>
        <v>0.147999333618755</v>
      </c>
      <c r="BE50" s="26" t="n">
        <f aca="false">IF(AND(ISNUMBER(BE49),ISNUMBER(BE51)),IFERROR(BE49/BE51,""),"")</f>
        <v>0.149410123555201</v>
      </c>
      <c r="BF50" s="26" t="n">
        <f aca="false">IF(AND(ISNUMBER(BF49),ISNUMBER(BF51)),IFERROR(BF49/BF51,""),"")</f>
        <v>0.157324791413495</v>
      </c>
      <c r="BG50" s="26" t="n">
        <f aca="false">IF(AND(ISNUMBER(BG49),ISNUMBER(BG51)),IFERROR(BG49/BG51,""),"")</f>
        <v>0.152152249471356</v>
      </c>
      <c r="BH50" s="26" t="n">
        <f aca="false">IF(AND(ISNUMBER(BH49),ISNUMBER(BH51)),IFERROR(BH49/BH51,""),"")</f>
        <v>0.156647761857373</v>
      </c>
      <c r="BI50" s="26" t="n">
        <f aca="false">IF(AND(ISNUMBER(BI49),ISNUMBER(BI51)),IFERROR(BI49/BI51,""),"")</f>
        <v>0.152354363885478</v>
      </c>
      <c r="BJ50" s="26" t="n">
        <f aca="false">IF(AND(ISNUMBER(BJ49),ISNUMBER(BJ51)),IFERROR(BJ49/BJ51,""),"")</f>
        <v>0.146623926431969</v>
      </c>
      <c r="BK50" s="26" t="n">
        <f aca="false">IF(AND(ISNUMBER(BK49),ISNUMBER(BK51)),IFERROR(BK49/BK51,""),"")</f>
        <v>0.148595984177135</v>
      </c>
      <c r="BL50" s="26" t="n">
        <f aca="false">IF(AND(ISNUMBER(BL49),ISNUMBER(BL51)),IFERROR(BL49/BL51,""),"")</f>
        <v>0.151052515810767</v>
      </c>
      <c r="BM50" s="26" t="n">
        <f aca="false">IF(AND(ISNUMBER(BM49),ISNUMBER(BM51)),IFERROR(BM49/BM51,""),"")</f>
        <v>0.145608382231491</v>
      </c>
      <c r="BN50" s="26" t="n">
        <f aca="false">IF(AND(ISNUMBER(BN49),ISNUMBER(BN51)),IFERROR(BN49/BN51,""),"")</f>
        <v>0.146247221329009</v>
      </c>
      <c r="BO50" s="26" t="n">
        <f aca="false">IF(AND(ISNUMBER(BO49),ISNUMBER(BO51)),IFERROR(BO49/BO51,""),"")</f>
        <v>0.140555944264935</v>
      </c>
      <c r="BP50" s="26" t="n">
        <f aca="false">IF(AND(ISNUMBER(BP49),ISNUMBER(BP51)),IFERROR(BP49/BP51,""),"")</f>
        <v>0.154738668401648</v>
      </c>
      <c r="BQ50" s="26" t="n">
        <f aca="false">IF(AND(ISNUMBER(BQ49),ISNUMBER(BQ51)),IFERROR(BQ49/BQ51,""),"")</f>
        <v>0.146538107342687</v>
      </c>
      <c r="BR50" s="26" t="n">
        <f aca="false">IF(AND(ISNUMBER(BR49),ISNUMBER(BR51)),IFERROR(BR49/BR51,""),"")</f>
        <v>0.173848380891947</v>
      </c>
      <c r="BS50" s="26" t="n">
        <f aca="false">IF(AND(ISNUMBER(BS49),ISNUMBER(BS51)),IFERROR(BS49/BS51,""),"")</f>
        <v>0.174552216800312</v>
      </c>
      <c r="BT50" s="26" t="n">
        <f aca="false">IF(AND(ISNUMBER(BT49),ISNUMBER(BT51)),IFERROR(BT49/BT51,""),"")</f>
        <v>0.182385883759307</v>
      </c>
      <c r="BU50" s="26" t="n">
        <f aca="false">IF(AND(ISNUMBER(BU49),ISNUMBER(BU51)),IFERROR(BU49/BU51,""),"")</f>
        <v>0.181640172593043</v>
      </c>
      <c r="BV50" s="26" t="n">
        <f aca="false">IF(AND(ISNUMBER(BV49),ISNUMBER(BV51)),IFERROR(BV49/BV51,""),"")</f>
        <v>0.177945875745476</v>
      </c>
      <c r="BW50" s="26" t="n">
        <f aca="false">IF(AND(ISNUMBER(BW49),ISNUMBER(BW51)),IFERROR(BW49/BW51,""),"")</f>
        <v>0.167443705239211</v>
      </c>
      <c r="BX50" s="26" t="n">
        <f aca="false">IF(AND(ISNUMBER(BX49),ISNUMBER(BX51)),IFERROR(BX49/BX51,""),"")</f>
        <v>0.179519387697676</v>
      </c>
      <c r="BY50" s="27" t="n">
        <f aca="false">$BX$50</f>
        <v>0.179519387697676</v>
      </c>
      <c r="BZ50" s="27" t="n">
        <f aca="false">$BX$50</f>
        <v>0.179519387697676</v>
      </c>
      <c r="CA50" s="27" t="n">
        <f aca="false">IF(AND(ISNUMBER(CA49),ISNUMBER(CA51)),IFERROR(CA49/CA51,""),"")</f>
        <v>0.176653862016145</v>
      </c>
      <c r="CB50" s="35" t="n">
        <v>0.18</v>
      </c>
      <c r="CC50" s="35" t="n">
        <v>0.18</v>
      </c>
      <c r="CD50" s="35" t="n">
        <v>0.18</v>
      </c>
      <c r="CE50" s="35" t="n">
        <v>0.18</v>
      </c>
      <c r="CN50" s="28" t="s">
        <v>118</v>
      </c>
      <c r="CO50" s="39" t="n">
        <f aca="false">CP50+$CO$49</f>
        <v>0.18</v>
      </c>
      <c r="CP50" s="34" t="n">
        <v>0.19</v>
      </c>
      <c r="CQ50" s="39" t="n">
        <f aca="false">CP50+$CQ$49</f>
        <v>0.2</v>
      </c>
    </row>
    <row r="51" customFormat="false" ht="15" hidden="false" customHeight="false" outlineLevel="0" collapsed="false">
      <c r="B51" s="18" t="s">
        <v>106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42" t="n">
        <f aca="false">N(S57)+N(S61)</f>
        <v>3022.531</v>
      </c>
      <c r="T51" s="42" t="n">
        <f aca="false">N(T57)+N(T61)</f>
        <v>694.688</v>
      </c>
      <c r="U51" s="42" t="n">
        <f aca="false">N(U57)+N(U61)</f>
        <v>794.054</v>
      </c>
      <c r="V51" s="42" t="n">
        <f aca="false">N(V57)+N(V61)</f>
        <v>716.39</v>
      </c>
      <c r="W51" s="42" t="n">
        <f aca="false">N(W57)+N(W61)</f>
        <v>662.659</v>
      </c>
      <c r="X51" s="42" t="n">
        <f aca="false">N(X57)+N(X61)</f>
        <v>2867.791</v>
      </c>
      <c r="Y51" s="42" t="n">
        <f aca="false">N(Y57)+N(Y61)</f>
        <v>677.352</v>
      </c>
      <c r="Z51" s="42" t="n">
        <f aca="false">N(Z57)+N(Z61)</f>
        <v>784.353</v>
      </c>
      <c r="AA51" s="42" t="n">
        <f aca="false">N(AA57)+N(AA61)</f>
        <v>712.737</v>
      </c>
      <c r="AB51" s="42" t="n">
        <f aca="false">N(AB57)+N(AB61)</f>
        <v>657.569</v>
      </c>
      <c r="AC51" s="42" t="n">
        <f aca="false">N(AC57)+N(AC61)</f>
        <v>2832.011</v>
      </c>
      <c r="AD51" s="42" t="n">
        <f aca="false">N(AD57)+N(AD61)</f>
        <v>687.085</v>
      </c>
      <c r="AE51" s="42" t="n">
        <f aca="false">N(AE57)+N(AE61)</f>
        <v>799.647</v>
      </c>
      <c r="AF51" s="42" t="n">
        <f aca="false">N(AF57)+N(AF61)</f>
        <v>762.897</v>
      </c>
      <c r="AG51" s="42" t="n">
        <f aca="false">N(AG57)+N(AG61)</f>
        <v>749.954</v>
      </c>
      <c r="AH51" s="42" t="n">
        <f aca="false">N(AH57)+N(AH61)</f>
        <v>2999.583</v>
      </c>
      <c r="AI51" s="42" t="n">
        <f aca="false">N(AI57)+N(AI61)</f>
        <v>708.562</v>
      </c>
      <c r="AJ51" s="42" t="n">
        <f aca="false">N(AJ57)+N(AJ61)</f>
        <v>779.536</v>
      </c>
      <c r="AK51" s="42" t="n">
        <f aca="false">N(AK57)+N(AK61)</f>
        <v>721.171</v>
      </c>
      <c r="AL51" s="42" t="n">
        <f aca="false">N(AL57)+N(AL61)</f>
        <v>686.259</v>
      </c>
      <c r="AM51" s="42" t="n">
        <f aca="false">N(AM57)+N(AM61)</f>
        <v>2895.528</v>
      </c>
      <c r="AN51" s="31" t="n">
        <v>416.859</v>
      </c>
      <c r="AO51" s="31" t="n">
        <v>444.304</v>
      </c>
      <c r="AP51" s="31" t="n">
        <v>432.129</v>
      </c>
      <c r="AQ51" s="31" t="n">
        <v>404.611</v>
      </c>
      <c r="AR51" s="31" t="n">
        <v>1697.903</v>
      </c>
      <c r="AS51" s="31" t="n">
        <v>450.879</v>
      </c>
      <c r="AT51" s="31" t="n">
        <v>444.734</v>
      </c>
      <c r="AU51" s="31" t="n">
        <v>469.001</v>
      </c>
      <c r="AV51" s="31" t="n">
        <v>429.414</v>
      </c>
      <c r="AW51" s="31" t="n">
        <v>1794.028</v>
      </c>
      <c r="AX51" s="31" t="n">
        <v>436.407</v>
      </c>
      <c r="AY51" s="31" t="n">
        <v>496.451</v>
      </c>
      <c r="AZ51" s="31" t="n">
        <v>469.806</v>
      </c>
      <c r="BA51" s="31" t="n">
        <v>461.767</v>
      </c>
      <c r="BB51" s="31" t="n">
        <v>1864.431</v>
      </c>
      <c r="BC51" s="31" t="n">
        <v>506.667</v>
      </c>
      <c r="BD51" s="31" t="n">
        <v>558.239</v>
      </c>
      <c r="BE51" s="31" t="n">
        <v>501.8</v>
      </c>
      <c r="BF51" s="31" t="n">
        <v>490.444</v>
      </c>
      <c r="BG51" s="31" t="n">
        <v>2057.15</v>
      </c>
      <c r="BH51" s="31" t="n">
        <v>517.505</v>
      </c>
      <c r="BI51" s="31" t="n">
        <v>562.721</v>
      </c>
      <c r="BJ51" s="31" t="n">
        <v>535.015</v>
      </c>
      <c r="BK51" s="31" t="n">
        <v>512.423</v>
      </c>
      <c r="BL51" s="31" t="n">
        <v>2127.664</v>
      </c>
      <c r="BM51" s="31" t="n">
        <v>553.361</v>
      </c>
      <c r="BN51" s="31" t="n">
        <v>572.216</v>
      </c>
      <c r="BO51" s="31" t="n">
        <v>568.834</v>
      </c>
      <c r="BP51" s="31" t="n">
        <v>497.988</v>
      </c>
      <c r="BQ51" s="31" t="n">
        <v>2192.399</v>
      </c>
      <c r="BR51" s="31" t="n">
        <v>403.432</v>
      </c>
      <c r="BS51" s="31" t="n">
        <v>420.516</v>
      </c>
      <c r="BT51" s="31" t="n">
        <v>384.805</v>
      </c>
      <c r="BU51" s="31" t="n">
        <v>371.278</v>
      </c>
      <c r="BV51" s="31" t="n">
        <v>1580.031</v>
      </c>
      <c r="BW51" s="31" t="n">
        <v>400.881</v>
      </c>
      <c r="BX51" s="31" t="n">
        <v>444.225</v>
      </c>
      <c r="BY51" s="32" t="n">
        <f aca="false">IF(AND(ISNUMBER(BY49),ISNUMBER(BY50)),IFERROR(BY49/BY50,""),"")</f>
        <v>430.54493239235</v>
      </c>
      <c r="BZ51" s="32" t="n">
        <f aca="false">IF(AND(ISNUMBER(BZ49),ISNUMBER(BZ50)),IFERROR(BZ49/BZ50,""),"")</f>
        <v>413.711578239854</v>
      </c>
      <c r="CA51" s="32" t="n">
        <f aca="false">SUM(BW51,BX51,BY51,BZ51)</f>
        <v>1689.3625106322</v>
      </c>
      <c r="CB51" s="32" t="n">
        <f aca="false">IF(AND(ISNUMBER(CB49),ISNUMBER(CB50)),IFERROR(CB49/CB50,""),"")</f>
        <v>1740.85573578274</v>
      </c>
      <c r="CC51" s="32" t="n">
        <f aca="false">IF(AND(ISNUMBER(CC49),ISNUMBER(CC50)),IFERROR(CC49/CC50,""),"")</f>
        <v>1827.89852257188</v>
      </c>
      <c r="CD51" s="32" t="n">
        <f aca="false">IF(AND(ISNUMBER(CD49),ISNUMBER(CD50)),IFERROR(CD49/CD50,""),"")</f>
        <v>1910.15395608761</v>
      </c>
      <c r="CE51" s="32" t="n">
        <f aca="false">IF(AND(ISNUMBER(CE49),ISNUMBER(CE50)),IFERROR(CE49/CE50,""),"")</f>
        <v>1996.11088411155</v>
      </c>
      <c r="CH51" s="33" t="n">
        <f aca="false">IFERROR((CE51/BV51)^(1/5)-1,"n/m")</f>
        <v>0.0478613237548398</v>
      </c>
      <c r="CI51" s="33" t="n">
        <f aca="false">IFERROR((BV51/AW51)^(1/5)-1,"n/m")</f>
        <v>-0.0250838198913829</v>
      </c>
      <c r="CJ51" s="33" t="n">
        <f aca="false">IFERROR((BV51/X51)^(1/10)-1,"n/m")</f>
        <v>-0.057867878611796</v>
      </c>
      <c r="CK51" s="33" t="str">
        <f aca="false">IFERROR((BV51/C51)^(1/19)-1,"n/m")</f>
        <v>n/m</v>
      </c>
      <c r="CN51" s="28" t="s">
        <v>120</v>
      </c>
      <c r="CO51" s="39" t="n">
        <f aca="false">CP51+$CO$49</f>
        <v>0.18</v>
      </c>
      <c r="CP51" s="34" t="n">
        <v>0.19</v>
      </c>
      <c r="CQ51" s="39" t="n">
        <f aca="false">CP51+$CQ$49</f>
        <v>0.2</v>
      </c>
    </row>
    <row r="52" customFormat="false" ht="15" hidden="false" customHeight="false" outlineLevel="0" collapsed="false">
      <c r="B52" s="28" t="s">
        <v>161</v>
      </c>
      <c r="AN52" s="37" t="n">
        <v>-0.936</v>
      </c>
      <c r="AO52" s="37" t="n">
        <v>-3.815</v>
      </c>
      <c r="AP52" s="37" t="n">
        <v>0.209</v>
      </c>
      <c r="AQ52" s="37" t="n">
        <v>-8.772</v>
      </c>
      <c r="AR52" s="37" t="n">
        <v>-13.314</v>
      </c>
      <c r="AS52" s="37" t="n">
        <v>-1.045</v>
      </c>
      <c r="AT52" s="37" t="n">
        <v>-6.834</v>
      </c>
      <c r="AU52" s="37" t="n">
        <v>-0.586</v>
      </c>
      <c r="AV52" s="37" t="n">
        <v>-2.255</v>
      </c>
      <c r="AW52" s="37" t="n">
        <v>-10.72</v>
      </c>
      <c r="AX52" s="37" t="n">
        <v>-4.044</v>
      </c>
      <c r="AY52" s="37" t="n">
        <v>1.3</v>
      </c>
      <c r="AZ52" s="37" t="n">
        <v>-3.421</v>
      </c>
      <c r="BA52" s="37" t="n">
        <v>-7.834</v>
      </c>
      <c r="BB52" s="37" t="n">
        <v>-13.999</v>
      </c>
      <c r="BC52" s="37" t="n">
        <v>-4.518</v>
      </c>
      <c r="BD52" s="37" t="n">
        <v>25.609</v>
      </c>
      <c r="BE52" s="37" t="n">
        <v>-10.243</v>
      </c>
      <c r="BF52" s="37" t="n">
        <v>-26.732</v>
      </c>
      <c r="BG52" s="37" t="n">
        <v>-15.884</v>
      </c>
      <c r="BH52" s="37" t="n">
        <v>-3.105</v>
      </c>
      <c r="BI52" s="37" t="n">
        <v>-14.883</v>
      </c>
      <c r="BJ52" s="37" t="n">
        <v>-2.09</v>
      </c>
      <c r="BK52" s="37" t="n">
        <v>-11.105</v>
      </c>
      <c r="BL52" s="37" t="n">
        <v>-31.183</v>
      </c>
      <c r="BM52" s="37" t="n">
        <v>-13.314</v>
      </c>
      <c r="BN52" s="37" t="n">
        <v>-3.994</v>
      </c>
      <c r="BO52" s="37" t="n">
        <v>-56.763</v>
      </c>
      <c r="BP52" s="37" t="n">
        <v>-0.556</v>
      </c>
      <c r="BQ52" s="37" t="n">
        <v>-74.627</v>
      </c>
      <c r="BR52" s="37" t="n">
        <v>-9.761</v>
      </c>
      <c r="BS52" s="37" t="n">
        <v>0.598</v>
      </c>
      <c r="BT52" s="37" t="n">
        <v>-1.063</v>
      </c>
      <c r="BU52" s="37" t="n">
        <v>-0.432</v>
      </c>
      <c r="BV52" s="37" t="n">
        <v>-10.658</v>
      </c>
      <c r="BW52" s="37" t="n">
        <v>-1.128</v>
      </c>
      <c r="BX52" s="37" t="n">
        <v>4.928</v>
      </c>
      <c r="BY52" s="6"/>
      <c r="BZ52" s="6"/>
      <c r="CA52" s="6"/>
      <c r="CB52" s="6"/>
      <c r="CC52" s="6"/>
      <c r="CD52" s="6"/>
      <c r="CE52" s="6"/>
      <c r="CN52" s="28" t="s">
        <v>122</v>
      </c>
      <c r="CO52" s="39" t="n">
        <f aca="false">CP52+$CO$49</f>
        <v>0.175</v>
      </c>
      <c r="CP52" s="34" t="n">
        <v>0.185</v>
      </c>
      <c r="CQ52" s="39" t="n">
        <f aca="false">CP52+$CQ$49</f>
        <v>0.195</v>
      </c>
    </row>
    <row r="53" customFormat="false" ht="15" hidden="false" customHeight="false" outlineLevel="0" collapsed="false">
      <c r="B53" s="28" t="s">
        <v>162</v>
      </c>
      <c r="S53" s="43" t="n">
        <f aca="false">N(S60)+N(S64)</f>
        <v>2968</v>
      </c>
      <c r="T53" s="43" t="n">
        <f aca="false">N(T60)+N(T64)</f>
        <v>2880</v>
      </c>
      <c r="U53" s="43" t="n">
        <f aca="false">N(U60)+N(U64)</f>
        <v>2925</v>
      </c>
      <c r="V53" s="43" t="n">
        <f aca="false">N(V60)+N(V64)</f>
        <v>2967</v>
      </c>
      <c r="W53" s="43" t="n">
        <f aca="false">N(W60)+N(W64)</f>
        <v>3020</v>
      </c>
      <c r="X53" s="43" t="n">
        <f aca="false">N(X60)+N(X64)</f>
        <v>2946</v>
      </c>
      <c r="Y53" s="43" t="n">
        <f aca="false">N(Y60)+N(Y64)</f>
        <v>3097</v>
      </c>
      <c r="Z53" s="43" t="n">
        <f aca="false">N(Z60)+N(Z64)</f>
        <v>3208</v>
      </c>
      <c r="AA53" s="43" t="n">
        <f aca="false">N(AA60)+N(AA64)</f>
        <v>3278</v>
      </c>
      <c r="AB53" s="43" t="n">
        <f aca="false">N(AB60)+N(AB64)</f>
        <v>3331</v>
      </c>
      <c r="AC53" s="43" t="n">
        <f aca="false">N(AC60)+N(AC64)</f>
        <v>3224</v>
      </c>
      <c r="AD53" s="43" t="n">
        <f aca="false">N(AD60)+N(AD64)</f>
        <v>3509</v>
      </c>
      <c r="AE53" s="43" t="n">
        <f aca="false">N(AE60)+N(AE64)</f>
        <v>3596</v>
      </c>
      <c r="AF53" s="43" t="n">
        <f aca="false">N(AF60)+N(AF64)</f>
        <v>3604</v>
      </c>
      <c r="AG53" s="43" t="n">
        <f aca="false">N(AG60)+N(AG64)</f>
        <v>3475</v>
      </c>
      <c r="AH53" s="43" t="n">
        <f aca="false">N(AH60)+N(AH64)</f>
        <v>3470</v>
      </c>
      <c r="AI53" s="43" t="n">
        <f aca="false">N(AI60)+N(AI64)</f>
        <v>3466</v>
      </c>
      <c r="AJ53" s="43" t="n">
        <f aca="false">N(AJ60)+N(AJ64)</f>
        <v>3536</v>
      </c>
      <c r="AK53" s="43" t="n">
        <f aca="false">N(AK60)+N(AK64)</f>
        <v>3600</v>
      </c>
      <c r="AL53" s="43" t="n">
        <f aca="false">N(AL60)+N(AL64)</f>
        <v>3615</v>
      </c>
      <c r="AM53" s="43" t="n">
        <f aca="false">N(AM60)+N(AM64)</f>
        <v>3555</v>
      </c>
      <c r="AN53" s="37" t="n">
        <v>3250</v>
      </c>
      <c r="AO53" s="37" t="n">
        <v>3409</v>
      </c>
      <c r="AP53" s="37" t="n">
        <v>3544</v>
      </c>
      <c r="AQ53" s="37" t="n">
        <v>3562</v>
      </c>
      <c r="AR53" s="37" t="n">
        <v>3431</v>
      </c>
      <c r="AS53" s="37" t="n">
        <v>3588</v>
      </c>
      <c r="AT53" s="37" t="n">
        <v>3608</v>
      </c>
      <c r="AU53" s="37" t="n">
        <v>3595</v>
      </c>
      <c r="AV53" s="37" t="n">
        <v>3610</v>
      </c>
      <c r="AW53" s="37" t="n">
        <v>3600</v>
      </c>
      <c r="AX53" s="37" t="n">
        <v>3725</v>
      </c>
      <c r="AY53" s="37" t="n">
        <v>3916</v>
      </c>
      <c r="AZ53" s="37" t="n">
        <v>4037</v>
      </c>
      <c r="BA53" s="37" t="n">
        <v>4080</v>
      </c>
      <c r="BB53" s="37" t="n">
        <v>3926</v>
      </c>
      <c r="BC53" s="37" t="n">
        <v>4300</v>
      </c>
      <c r="BD53" s="37" t="n">
        <v>4582</v>
      </c>
      <c r="BE53" s="37" t="n">
        <v>4691</v>
      </c>
      <c r="BF53" s="37" t="n">
        <v>4676</v>
      </c>
      <c r="BG53" s="37" t="n">
        <v>4524</v>
      </c>
      <c r="BH53" s="37" t="n">
        <v>4561</v>
      </c>
      <c r="BI53" s="37" t="n">
        <v>4363</v>
      </c>
      <c r="BJ53" s="37" t="n">
        <v>4217</v>
      </c>
      <c r="BK53" s="37" t="n">
        <v>4195</v>
      </c>
      <c r="BL53" s="37" t="n">
        <v>4350</v>
      </c>
      <c r="BM53" s="37" t="n">
        <v>4110</v>
      </c>
      <c r="BN53" s="37" t="n">
        <v>3954</v>
      </c>
      <c r="BO53" s="37" t="n">
        <v>3938</v>
      </c>
      <c r="BP53" s="37" t="n">
        <v>3979</v>
      </c>
      <c r="BQ53" s="37" t="n">
        <v>4012</v>
      </c>
      <c r="BR53" s="37" t="n">
        <v>3553</v>
      </c>
      <c r="BS53" s="37" t="n">
        <v>3139</v>
      </c>
      <c r="BT53" s="37" t="n">
        <v>3127</v>
      </c>
      <c r="BU53" s="37" t="n">
        <v>3108</v>
      </c>
      <c r="BV53" s="37" t="n">
        <v>3291</v>
      </c>
      <c r="BW53" s="37" t="n">
        <v>3105</v>
      </c>
      <c r="BX53" s="37" t="n">
        <v>3101</v>
      </c>
      <c r="BY53" s="6"/>
      <c r="BZ53" s="6"/>
      <c r="CA53" s="6"/>
      <c r="CB53" s="6"/>
      <c r="CC53" s="6"/>
      <c r="CD53" s="6"/>
      <c r="CE53" s="6"/>
      <c r="CN53" s="28" t="s">
        <v>124</v>
      </c>
      <c r="CO53" s="39" t="n">
        <f aca="false">CP53+$CO$49</f>
        <v>0.175</v>
      </c>
      <c r="CP53" s="34" t="n">
        <v>0.185</v>
      </c>
      <c r="CQ53" s="39" t="n">
        <f aca="false">CP53+$CQ$49</f>
        <v>0.195</v>
      </c>
    </row>
    <row r="54" customFormat="false" ht="15" hidden="false" customHeight="false" outlineLevel="1" collapsed="false">
      <c r="B54" s="28" t="s">
        <v>163</v>
      </c>
      <c r="S54" s="37" t="n">
        <v>203.591</v>
      </c>
      <c r="T54" s="37" t="n">
        <v>55.548</v>
      </c>
      <c r="U54" s="37" t="n">
        <v>65.712</v>
      </c>
      <c r="V54" s="37" t="n">
        <v>57.911</v>
      </c>
      <c r="W54" s="37" t="n">
        <v>56.163</v>
      </c>
      <c r="X54" s="37" t="n">
        <v>235.334</v>
      </c>
      <c r="Y54" s="37" t="n">
        <v>58.185</v>
      </c>
      <c r="Z54" s="37" t="n">
        <v>67.82</v>
      </c>
      <c r="AA54" s="37" t="n">
        <v>57.036</v>
      </c>
      <c r="AB54" s="37" t="n">
        <v>51.753</v>
      </c>
      <c r="AC54" s="37" t="n">
        <v>234.794</v>
      </c>
      <c r="AD54" s="37" t="n">
        <v>56.837</v>
      </c>
      <c r="AE54" s="37" t="n">
        <v>60.846</v>
      </c>
      <c r="AF54" s="37" t="n">
        <v>54.253</v>
      </c>
      <c r="AG54" s="37" t="n">
        <v>54.123</v>
      </c>
      <c r="AH54" s="37" t="n">
        <v>226.059</v>
      </c>
      <c r="AI54" s="37" t="n">
        <v>53.87</v>
      </c>
      <c r="AJ54" s="37" t="n">
        <v>55.537</v>
      </c>
      <c r="AK54" s="37" t="n">
        <v>60.34</v>
      </c>
      <c r="AL54" s="37" t="n">
        <v>64.299</v>
      </c>
      <c r="AM54" s="37" t="n">
        <v>234.046</v>
      </c>
      <c r="AN54" s="37" t="n">
        <v>28.658</v>
      </c>
      <c r="AO54" s="37" t="n">
        <v>31.236</v>
      </c>
      <c r="AP54" s="37" t="n">
        <v>26.382</v>
      </c>
      <c r="AQ54" s="37" t="n">
        <v>22.907</v>
      </c>
      <c r="AR54" s="37" t="n">
        <v>109.183</v>
      </c>
      <c r="AS54" s="37" t="n">
        <v>27.458</v>
      </c>
      <c r="AT54" s="37" t="n">
        <v>30.202</v>
      </c>
      <c r="AU54" s="37" t="n">
        <v>24.449</v>
      </c>
      <c r="AV54" s="37" t="n">
        <v>23.591</v>
      </c>
      <c r="AW54" s="37" t="n">
        <v>105.7</v>
      </c>
      <c r="AX54" s="37" t="n">
        <v>24.948</v>
      </c>
      <c r="AY54" s="37" t="n">
        <v>29.94</v>
      </c>
      <c r="AZ54" s="37" t="n">
        <v>26.651</v>
      </c>
      <c r="BA54" s="37" t="n">
        <v>26.004</v>
      </c>
      <c r="BB54" s="37" t="n">
        <v>107.543</v>
      </c>
      <c r="BC54" s="37" t="n">
        <v>30.505</v>
      </c>
      <c r="BD54" s="37" t="n">
        <v>34.981</v>
      </c>
      <c r="BE54" s="37" t="n">
        <v>27.677</v>
      </c>
      <c r="BF54" s="37" t="n">
        <v>28.476</v>
      </c>
      <c r="BG54" s="37" t="n">
        <v>121.639</v>
      </c>
      <c r="BH54" s="37" t="n">
        <v>31.145</v>
      </c>
      <c r="BI54" s="37" t="n">
        <v>37.895</v>
      </c>
      <c r="BJ54" s="37" t="n">
        <v>31.083</v>
      </c>
      <c r="BK54" s="37" t="n">
        <v>31.093</v>
      </c>
      <c r="BL54" s="37" t="n">
        <v>131.216</v>
      </c>
      <c r="BM54" s="37" t="n">
        <v>33.736</v>
      </c>
      <c r="BN54" s="37" t="n">
        <v>39.883</v>
      </c>
      <c r="BO54" s="37" t="n">
        <v>36.708</v>
      </c>
      <c r="BP54" s="37" t="n">
        <v>35.983</v>
      </c>
      <c r="BQ54" s="37" t="n">
        <v>146.31</v>
      </c>
      <c r="BR54" s="37" t="n">
        <v>37.653</v>
      </c>
      <c r="BS54" s="37" t="n">
        <v>44.395</v>
      </c>
      <c r="BT54" s="37" t="n">
        <v>40.195</v>
      </c>
      <c r="BU54" s="37" t="n">
        <v>38.851</v>
      </c>
      <c r="BV54" s="37" t="n">
        <v>161.094</v>
      </c>
      <c r="BW54" s="37" t="n">
        <v>37.517</v>
      </c>
      <c r="BX54" s="37" t="n">
        <v>47.276</v>
      </c>
      <c r="BY54" s="6"/>
      <c r="BZ54" s="6"/>
      <c r="CA54" s="6"/>
      <c r="CB54" s="6"/>
      <c r="CC54" s="6"/>
      <c r="CD54" s="6"/>
      <c r="CE54" s="6"/>
      <c r="CN54" s="17" t="s">
        <v>164</v>
      </c>
      <c r="CO54" s="44" t="n">
        <v>150</v>
      </c>
      <c r="CP54" s="24" t="s">
        <v>115</v>
      </c>
      <c r="CQ54" s="44" t="n">
        <v>-100</v>
      </c>
      <c r="CR54" s="14" t="s">
        <v>165</v>
      </c>
    </row>
    <row r="55" customFormat="false" ht="15" hidden="false" customHeight="false" outlineLevel="1" collapsed="false">
      <c r="B55" s="28" t="s">
        <v>166</v>
      </c>
      <c r="AB55" s="37" t="n">
        <v>17.667</v>
      </c>
      <c r="AC55" s="37" t="n">
        <v>64.701</v>
      </c>
      <c r="AD55" s="37" t="n">
        <v>17.193</v>
      </c>
      <c r="AE55" s="37" t="n">
        <v>18.164</v>
      </c>
      <c r="AF55" s="37" t="n">
        <v>18.487</v>
      </c>
      <c r="AG55" s="37" t="n">
        <v>18.322</v>
      </c>
      <c r="AH55" s="37" t="n">
        <v>72.166</v>
      </c>
      <c r="AI55" s="37" t="n">
        <v>18.317</v>
      </c>
      <c r="AJ55" s="37" t="n">
        <v>20.074</v>
      </c>
      <c r="AK55" s="37" t="n">
        <v>20.08</v>
      </c>
      <c r="AL55" s="37" t="n">
        <v>20.318</v>
      </c>
      <c r="AM55" s="37" t="n">
        <v>78.789</v>
      </c>
      <c r="AN55" s="37" t="n">
        <v>20.312</v>
      </c>
      <c r="AO55" s="37" t="n">
        <v>20.099</v>
      </c>
      <c r="AP55" s="37" t="n">
        <v>21.574</v>
      </c>
      <c r="AQ55" s="37" t="n">
        <v>21.38</v>
      </c>
      <c r="AR55" s="37" t="n">
        <v>83.365</v>
      </c>
      <c r="AS55" s="37" t="n">
        <v>22.527</v>
      </c>
      <c r="AT55" s="37" t="n">
        <v>23.503</v>
      </c>
      <c r="AU55" s="37" t="n">
        <v>24.06</v>
      </c>
      <c r="AV55" s="37" t="n">
        <v>24.738</v>
      </c>
      <c r="AW55" s="37" t="n">
        <v>94.828</v>
      </c>
      <c r="AX55" s="37" t="n">
        <v>25.556</v>
      </c>
      <c r="AY55" s="37" t="n">
        <v>26.234</v>
      </c>
      <c r="AZ55" s="37" t="n">
        <v>26.72</v>
      </c>
      <c r="BA55" s="37" t="n">
        <v>26.554</v>
      </c>
      <c r="BB55" s="37" t="n">
        <v>105.064</v>
      </c>
      <c r="BC55" s="37" t="n">
        <v>28.082</v>
      </c>
      <c r="BD55" s="37" t="n">
        <v>27.618</v>
      </c>
      <c r="BE55" s="37" t="n">
        <v>29.595</v>
      </c>
      <c r="BF55" s="37" t="n">
        <v>29.799</v>
      </c>
      <c r="BG55" s="37" t="n">
        <v>115.094</v>
      </c>
      <c r="BH55" s="37" t="n">
        <v>28.97</v>
      </c>
      <c r="BI55" s="37" t="n">
        <v>28.953</v>
      </c>
      <c r="BJ55" s="37" t="n">
        <v>29.427</v>
      </c>
      <c r="BK55" s="37" t="n">
        <v>28.846</v>
      </c>
      <c r="BL55" s="37" t="n">
        <v>116.196</v>
      </c>
      <c r="BM55" s="37" t="n">
        <v>28.936</v>
      </c>
      <c r="BN55" s="37" t="n">
        <v>28.752</v>
      </c>
      <c r="BO55" s="37" t="n">
        <v>27.949</v>
      </c>
      <c r="BP55" s="37" t="n">
        <v>28.133</v>
      </c>
      <c r="BQ55" s="37" t="n">
        <v>113.77</v>
      </c>
      <c r="BR55" s="37" t="n">
        <v>27.846</v>
      </c>
      <c r="BS55" s="37" t="n">
        <v>29.007</v>
      </c>
      <c r="BT55" s="37" t="n">
        <v>29.988</v>
      </c>
      <c r="BU55" s="37" t="n">
        <v>28.588</v>
      </c>
      <c r="BV55" s="37" t="n">
        <v>115.429</v>
      </c>
      <c r="BW55" s="37" t="n">
        <v>29.608</v>
      </c>
      <c r="BX55" s="37" t="n">
        <v>32.471</v>
      </c>
      <c r="BY55" s="6"/>
      <c r="BZ55" s="6"/>
      <c r="CA55" s="6"/>
      <c r="CB55" s="6"/>
      <c r="CC55" s="6"/>
      <c r="CD55" s="6"/>
      <c r="CE55" s="6"/>
      <c r="CN55" s="28" t="s">
        <v>118</v>
      </c>
      <c r="CO55" s="30" t="n">
        <f aca="false">CP55+$CO$54</f>
        <v>150</v>
      </c>
      <c r="CP55" s="29" t="n">
        <v>0</v>
      </c>
      <c r="CQ55" s="30" t="n">
        <f aca="false">CP55+$CQ$54</f>
        <v>-100</v>
      </c>
    </row>
    <row r="56" customFormat="false" ht="15" hidden="false" customHeight="false" outlineLevel="1" collapsed="false">
      <c r="B56" s="28" t="s">
        <v>167</v>
      </c>
      <c r="AB56" s="37" t="n">
        <v>14.736</v>
      </c>
      <c r="AC56" s="37" t="n">
        <v>56.141</v>
      </c>
      <c r="AD56" s="37" t="n">
        <v>15.55</v>
      </c>
      <c r="AE56" s="37" t="n">
        <v>13.85</v>
      </c>
      <c r="AF56" s="37" t="n">
        <v>13.861</v>
      </c>
      <c r="AG56" s="37" t="n">
        <v>16.22</v>
      </c>
      <c r="AH56" s="37" t="n">
        <v>59.481</v>
      </c>
      <c r="AI56" s="37" t="n">
        <v>15.932</v>
      </c>
      <c r="AJ56" s="37" t="n">
        <v>15.028</v>
      </c>
      <c r="AK56" s="37" t="n">
        <v>14.001</v>
      </c>
      <c r="AL56" s="37" t="n">
        <v>15.035</v>
      </c>
      <c r="AM56" s="37" t="n">
        <v>59.996</v>
      </c>
      <c r="AN56" s="37" t="n">
        <v>16.044</v>
      </c>
      <c r="AO56" s="37" t="n">
        <v>15.527</v>
      </c>
      <c r="AP56" s="37" t="n">
        <v>15.9</v>
      </c>
      <c r="AQ56" s="37" t="n">
        <v>14.946</v>
      </c>
      <c r="AR56" s="37" t="n">
        <v>62.417</v>
      </c>
      <c r="AS56" s="37" t="n">
        <v>16.876</v>
      </c>
      <c r="AT56" s="37" t="n">
        <v>18.232</v>
      </c>
      <c r="AU56" s="37" t="n">
        <v>15.164</v>
      </c>
      <c r="AV56" s="37" t="n">
        <v>15.378</v>
      </c>
      <c r="AW56" s="37" t="n">
        <v>65.65</v>
      </c>
      <c r="AX56" s="37" t="n">
        <v>16.468</v>
      </c>
      <c r="AY56" s="37" t="n">
        <v>17.652</v>
      </c>
      <c r="AZ56" s="37" t="n">
        <v>19.774</v>
      </c>
      <c r="BA56" s="37" t="n">
        <v>19.094</v>
      </c>
      <c r="BB56" s="37" t="n">
        <v>72.988</v>
      </c>
      <c r="BC56" s="37" t="n">
        <v>19.661</v>
      </c>
      <c r="BD56" s="37" t="n">
        <v>20.02</v>
      </c>
      <c r="BE56" s="37" t="n">
        <v>17.702</v>
      </c>
      <c r="BF56" s="37" t="n">
        <v>18.884</v>
      </c>
      <c r="BG56" s="37" t="n">
        <v>76.267</v>
      </c>
      <c r="BH56" s="37" t="n">
        <v>20.951</v>
      </c>
      <c r="BI56" s="37" t="n">
        <v>18.885</v>
      </c>
      <c r="BJ56" s="37" t="n">
        <v>17.936</v>
      </c>
      <c r="BK56" s="37" t="n">
        <v>16.205</v>
      </c>
      <c r="BL56" s="37" t="n">
        <v>73.977</v>
      </c>
      <c r="BM56" s="37" t="n">
        <v>17.902</v>
      </c>
      <c r="BN56" s="37" t="n">
        <v>15.05</v>
      </c>
      <c r="BO56" s="37" t="n">
        <v>15.296</v>
      </c>
      <c r="BP56" s="37" t="n">
        <v>12.942</v>
      </c>
      <c r="BQ56" s="37" t="n">
        <v>61.19</v>
      </c>
      <c r="BR56" s="37" t="n">
        <v>4.637</v>
      </c>
      <c r="BS56" s="37" t="n">
        <v>0</v>
      </c>
      <c r="BT56" s="37" t="n">
        <v>0</v>
      </c>
      <c r="BU56" s="37" t="n">
        <v>0</v>
      </c>
      <c r="BV56" s="37" t="n">
        <v>4.637</v>
      </c>
      <c r="BW56" s="37" t="n">
        <v>0</v>
      </c>
      <c r="BX56" s="37" t="n">
        <v>0</v>
      </c>
      <c r="BY56" s="6"/>
      <c r="BZ56" s="6"/>
      <c r="CA56" s="6"/>
      <c r="CB56" s="6"/>
      <c r="CC56" s="6"/>
      <c r="CD56" s="6"/>
      <c r="CE56" s="6"/>
      <c r="CN56" s="28" t="s">
        <v>120</v>
      </c>
      <c r="CO56" s="30" t="n">
        <f aca="false">CP56+$CO$54</f>
        <v>250</v>
      </c>
      <c r="CP56" s="29" t="n">
        <v>100</v>
      </c>
      <c r="CQ56" s="30" t="n">
        <f aca="false">CP56+$CQ$54</f>
        <v>0</v>
      </c>
    </row>
    <row r="57" customFormat="false" ht="15" hidden="true" customHeight="false" outlineLevel="1" collapsed="false">
      <c r="B57" s="28" t="s">
        <v>168</v>
      </c>
      <c r="S57" s="37" t="n">
        <v>2483.163</v>
      </c>
      <c r="T57" s="37" t="n">
        <v>570.39</v>
      </c>
      <c r="U57" s="37" t="n">
        <v>672.424</v>
      </c>
      <c r="V57" s="37" t="n">
        <v>602.913</v>
      </c>
      <c r="W57" s="37" t="n">
        <v>549.713</v>
      </c>
      <c r="X57" s="37" t="n">
        <v>2395.44</v>
      </c>
      <c r="Y57" s="37" t="n">
        <v>564.093</v>
      </c>
      <c r="Z57" s="37" t="n">
        <v>660.204</v>
      </c>
      <c r="AA57" s="37" t="n">
        <v>590.385</v>
      </c>
      <c r="AB57" s="37" t="n">
        <v>529.449</v>
      </c>
      <c r="AC57" s="37" t="n">
        <v>2344.131</v>
      </c>
      <c r="AD57" s="37" t="n">
        <v>550.445</v>
      </c>
      <c r="AE57" s="37" t="n">
        <v>657.003</v>
      </c>
      <c r="AF57" s="37" t="n">
        <v>613.646</v>
      </c>
      <c r="AG57" s="37" t="n">
        <v>594.646</v>
      </c>
      <c r="AH57" s="37" t="n">
        <v>2415.74</v>
      </c>
      <c r="AI57" s="37" t="n">
        <v>550.469</v>
      </c>
      <c r="AJ57" s="37" t="n">
        <v>621.024</v>
      </c>
      <c r="AK57" s="37" t="n">
        <v>565.59</v>
      </c>
      <c r="AL57" s="37" t="n">
        <v>531.817</v>
      </c>
      <c r="AM57" s="37" t="n">
        <v>2268.9</v>
      </c>
      <c r="BY57" s="6"/>
      <c r="BZ57" s="6"/>
      <c r="CA57" s="6"/>
      <c r="CB57" s="6"/>
      <c r="CC57" s="6"/>
      <c r="CD57" s="6"/>
      <c r="CE57" s="6"/>
      <c r="CN57" s="28" t="s">
        <v>122</v>
      </c>
      <c r="CO57" s="30" t="n">
        <f aca="false">CP57+$CO$54</f>
        <v>300</v>
      </c>
      <c r="CP57" s="29" t="n">
        <v>150</v>
      </c>
      <c r="CQ57" s="30" t="n">
        <f aca="false">CP57+$CQ$54</f>
        <v>50</v>
      </c>
    </row>
    <row r="58" customFormat="false" ht="15" hidden="true" customHeight="false" outlineLevel="1" collapsed="false">
      <c r="B58" s="28" t="s">
        <v>169</v>
      </c>
      <c r="S58" s="37" t="n">
        <v>203.591</v>
      </c>
      <c r="T58" s="37" t="n">
        <v>55.548</v>
      </c>
      <c r="U58" s="37" t="n">
        <v>65.712</v>
      </c>
      <c r="V58" s="37" t="n">
        <v>57.911</v>
      </c>
      <c r="W58" s="37" t="n">
        <v>56.163</v>
      </c>
      <c r="X58" s="37" t="n">
        <v>235.334</v>
      </c>
      <c r="Y58" s="37" t="n">
        <v>58.185</v>
      </c>
      <c r="Z58" s="37" t="n">
        <v>67.82</v>
      </c>
      <c r="AA58" s="37" t="n">
        <v>57.036</v>
      </c>
      <c r="AB58" s="37" t="n">
        <v>51.753</v>
      </c>
      <c r="AC58" s="37" t="n">
        <v>234.794</v>
      </c>
      <c r="AD58" s="37" t="n">
        <v>56.837</v>
      </c>
      <c r="AE58" s="37" t="n">
        <v>60.846</v>
      </c>
      <c r="AF58" s="37" t="n">
        <v>54.253</v>
      </c>
      <c r="AG58" s="37" t="n">
        <v>54.123</v>
      </c>
      <c r="AH58" s="37" t="n">
        <v>226.059</v>
      </c>
      <c r="AI58" s="37" t="n">
        <v>53.87</v>
      </c>
      <c r="AJ58" s="37" t="n">
        <v>55.537</v>
      </c>
      <c r="AK58" s="37" t="n">
        <v>60.34</v>
      </c>
      <c r="AL58" s="37" t="n">
        <v>64.299</v>
      </c>
      <c r="AM58" s="37" t="n">
        <v>234.046</v>
      </c>
      <c r="BY58" s="6"/>
      <c r="BZ58" s="6"/>
      <c r="CA58" s="6"/>
      <c r="CB58" s="6"/>
      <c r="CC58" s="6"/>
      <c r="CD58" s="6"/>
      <c r="CE58" s="6"/>
      <c r="CN58" s="28" t="s">
        <v>124</v>
      </c>
      <c r="CO58" s="30" t="n">
        <f aca="false">CP58+$CO$54</f>
        <v>300</v>
      </c>
      <c r="CP58" s="29" t="n">
        <v>150</v>
      </c>
      <c r="CQ58" s="30" t="n">
        <f aca="false">CP58+$CQ$54</f>
        <v>50</v>
      </c>
    </row>
    <row r="59" customFormat="false" ht="15" hidden="true" customHeight="false" outlineLevel="1" collapsed="false">
      <c r="B59" s="28" t="s">
        <v>170</v>
      </c>
      <c r="S59" s="37" t="n">
        <v>62.395</v>
      </c>
      <c r="T59" s="37" t="n">
        <v>19.293</v>
      </c>
      <c r="U59" s="37" t="n">
        <v>26.066</v>
      </c>
      <c r="V59" s="37" t="n">
        <v>19.908</v>
      </c>
      <c r="W59" s="37" t="n">
        <v>16.065</v>
      </c>
      <c r="X59" s="37" t="n">
        <v>81.332</v>
      </c>
      <c r="Y59" s="37" t="n">
        <v>17.733</v>
      </c>
      <c r="Z59" s="37" t="n">
        <v>27.311</v>
      </c>
      <c r="AA59" s="37" t="n">
        <v>17.733</v>
      </c>
      <c r="AB59" s="37" t="n">
        <v>12.98</v>
      </c>
      <c r="AC59" s="37" t="n">
        <v>75.757</v>
      </c>
      <c r="AD59" s="37" t="n">
        <v>14.652</v>
      </c>
      <c r="AE59" s="37" t="n">
        <v>14.249</v>
      </c>
      <c r="AF59" s="37" t="n">
        <v>11.586</v>
      </c>
      <c r="AG59" s="37" t="n">
        <v>12.887</v>
      </c>
      <c r="AH59" s="37" t="n">
        <v>53.374</v>
      </c>
      <c r="AI59" s="37" t="n">
        <v>9.307</v>
      </c>
      <c r="AJ59" s="37" t="n">
        <v>9.232</v>
      </c>
      <c r="AK59" s="37" t="n">
        <v>21.411</v>
      </c>
      <c r="AL59" s="37" t="n">
        <v>19.785</v>
      </c>
      <c r="AM59" s="37" t="n">
        <v>59.735</v>
      </c>
      <c r="BY59" s="6"/>
      <c r="BZ59" s="6"/>
      <c r="CA59" s="6"/>
      <c r="CB59" s="6"/>
      <c r="CC59" s="6"/>
      <c r="CD59" s="6"/>
      <c r="CE59" s="6"/>
    </row>
    <row r="60" customFormat="false" ht="15" hidden="true" customHeight="false" outlineLevel="1" collapsed="false">
      <c r="B60" s="28" t="s">
        <v>171</v>
      </c>
      <c r="S60" s="37" t="n">
        <v>912</v>
      </c>
      <c r="T60" s="37" t="n">
        <v>866</v>
      </c>
      <c r="U60" s="37" t="n">
        <v>890</v>
      </c>
      <c r="V60" s="37" t="n">
        <v>906</v>
      </c>
      <c r="W60" s="37" t="n">
        <v>912</v>
      </c>
      <c r="X60" s="37" t="n">
        <v>892</v>
      </c>
      <c r="Y60" s="37" t="n">
        <v>922</v>
      </c>
      <c r="Z60" s="37" t="n">
        <v>947</v>
      </c>
      <c r="AA60" s="37" t="n">
        <v>956</v>
      </c>
      <c r="AB60" s="37" t="n">
        <v>951</v>
      </c>
      <c r="AC60" s="37" t="n">
        <v>942</v>
      </c>
      <c r="AD60" s="37" t="n">
        <v>961</v>
      </c>
      <c r="AE60" s="37" t="n">
        <v>980</v>
      </c>
      <c r="AF60" s="37" t="n">
        <v>970</v>
      </c>
      <c r="AG60" s="37" t="n">
        <v>935</v>
      </c>
      <c r="AH60" s="37" t="n">
        <v>957</v>
      </c>
      <c r="AI60" s="37" t="n">
        <v>907</v>
      </c>
      <c r="AJ60" s="37" t="n">
        <v>909</v>
      </c>
      <c r="AK60" s="37" t="n">
        <v>914</v>
      </c>
      <c r="AL60" s="37" t="n">
        <v>887</v>
      </c>
      <c r="AM60" s="37" t="n">
        <v>903</v>
      </c>
      <c r="BY60" s="6"/>
      <c r="BZ60" s="6"/>
      <c r="CA60" s="6"/>
      <c r="CB60" s="6"/>
      <c r="CC60" s="6"/>
      <c r="CD60" s="6"/>
      <c r="CE60" s="6"/>
    </row>
    <row r="61" customFormat="false" ht="15" hidden="true" customHeight="false" outlineLevel="1" collapsed="false">
      <c r="B61" s="28" t="s">
        <v>172</v>
      </c>
      <c r="S61" s="37" t="n">
        <v>539.368</v>
      </c>
      <c r="T61" s="37" t="n">
        <v>124.298</v>
      </c>
      <c r="U61" s="37" t="n">
        <v>121.63</v>
      </c>
      <c r="V61" s="37" t="n">
        <v>113.477</v>
      </c>
      <c r="W61" s="37" t="n">
        <v>112.946</v>
      </c>
      <c r="X61" s="37" t="n">
        <v>472.351</v>
      </c>
      <c r="Y61" s="37" t="n">
        <v>113.259</v>
      </c>
      <c r="Z61" s="37" t="n">
        <v>124.149</v>
      </c>
      <c r="AA61" s="37" t="n">
        <v>122.352</v>
      </c>
      <c r="AB61" s="37" t="n">
        <v>128.12</v>
      </c>
      <c r="AC61" s="37" t="n">
        <v>487.88</v>
      </c>
      <c r="AD61" s="37" t="n">
        <v>136.64</v>
      </c>
      <c r="AE61" s="37" t="n">
        <v>142.644</v>
      </c>
      <c r="AF61" s="37" t="n">
        <v>149.251</v>
      </c>
      <c r="AG61" s="37" t="n">
        <v>155.308</v>
      </c>
      <c r="AH61" s="37" t="n">
        <v>583.843</v>
      </c>
      <c r="AI61" s="37" t="n">
        <v>158.093</v>
      </c>
      <c r="AJ61" s="37" t="n">
        <v>158.512</v>
      </c>
      <c r="AK61" s="37" t="n">
        <v>155.581</v>
      </c>
      <c r="AL61" s="37" t="n">
        <v>154.442</v>
      </c>
      <c r="AM61" s="37" t="n">
        <v>626.628</v>
      </c>
      <c r="BY61" s="6"/>
      <c r="BZ61" s="6"/>
      <c r="CA61" s="6"/>
      <c r="CB61" s="6"/>
      <c r="CC61" s="6"/>
      <c r="CD61" s="6"/>
      <c r="CE61" s="6"/>
    </row>
    <row r="62" customFormat="false" ht="15" hidden="true" customHeight="false" outlineLevel="1" collapsed="false">
      <c r="B62" s="28" t="s">
        <v>173</v>
      </c>
      <c r="S62" s="37" t="n">
        <v>102.533</v>
      </c>
      <c r="T62" s="37" t="n">
        <v>25.22</v>
      </c>
      <c r="U62" s="37" t="n">
        <v>25.309</v>
      </c>
      <c r="V62" s="37" t="n">
        <v>25.389</v>
      </c>
      <c r="W62" s="37" t="n">
        <v>26.844</v>
      </c>
      <c r="X62" s="37" t="n">
        <v>102.762</v>
      </c>
      <c r="Y62" s="37" t="n">
        <v>28.486</v>
      </c>
      <c r="Z62" s="37" t="n">
        <v>29.968</v>
      </c>
      <c r="AA62" s="37" t="n">
        <v>29.985</v>
      </c>
      <c r="AB62" s="37" t="n">
        <v>32.403</v>
      </c>
      <c r="AC62" s="37" t="n">
        <v>120.842</v>
      </c>
      <c r="AD62" s="37" t="n">
        <v>32.743</v>
      </c>
      <c r="AE62" s="37" t="n">
        <v>32.014</v>
      </c>
      <c r="AF62" s="37" t="n">
        <v>32.348</v>
      </c>
      <c r="AG62" s="37" t="n">
        <v>34.542</v>
      </c>
      <c r="AH62" s="37" t="n">
        <v>131.647</v>
      </c>
      <c r="AI62" s="37" t="n">
        <v>34.249</v>
      </c>
      <c r="AJ62" s="37" t="n">
        <v>35.102</v>
      </c>
      <c r="AK62" s="37" t="n">
        <v>34.081</v>
      </c>
      <c r="AL62" s="37" t="n">
        <v>35.353</v>
      </c>
      <c r="AM62" s="37" t="n">
        <v>138.785</v>
      </c>
      <c r="BY62" s="6"/>
      <c r="BZ62" s="6"/>
      <c r="CA62" s="6"/>
      <c r="CB62" s="6"/>
      <c r="CC62" s="6"/>
      <c r="CD62" s="6"/>
      <c r="CE62" s="6"/>
    </row>
    <row r="63" customFormat="false" ht="15" hidden="true" customHeight="false" outlineLevel="1" collapsed="false">
      <c r="B63" s="28" t="s">
        <v>174</v>
      </c>
      <c r="S63" s="37" t="n">
        <v>-14.276</v>
      </c>
      <c r="T63" s="37" t="n">
        <v>-1.434</v>
      </c>
      <c r="U63" s="37" t="n">
        <v>-4.938</v>
      </c>
      <c r="V63" s="37" t="n">
        <v>-6.883</v>
      </c>
      <c r="W63" s="37" t="n">
        <v>-4.177</v>
      </c>
      <c r="X63" s="37" t="n">
        <v>-17.432</v>
      </c>
      <c r="Y63" s="37" t="n">
        <v>2.011</v>
      </c>
      <c r="Z63" s="37" t="n">
        <v>1.319</v>
      </c>
      <c r="AA63" s="37" t="n">
        <v>4.754</v>
      </c>
      <c r="AB63" s="37" t="n">
        <v>-1.677</v>
      </c>
      <c r="AC63" s="37" t="n">
        <v>6.407</v>
      </c>
      <c r="AD63" s="37" t="n">
        <v>1.223</v>
      </c>
      <c r="AE63" s="37" t="n">
        <v>-0.388</v>
      </c>
      <c r="AF63" s="37" t="n">
        <v>0.362</v>
      </c>
      <c r="AG63" s="37" t="n">
        <v>0.596</v>
      </c>
      <c r="AH63" s="37" t="n">
        <v>1.793</v>
      </c>
      <c r="AI63" s="37" t="n">
        <v>-0.021</v>
      </c>
      <c r="AJ63" s="37" t="n">
        <v>-4.578</v>
      </c>
      <c r="AK63" s="37" t="n">
        <v>-3.431</v>
      </c>
      <c r="AL63" s="37" t="n">
        <v>-5.094</v>
      </c>
      <c r="AM63" s="37" t="n">
        <v>-13.124</v>
      </c>
      <c r="BY63" s="6"/>
      <c r="BZ63" s="6"/>
      <c r="CA63" s="6"/>
      <c r="CB63" s="6"/>
      <c r="CC63" s="6"/>
      <c r="CD63" s="6"/>
      <c r="CE63" s="6"/>
    </row>
    <row r="64" customFormat="false" ht="15" hidden="true" customHeight="false" outlineLevel="1" collapsed="false">
      <c r="B64" s="28" t="s">
        <v>175</v>
      </c>
      <c r="S64" s="37" t="n">
        <v>2056</v>
      </c>
      <c r="T64" s="37" t="n">
        <v>2014</v>
      </c>
      <c r="U64" s="37" t="n">
        <v>2035</v>
      </c>
      <c r="V64" s="37" t="n">
        <v>2061</v>
      </c>
      <c r="W64" s="37" t="n">
        <v>2108</v>
      </c>
      <c r="X64" s="37" t="n">
        <v>2054</v>
      </c>
      <c r="Y64" s="37" t="n">
        <v>2175</v>
      </c>
      <c r="Z64" s="37" t="n">
        <v>2261</v>
      </c>
      <c r="AA64" s="37" t="n">
        <v>2322</v>
      </c>
      <c r="AB64" s="37" t="n">
        <v>2380</v>
      </c>
      <c r="AC64" s="37" t="n">
        <v>2282</v>
      </c>
      <c r="AD64" s="37" t="n">
        <v>2548</v>
      </c>
      <c r="AE64" s="37" t="n">
        <v>2616</v>
      </c>
      <c r="AF64" s="37" t="n">
        <v>2634</v>
      </c>
      <c r="AG64" s="37" t="n">
        <v>2540</v>
      </c>
      <c r="AH64" s="37" t="n">
        <v>2513</v>
      </c>
      <c r="AI64" s="37" t="n">
        <v>2559</v>
      </c>
      <c r="AJ64" s="37" t="n">
        <v>2627</v>
      </c>
      <c r="AK64" s="37" t="n">
        <v>2686</v>
      </c>
      <c r="AL64" s="37" t="n">
        <v>2728</v>
      </c>
      <c r="AM64" s="37" t="n">
        <v>2652</v>
      </c>
      <c r="BY64" s="6"/>
      <c r="BZ64" s="6"/>
      <c r="CA64" s="6"/>
      <c r="CB64" s="6"/>
      <c r="CC64" s="6"/>
      <c r="CD64" s="6"/>
      <c r="CE64" s="6"/>
    </row>
    <row r="66" customFormat="false" ht="15" hidden="false" customHeight="false" outlineLevel="0" collapsed="false">
      <c r="B66" s="15" t="s">
        <v>176</v>
      </c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7" t="s">
        <v>177</v>
      </c>
    </row>
    <row r="67" customFormat="false" ht="15" hidden="false" customHeight="false" outlineLevel="0" collapsed="false">
      <c r="B67" s="28" t="s">
        <v>178</v>
      </c>
      <c r="C67" s="37" t="n">
        <v>822.954</v>
      </c>
      <c r="D67" s="37" t="n">
        <v>949.277</v>
      </c>
      <c r="E67" s="37" t="n">
        <v>1030.07</v>
      </c>
      <c r="F67" s="37" t="n">
        <v>1040.703</v>
      </c>
      <c r="G67" s="37" t="n">
        <v>1076.247</v>
      </c>
      <c r="H67" s="37" t="n">
        <v>1236.611</v>
      </c>
      <c r="I67" s="37" t="n">
        <v>1284.28</v>
      </c>
      <c r="J67" s="37" t="n">
        <v>268.604</v>
      </c>
      <c r="K67" s="37" t="n">
        <v>264.335</v>
      </c>
      <c r="L67" s="37" t="n">
        <v>265.509</v>
      </c>
      <c r="M67" s="37" t="n">
        <v>256.117</v>
      </c>
      <c r="N67" s="37" t="n">
        <v>1054.565</v>
      </c>
      <c r="O67" s="37" t="n">
        <v>269.837</v>
      </c>
      <c r="P67" s="37" t="n">
        <v>305.561</v>
      </c>
      <c r="Q67" s="37" t="n">
        <v>307.376</v>
      </c>
      <c r="R67" s="37" t="n">
        <v>295.216</v>
      </c>
      <c r="S67" s="37" t="n">
        <v>1177.99</v>
      </c>
      <c r="T67" s="37" t="n">
        <v>298.38</v>
      </c>
      <c r="U67" s="37" t="n">
        <v>334.546</v>
      </c>
      <c r="V67" s="37" t="n">
        <v>344.715</v>
      </c>
      <c r="W67" s="37" t="n">
        <v>338.892</v>
      </c>
      <c r="X67" s="37" t="n">
        <v>1316.533</v>
      </c>
      <c r="Y67" s="37" t="n">
        <v>321.684</v>
      </c>
      <c r="Z67" s="37" t="n">
        <v>329.74</v>
      </c>
      <c r="AA67" s="37" t="n">
        <v>309.027</v>
      </c>
      <c r="AB67" s="37" t="n">
        <v>296.74</v>
      </c>
      <c r="AC67" s="37" t="n">
        <v>1257.191</v>
      </c>
      <c r="AD67" s="37" t="n">
        <v>304.122</v>
      </c>
      <c r="AE67" s="37" t="n">
        <v>282.718</v>
      </c>
      <c r="AF67" s="37" t="n">
        <v>301.025</v>
      </c>
      <c r="AG67" s="37" t="n">
        <v>342.134</v>
      </c>
      <c r="AH67" s="37" t="n">
        <v>1229.999</v>
      </c>
      <c r="AI67" s="37" t="n">
        <v>330.291</v>
      </c>
      <c r="AJ67" s="37" t="n">
        <v>341.442</v>
      </c>
      <c r="AK67" s="37" t="n">
        <v>378.572</v>
      </c>
      <c r="AL67" s="37" t="n">
        <v>395.611</v>
      </c>
      <c r="AM67" s="37" t="n">
        <v>1445.916</v>
      </c>
      <c r="AN67" s="37" t="n">
        <v>377.993</v>
      </c>
      <c r="AO67" s="37" t="n">
        <v>371.351</v>
      </c>
      <c r="AP67" s="37" t="n">
        <v>317.99</v>
      </c>
      <c r="AQ67" s="37" t="n">
        <v>281.544</v>
      </c>
      <c r="AR67" s="37" t="n">
        <v>1348.878</v>
      </c>
      <c r="AS67" s="37" t="n">
        <v>264.926</v>
      </c>
      <c r="AT67" s="37" t="n">
        <v>278.366</v>
      </c>
      <c r="AU67" s="37" t="n">
        <v>251.072</v>
      </c>
      <c r="AV67" s="37" t="n">
        <v>277.509</v>
      </c>
      <c r="AW67" s="37" t="n">
        <v>1071.873</v>
      </c>
      <c r="AX67" s="37" t="n">
        <v>300.023</v>
      </c>
      <c r="AY67" s="37" t="n">
        <v>308.027</v>
      </c>
      <c r="AZ67" s="37" t="n">
        <v>333.067</v>
      </c>
      <c r="BA67" s="37" t="n">
        <v>339.512</v>
      </c>
      <c r="BB67" s="37" t="n">
        <v>1280.629</v>
      </c>
      <c r="BC67" s="37" t="n">
        <v>359.787</v>
      </c>
      <c r="BD67" s="37" t="n">
        <v>456.26</v>
      </c>
      <c r="BE67" s="37" t="n">
        <v>398.418</v>
      </c>
      <c r="BF67" s="37" t="n">
        <v>346.845</v>
      </c>
      <c r="BG67" s="37" t="n">
        <v>1561.31</v>
      </c>
      <c r="BH67" s="37" t="n">
        <v>288.654</v>
      </c>
      <c r="BI67" s="37" t="n">
        <v>261.147</v>
      </c>
      <c r="BJ67" s="37" t="n">
        <v>245.439</v>
      </c>
      <c r="BK67" s="37" t="n">
        <v>243.839</v>
      </c>
      <c r="BL67" s="37" t="n">
        <v>1039.079</v>
      </c>
      <c r="BM67" s="37" t="n">
        <v>257.413</v>
      </c>
      <c r="BN67" s="37" t="n">
        <v>274.187</v>
      </c>
      <c r="BO67" s="37" t="n">
        <v>279.564</v>
      </c>
      <c r="BP67" s="37" t="n">
        <v>261.527</v>
      </c>
      <c r="BQ67" s="37" t="n">
        <v>1072.691</v>
      </c>
      <c r="BR67" s="37" t="n">
        <v>262.288</v>
      </c>
      <c r="BS67" s="37" t="n">
        <v>267.913</v>
      </c>
      <c r="BT67" s="37" t="n">
        <v>273.885</v>
      </c>
      <c r="BU67" s="37" t="n">
        <v>248.195</v>
      </c>
      <c r="BV67" s="37" t="n">
        <v>1052.281</v>
      </c>
      <c r="BW67" s="37" t="n">
        <v>251.599</v>
      </c>
      <c r="BX67" s="37" t="n">
        <v>264.164</v>
      </c>
      <c r="BY67" s="6"/>
      <c r="BZ67" s="6"/>
      <c r="CA67" s="6"/>
      <c r="CB67" s="6"/>
      <c r="CC67" s="6"/>
      <c r="CD67" s="6"/>
      <c r="CE67" s="6"/>
    </row>
    <row r="68" customFormat="false" ht="15" hidden="false" customHeight="false" outlineLevel="0" collapsed="false">
      <c r="B68" s="28" t="s">
        <v>179</v>
      </c>
      <c r="J68" s="37" t="n">
        <v>58.491</v>
      </c>
      <c r="K68" s="37" t="n">
        <v>60.711</v>
      </c>
      <c r="L68" s="37" t="n">
        <v>61.436</v>
      </c>
      <c r="M68" s="37" t="n">
        <v>58.839</v>
      </c>
      <c r="N68" s="37" t="n">
        <v>239.477</v>
      </c>
      <c r="O68" s="37" t="n">
        <v>60.138</v>
      </c>
      <c r="P68" s="37" t="n">
        <v>67.376</v>
      </c>
      <c r="Q68" s="37" t="n">
        <v>67.968</v>
      </c>
      <c r="R68" s="37" t="n">
        <v>63.402</v>
      </c>
      <c r="S68" s="37" t="n">
        <v>258.884</v>
      </c>
      <c r="T68" s="37" t="n">
        <v>85.37</v>
      </c>
      <c r="U68" s="37" t="n">
        <v>91.524</v>
      </c>
      <c r="V68" s="37" t="n">
        <v>94.19</v>
      </c>
      <c r="W68" s="37" t="n">
        <v>89.622</v>
      </c>
      <c r="X68" s="37" t="n">
        <v>360.706</v>
      </c>
      <c r="Y68" s="37" t="n">
        <v>91.293</v>
      </c>
      <c r="Z68" s="37" t="n">
        <v>99.778</v>
      </c>
      <c r="AA68" s="37" t="n">
        <v>96.447</v>
      </c>
      <c r="AB68" s="37" t="n">
        <v>94.299</v>
      </c>
      <c r="AC68" s="37" t="n">
        <v>381.817</v>
      </c>
      <c r="AD68" s="37" t="n">
        <v>97.623</v>
      </c>
      <c r="AE68" s="37" t="n">
        <v>102.213</v>
      </c>
      <c r="AF68" s="37" t="n">
        <v>101.87</v>
      </c>
      <c r="AG68" s="37" t="n">
        <v>105.306</v>
      </c>
      <c r="AH68" s="37" t="n">
        <v>407.012</v>
      </c>
      <c r="AI68" s="37" t="n">
        <v>112.144</v>
      </c>
      <c r="AJ68" s="37" t="n">
        <v>119.189</v>
      </c>
      <c r="AK68" s="37" t="n">
        <v>122.616</v>
      </c>
      <c r="AL68" s="37" t="n">
        <v>117.326</v>
      </c>
      <c r="AM68" s="37" t="n">
        <v>471.275</v>
      </c>
      <c r="AN68" s="37" t="n">
        <v>116.229</v>
      </c>
      <c r="AO68" s="37" t="n">
        <v>122.991</v>
      </c>
      <c r="AP68" s="37" t="n">
        <v>124.523</v>
      </c>
      <c r="AQ68" s="37" t="n">
        <v>113.605</v>
      </c>
      <c r="AR68" s="37" t="n">
        <v>477.348</v>
      </c>
      <c r="AS68" s="37" t="n">
        <v>113.909</v>
      </c>
      <c r="AT68" s="37" t="n">
        <v>106.956</v>
      </c>
      <c r="AU68" s="37" t="n">
        <v>118.561</v>
      </c>
      <c r="AV68" s="37" t="n">
        <v>117.864</v>
      </c>
      <c r="AW68" s="37" t="n">
        <v>457.29</v>
      </c>
      <c r="AX68" s="37" t="n">
        <v>121.553</v>
      </c>
      <c r="AY68" s="37" t="n">
        <v>129.868</v>
      </c>
      <c r="AZ68" s="37" t="n">
        <v>132.482</v>
      </c>
      <c r="BA68" s="37" t="n">
        <v>139.462</v>
      </c>
      <c r="BB68" s="37" t="n">
        <v>523.365</v>
      </c>
      <c r="BC68" s="37" t="n">
        <v>152.312</v>
      </c>
      <c r="BD68" s="37" t="n">
        <v>168.298</v>
      </c>
      <c r="BE68" s="37" t="n">
        <v>162.13</v>
      </c>
      <c r="BF68" s="37" t="n">
        <v>149.376</v>
      </c>
      <c r="BG68" s="37" t="n">
        <v>632.116</v>
      </c>
      <c r="BH68" s="37" t="n">
        <v>138.637</v>
      </c>
      <c r="BI68" s="37" t="n">
        <v>137.185</v>
      </c>
      <c r="BJ68" s="37" t="n">
        <v>137.949</v>
      </c>
      <c r="BK68" s="37" t="n">
        <v>136.602</v>
      </c>
      <c r="BL68" s="37" t="n">
        <v>550.373</v>
      </c>
      <c r="BM68" s="37" t="n">
        <v>141.136</v>
      </c>
      <c r="BN68" s="37" t="n">
        <v>145.823</v>
      </c>
      <c r="BO68" s="37" t="n">
        <v>143.228</v>
      </c>
      <c r="BP68" s="37" t="n">
        <v>141.982</v>
      </c>
      <c r="BQ68" s="37" t="n">
        <v>572.169</v>
      </c>
      <c r="BR68" s="37" t="n">
        <v>148.411</v>
      </c>
      <c r="BS68" s="37" t="n">
        <v>152.186</v>
      </c>
      <c r="BT68" s="37" t="n">
        <v>158.251</v>
      </c>
      <c r="BU68" s="37" t="n">
        <v>150.888</v>
      </c>
      <c r="BV68" s="37" t="n">
        <v>609.736</v>
      </c>
      <c r="BW68" s="37" t="n">
        <v>163.448</v>
      </c>
      <c r="BX68" s="37" t="n">
        <v>185.309</v>
      </c>
      <c r="BY68" s="6"/>
      <c r="BZ68" s="6"/>
      <c r="CA68" s="6"/>
      <c r="CB68" s="6"/>
      <c r="CC68" s="6"/>
      <c r="CD68" s="6"/>
      <c r="CE68" s="6"/>
    </row>
    <row r="69" customFormat="false" ht="15" hidden="false" customHeight="false" outlineLevel="0" collapsed="false">
      <c r="B69" s="28" t="s">
        <v>180</v>
      </c>
      <c r="C69" s="37" t="n">
        <v>36.176</v>
      </c>
      <c r="D69" s="37" t="n">
        <v>38.67</v>
      </c>
      <c r="E69" s="37" t="n">
        <v>43.618</v>
      </c>
      <c r="F69" s="37" t="n">
        <v>35.245</v>
      </c>
      <c r="G69" s="37" t="n">
        <v>36.55</v>
      </c>
      <c r="H69" s="37" t="n">
        <v>41.189</v>
      </c>
      <c r="I69" s="37" t="n">
        <v>38.815</v>
      </c>
      <c r="J69" s="37" t="n">
        <v>9.101</v>
      </c>
      <c r="K69" s="37" t="n">
        <v>9.92</v>
      </c>
      <c r="L69" s="37" t="n">
        <v>10.202</v>
      </c>
      <c r="M69" s="37" t="n">
        <v>9.861</v>
      </c>
      <c r="N69" s="37" t="n">
        <v>39.084</v>
      </c>
      <c r="O69" s="37" t="n">
        <v>8.94</v>
      </c>
      <c r="P69" s="37" t="n">
        <v>10.863</v>
      </c>
      <c r="Q69" s="37" t="n">
        <v>10.593</v>
      </c>
      <c r="R69" s="37" t="n">
        <v>10.235</v>
      </c>
      <c r="S69" s="37" t="n">
        <v>40.631</v>
      </c>
      <c r="T69" s="37" t="n">
        <v>10.512</v>
      </c>
      <c r="U69" s="37" t="n">
        <v>11.539</v>
      </c>
      <c r="V69" s="37" t="n">
        <v>10.168</v>
      </c>
      <c r="W69" s="37" t="n">
        <v>8.835</v>
      </c>
      <c r="X69" s="37" t="n">
        <v>41.054</v>
      </c>
      <c r="Y69" s="37" t="n">
        <v>9.264</v>
      </c>
      <c r="Z69" s="37" t="n">
        <v>9.021</v>
      </c>
      <c r="AA69" s="37" t="n">
        <v>7.676</v>
      </c>
      <c r="AB69" s="37" t="n">
        <v>7.521</v>
      </c>
      <c r="AC69" s="37" t="n">
        <v>33.482</v>
      </c>
      <c r="AD69" s="37" t="n">
        <v>7.492</v>
      </c>
      <c r="AE69" s="37" t="n">
        <v>8.308</v>
      </c>
      <c r="AF69" s="37" t="n">
        <v>7.478</v>
      </c>
      <c r="AG69" s="37" t="n">
        <v>5.867</v>
      </c>
      <c r="AH69" s="37" t="n">
        <v>29.145</v>
      </c>
      <c r="AI69" s="37" t="n">
        <v>6.332</v>
      </c>
      <c r="AJ69" s="37" t="n">
        <v>9.181</v>
      </c>
      <c r="AK69" s="37" t="n">
        <v>8.361</v>
      </c>
      <c r="AL69" s="37" t="n">
        <v>8.595</v>
      </c>
      <c r="AM69" s="37" t="n">
        <v>32.469</v>
      </c>
      <c r="AN69" s="37" t="n">
        <v>6.076</v>
      </c>
      <c r="AO69" s="37" t="n">
        <v>6.298</v>
      </c>
      <c r="AP69" s="37" t="n">
        <v>7.11</v>
      </c>
      <c r="AQ69" s="37" t="n">
        <v>8.186</v>
      </c>
      <c r="AR69" s="37" t="n">
        <v>27.67</v>
      </c>
      <c r="AS69" s="37" t="n">
        <v>7.553</v>
      </c>
      <c r="AT69" s="37" t="n">
        <v>7.767</v>
      </c>
      <c r="AU69" s="37" t="n">
        <v>7.455</v>
      </c>
      <c r="BY69" s="6"/>
      <c r="BZ69" s="6"/>
      <c r="CA69" s="6"/>
      <c r="CB69" s="6"/>
      <c r="CC69" s="6"/>
      <c r="CD69" s="6"/>
      <c r="CE69" s="6"/>
    </row>
    <row r="70" customFormat="false" ht="15" hidden="false" customHeight="false" outlineLevel="0" collapsed="false">
      <c r="B70" s="28" t="s">
        <v>181</v>
      </c>
      <c r="C70" s="37" t="n">
        <v>37.15</v>
      </c>
      <c r="D70" s="37" t="n">
        <v>43.53</v>
      </c>
      <c r="E70" s="37" t="n">
        <v>62.094</v>
      </c>
      <c r="F70" s="37" t="n">
        <v>54.188</v>
      </c>
      <c r="G70" s="37" t="n">
        <v>60.763</v>
      </c>
      <c r="H70" s="37" t="n">
        <v>66.873</v>
      </c>
      <c r="I70" s="37" t="n">
        <v>84.924</v>
      </c>
      <c r="J70" s="37" t="n">
        <v>42.488</v>
      </c>
      <c r="K70" s="37" t="n">
        <v>49.124</v>
      </c>
      <c r="L70" s="37" t="n">
        <v>49.692</v>
      </c>
      <c r="M70" s="37" t="n">
        <v>46.367</v>
      </c>
      <c r="N70" s="37" t="n">
        <v>187.671</v>
      </c>
      <c r="O70" s="37" t="n">
        <v>43.612</v>
      </c>
      <c r="P70" s="37" t="n">
        <v>50.486</v>
      </c>
      <c r="Q70" s="37" t="n">
        <v>57.38</v>
      </c>
      <c r="R70" s="37" t="n">
        <v>56.944</v>
      </c>
      <c r="S70" s="37" t="n">
        <v>208.422</v>
      </c>
      <c r="T70" s="37" t="n">
        <v>50.19</v>
      </c>
      <c r="U70" s="37" t="n">
        <v>59.066</v>
      </c>
      <c r="V70" s="37" t="n">
        <v>58.322</v>
      </c>
      <c r="W70" s="37" t="n">
        <v>56.065</v>
      </c>
      <c r="X70" s="37" t="n">
        <v>223.643</v>
      </c>
      <c r="Y70" s="37" t="n">
        <v>58.669</v>
      </c>
      <c r="Z70" s="37" t="n">
        <v>60.068</v>
      </c>
      <c r="AA70" s="37" t="n">
        <v>56.506</v>
      </c>
      <c r="AB70" s="37" t="n">
        <v>69.033</v>
      </c>
      <c r="AC70" s="37" t="n">
        <v>244.276</v>
      </c>
      <c r="AD70" s="37" t="n">
        <v>62.875</v>
      </c>
      <c r="AE70" s="37" t="n">
        <v>73.438</v>
      </c>
      <c r="AF70" s="37" t="n">
        <v>81.182</v>
      </c>
      <c r="AG70" s="37" t="n">
        <v>73.135</v>
      </c>
      <c r="AH70" s="37" t="n">
        <v>290.63</v>
      </c>
      <c r="AI70" s="37" t="n">
        <v>68.844</v>
      </c>
      <c r="AJ70" s="37" t="n">
        <v>87.035</v>
      </c>
      <c r="AK70" s="37" t="n">
        <v>74.839</v>
      </c>
      <c r="AL70" s="37" t="n">
        <v>82.234</v>
      </c>
      <c r="AM70" s="37" t="n">
        <v>312.952</v>
      </c>
      <c r="AN70" s="37" t="n">
        <v>71.533</v>
      </c>
      <c r="AO70" s="37" t="n">
        <v>85.472</v>
      </c>
      <c r="AP70" s="37" t="n">
        <v>77.879</v>
      </c>
      <c r="AQ70" s="37" t="n">
        <v>73.483</v>
      </c>
      <c r="AR70" s="37" t="n">
        <v>308.367</v>
      </c>
      <c r="AS70" s="37" t="n">
        <v>69.902</v>
      </c>
      <c r="AT70" s="37" t="n">
        <v>78.853</v>
      </c>
      <c r="AU70" s="37" t="n">
        <v>88.927</v>
      </c>
      <c r="AV70" s="37" t="n">
        <v>112.412</v>
      </c>
      <c r="AW70" s="37" t="n">
        <v>350.094</v>
      </c>
      <c r="AX70" s="37" t="n">
        <v>135.51</v>
      </c>
      <c r="AY70" s="37" t="n">
        <v>150.986</v>
      </c>
      <c r="AZ70" s="37" t="n">
        <v>214.926</v>
      </c>
      <c r="BA70" s="37" t="n">
        <v>209.801</v>
      </c>
      <c r="BB70" s="37" t="n">
        <v>711.223</v>
      </c>
      <c r="BC70" s="37" t="n">
        <v>221.463</v>
      </c>
      <c r="BD70" s="37" t="n">
        <v>227.958</v>
      </c>
      <c r="BE70" s="37" t="n">
        <v>160.122</v>
      </c>
      <c r="BF70" s="37" t="n">
        <v>120.296</v>
      </c>
      <c r="BG70" s="37" t="n">
        <v>729.839</v>
      </c>
      <c r="BH70" s="37" t="n">
        <v>110.079</v>
      </c>
      <c r="BI70" s="37" t="n">
        <v>107.497</v>
      </c>
      <c r="BJ70" s="37" t="n">
        <v>104.116</v>
      </c>
      <c r="BK70" s="37" t="n">
        <v>99.191</v>
      </c>
      <c r="BL70" s="37" t="n">
        <v>420.883</v>
      </c>
      <c r="BM70" s="37" t="n">
        <v>112.858</v>
      </c>
      <c r="BN70" s="37" t="n">
        <v>116.659</v>
      </c>
      <c r="BO70" s="37" t="n">
        <v>163.314</v>
      </c>
      <c r="BP70" s="37" t="n">
        <v>127.139</v>
      </c>
      <c r="BQ70" s="37" t="n">
        <v>519.97</v>
      </c>
      <c r="BR70" s="37" t="n">
        <v>115.335</v>
      </c>
      <c r="BS70" s="37" t="n">
        <v>107.902</v>
      </c>
      <c r="BT70" s="37" t="n">
        <v>110.422</v>
      </c>
      <c r="BU70" s="37" t="n">
        <v>99.215</v>
      </c>
      <c r="BV70" s="37" t="n">
        <v>432.874</v>
      </c>
      <c r="BW70" s="37" t="n">
        <v>89.919</v>
      </c>
      <c r="BX70" s="37" t="n">
        <v>104.988</v>
      </c>
      <c r="BY70" s="6"/>
      <c r="BZ70" s="6"/>
      <c r="CA70" s="6"/>
      <c r="CB70" s="6"/>
      <c r="CC70" s="6"/>
      <c r="CD70" s="6"/>
      <c r="CE70" s="6"/>
    </row>
    <row r="71" customFormat="false" ht="15" hidden="false" customHeight="false" outlineLevel="0" collapsed="false">
      <c r="B71" s="28" t="s">
        <v>182</v>
      </c>
      <c r="C71" s="37" t="n">
        <v>21.533</v>
      </c>
      <c r="D71" s="37" t="n">
        <v>31.315</v>
      </c>
      <c r="E71" s="37" t="n">
        <v>35.39</v>
      </c>
      <c r="F71" s="37" t="n">
        <v>32.662</v>
      </c>
      <c r="G71" s="37" t="n">
        <v>42.315</v>
      </c>
      <c r="H71" s="37" t="n">
        <v>39.371</v>
      </c>
      <c r="I71" s="37" t="n">
        <v>44.444</v>
      </c>
      <c r="J71" s="37" t="n">
        <v>16.768</v>
      </c>
      <c r="K71" s="37" t="n">
        <v>20.202</v>
      </c>
      <c r="L71" s="37" t="n">
        <v>18.137</v>
      </c>
      <c r="M71" s="37" t="n">
        <v>17.982</v>
      </c>
      <c r="N71" s="37" t="n">
        <v>73.089</v>
      </c>
      <c r="O71" s="37" t="n">
        <v>17.454</v>
      </c>
      <c r="P71" s="37" t="n">
        <v>21.747</v>
      </c>
      <c r="Q71" s="37" t="n">
        <v>20.52</v>
      </c>
      <c r="R71" s="37" t="n">
        <v>19.404</v>
      </c>
      <c r="S71" s="37" t="n">
        <v>79.125</v>
      </c>
      <c r="T71" s="37" t="n">
        <v>20.639</v>
      </c>
      <c r="U71" s="37" t="n">
        <v>19.596</v>
      </c>
      <c r="V71" s="37" t="n">
        <v>20.248</v>
      </c>
      <c r="W71" s="37" t="n">
        <v>18.613</v>
      </c>
      <c r="X71" s="37" t="n">
        <v>79.096</v>
      </c>
      <c r="Y71" s="37" t="n">
        <v>18.409</v>
      </c>
      <c r="Z71" s="37" t="n">
        <v>20.118</v>
      </c>
      <c r="AA71" s="37" t="n">
        <v>19.897</v>
      </c>
      <c r="AB71" s="37" t="n">
        <v>23.743</v>
      </c>
      <c r="AC71" s="37" t="n">
        <v>82.167</v>
      </c>
      <c r="AD71" s="37" t="n">
        <v>21.817</v>
      </c>
      <c r="AE71" s="37" t="n">
        <v>25.82</v>
      </c>
      <c r="AF71" s="37" t="n">
        <v>25.529</v>
      </c>
      <c r="AG71" s="37" t="n">
        <v>27.595</v>
      </c>
      <c r="AH71" s="37" t="n">
        <v>100.761</v>
      </c>
      <c r="AI71" s="37" t="n">
        <v>28.883</v>
      </c>
      <c r="AJ71" s="37" t="n">
        <v>30.905</v>
      </c>
      <c r="AK71" s="37" t="n">
        <v>29.991</v>
      </c>
      <c r="AL71" s="37" t="n">
        <v>30.761</v>
      </c>
      <c r="AM71" s="37" t="n">
        <v>120.54</v>
      </c>
      <c r="AN71" s="37" t="n">
        <v>27.582</v>
      </c>
      <c r="AO71" s="37" t="n">
        <v>26.134</v>
      </c>
      <c r="AP71" s="37" t="n">
        <v>27.121</v>
      </c>
      <c r="AQ71" s="37" t="n">
        <v>25.94</v>
      </c>
      <c r="AR71" s="37" t="n">
        <v>106.777</v>
      </c>
      <c r="AS71" s="37" t="n">
        <v>28.338</v>
      </c>
      <c r="AT71" s="37" t="n">
        <v>52.405</v>
      </c>
      <c r="AU71" s="37" t="n">
        <v>34.977</v>
      </c>
      <c r="AV71" s="37" t="n">
        <v>35.723</v>
      </c>
      <c r="AW71" s="37" t="n">
        <v>151.443</v>
      </c>
      <c r="AX71" s="37" t="n">
        <v>45.894</v>
      </c>
      <c r="AY71" s="37" t="n">
        <v>53.057</v>
      </c>
      <c r="AZ71" s="37" t="n">
        <v>60.552</v>
      </c>
      <c r="BA71" s="37" t="n">
        <v>65.783</v>
      </c>
      <c r="BB71" s="37" t="n">
        <v>225.286</v>
      </c>
      <c r="BC71" s="37" t="n">
        <v>61.434</v>
      </c>
      <c r="BD71" s="37" t="n">
        <v>56.871</v>
      </c>
      <c r="BE71" s="37" t="n">
        <v>47.831</v>
      </c>
      <c r="BF71" s="37" t="n">
        <v>32.03</v>
      </c>
      <c r="BG71" s="37" t="n">
        <v>198.166</v>
      </c>
      <c r="BH71" s="37" t="n">
        <v>31.317</v>
      </c>
      <c r="BI71" s="37" t="n">
        <v>33.728</v>
      </c>
      <c r="BJ71" s="37" t="n">
        <v>30.201</v>
      </c>
      <c r="BK71" s="37" t="n">
        <v>28.224</v>
      </c>
      <c r="BL71" s="37" t="n">
        <v>123.47</v>
      </c>
      <c r="BM71" s="37" t="n">
        <v>30.532</v>
      </c>
      <c r="BN71" s="37" t="n">
        <v>30.906</v>
      </c>
      <c r="BO71" s="37" t="n">
        <v>33.607</v>
      </c>
      <c r="BP71" s="37" t="n">
        <v>40.856</v>
      </c>
      <c r="BQ71" s="37" t="n">
        <v>135.901</v>
      </c>
      <c r="BR71" s="37" t="n">
        <v>32.81</v>
      </c>
      <c r="BS71" s="37" t="n">
        <v>34.461</v>
      </c>
      <c r="BT71" s="37" t="n">
        <v>35.515</v>
      </c>
      <c r="BU71" s="37" t="n">
        <v>33.909</v>
      </c>
      <c r="BV71" s="37" t="n">
        <v>136.695</v>
      </c>
      <c r="BW71" s="37" t="n">
        <v>32.724</v>
      </c>
      <c r="BX71" s="37" t="n">
        <v>42.339</v>
      </c>
      <c r="BY71" s="6"/>
      <c r="BZ71" s="6"/>
      <c r="CA71" s="6"/>
      <c r="CB71" s="6"/>
      <c r="CC71" s="6"/>
      <c r="CD71" s="6"/>
      <c r="CE71" s="6"/>
    </row>
    <row r="72" customFormat="false" ht="15" hidden="false" customHeight="false" outlineLevel="0" collapsed="false">
      <c r="B72" s="28" t="s">
        <v>183</v>
      </c>
      <c r="J72" s="37" t="n">
        <v>8.606</v>
      </c>
      <c r="K72" s="37" t="n">
        <v>9.769</v>
      </c>
      <c r="L72" s="37" t="n">
        <v>8.932</v>
      </c>
      <c r="M72" s="37" t="n">
        <v>9.271</v>
      </c>
      <c r="N72" s="37" t="n">
        <v>36.578</v>
      </c>
      <c r="O72" s="37" t="n">
        <v>9.332</v>
      </c>
      <c r="P72" s="37" t="n">
        <v>10.312</v>
      </c>
      <c r="Q72" s="37" t="n">
        <v>11.107</v>
      </c>
      <c r="R72" s="37" t="n">
        <v>10.824</v>
      </c>
      <c r="S72" s="37" t="n">
        <v>41.575</v>
      </c>
      <c r="T72" s="37" t="n">
        <v>10.263</v>
      </c>
      <c r="U72" s="37" t="n">
        <v>10.973</v>
      </c>
      <c r="V72" s="37" t="n">
        <v>12.012</v>
      </c>
      <c r="W72" s="37" t="n">
        <v>10.681</v>
      </c>
      <c r="X72" s="37" t="n">
        <v>43.929</v>
      </c>
      <c r="Y72" s="37" t="n">
        <v>10.724</v>
      </c>
      <c r="Z72" s="37" t="n">
        <v>11.605</v>
      </c>
      <c r="AA72" s="37" t="n">
        <v>12.32</v>
      </c>
      <c r="AB72" s="37" t="n">
        <v>15.86</v>
      </c>
      <c r="AC72" s="37" t="n">
        <v>50.509</v>
      </c>
      <c r="AD72" s="37" t="n">
        <v>16.078</v>
      </c>
      <c r="AE72" s="37" t="n">
        <v>16.311</v>
      </c>
      <c r="AF72" s="37" t="n">
        <v>17.421</v>
      </c>
      <c r="AG72" s="37" t="n">
        <v>21.142</v>
      </c>
      <c r="AH72" s="37" t="n">
        <v>70.952</v>
      </c>
      <c r="AI72" s="37" t="n">
        <v>20.655</v>
      </c>
      <c r="AJ72" s="37" t="n">
        <v>20.794</v>
      </c>
      <c r="AK72" s="37" t="n">
        <v>23.305</v>
      </c>
      <c r="AL72" s="37" t="n">
        <v>23.761</v>
      </c>
      <c r="AM72" s="37" t="n">
        <v>88.515</v>
      </c>
      <c r="AN72" s="37" t="n">
        <v>21.878</v>
      </c>
      <c r="AO72" s="37" t="n">
        <v>23.306</v>
      </c>
      <c r="AP72" s="37" t="n">
        <v>23.719</v>
      </c>
      <c r="AQ72" s="37" t="n">
        <v>22.925</v>
      </c>
      <c r="AR72" s="37" t="n">
        <v>91.828</v>
      </c>
      <c r="AS72" s="37" t="n">
        <v>21.193</v>
      </c>
      <c r="AT72" s="37" t="n">
        <v>19.461</v>
      </c>
      <c r="AU72" s="37" t="n">
        <v>22.464</v>
      </c>
      <c r="AV72" s="37" t="n">
        <v>23.977</v>
      </c>
      <c r="AW72" s="37" t="n">
        <v>87.095</v>
      </c>
      <c r="AX72" s="37" t="n">
        <v>24.222</v>
      </c>
      <c r="AY72" s="37" t="n">
        <v>25.513</v>
      </c>
      <c r="AZ72" s="37" t="n">
        <v>25.466</v>
      </c>
      <c r="BA72" s="37" t="n">
        <v>25.338</v>
      </c>
      <c r="BB72" s="37" t="n">
        <v>100.539</v>
      </c>
      <c r="BC72" s="37" t="n">
        <v>27.495</v>
      </c>
      <c r="BD72" s="37" t="n">
        <v>27.82</v>
      </c>
      <c r="BE72" s="37" t="n">
        <v>27.881</v>
      </c>
      <c r="BF72" s="37" t="n">
        <v>24.495</v>
      </c>
      <c r="BG72" s="37" t="n">
        <v>107.691</v>
      </c>
      <c r="BH72" s="37" t="n">
        <v>23.334</v>
      </c>
      <c r="BI72" s="37" t="n">
        <v>25.128</v>
      </c>
      <c r="BJ72" s="37" t="n">
        <v>24.904</v>
      </c>
      <c r="BK72" s="37" t="n">
        <v>23.73</v>
      </c>
      <c r="BL72" s="37" t="n">
        <v>97.096</v>
      </c>
      <c r="BM72" s="37" t="n">
        <v>26.095</v>
      </c>
      <c r="BN72" s="37" t="n">
        <v>26.652</v>
      </c>
      <c r="BO72" s="37" t="n">
        <v>28.266</v>
      </c>
      <c r="BP72" s="37" t="n">
        <v>26.467</v>
      </c>
      <c r="BQ72" s="37" t="n">
        <v>107.48</v>
      </c>
      <c r="BR72" s="37" t="n">
        <v>26.92</v>
      </c>
      <c r="BS72" s="37" t="n">
        <v>35.098</v>
      </c>
      <c r="BT72" s="37" t="n">
        <v>36.358</v>
      </c>
      <c r="BU72" s="37" t="n">
        <v>34.4</v>
      </c>
      <c r="BV72" s="37" t="n">
        <v>132.776</v>
      </c>
      <c r="BW72" s="37" t="n">
        <v>32.32</v>
      </c>
      <c r="BX72" s="37" t="n">
        <v>31.787</v>
      </c>
      <c r="BY72" s="6"/>
      <c r="BZ72" s="6"/>
      <c r="CA72" s="6"/>
      <c r="CB72" s="6"/>
      <c r="CC72" s="6"/>
      <c r="CD72" s="6"/>
      <c r="CE72" s="6"/>
    </row>
    <row r="73" customFormat="false" ht="15" hidden="false" customHeight="false" outlineLevel="0" collapsed="false">
      <c r="B73" s="28" t="s">
        <v>184</v>
      </c>
      <c r="C73" s="37" t="n">
        <v>28.152</v>
      </c>
      <c r="D73" s="37" t="n">
        <v>35.24</v>
      </c>
      <c r="E73" s="37" t="n">
        <v>41.407</v>
      </c>
      <c r="F73" s="37" t="n">
        <v>44.784</v>
      </c>
      <c r="G73" s="37" t="n">
        <v>57.254</v>
      </c>
      <c r="H73" s="37" t="n">
        <v>59.872</v>
      </c>
      <c r="I73" s="37" t="n">
        <v>75.674</v>
      </c>
      <c r="J73" s="37" t="n">
        <v>17.194</v>
      </c>
      <c r="K73" s="37" t="n">
        <v>17.084</v>
      </c>
      <c r="L73" s="37" t="n">
        <v>16.07</v>
      </c>
      <c r="M73" s="37" t="n">
        <v>17.583</v>
      </c>
      <c r="N73" s="37" t="n">
        <v>67.931</v>
      </c>
      <c r="O73" s="37" t="n">
        <v>18.566</v>
      </c>
      <c r="P73" s="37" t="n">
        <v>17.207</v>
      </c>
      <c r="Q73" s="37" t="n">
        <v>19.043</v>
      </c>
      <c r="R73" s="37" t="n">
        <v>18.281</v>
      </c>
      <c r="S73" s="37" t="n">
        <v>73.097</v>
      </c>
      <c r="T73" s="37" t="n">
        <v>19.791</v>
      </c>
      <c r="U73" s="37" t="n">
        <v>21.104</v>
      </c>
      <c r="V73" s="37" t="n">
        <v>20.436</v>
      </c>
      <c r="W73" s="37" t="n">
        <v>21.217</v>
      </c>
      <c r="X73" s="37" t="n">
        <v>82.548</v>
      </c>
      <c r="Y73" s="37" t="n">
        <v>24.023</v>
      </c>
      <c r="Z73" s="37" t="n">
        <v>26.171</v>
      </c>
      <c r="AA73" s="37" t="n">
        <v>26.771</v>
      </c>
      <c r="AB73" s="37" t="n">
        <v>28.404</v>
      </c>
      <c r="AC73" s="37" t="n">
        <v>105.369</v>
      </c>
      <c r="AD73" s="37" t="n">
        <v>28.151</v>
      </c>
      <c r="AE73" s="37" t="n">
        <v>29.832</v>
      </c>
      <c r="AF73" s="37" t="n">
        <v>29.58</v>
      </c>
      <c r="AG73" s="37" t="n">
        <v>29.554</v>
      </c>
      <c r="AH73" s="37" t="n">
        <v>117.117</v>
      </c>
      <c r="AI73" s="37" t="n">
        <v>28.889</v>
      </c>
      <c r="AJ73" s="37" t="n">
        <v>31.397</v>
      </c>
      <c r="AK73" s="37" t="n">
        <v>31.188</v>
      </c>
      <c r="AL73" s="37" t="n">
        <v>30.603</v>
      </c>
      <c r="AM73" s="37" t="n">
        <v>122.077</v>
      </c>
      <c r="AN73" s="37" t="n">
        <v>30.385</v>
      </c>
      <c r="AO73" s="37" t="n">
        <v>30.062</v>
      </c>
      <c r="AP73" s="37" t="n">
        <v>30.025</v>
      </c>
      <c r="AQ73" s="37" t="n">
        <v>31.522</v>
      </c>
      <c r="AR73" s="37" t="n">
        <v>121.994</v>
      </c>
      <c r="AS73" s="37" t="n">
        <v>36.184</v>
      </c>
      <c r="AT73" s="37" t="n">
        <v>42.213</v>
      </c>
      <c r="AU73" s="37" t="n">
        <v>42.874</v>
      </c>
      <c r="AV73" s="37" t="n">
        <v>51.113</v>
      </c>
      <c r="AW73" s="37" t="n">
        <v>195.159</v>
      </c>
      <c r="AX73" s="37" t="n">
        <v>51.74</v>
      </c>
      <c r="AY73" s="37" t="n">
        <v>53.692</v>
      </c>
      <c r="AZ73" s="37" t="n">
        <v>53.018</v>
      </c>
      <c r="BA73" s="37" t="n">
        <v>52.508</v>
      </c>
      <c r="BB73" s="37" t="n">
        <v>210.958</v>
      </c>
      <c r="BC73" s="37" t="n">
        <v>55.636</v>
      </c>
      <c r="BD73" s="37" t="n">
        <v>61.561</v>
      </c>
      <c r="BE73" s="37" t="n">
        <v>65.441</v>
      </c>
      <c r="BF73" s="37" t="n">
        <v>68.909</v>
      </c>
      <c r="BG73" s="37" t="n">
        <v>251.547</v>
      </c>
      <c r="BH73" s="37" t="n">
        <v>64.913</v>
      </c>
      <c r="BI73" s="37" t="n">
        <v>66.582</v>
      </c>
      <c r="BJ73" s="37" t="n">
        <v>64.838</v>
      </c>
      <c r="BK73" s="37" t="n">
        <v>59.402</v>
      </c>
      <c r="BL73" s="37" t="n">
        <v>255.735</v>
      </c>
      <c r="BM73" s="37" t="n">
        <v>59.558</v>
      </c>
      <c r="BN73" s="37" t="n">
        <v>57.32</v>
      </c>
      <c r="BO73" s="37" t="n">
        <v>54.338</v>
      </c>
      <c r="BP73" s="37" t="n">
        <v>54.383</v>
      </c>
      <c r="BQ73" s="37" t="n">
        <v>225.599</v>
      </c>
      <c r="BR73" s="37" t="n">
        <v>54.781</v>
      </c>
      <c r="BS73" s="37" t="n">
        <v>56.459</v>
      </c>
      <c r="BT73" s="37" t="n">
        <v>56.421</v>
      </c>
      <c r="BU73" s="37" t="n">
        <v>56.618</v>
      </c>
      <c r="BV73" s="37" t="n">
        <v>224.279</v>
      </c>
      <c r="BW73" s="37" t="n">
        <v>58.391</v>
      </c>
      <c r="BX73" s="37" t="n">
        <v>67.774</v>
      </c>
      <c r="BY73" s="6"/>
      <c r="BZ73" s="6"/>
      <c r="CA73" s="6"/>
      <c r="CB73" s="6"/>
      <c r="CC73" s="6"/>
      <c r="CD73" s="6"/>
      <c r="CE73" s="6"/>
    </row>
    <row r="74" customFormat="false" ht="15" hidden="false" customHeight="false" outlineLevel="0" collapsed="false">
      <c r="B74" s="28" t="s">
        <v>185</v>
      </c>
      <c r="C74" s="37" t="n">
        <v>94.229</v>
      </c>
      <c r="D74" s="37" t="n">
        <v>100.22</v>
      </c>
      <c r="E74" s="37" t="n">
        <v>111.634</v>
      </c>
      <c r="F74" s="37" t="n">
        <v>128.582</v>
      </c>
      <c r="G74" s="37" t="n">
        <v>139.377</v>
      </c>
      <c r="H74" s="37" t="n">
        <v>128.448</v>
      </c>
      <c r="I74" s="37" t="n">
        <v>136.438</v>
      </c>
      <c r="J74" s="37" t="n">
        <v>31.846</v>
      </c>
      <c r="K74" s="37" t="n">
        <v>38.752</v>
      </c>
      <c r="L74" s="37" t="n">
        <v>30.553</v>
      </c>
      <c r="M74" s="37" t="n">
        <v>25.799</v>
      </c>
      <c r="N74" s="37" t="n">
        <v>126.95</v>
      </c>
      <c r="O74" s="37" t="n">
        <v>26.846</v>
      </c>
      <c r="P74" s="37" t="n">
        <v>34.894</v>
      </c>
      <c r="Q74" s="37" t="n">
        <v>29.801</v>
      </c>
      <c r="R74" s="37" t="n">
        <v>24.005</v>
      </c>
      <c r="S74" s="37" t="n">
        <v>115.546</v>
      </c>
      <c r="T74" s="37" t="n">
        <v>29.965</v>
      </c>
      <c r="U74" s="37" t="n">
        <v>35.67</v>
      </c>
      <c r="V74" s="37" t="n">
        <v>28.484</v>
      </c>
      <c r="W74" s="37" t="n">
        <v>26.852</v>
      </c>
      <c r="X74" s="37" t="n">
        <v>120.971</v>
      </c>
      <c r="Y74" s="37" t="n">
        <v>29.269</v>
      </c>
      <c r="Z74" s="37" t="n">
        <v>37.714</v>
      </c>
      <c r="AA74" s="37" t="n">
        <v>29.818</v>
      </c>
      <c r="AB74" s="37" t="n">
        <v>25.916</v>
      </c>
      <c r="AC74" s="37" t="n">
        <v>122.717</v>
      </c>
      <c r="AD74" s="37" t="n">
        <v>30.408</v>
      </c>
      <c r="AE74" s="37" t="n">
        <v>35.149</v>
      </c>
      <c r="AF74" s="37" t="n">
        <v>29.761</v>
      </c>
      <c r="AG74" s="37" t="n">
        <v>27.116</v>
      </c>
      <c r="AH74" s="37" t="n">
        <v>122.434</v>
      </c>
      <c r="AI74" s="37" t="n">
        <v>29.887</v>
      </c>
      <c r="AJ74" s="37" t="n">
        <v>31.54</v>
      </c>
      <c r="AK74" s="37" t="n">
        <v>25.172</v>
      </c>
      <c r="AL74" s="37" t="n">
        <v>24.892</v>
      </c>
      <c r="AM74" s="37" t="n">
        <v>111.491</v>
      </c>
      <c r="AN74" s="37" t="n">
        <v>27.124</v>
      </c>
      <c r="AO74" s="37" t="n">
        <v>29.602</v>
      </c>
      <c r="AP74" s="37" t="n">
        <v>25.064</v>
      </c>
      <c r="AQ74" s="37" t="n">
        <v>21.658</v>
      </c>
      <c r="AR74" s="37" t="n">
        <v>103.448</v>
      </c>
      <c r="AS74" s="37" t="n">
        <v>25.948</v>
      </c>
      <c r="AT74" s="37" t="n">
        <v>28.432</v>
      </c>
      <c r="AU74" s="37" t="n">
        <v>22.943</v>
      </c>
      <c r="AV74" s="37" t="n">
        <v>21.98</v>
      </c>
      <c r="AW74" s="37" t="n">
        <v>99.303</v>
      </c>
      <c r="AX74" s="37" t="n">
        <v>23.438</v>
      </c>
      <c r="AY74" s="37" t="n">
        <v>28.033</v>
      </c>
      <c r="AZ74" s="37" t="n">
        <v>24.681</v>
      </c>
      <c r="BA74" s="37" t="n">
        <v>23.937</v>
      </c>
      <c r="BB74" s="37" t="n">
        <v>100.089</v>
      </c>
      <c r="BC74" s="37" t="n">
        <v>28.069</v>
      </c>
      <c r="BD74" s="37" t="n">
        <v>32.845</v>
      </c>
      <c r="BE74" s="37" t="n">
        <v>25.371</v>
      </c>
      <c r="BF74" s="37" t="n">
        <v>26.223</v>
      </c>
      <c r="BG74" s="37" t="n">
        <v>112.508</v>
      </c>
      <c r="BH74" s="37" t="n">
        <v>28.706</v>
      </c>
      <c r="BI74" s="37" t="n">
        <v>34.229</v>
      </c>
      <c r="BJ74" s="37" t="n">
        <v>27.402</v>
      </c>
      <c r="BK74" s="37" t="n">
        <v>27.635</v>
      </c>
      <c r="BL74" s="37" t="n">
        <v>117.972</v>
      </c>
      <c r="BM74" s="37" t="n">
        <v>30.137</v>
      </c>
      <c r="BN74" s="37" t="n">
        <v>35.862</v>
      </c>
      <c r="BO74" s="37" t="n">
        <v>32.936</v>
      </c>
      <c r="BP74" s="37" t="n">
        <v>32.269</v>
      </c>
      <c r="BQ74" s="37" t="n">
        <v>131.204</v>
      </c>
      <c r="BR74" s="37" t="n">
        <v>32.543</v>
      </c>
      <c r="BS74" s="37" t="n">
        <v>39.212</v>
      </c>
      <c r="BT74" s="37" t="n">
        <v>35.225</v>
      </c>
      <c r="BU74" s="37" t="n">
        <v>33.789</v>
      </c>
      <c r="BV74" s="37" t="n">
        <v>140.769</v>
      </c>
      <c r="BW74" s="37" t="n">
        <v>32.092</v>
      </c>
      <c r="BX74" s="37" t="n">
        <v>41.605</v>
      </c>
      <c r="BY74" s="6"/>
      <c r="BZ74" s="6"/>
      <c r="CA74" s="6"/>
      <c r="CB74" s="6"/>
      <c r="CC74" s="6"/>
      <c r="CD74" s="6"/>
      <c r="CE74" s="6"/>
    </row>
    <row r="75" customFormat="false" ht="15" hidden="false" customHeight="false" outlineLevel="0" collapsed="false">
      <c r="B75" s="28" t="s">
        <v>186</v>
      </c>
      <c r="C75" s="37" t="n">
        <v>42.35</v>
      </c>
      <c r="D75" s="37" t="n">
        <v>45.526</v>
      </c>
      <c r="E75" s="37" t="n">
        <v>50.75</v>
      </c>
      <c r="F75" s="37" t="n">
        <v>45.795</v>
      </c>
      <c r="G75" s="37" t="n">
        <v>55.472</v>
      </c>
      <c r="H75" s="37" t="n">
        <v>60.294</v>
      </c>
      <c r="I75" s="37" t="n">
        <v>52.996</v>
      </c>
      <c r="J75" s="37" t="n">
        <v>2.624</v>
      </c>
      <c r="K75" s="37" t="n">
        <v>2.705</v>
      </c>
      <c r="L75" s="37" t="n">
        <v>2.775</v>
      </c>
      <c r="M75" s="37" t="n">
        <v>2.646</v>
      </c>
      <c r="N75" s="37" t="n">
        <v>10.75</v>
      </c>
      <c r="O75" s="37" t="n">
        <v>2.51</v>
      </c>
      <c r="P75" s="37" t="n">
        <v>2.591</v>
      </c>
      <c r="Q75" s="37" t="n">
        <v>3.776</v>
      </c>
      <c r="R75" s="37" t="n">
        <v>3.505</v>
      </c>
      <c r="S75" s="37" t="n">
        <v>12.382</v>
      </c>
      <c r="BY75" s="6"/>
      <c r="BZ75" s="6"/>
      <c r="CA75" s="6"/>
      <c r="CB75" s="6"/>
      <c r="CC75" s="6"/>
      <c r="CD75" s="6"/>
      <c r="CE75" s="6"/>
    </row>
    <row r="76" customFormat="false" ht="15" hidden="false" customHeight="false" outlineLevel="0" collapsed="false">
      <c r="B76" s="18" t="s">
        <v>187</v>
      </c>
      <c r="C76" s="42" t="n">
        <f aca="false">N(C67)+N(C68)+N(C69)+N(C70)+N(C71)+N(C72)+N(C73)+N(C74)+N(C75)</f>
        <v>1082.544</v>
      </c>
      <c r="D76" s="42" t="n">
        <f aca="false">N(D67)+N(D68)+N(D69)+N(D70)+N(D71)+N(D72)+N(D73)+N(D74)+N(D75)</f>
        <v>1243.778</v>
      </c>
      <c r="E76" s="42" t="n">
        <f aca="false">N(E67)+N(E68)+N(E69)+N(E70)+N(E71)+N(E72)+N(E73)+N(E74)+N(E75)</f>
        <v>1374.963</v>
      </c>
      <c r="F76" s="42" t="n">
        <f aca="false">N(F67)+N(F68)+N(F69)+N(F70)+N(F71)+N(F72)+N(F73)+N(F74)+N(F75)</f>
        <v>1381.959</v>
      </c>
      <c r="G76" s="42" t="n">
        <f aca="false">N(G67)+N(G68)+N(G69)+N(G70)+N(G71)+N(G72)+N(G73)+N(G74)+N(G75)</f>
        <v>1467.978</v>
      </c>
      <c r="H76" s="42" t="n">
        <f aca="false">N(H67)+N(H68)+N(H69)+N(H70)+N(H71)+N(H72)+N(H73)+N(H74)+N(H75)</f>
        <v>1632.658</v>
      </c>
      <c r="I76" s="42" t="n">
        <f aca="false">N(I67)+N(I68)+N(I69)+N(I70)+N(I71)+N(I72)+N(I73)+N(I74)+N(I75)</f>
        <v>1717.571</v>
      </c>
      <c r="J76" s="42" t="n">
        <f aca="false">N(J67)+N(J68)+N(J69)+N(J70)+N(J71)+N(J72)+N(J73)+N(J74)+N(J75)</f>
        <v>455.722</v>
      </c>
      <c r="K76" s="42" t="n">
        <f aca="false">N(K67)+N(K68)+N(K69)+N(K70)+N(K71)+N(K72)+N(K73)+N(K74)+N(K75)</f>
        <v>472.602</v>
      </c>
      <c r="L76" s="42" t="n">
        <f aca="false">N(L67)+N(L68)+N(L69)+N(L70)+N(L71)+N(L72)+N(L73)+N(L74)+N(L75)</f>
        <v>463.306</v>
      </c>
      <c r="M76" s="42" t="n">
        <f aca="false">N(M67)+N(M68)+N(M69)+N(M70)+N(M71)+N(M72)+N(M73)+N(M74)+N(M75)</f>
        <v>444.465</v>
      </c>
      <c r="N76" s="42" t="n">
        <f aca="false">N(N67)+N(N68)+N(N69)+N(N70)+N(N71)+N(N72)+N(N73)+N(N74)+N(N75)</f>
        <v>1836.095</v>
      </c>
      <c r="O76" s="42" t="n">
        <f aca="false">N(O67)+N(O68)+N(O69)+N(O70)+N(O71)+N(O72)+N(O73)+N(O74)+N(O75)</f>
        <v>457.235</v>
      </c>
      <c r="P76" s="42" t="n">
        <f aca="false">N(P67)+N(P68)+N(P69)+N(P70)+N(P71)+N(P72)+N(P73)+N(P74)+N(P75)</f>
        <v>521.037</v>
      </c>
      <c r="Q76" s="42" t="n">
        <f aca="false">N(Q67)+N(Q68)+N(Q69)+N(Q70)+N(Q71)+N(Q72)+N(Q73)+N(Q74)+N(Q75)</f>
        <v>527.564</v>
      </c>
      <c r="R76" s="42" t="n">
        <f aca="false">N(R67)+N(R68)+N(R69)+N(R70)+N(R71)+N(R72)+N(R73)+N(R74)+N(R75)</f>
        <v>501.816</v>
      </c>
      <c r="S76" s="42" t="n">
        <f aca="false">N(S67)+N(S68)+N(S69)+N(S70)+N(S71)+N(S72)+N(S73)+N(S74)+N(S75)</f>
        <v>2007.652</v>
      </c>
      <c r="T76" s="42" t="n">
        <f aca="false">N(T67)+N(T68)+N(T69)+N(T70)+N(T71)+N(T72)+N(T73)+N(T74)+N(T75)</f>
        <v>525.11</v>
      </c>
      <c r="U76" s="42" t="n">
        <f aca="false">N(U67)+N(U68)+N(U69)+N(U70)+N(U71)+N(U72)+N(U73)+N(U74)+N(U75)</f>
        <v>584.018</v>
      </c>
      <c r="V76" s="42" t="n">
        <f aca="false">N(V67)+N(V68)+N(V69)+N(V70)+N(V71)+N(V72)+N(V73)+N(V74)+N(V75)</f>
        <v>588.575</v>
      </c>
      <c r="W76" s="42" t="n">
        <f aca="false">N(W67)+N(W68)+N(W69)+N(W70)+N(W71)+N(W72)+N(W73)+N(W74)+N(W75)</f>
        <v>570.777</v>
      </c>
      <c r="X76" s="42" t="n">
        <f aca="false">N(X67)+N(X68)+N(X69)+N(X70)+N(X71)+N(X72)+N(X73)+N(X74)+N(X75)</f>
        <v>2268.48</v>
      </c>
      <c r="Y76" s="42" t="n">
        <f aca="false">N(Y67)+N(Y68)+N(Y69)+N(Y70)+N(Y71)+N(Y72)+N(Y73)+N(Y74)+N(Y75)</f>
        <v>563.335</v>
      </c>
      <c r="Z76" s="42" t="n">
        <f aca="false">N(Z67)+N(Z68)+N(Z69)+N(Z70)+N(Z71)+N(Z72)+N(Z73)+N(Z74)+N(Z75)</f>
        <v>594.215</v>
      </c>
      <c r="AA76" s="42" t="n">
        <f aca="false">N(AA67)+N(AA68)+N(AA69)+N(AA70)+N(AA71)+N(AA72)+N(AA73)+N(AA74)+N(AA75)</f>
        <v>558.462</v>
      </c>
      <c r="AB76" s="42" t="n">
        <f aca="false">N(AB67)+N(AB68)+N(AB69)+N(AB70)+N(AB71)+N(AB72)+N(AB73)+N(AB74)+N(AB75)</f>
        <v>561.516</v>
      </c>
      <c r="AC76" s="42" t="n">
        <f aca="false">N(AC67)+N(AC68)+N(AC69)+N(AC70)+N(AC71)+N(AC72)+N(AC73)+N(AC74)+N(AC75)</f>
        <v>2277.528</v>
      </c>
      <c r="AD76" s="42" t="n">
        <f aca="false">N(AD67)+N(AD68)+N(AD69)+N(AD70)+N(AD71)+N(AD72)+N(AD73)+N(AD74)+N(AD75)</f>
        <v>568.566</v>
      </c>
      <c r="AE76" s="42" t="n">
        <f aca="false">N(AE67)+N(AE68)+N(AE69)+N(AE70)+N(AE71)+N(AE72)+N(AE73)+N(AE74)+N(AE75)</f>
        <v>573.789</v>
      </c>
      <c r="AF76" s="42" t="n">
        <f aca="false">N(AF67)+N(AF68)+N(AF69)+N(AF70)+N(AF71)+N(AF72)+N(AF73)+N(AF74)+N(AF75)</f>
        <v>593.846</v>
      </c>
      <c r="AG76" s="42" t="n">
        <f aca="false">N(AG67)+N(AG68)+N(AG69)+N(AG70)+N(AG71)+N(AG72)+N(AG73)+N(AG74)+N(AG75)</f>
        <v>631.849</v>
      </c>
      <c r="AH76" s="42" t="n">
        <f aca="false">N(AH67)+N(AH68)+N(AH69)+N(AH70)+N(AH71)+N(AH72)+N(AH73)+N(AH74)+N(AH75)</f>
        <v>2368.05</v>
      </c>
      <c r="AI76" s="42" t="n">
        <f aca="false">N(AI67)+N(AI68)+N(AI69)+N(AI70)+N(AI71)+N(AI72)+N(AI73)+N(AI74)+N(AI75)</f>
        <v>625.925</v>
      </c>
      <c r="AJ76" s="42" t="n">
        <f aca="false">N(AJ67)+N(AJ68)+N(AJ69)+N(AJ70)+N(AJ71)+N(AJ72)+N(AJ73)+N(AJ74)+N(AJ75)</f>
        <v>671.483</v>
      </c>
      <c r="AK76" s="42" t="n">
        <f aca="false">N(AK67)+N(AK68)+N(AK69)+N(AK70)+N(AK71)+N(AK72)+N(AK73)+N(AK74)+N(AK75)</f>
        <v>694.044</v>
      </c>
      <c r="AL76" s="42" t="n">
        <f aca="false">N(AL67)+N(AL68)+N(AL69)+N(AL70)+N(AL71)+N(AL72)+N(AL73)+N(AL74)+N(AL75)</f>
        <v>713.783</v>
      </c>
      <c r="AM76" s="42" t="n">
        <f aca="false">N(AM67)+N(AM68)+N(AM69)+N(AM70)+N(AM71)+N(AM72)+N(AM73)+N(AM74)+N(AM75)</f>
        <v>2705.235</v>
      </c>
      <c r="AN76" s="42" t="n">
        <f aca="false">N(AN67)+N(AN68)+N(AN69)+N(AN70)+N(AN71)+N(AN72)+N(AN73)+N(AN74)+N(AN75)</f>
        <v>678.8</v>
      </c>
      <c r="AO76" s="42" t="n">
        <f aca="false">N(AO67)+N(AO68)+N(AO69)+N(AO70)+N(AO71)+N(AO72)+N(AO73)+N(AO74)+N(AO75)</f>
        <v>695.216</v>
      </c>
      <c r="AP76" s="42" t="n">
        <f aca="false">N(AP67)+N(AP68)+N(AP69)+N(AP70)+N(AP71)+N(AP72)+N(AP73)+N(AP74)+N(AP75)</f>
        <v>633.431</v>
      </c>
      <c r="AQ76" s="42" t="n">
        <f aca="false">N(AQ67)+N(AQ68)+N(AQ69)+N(AQ70)+N(AQ71)+N(AQ72)+N(AQ73)+N(AQ74)+N(AQ75)</f>
        <v>578.863</v>
      </c>
      <c r="AR76" s="42" t="n">
        <f aca="false">N(AR67)+N(AR68)+N(AR69)+N(AR70)+N(AR71)+N(AR72)+N(AR73)+N(AR74)+N(AR75)</f>
        <v>2586.31</v>
      </c>
      <c r="AS76" s="42" t="n">
        <f aca="false">N(AS67)+N(AS68)+N(AS69)+N(AS70)+N(AS71)+N(AS72)+N(AS73)+N(AS74)+N(AS75)</f>
        <v>567.953</v>
      </c>
      <c r="AT76" s="42" t="n">
        <f aca="false">N(AT67)+N(AT68)+N(AT69)+N(AT70)+N(AT71)+N(AT72)+N(AT73)+N(AT74)+N(AT75)</f>
        <v>614.453</v>
      </c>
      <c r="AU76" s="42" t="n">
        <f aca="false">N(AU67)+N(AU68)+N(AU69)+N(AU70)+N(AU71)+N(AU72)+N(AU73)+N(AU74)+N(AU75)</f>
        <v>589.273</v>
      </c>
      <c r="AV76" s="42" t="n">
        <f aca="false">N(AV67)+N(AV68)+N(AV69)+N(AV70)+N(AV71)+N(AV72)+N(AV73)+N(AV74)+N(AV75)</f>
        <v>640.578</v>
      </c>
      <c r="AW76" s="42" t="n">
        <f aca="false">N(AW67)+N(AW68)+N(AW69)+N(AW70)+N(AW71)+N(AW72)+N(AW73)+N(AW74)+N(AW75)</f>
        <v>2412.257</v>
      </c>
      <c r="AX76" s="42" t="n">
        <f aca="false">N(AX67)+N(AX68)+N(AX69)+N(AX70)+N(AX71)+N(AX72)+N(AX73)+N(AX74)+N(AX75)</f>
        <v>702.38</v>
      </c>
      <c r="AY76" s="42" t="n">
        <f aca="false">N(AY67)+N(AY68)+N(AY69)+N(AY70)+N(AY71)+N(AY72)+N(AY73)+N(AY74)+N(AY75)</f>
        <v>749.176</v>
      </c>
      <c r="AZ76" s="42" t="n">
        <f aca="false">N(AZ67)+N(AZ68)+N(AZ69)+N(AZ70)+N(AZ71)+N(AZ72)+N(AZ73)+N(AZ74)+N(AZ75)</f>
        <v>844.192</v>
      </c>
      <c r="BA76" s="42" t="n">
        <f aca="false">N(BA67)+N(BA68)+N(BA69)+N(BA70)+N(BA71)+N(BA72)+N(BA73)+N(BA74)+N(BA75)</f>
        <v>856.341</v>
      </c>
      <c r="BB76" s="42" t="n">
        <f aca="false">N(BB67)+N(BB68)+N(BB69)+N(BB70)+N(BB71)+N(BB72)+N(BB73)+N(BB74)+N(BB75)</f>
        <v>3152.089</v>
      </c>
      <c r="BC76" s="42" t="n">
        <f aca="false">N(BC67)+N(BC68)+N(BC69)+N(BC70)+N(BC71)+N(BC72)+N(BC73)+N(BC74)+N(BC75)</f>
        <v>906.196</v>
      </c>
      <c r="BD76" s="42" t="n">
        <f aca="false">N(BD67)+N(BD68)+N(BD69)+N(BD70)+N(BD71)+N(BD72)+N(BD73)+N(BD74)+N(BD75)</f>
        <v>1031.613</v>
      </c>
      <c r="BE76" s="42" t="n">
        <f aca="false">N(BE67)+N(BE68)+N(BE69)+N(BE70)+N(BE71)+N(BE72)+N(BE73)+N(BE74)+N(BE75)</f>
        <v>887.194</v>
      </c>
      <c r="BF76" s="42" t="n">
        <f aca="false">N(BF67)+N(BF68)+N(BF69)+N(BF70)+N(BF71)+N(BF72)+N(BF73)+N(BF74)+N(BF75)</f>
        <v>768.174</v>
      </c>
      <c r="BG76" s="42" t="n">
        <f aca="false">N(BG67)+N(BG68)+N(BG69)+N(BG70)+N(BG71)+N(BG72)+N(BG73)+N(BG74)+N(BG75)</f>
        <v>3593.177</v>
      </c>
      <c r="BH76" s="42" t="n">
        <f aca="false">N(BH67)+N(BH68)+N(BH69)+N(BH70)+N(BH71)+N(BH72)+N(BH73)+N(BH74)+N(BH75)</f>
        <v>685.64</v>
      </c>
      <c r="BI76" s="42" t="n">
        <f aca="false">N(BI67)+N(BI68)+N(BI69)+N(BI70)+N(BI71)+N(BI72)+N(BI73)+N(BI74)+N(BI75)</f>
        <v>665.496</v>
      </c>
      <c r="BJ76" s="42" t="n">
        <f aca="false">N(BJ67)+N(BJ68)+N(BJ69)+N(BJ70)+N(BJ71)+N(BJ72)+N(BJ73)+N(BJ74)+N(BJ75)</f>
        <v>634.849</v>
      </c>
      <c r="BK76" s="42" t="n">
        <f aca="false">N(BK67)+N(BK68)+N(BK69)+N(BK70)+N(BK71)+N(BK72)+N(BK73)+N(BK74)+N(BK75)</f>
        <v>618.623</v>
      </c>
      <c r="BL76" s="42" t="n">
        <f aca="false">N(BL67)+N(BL68)+N(BL69)+N(BL70)+N(BL71)+N(BL72)+N(BL73)+N(BL74)+N(BL75)</f>
        <v>2604.608</v>
      </c>
      <c r="BM76" s="42" t="n">
        <f aca="false">N(BM67)+N(BM68)+N(BM69)+N(BM70)+N(BM71)+N(BM72)+N(BM73)+N(BM74)+N(BM75)</f>
        <v>657.729</v>
      </c>
      <c r="BN76" s="42" t="n">
        <f aca="false">N(BN67)+N(BN68)+N(BN69)+N(BN70)+N(BN71)+N(BN72)+N(BN73)+N(BN74)+N(BN75)</f>
        <v>687.409</v>
      </c>
      <c r="BO76" s="42" t="n">
        <f aca="false">N(BO67)+N(BO68)+N(BO69)+N(BO70)+N(BO71)+N(BO72)+N(BO73)+N(BO74)+N(BO75)</f>
        <v>735.253</v>
      </c>
      <c r="BP76" s="42" t="n">
        <f aca="false">N(BP67)+N(BP68)+N(BP69)+N(BP70)+N(BP71)+N(BP72)+N(BP73)+N(BP74)+N(BP75)</f>
        <v>684.623</v>
      </c>
      <c r="BQ76" s="42" t="n">
        <f aca="false">N(BQ67)+N(BQ68)+N(BQ69)+N(BQ70)+N(BQ71)+N(BQ72)+N(BQ73)+N(BQ74)+N(BQ75)</f>
        <v>2765.014</v>
      </c>
      <c r="BR76" s="42" t="n">
        <f aca="false">N(BR67)+N(BR68)+N(BR69)+N(BR70)+N(BR71)+N(BR72)+N(BR73)+N(BR74)+N(BR75)</f>
        <v>673.088</v>
      </c>
      <c r="BS76" s="42" t="n">
        <f aca="false">N(BS67)+N(BS68)+N(BS69)+N(BS70)+N(BS71)+N(BS72)+N(BS73)+N(BS74)+N(BS75)</f>
        <v>693.231</v>
      </c>
      <c r="BT76" s="42" t="n">
        <f aca="false">N(BT67)+N(BT68)+N(BT69)+N(BT70)+N(BT71)+N(BT72)+N(BT73)+N(BT74)+N(BT75)</f>
        <v>706.077</v>
      </c>
      <c r="BU76" s="42" t="n">
        <f aca="false">N(BU67)+N(BU68)+N(BU69)+N(BU70)+N(BU71)+N(BU72)+N(BU73)+N(BU74)+N(BU75)</f>
        <v>657.014</v>
      </c>
      <c r="BV76" s="42" t="n">
        <f aca="false">N(BV67)+N(BV68)+N(BV69)+N(BV70)+N(BV71)+N(BV72)+N(BV73)+N(BV74)+N(BV75)</f>
        <v>2729.41</v>
      </c>
      <c r="BW76" s="42" t="n">
        <f aca="false">N(BW67)+N(BW68)+N(BW69)+N(BW70)+N(BW71)+N(BW72)+N(BW73)+N(BW74)+N(BW75)</f>
        <v>660.493</v>
      </c>
      <c r="BX76" s="42" t="n">
        <f aca="false">N(BX67)+N(BX68)+N(BX69)+N(BX70)+N(BX71)+N(BX72)+N(BX73)+N(BX74)+N(BX75)</f>
        <v>737.966</v>
      </c>
      <c r="BY76" s="45"/>
      <c r="BZ76" s="45"/>
      <c r="CA76" s="45"/>
      <c r="CB76" s="45"/>
      <c r="CC76" s="45"/>
      <c r="CD76" s="45"/>
      <c r="CE76" s="45"/>
    </row>
    <row r="77" customFormat="false" ht="15" hidden="false" customHeight="false" outlineLevel="0" collapsed="false">
      <c r="B77" s="46" t="s">
        <v>188</v>
      </c>
      <c r="C77" s="47" t="n">
        <f aca="false">IF(ISNUMBER(C67),ROUND(C76-C133,1),"")</f>
        <v>0</v>
      </c>
      <c r="D77" s="47" t="n">
        <f aca="false">IF(ISNUMBER(D67),ROUND(D76-D133,1),"")</f>
        <v>0</v>
      </c>
      <c r="E77" s="47" t="n">
        <f aca="false">IF(ISNUMBER(E67),ROUND(E76-E133,1),"")</f>
        <v>0</v>
      </c>
      <c r="F77" s="47" t="n">
        <f aca="false">IF(ISNUMBER(F67),ROUND(F76-F133,1),"")</f>
        <v>0</v>
      </c>
      <c r="G77" s="47" t="n">
        <f aca="false">IF(ISNUMBER(G67),ROUND(G76-G133,1),"")</f>
        <v>0</v>
      </c>
      <c r="H77" s="47" t="n">
        <f aca="false">IF(ISNUMBER(H67),ROUND(H76-H133,1),"")</f>
        <v>0</v>
      </c>
      <c r="I77" s="47" t="n">
        <f aca="false">IF(ISNUMBER(I67),ROUND(I76-I133,1),"")</f>
        <v>0</v>
      </c>
      <c r="J77" s="47" t="n">
        <f aca="false">IF(ISNUMBER(J67),ROUND(J76-J133,1),"")</f>
        <v>0</v>
      </c>
      <c r="K77" s="47" t="n">
        <f aca="false">IF(ISNUMBER(K67),ROUND(K76-K133,1),"")</f>
        <v>0</v>
      </c>
      <c r="L77" s="47" t="n">
        <f aca="false">IF(ISNUMBER(L67),ROUND(L76-L133,1),"")</f>
        <v>0</v>
      </c>
      <c r="M77" s="47" t="n">
        <f aca="false">IF(ISNUMBER(M67),ROUND(M76-M133,1),"")</f>
        <v>0</v>
      </c>
      <c r="N77" s="47" t="n">
        <f aca="false">IF(ISNUMBER(N67),ROUND(N76-N133,1),"")</f>
        <v>0</v>
      </c>
      <c r="O77" s="47" t="n">
        <f aca="false">IF(ISNUMBER(O67),ROUND(O76-O133,1),"")</f>
        <v>0</v>
      </c>
      <c r="P77" s="47" t="n">
        <f aca="false">IF(ISNUMBER(P67),ROUND(P76-P133,1),"")</f>
        <v>0</v>
      </c>
      <c r="Q77" s="47" t="n">
        <f aca="false">IF(ISNUMBER(Q67),ROUND(Q76-Q133,1),"")</f>
        <v>0</v>
      </c>
      <c r="R77" s="47" t="n">
        <f aca="false">IF(ISNUMBER(R67),ROUND(R76-R133,1),"")</f>
        <v>0</v>
      </c>
      <c r="S77" s="47" t="n">
        <f aca="false">IF(ISNUMBER(S67),ROUND(S76-S133,1),"")</f>
        <v>0</v>
      </c>
      <c r="T77" s="47" t="n">
        <f aca="false">IF(ISNUMBER(T67),ROUND(T76-T133,1),"")</f>
        <v>0</v>
      </c>
      <c r="U77" s="47" t="n">
        <f aca="false">IF(ISNUMBER(U67),ROUND(U76-U133,1),"")</f>
        <v>0</v>
      </c>
      <c r="V77" s="47" t="n">
        <f aca="false">IF(ISNUMBER(V67),ROUND(V76-V133,1),"")</f>
        <v>0</v>
      </c>
      <c r="W77" s="47" t="n">
        <f aca="false">IF(ISNUMBER(W67),ROUND(W76-W133,1),"")</f>
        <v>0</v>
      </c>
      <c r="X77" s="47" t="n">
        <f aca="false">IF(ISNUMBER(X67),ROUND(X76-X133,1),"")</f>
        <v>0</v>
      </c>
      <c r="Y77" s="47" t="n">
        <f aca="false">IF(ISNUMBER(Y67),ROUND(Y76-Y133,1),"")</f>
        <v>0</v>
      </c>
      <c r="Z77" s="47" t="n">
        <f aca="false">IF(ISNUMBER(Z67),ROUND(Z76-Z133,1),"")</f>
        <v>0</v>
      </c>
      <c r="AA77" s="47" t="n">
        <f aca="false">IF(ISNUMBER(AA67),ROUND(AA76-AA133,1),"")</f>
        <v>0</v>
      </c>
      <c r="AB77" s="47" t="n">
        <f aca="false">IF(ISNUMBER(AB67),ROUND(AB76-AB133,1),"")</f>
        <v>0</v>
      </c>
      <c r="AC77" s="47" t="n">
        <f aca="false">IF(ISNUMBER(AC67),ROUND(AC76-AC133,1),"")</f>
        <v>0</v>
      </c>
      <c r="AD77" s="47" t="n">
        <f aca="false">IF(ISNUMBER(AD67),ROUND(AD76-AD133,1),"")</f>
        <v>0</v>
      </c>
      <c r="AE77" s="47" t="n">
        <f aca="false">IF(ISNUMBER(AE67),ROUND(AE76-AE133,1),"")</f>
        <v>0</v>
      </c>
      <c r="AF77" s="47" t="n">
        <f aca="false">IF(ISNUMBER(AF67),ROUND(AF76-AF133,1),"")</f>
        <v>0</v>
      </c>
      <c r="AG77" s="47" t="n">
        <f aca="false">IF(ISNUMBER(AG67),ROUND(AG76-AG133,1),"")</f>
        <v>0</v>
      </c>
      <c r="AH77" s="47" t="n">
        <f aca="false">IF(ISNUMBER(AH67),ROUND(AH76-AH133,1),"")</f>
        <v>0</v>
      </c>
      <c r="AI77" s="47" t="n">
        <f aca="false">IF(ISNUMBER(AI67),ROUND(AI76-AI133,1),"")</f>
        <v>0</v>
      </c>
      <c r="AJ77" s="47" t="n">
        <f aca="false">IF(ISNUMBER(AJ67),ROUND(AJ76-AJ133,1),"")</f>
        <v>0</v>
      </c>
      <c r="AK77" s="47" t="n">
        <f aca="false">IF(ISNUMBER(AK67),ROUND(AK76-AK133,1),"")</f>
        <v>0</v>
      </c>
      <c r="AL77" s="47" t="n">
        <f aca="false">IF(ISNUMBER(AL67),ROUND(AL76-AL133,1),"")</f>
        <v>0</v>
      </c>
      <c r="AM77" s="47" t="n">
        <f aca="false">IF(ISNUMBER(AM67),ROUND(AM76-AM133,1),"")</f>
        <v>0</v>
      </c>
      <c r="AN77" s="47" t="n">
        <f aca="false">IF(ISNUMBER(AN67),ROUND(AN76-AN133,1),"")</f>
        <v>0</v>
      </c>
      <c r="AO77" s="47" t="n">
        <f aca="false">IF(ISNUMBER(AO67),ROUND(AO76-AO133,1),"")</f>
        <v>0</v>
      </c>
      <c r="AP77" s="47" t="n">
        <f aca="false">IF(ISNUMBER(AP67),ROUND(AP76-AP133,1),"")</f>
        <v>0</v>
      </c>
      <c r="AQ77" s="47" t="n">
        <f aca="false">IF(ISNUMBER(AQ67),ROUND(AQ76-AQ133,1),"")</f>
        <v>0</v>
      </c>
      <c r="AR77" s="47" t="n">
        <f aca="false">IF(ISNUMBER(AR67),ROUND(AR76-AR133,1),"")</f>
        <v>0</v>
      </c>
      <c r="AS77" s="47" t="n">
        <f aca="false">IF(ISNUMBER(AS67),ROUND(AS76-AS133,1),"")</f>
        <v>0</v>
      </c>
      <c r="AT77" s="47" t="n">
        <f aca="false">IF(ISNUMBER(AT67),ROUND(AT76-AT133,1),"")</f>
        <v>0</v>
      </c>
      <c r="AU77" s="47" t="n">
        <f aca="false">IF(ISNUMBER(AU67),ROUND(AU76-AU133,1),"")</f>
        <v>0</v>
      </c>
      <c r="AV77" s="47" t="n">
        <f aca="false">IF(ISNUMBER(AV67),ROUND(AV76-AV133,1),"")</f>
        <v>0</v>
      </c>
      <c r="AW77" s="47" t="n">
        <f aca="false">IF(ISNUMBER(AW67),ROUND(AW76-AW133,1),"")</f>
        <v>0</v>
      </c>
      <c r="AX77" s="47" t="n">
        <f aca="false">IF(ISNUMBER(AX67),ROUND(AX76-AX133,1),"")</f>
        <v>0</v>
      </c>
      <c r="AY77" s="47" t="n">
        <f aca="false">IF(ISNUMBER(AY67),ROUND(AY76-AY133,1),"")</f>
        <v>0</v>
      </c>
      <c r="AZ77" s="47" t="n">
        <f aca="false">IF(ISNUMBER(AZ67),ROUND(AZ76-AZ133,1),"")</f>
        <v>0</v>
      </c>
      <c r="BA77" s="47" t="n">
        <f aca="false">IF(ISNUMBER(BA67),ROUND(BA76-BA133,1),"")</f>
        <v>0</v>
      </c>
      <c r="BB77" s="47" t="n">
        <f aca="false">IF(ISNUMBER(BB67),ROUND(BB76-BB133,1),"")</f>
        <v>0</v>
      </c>
      <c r="BC77" s="47" t="n">
        <f aca="false">IF(ISNUMBER(BC67),ROUND(BC76-BC133,1),"")</f>
        <v>0</v>
      </c>
      <c r="BD77" s="47" t="n">
        <f aca="false">IF(ISNUMBER(BD67),ROUND(BD76-BD133,1),"")</f>
        <v>0</v>
      </c>
      <c r="BE77" s="47" t="n">
        <f aca="false">IF(ISNUMBER(BE67),ROUND(BE76-BE133,1),"")</f>
        <v>0</v>
      </c>
      <c r="BF77" s="47" t="n">
        <f aca="false">IF(ISNUMBER(BF67),ROUND(BF76-BF133,1),"")</f>
        <v>0</v>
      </c>
      <c r="BG77" s="47" t="n">
        <f aca="false">IF(ISNUMBER(BG67),ROUND(BG76-BG133,1),"")</f>
        <v>0</v>
      </c>
      <c r="BH77" s="47" t="n">
        <f aca="false">IF(ISNUMBER(BH67),ROUND(BH76-BH133,1),"")</f>
        <v>0</v>
      </c>
      <c r="BI77" s="47" t="n">
        <f aca="false">IF(ISNUMBER(BI67),ROUND(BI76-BI133,1),"")</f>
        <v>0</v>
      </c>
      <c r="BJ77" s="47" t="n">
        <f aca="false">IF(ISNUMBER(BJ67),ROUND(BJ76-BJ133,1),"")</f>
        <v>0</v>
      </c>
      <c r="BK77" s="47" t="n">
        <f aca="false">IF(ISNUMBER(BK67),ROUND(BK76-BK133,1),"")</f>
        <v>0</v>
      </c>
      <c r="BL77" s="47" t="n">
        <f aca="false">IF(ISNUMBER(BL67),ROUND(BL76-BL133,1),"")</f>
        <v>0</v>
      </c>
      <c r="BM77" s="47" t="n">
        <f aca="false">IF(ISNUMBER(BM67),ROUND(BM76-BM133,1),"")</f>
        <v>0</v>
      </c>
      <c r="BN77" s="47" t="n">
        <f aca="false">IF(ISNUMBER(BN67),ROUND(BN76-BN133,1),"")</f>
        <v>0</v>
      </c>
      <c r="BO77" s="47" t="n">
        <f aca="false">IF(ISNUMBER(BO67),ROUND(BO76-BO133,1),"")</f>
        <v>0</v>
      </c>
      <c r="BP77" s="47" t="n">
        <f aca="false">IF(ISNUMBER(BP67),ROUND(BP76-BP133,1),"")</f>
        <v>0</v>
      </c>
      <c r="BQ77" s="47" t="n">
        <f aca="false">IF(ISNUMBER(BQ67),ROUND(BQ76-BQ133,1),"")</f>
        <v>0</v>
      </c>
      <c r="BR77" s="47" t="n">
        <f aca="false">IF(ISNUMBER(BR67),ROUND(BR76-BR133,1),"")</f>
        <v>0</v>
      </c>
      <c r="BS77" s="47" t="n">
        <f aca="false">IF(ISNUMBER(BS67),ROUND(BS76-BS133,1),"")</f>
        <v>0</v>
      </c>
      <c r="BT77" s="47" t="n">
        <f aca="false">IF(ISNUMBER(BT67),ROUND(BT76-BT133,1),"")</f>
        <v>0</v>
      </c>
      <c r="BU77" s="47" t="n">
        <f aca="false">IF(ISNUMBER(BU67),ROUND(BU76-BU133,1),"")</f>
        <v>0</v>
      </c>
      <c r="BV77" s="47" t="n">
        <f aca="false">IF(ISNUMBER(BV67),ROUND(BV76-BV133,1),"")</f>
        <v>0</v>
      </c>
      <c r="BW77" s="47" t="n">
        <f aca="false">IF(ISNUMBER(BW67),ROUND(BW76-BW133,1),"")</f>
        <v>0</v>
      </c>
      <c r="BX77" s="47" t="n">
        <f aca="false">IF(ISNUMBER(BX67),ROUND(BX76-BX133,1),"")</f>
        <v>0</v>
      </c>
    </row>
    <row r="79" customFormat="false" ht="15" hidden="false" customHeight="false" outlineLevel="0" collapsed="false">
      <c r="B79" s="15" t="s">
        <v>189</v>
      </c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7" t="s">
        <v>190</v>
      </c>
    </row>
    <row r="80" customFormat="false" ht="15" hidden="true" customHeight="false" outlineLevel="1" collapsed="false">
      <c r="B80" s="28" t="s">
        <v>191</v>
      </c>
      <c r="BY80" s="6"/>
      <c r="BZ80" s="6"/>
      <c r="CA80" s="48" t="n">
        <v>0</v>
      </c>
      <c r="CB80" s="49" t="n">
        <f aca="false">MAX(0,CHOOSE(MATCH($CF$2,{"Bull","Base","Bear"},0),$CO$55,$CP$55,$CQ$55))</f>
        <v>0</v>
      </c>
      <c r="CC80" s="49" t="n">
        <f aca="false">MAX(0,CHOOSE(MATCH($CF$2,{"Bull","Base","Bear"},0),$CO$56,$CP$56,$CQ$56))</f>
        <v>100</v>
      </c>
      <c r="CD80" s="49" t="n">
        <f aca="false">MAX(0,CHOOSE(MATCH($CF$2,{"Bull","Base","Bear"},0),$CO$57,$CP$57,$CQ$57))</f>
        <v>150</v>
      </c>
      <c r="CE80" s="49" t="n">
        <f aca="false">MAX(0,CHOOSE(MATCH($CF$2,{"Bull","Base","Bear"},0),$CO$58,$CP$58,$CQ$58))</f>
        <v>150</v>
      </c>
      <c r="CF80" s="23" t="s">
        <v>192</v>
      </c>
    </row>
    <row r="81" customFormat="false" ht="15" hidden="true" customHeight="false" outlineLevel="1" collapsed="false">
      <c r="B81" s="28" t="s">
        <v>193</v>
      </c>
      <c r="BY81" s="6"/>
      <c r="BZ81" s="6"/>
      <c r="CA81" s="6"/>
      <c r="CB81" s="50" t="n">
        <v>4</v>
      </c>
      <c r="CC81" s="50" t="n">
        <v>4</v>
      </c>
      <c r="CD81" s="50" t="n">
        <v>4</v>
      </c>
      <c r="CE81" s="50" t="n">
        <v>4</v>
      </c>
    </row>
    <row r="82" customFormat="false" ht="15" hidden="true" customHeight="false" outlineLevel="1" collapsed="false">
      <c r="B82" s="28" t="s">
        <v>194</v>
      </c>
      <c r="BY82" s="6"/>
      <c r="BZ82" s="6"/>
      <c r="CA82" s="6"/>
      <c r="CB82" s="49" t="n">
        <f aca="false">IFERROR(CB80/CB81,0)</f>
        <v>0</v>
      </c>
      <c r="CC82" s="49" t="n">
        <f aca="false">IFERROR(CC80/CC81,0)</f>
        <v>25</v>
      </c>
      <c r="CD82" s="49" t="n">
        <f aca="false">IFERROR(CD80/CD81,0)</f>
        <v>37.5</v>
      </c>
      <c r="CE82" s="49" t="n">
        <f aca="false">IFERROR(CE80/CE81,0)</f>
        <v>37.5</v>
      </c>
    </row>
    <row r="83" customFormat="false" ht="15" hidden="true" customHeight="false" outlineLevel="1" collapsed="false">
      <c r="B83" s="25" t="s">
        <v>195</v>
      </c>
      <c r="BY83" s="6"/>
      <c r="BZ83" s="6"/>
      <c r="CA83" s="6"/>
      <c r="CB83" s="35" t="n">
        <v>0.04</v>
      </c>
      <c r="CC83" s="35" t="n">
        <v>0.04</v>
      </c>
      <c r="CD83" s="35" t="n">
        <v>0.04</v>
      </c>
      <c r="CE83" s="35" t="n">
        <v>0.04</v>
      </c>
    </row>
    <row r="84" customFormat="false" ht="15" hidden="true" customHeight="false" outlineLevel="1" collapsed="false">
      <c r="B84" s="28" t="s">
        <v>196</v>
      </c>
      <c r="BY84" s="6"/>
      <c r="BZ84" s="6"/>
      <c r="CA84" s="48" t="n">
        <v>0</v>
      </c>
      <c r="CB84" s="49" t="n">
        <f aca="false">CA84*(1+CB83)+CB82</f>
        <v>0</v>
      </c>
      <c r="CC84" s="49" t="n">
        <f aca="false">CB84*(1+CC83)+CC82</f>
        <v>25</v>
      </c>
      <c r="CD84" s="49" t="n">
        <f aca="false">CC84*(1+CD83)+CD82</f>
        <v>63.5</v>
      </c>
      <c r="CE84" s="49" t="n">
        <f aca="false">CD84*(1+CE83)+CE82</f>
        <v>103.54</v>
      </c>
    </row>
    <row r="85" customFormat="false" ht="15" hidden="true" customHeight="false" outlineLevel="1" collapsed="false">
      <c r="B85" s="28" t="s">
        <v>197</v>
      </c>
      <c r="BY85" s="6"/>
      <c r="BZ85" s="6"/>
      <c r="CA85" s="48" t="n">
        <v>0</v>
      </c>
      <c r="CB85" s="49" t="n">
        <f aca="false">CA84*(1+CB83)+0.5*CB82</f>
        <v>0</v>
      </c>
      <c r="CC85" s="49" t="n">
        <f aca="false">CB84*(1+CC83)+0.5*CC82</f>
        <v>12.5</v>
      </c>
      <c r="CD85" s="49" t="n">
        <f aca="false">CC84*(1+CD83)+0.5*CD82</f>
        <v>44.75</v>
      </c>
      <c r="CE85" s="49" t="n">
        <f aca="false">CD84*(1+CE83)+0.5*CE82</f>
        <v>84.79</v>
      </c>
    </row>
    <row r="86" customFormat="false" ht="15" hidden="true" customHeight="false" outlineLevel="1" collapsed="false">
      <c r="B86" s="25" t="s">
        <v>198</v>
      </c>
      <c r="BY86" s="6"/>
      <c r="BZ86" s="6"/>
      <c r="CA86" s="6"/>
      <c r="CB86" s="35" t="n">
        <v>0.15</v>
      </c>
      <c r="CC86" s="35" t="n">
        <v>0.15</v>
      </c>
      <c r="CD86" s="35" t="n">
        <v>0.15</v>
      </c>
      <c r="CE86" s="35" t="n">
        <v>0.15</v>
      </c>
    </row>
    <row r="87" customFormat="false" ht="15" hidden="true" customHeight="false" outlineLevel="1" collapsed="false">
      <c r="B87" s="28" t="s">
        <v>199</v>
      </c>
      <c r="BY87" s="6"/>
      <c r="BZ87" s="6"/>
      <c r="CA87" s="48" t="n">
        <v>0</v>
      </c>
      <c r="CB87" s="49" t="n">
        <f aca="false">IFERROR(CB85/CB86,0)</f>
        <v>0</v>
      </c>
      <c r="CC87" s="49" t="n">
        <f aca="false">IFERROR(CC85/CC86,0)</f>
        <v>83.3333333333333</v>
      </c>
      <c r="CD87" s="49" t="n">
        <f aca="false">IFERROR(CD85/CD86,0)</f>
        <v>298.333333333333</v>
      </c>
      <c r="CE87" s="49" t="n">
        <f aca="false">IFERROR(CE85/CE86,0)</f>
        <v>565.266666666667</v>
      </c>
    </row>
    <row r="88" customFormat="false" ht="15" hidden="true" customHeight="false" outlineLevel="1" collapsed="false">
      <c r="B88" s="25" t="s">
        <v>200</v>
      </c>
      <c r="BY88" s="6"/>
      <c r="BZ88" s="6"/>
      <c r="CA88" s="6"/>
      <c r="CB88" s="35" t="n">
        <v>0.25</v>
      </c>
      <c r="CC88" s="35" t="n">
        <v>0.25</v>
      </c>
      <c r="CD88" s="35" t="n">
        <v>0.25</v>
      </c>
      <c r="CE88" s="35" t="n">
        <v>0.25</v>
      </c>
    </row>
    <row r="89" customFormat="false" ht="15" hidden="true" customHeight="false" outlineLevel="1" collapsed="false">
      <c r="B89" s="28" t="s">
        <v>201</v>
      </c>
      <c r="BY89" s="6"/>
      <c r="BZ89" s="6"/>
      <c r="CA89" s="48" t="n">
        <v>0</v>
      </c>
      <c r="CB89" s="49" t="n">
        <f aca="false">CB85*(1-CB88)</f>
        <v>0</v>
      </c>
      <c r="CC89" s="49" t="n">
        <f aca="false">CC85*(1-CC88)</f>
        <v>9.375</v>
      </c>
      <c r="CD89" s="49" t="n">
        <f aca="false">CD85*(1-CD88)</f>
        <v>33.5625</v>
      </c>
      <c r="CE89" s="49" t="n">
        <f aca="false">CE85*(1-CE88)</f>
        <v>63.5925</v>
      </c>
    </row>
    <row r="90" customFormat="false" ht="15" hidden="true" customHeight="false" outlineLevel="1" collapsed="false">
      <c r="B90" s="25" t="s">
        <v>202</v>
      </c>
      <c r="BY90" s="6"/>
      <c r="BZ90" s="6"/>
      <c r="CA90" s="6"/>
      <c r="CB90" s="35" t="n">
        <v>0.25</v>
      </c>
      <c r="CC90" s="35" t="n">
        <v>0.25</v>
      </c>
      <c r="CD90" s="35" t="n">
        <v>0.25</v>
      </c>
      <c r="CE90" s="35" t="n">
        <v>0.25</v>
      </c>
    </row>
    <row r="91" customFormat="false" ht="15" hidden="true" customHeight="false" outlineLevel="1" collapsed="false">
      <c r="B91" s="28" t="s">
        <v>203</v>
      </c>
      <c r="BY91" s="6"/>
      <c r="BZ91" s="6"/>
      <c r="CA91" s="6"/>
      <c r="CB91" s="48" t="n">
        <v>8</v>
      </c>
      <c r="CC91" s="48" t="n">
        <v>8</v>
      </c>
      <c r="CD91" s="48" t="n">
        <v>8</v>
      </c>
      <c r="CE91" s="48" t="n">
        <v>8</v>
      </c>
    </row>
    <row r="92" customFormat="false" ht="15" hidden="true" customHeight="false" outlineLevel="1" collapsed="false">
      <c r="B92" s="28" t="s">
        <v>204</v>
      </c>
      <c r="BY92" s="6"/>
      <c r="BZ92" s="6"/>
      <c r="CA92" s="48" t="n">
        <v>0</v>
      </c>
      <c r="CB92" s="49" t="n">
        <f aca="false">CA92+CB80*CB90</f>
        <v>0</v>
      </c>
      <c r="CC92" s="49" t="n">
        <f aca="false">CB92+CC80*CC90</f>
        <v>25</v>
      </c>
      <c r="CD92" s="49" t="n">
        <f aca="false">CC92+CD80*CD90</f>
        <v>62.5</v>
      </c>
      <c r="CE92" s="49" t="n">
        <f aca="false">CD92+CE80*CE90</f>
        <v>100</v>
      </c>
    </row>
    <row r="93" customFormat="false" ht="15" hidden="true" customHeight="false" outlineLevel="1" collapsed="false">
      <c r="B93" s="28" t="s">
        <v>205</v>
      </c>
      <c r="BY93" s="6"/>
      <c r="BZ93" s="6"/>
      <c r="CA93" s="48" t="n">
        <v>0</v>
      </c>
      <c r="CB93" s="49" t="n">
        <f aca="false">(CA92+0.5*CB80*CB90)/CB91</f>
        <v>0</v>
      </c>
      <c r="CC93" s="49" t="n">
        <f aca="false">(CB92+0.5*CC80*CC90)/CC91</f>
        <v>1.5625</v>
      </c>
      <c r="CD93" s="49" t="n">
        <f aca="false">(CC92+0.5*CD80*CD90)/CD91</f>
        <v>5.46875</v>
      </c>
      <c r="CE93" s="49" t="n">
        <f aca="false">(CD92+0.5*CE80*CE90)/CE91</f>
        <v>10.15625</v>
      </c>
    </row>
    <row r="95" customFormat="false" ht="15" hidden="false" customHeight="false" outlineLevel="0" collapsed="false">
      <c r="B95" s="15" t="s">
        <v>206</v>
      </c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7" t="s">
        <v>207</v>
      </c>
    </row>
    <row r="96" customFormat="false" ht="15" hidden="false" customHeight="false" outlineLevel="0" collapsed="false">
      <c r="B96" s="28" t="s">
        <v>208</v>
      </c>
      <c r="C96" s="37" t="n">
        <v>1082.544</v>
      </c>
      <c r="D96" s="37" t="n">
        <v>1243.778</v>
      </c>
      <c r="E96" s="37" t="n">
        <v>1374.963</v>
      </c>
      <c r="F96" s="37" t="n">
        <v>1381.959</v>
      </c>
      <c r="G96" s="37" t="n">
        <v>1467.978</v>
      </c>
      <c r="H96" s="37" t="n">
        <v>1632.658</v>
      </c>
      <c r="I96" s="37" t="n">
        <v>1717.571</v>
      </c>
      <c r="J96" s="37" t="n">
        <v>455.722</v>
      </c>
      <c r="K96" s="37" t="n">
        <v>472.602</v>
      </c>
      <c r="L96" s="37" t="n">
        <v>463.306</v>
      </c>
      <c r="M96" s="37" t="n">
        <v>444.465</v>
      </c>
      <c r="N96" s="37" t="n">
        <v>1836.095</v>
      </c>
      <c r="O96" s="37" t="n">
        <v>457.235</v>
      </c>
      <c r="P96" s="37" t="n">
        <v>521.037</v>
      </c>
      <c r="Q96" s="37" t="n">
        <v>527.564</v>
      </c>
      <c r="R96" s="37" t="n">
        <v>501.816</v>
      </c>
      <c r="BY96" s="6"/>
      <c r="BZ96" s="6"/>
      <c r="CA96" s="6"/>
      <c r="CB96" s="6"/>
      <c r="CC96" s="6"/>
      <c r="CD96" s="6"/>
      <c r="CE96" s="6"/>
    </row>
    <row r="97" customFormat="false" ht="15" hidden="false" customHeight="false" outlineLevel="0" collapsed="false">
      <c r="B97" s="28" t="s">
        <v>209</v>
      </c>
      <c r="C97" s="37" t="n">
        <v>6556.194</v>
      </c>
      <c r="D97" s="37" t="n">
        <v>7316.223</v>
      </c>
      <c r="E97" s="37" t="n">
        <v>8578.614</v>
      </c>
      <c r="F97" s="37" t="n">
        <v>7577.189</v>
      </c>
      <c r="G97" s="37" t="n">
        <v>9274.305</v>
      </c>
      <c r="H97" s="37" t="n">
        <v>10336.346</v>
      </c>
      <c r="I97" s="37" t="n">
        <v>11359.113</v>
      </c>
      <c r="J97" s="37" t="n">
        <v>2994.267</v>
      </c>
      <c r="K97" s="37" t="n">
        <v>3288.262</v>
      </c>
      <c r="L97" s="37" t="n">
        <v>3316.665</v>
      </c>
      <c r="M97" s="37" t="n">
        <v>3152.882</v>
      </c>
      <c r="N97" s="37" t="n">
        <v>12752.076</v>
      </c>
      <c r="O97" s="37" t="n">
        <v>3142.585</v>
      </c>
      <c r="P97" s="37" t="n">
        <v>3502.918</v>
      </c>
      <c r="Q97" s="37" t="n">
        <v>3467.362</v>
      </c>
      <c r="R97" s="37" t="n">
        <v>3357.202</v>
      </c>
      <c r="BY97" s="6"/>
      <c r="BZ97" s="6"/>
      <c r="CA97" s="6"/>
      <c r="CB97" s="6"/>
      <c r="CC97" s="6"/>
      <c r="CD97" s="6"/>
      <c r="CE97" s="6"/>
    </row>
    <row r="98" customFormat="false" ht="15" hidden="false" customHeight="false" outlineLevel="0" collapsed="false">
      <c r="B98" s="51" t="s">
        <v>210</v>
      </c>
      <c r="C98" s="52" t="n">
        <f aca="false">N(C13)+N(C32)+N(C49)+N(C96)</f>
        <v>1082.544</v>
      </c>
      <c r="D98" s="52" t="n">
        <f aca="false">N(D13)+N(D32)+N(D49)+N(D96)</f>
        <v>1243.778</v>
      </c>
      <c r="E98" s="52" t="n">
        <f aca="false">N(E13)+N(E32)+N(E49)+N(E96)</f>
        <v>1374.963</v>
      </c>
      <c r="F98" s="52" t="n">
        <f aca="false">N(F13)+N(F32)+N(F49)+N(F96)</f>
        <v>1381.959</v>
      </c>
      <c r="G98" s="52" t="n">
        <f aca="false">N(G13)+N(G32)+N(G49)+N(G96)</f>
        <v>1467.978</v>
      </c>
      <c r="H98" s="52" t="n">
        <f aca="false">N(H13)+N(H32)+N(H49)+N(H96)</f>
        <v>1632.658</v>
      </c>
      <c r="I98" s="52" t="n">
        <f aca="false">N(I13)+N(I32)+N(I49)+N(I96)</f>
        <v>1717.571</v>
      </c>
      <c r="J98" s="52" t="n">
        <f aca="false">N(J13)+N(J32)+N(J49)+N(J96)</f>
        <v>455.722</v>
      </c>
      <c r="K98" s="52" t="n">
        <f aca="false">N(K13)+N(K32)+N(K49)+N(K96)</f>
        <v>472.602</v>
      </c>
      <c r="L98" s="52" t="n">
        <f aca="false">N(L13)+N(L32)+N(L49)+N(L96)</f>
        <v>463.306</v>
      </c>
      <c r="M98" s="52" t="n">
        <f aca="false">N(M13)+N(M32)+N(M49)+N(M96)</f>
        <v>444.465</v>
      </c>
      <c r="N98" s="52" t="n">
        <f aca="false">N(N13)+N(N32)+N(N49)+N(N96)</f>
        <v>1836.095</v>
      </c>
      <c r="O98" s="52" t="n">
        <f aca="false">N(O13)+N(O32)+N(O49)+N(O96)</f>
        <v>457.235</v>
      </c>
      <c r="P98" s="52" t="n">
        <f aca="false">N(P13)+N(P32)+N(P49)+N(P96)</f>
        <v>521.037</v>
      </c>
      <c r="Q98" s="52" t="n">
        <f aca="false">N(Q13)+N(Q32)+N(Q49)+N(Q96)</f>
        <v>527.564</v>
      </c>
      <c r="R98" s="52" t="n">
        <f aca="false">N(R13)+N(R32)+N(R49)+N(R96)</f>
        <v>501.816</v>
      </c>
      <c r="S98" s="52" t="n">
        <f aca="false">N(S13)+N(S32)+N(S49)+N(S96)</f>
        <v>2007.652</v>
      </c>
      <c r="T98" s="52" t="n">
        <f aca="false">N(T13)+N(T32)+N(T49)+N(T96)</f>
        <v>525.11</v>
      </c>
      <c r="U98" s="52" t="n">
        <f aca="false">N(U13)+N(U32)+N(U49)+N(U96)</f>
        <v>584.018</v>
      </c>
      <c r="V98" s="52" t="n">
        <f aca="false">N(V13)+N(V32)+N(V49)+N(V96)</f>
        <v>588.575</v>
      </c>
      <c r="W98" s="52" t="n">
        <f aca="false">N(W13)+N(W32)+N(W49)+N(W96)</f>
        <v>570.777</v>
      </c>
      <c r="X98" s="52" t="n">
        <f aca="false">N(X13)+N(X32)+N(X49)+N(X96)</f>
        <v>2268.48</v>
      </c>
      <c r="Y98" s="52" t="n">
        <f aca="false">N(Y13)+N(Y32)+N(Y49)+N(Y96)</f>
        <v>563.335</v>
      </c>
      <c r="Z98" s="52" t="n">
        <f aca="false">N(Z13)+N(Z32)+N(Z49)+N(Z96)</f>
        <v>594.215</v>
      </c>
      <c r="AA98" s="52" t="n">
        <f aca="false">N(AA13)+N(AA32)+N(AA49)+N(AA96)</f>
        <v>558.462</v>
      </c>
      <c r="AB98" s="52" t="n">
        <f aca="false">N(AB13)+N(AB32)+N(AB49)+N(AB96)</f>
        <v>561.516</v>
      </c>
      <c r="AC98" s="52" t="n">
        <f aca="false">N(AC13)+N(AC32)+N(AC49)+N(AC96)</f>
        <v>2277.528</v>
      </c>
      <c r="AD98" s="52" t="n">
        <f aca="false">N(AD13)+N(AD32)+N(AD49)+N(AD96)</f>
        <v>568.566</v>
      </c>
      <c r="AE98" s="52" t="n">
        <f aca="false">N(AE13)+N(AE32)+N(AE49)+N(AE96)</f>
        <v>573.789</v>
      </c>
      <c r="AF98" s="52" t="n">
        <f aca="false">N(AF13)+N(AF32)+N(AF49)+N(AF96)</f>
        <v>593.846</v>
      </c>
      <c r="AG98" s="52" t="n">
        <f aca="false">N(AG13)+N(AG32)+N(AG49)+N(AG96)</f>
        <v>631.849</v>
      </c>
      <c r="AH98" s="52" t="n">
        <f aca="false">N(AH13)+N(AH32)+N(AH49)+N(AH96)</f>
        <v>2368.05</v>
      </c>
      <c r="AI98" s="52" t="n">
        <f aca="false">N(AI13)+N(AI32)+N(AI49)+N(AI96)</f>
        <v>625.925</v>
      </c>
      <c r="AJ98" s="52" t="n">
        <f aca="false">N(AJ13)+N(AJ32)+N(AJ49)+N(AJ96)</f>
        <v>671.483</v>
      </c>
      <c r="AK98" s="52" t="n">
        <f aca="false">N(AK13)+N(AK32)+N(AK49)+N(AK96)</f>
        <v>694.044</v>
      </c>
      <c r="AL98" s="52" t="n">
        <f aca="false">N(AL13)+N(AL32)+N(AL49)+N(AL96)</f>
        <v>713.783</v>
      </c>
      <c r="AM98" s="52" t="n">
        <f aca="false">N(AM13)+N(AM32)+N(AM49)+N(AM96)</f>
        <v>2705.235</v>
      </c>
      <c r="AN98" s="52" t="n">
        <f aca="false">N(AN13)+N(AN32)+N(AN49)+N(AN96)</f>
        <v>678.8</v>
      </c>
      <c r="AO98" s="52" t="n">
        <f aca="false">N(AO13)+N(AO32)+N(AO49)+N(AO96)</f>
        <v>695.216</v>
      </c>
      <c r="AP98" s="52" t="n">
        <f aca="false">N(AP13)+N(AP32)+N(AP49)+N(AP96)</f>
        <v>633.431</v>
      </c>
      <c r="AQ98" s="52" t="n">
        <f aca="false">N(AQ13)+N(AQ32)+N(AQ49)+N(AQ96)</f>
        <v>578.863</v>
      </c>
      <c r="AR98" s="52" t="n">
        <f aca="false">N(AR13)+N(AR32)+N(AR49)+N(AR96)</f>
        <v>2586.31</v>
      </c>
      <c r="AS98" s="52" t="n">
        <f aca="false">N(AS13)+N(AS32)+N(AS49)+N(AS96)</f>
        <v>567.953</v>
      </c>
      <c r="AT98" s="52" t="n">
        <f aca="false">N(AT13)+N(AT32)+N(AT49)+N(AT96)</f>
        <v>614.453</v>
      </c>
      <c r="AU98" s="52" t="n">
        <f aca="false">N(AU13)+N(AU32)+N(AU49)+N(AU96)</f>
        <v>589.273</v>
      </c>
      <c r="AV98" s="52" t="n">
        <f aca="false">N(AV13)+N(AV32)+N(AV49)+N(AV96)</f>
        <v>640.578</v>
      </c>
      <c r="AW98" s="52" t="n">
        <f aca="false">N(AW13)+N(AW32)+N(AW49)+N(AW96)</f>
        <v>2412.257</v>
      </c>
      <c r="AX98" s="52" t="n">
        <f aca="false">N(AX13)+N(AX32)+N(AX49)+N(AX96)</f>
        <v>702.38</v>
      </c>
      <c r="AY98" s="52" t="n">
        <f aca="false">N(AY13)+N(AY32)+N(AY49)+N(AY96)</f>
        <v>749.176</v>
      </c>
      <c r="AZ98" s="52" t="n">
        <f aca="false">N(AZ13)+N(AZ32)+N(AZ49)+N(AZ96)</f>
        <v>844.192</v>
      </c>
      <c r="BA98" s="52" t="n">
        <f aca="false">N(BA13)+N(BA32)+N(BA49)+N(BA96)</f>
        <v>856.341</v>
      </c>
      <c r="BB98" s="52" t="n">
        <f aca="false">N(BB13)+N(BB32)+N(BB49)+N(BB96)</f>
        <v>3152.089</v>
      </c>
      <c r="BC98" s="52" t="n">
        <f aca="false">N(BC13)+N(BC32)+N(BC49)+N(BC96)</f>
        <v>906.196</v>
      </c>
      <c r="BD98" s="52" t="n">
        <f aca="false">N(BD13)+N(BD32)+N(BD49)+N(BD96)</f>
        <v>1031.613</v>
      </c>
      <c r="BE98" s="52" t="n">
        <f aca="false">N(BE13)+N(BE32)+N(BE49)+N(BE96)</f>
        <v>887.194</v>
      </c>
      <c r="BF98" s="52" t="n">
        <f aca="false">N(BF13)+N(BF32)+N(BF49)+N(BF96)</f>
        <v>768.174</v>
      </c>
      <c r="BG98" s="52" t="n">
        <f aca="false">N(BG13)+N(BG32)+N(BG49)+N(BG96)</f>
        <v>3593.177</v>
      </c>
      <c r="BH98" s="52" t="n">
        <f aca="false">N(BH13)+N(BH32)+N(BH49)+N(BH96)</f>
        <v>685.64</v>
      </c>
      <c r="BI98" s="52" t="n">
        <f aca="false">N(BI13)+N(BI32)+N(BI49)+N(BI96)</f>
        <v>665.496</v>
      </c>
      <c r="BJ98" s="52" t="n">
        <f aca="false">N(BJ13)+N(BJ32)+N(BJ49)+N(BJ96)</f>
        <v>634.849</v>
      </c>
      <c r="BK98" s="52" t="n">
        <f aca="false">N(BK13)+N(BK32)+N(BK49)+N(BK96)</f>
        <v>618.623</v>
      </c>
      <c r="BL98" s="52" t="n">
        <f aca="false">N(BL13)+N(BL32)+N(BL49)+N(BL96)</f>
        <v>2604.608</v>
      </c>
      <c r="BM98" s="52" t="n">
        <f aca="false">N(BM13)+N(BM32)+N(BM49)+N(BM96)</f>
        <v>657.729</v>
      </c>
      <c r="BN98" s="52" t="n">
        <f aca="false">N(BN13)+N(BN32)+N(BN49)+N(BN96)</f>
        <v>687.409</v>
      </c>
      <c r="BO98" s="52" t="n">
        <f aca="false">N(BO13)+N(BO32)+N(BO49)+N(BO96)</f>
        <v>735.253</v>
      </c>
      <c r="BP98" s="52" t="n">
        <f aca="false">N(BP13)+N(BP32)+N(BP49)+N(BP96)</f>
        <v>684.623</v>
      </c>
      <c r="BQ98" s="52" t="n">
        <f aca="false">N(BQ13)+N(BQ32)+N(BQ49)+N(BQ96)</f>
        <v>2765.014</v>
      </c>
      <c r="BR98" s="52" t="n">
        <f aca="false">N(BR13)+N(BR32)+N(BR49)+N(BR96)</f>
        <v>673.088</v>
      </c>
      <c r="BS98" s="52" t="n">
        <f aca="false">N(BS13)+N(BS32)+N(BS49)+N(BS96)</f>
        <v>693.231</v>
      </c>
      <c r="BT98" s="52" t="n">
        <f aca="false">N(BT13)+N(BT32)+N(BT49)+N(BT96)</f>
        <v>706.077</v>
      </c>
      <c r="BU98" s="52" t="n">
        <f aca="false">N(BU13)+N(BU32)+N(BU49)+N(BU96)</f>
        <v>657.014</v>
      </c>
      <c r="BV98" s="52" t="n">
        <f aca="false">N(BV13)+N(BV32)+N(BV49)+N(BV96)</f>
        <v>2729.41</v>
      </c>
      <c r="BW98" s="52" t="n">
        <f aca="false">N(BW13)+N(BW32)+N(BW49)+N(BW96)</f>
        <v>660.493</v>
      </c>
      <c r="BX98" s="52" t="n">
        <f aca="false">N(BX13)+N(BX32)+N(BX49)+N(BX96)</f>
        <v>737.966</v>
      </c>
      <c r="BY98" s="52" t="n">
        <f aca="false">N(BY13)+N(BY32)+N(BY49)+N(BY85)</f>
        <v>762.187789993305</v>
      </c>
      <c r="BZ98" s="52" t="n">
        <f aca="false">N(BZ13)+N(BZ32)+N(BZ49)+N(BZ85)</f>
        <v>709.264033538311</v>
      </c>
      <c r="CA98" s="52" t="n">
        <f aca="false">N(CA13)+N(CA32)+N(CA49)+N(CA85)</f>
        <v>2869.91082353162</v>
      </c>
      <c r="CB98" s="52" t="n">
        <f aca="false">N(CB13)+N(CB32)+N(CB49)+N(CB85)</f>
        <v>3030.60532499074</v>
      </c>
      <c r="CC98" s="52" t="n">
        <f aca="false">N(CC13)+N(CC32)+N(CC49)+N(CC85)</f>
        <v>3219.1046077979</v>
      </c>
      <c r="CD98" s="52" t="n">
        <f aca="false">N(CD13)+N(CD32)+N(CD49)+N(CD85)</f>
        <v>3407.78341439865</v>
      </c>
      <c r="CE98" s="52" t="n">
        <f aca="false">N(CE13)+N(CE32)+N(CE49)+N(CE85)</f>
        <v>3611.90358392931</v>
      </c>
      <c r="CF98" s="6"/>
      <c r="CH98" s="33" t="n">
        <f aca="false">IFERROR((CE98/BV98)^(1/5)-1,"n/m")</f>
        <v>0.0576293007345061</v>
      </c>
      <c r="CI98" s="33" t="n">
        <f aca="false">IFERROR((BV98/AW98)^(1/5)-1,"n/m")</f>
        <v>0.0250122143628786</v>
      </c>
      <c r="CJ98" s="33" t="n">
        <f aca="false">IFERROR((BV98/X98)^(1/10)-1,"n/m")</f>
        <v>0.0186696858542763</v>
      </c>
      <c r="CK98" s="33" t="n">
        <f aca="false">IFERROR((BV98/C98)^(1/19)-1,"n/m")</f>
        <v>0.0498761361916353</v>
      </c>
    </row>
    <row r="99" customFormat="false" ht="15" hidden="false" customHeight="false" outlineLevel="0" collapsed="false">
      <c r="B99" s="51" t="s">
        <v>211</v>
      </c>
      <c r="C99" s="52" t="n">
        <f aca="false">N(C16)+N(C35)+N(C51)+N(C97)</f>
        <v>6556.194</v>
      </c>
      <c r="D99" s="52" t="n">
        <f aca="false">N(D16)+N(D35)+N(D51)+N(D97)</f>
        <v>7316.223</v>
      </c>
      <c r="E99" s="52" t="n">
        <f aca="false">N(E16)+N(E35)+N(E51)+N(E97)</f>
        <v>8578.614</v>
      </c>
      <c r="F99" s="52" t="n">
        <f aca="false">N(F16)+N(F35)+N(F51)+N(F97)</f>
        <v>7577.189</v>
      </c>
      <c r="G99" s="52" t="n">
        <f aca="false">N(G16)+N(G35)+N(G51)+N(G97)</f>
        <v>9274.305</v>
      </c>
      <c r="H99" s="52" t="n">
        <f aca="false">N(H16)+N(H35)+N(H51)+N(H97)</f>
        <v>10336.346</v>
      </c>
      <c r="I99" s="52" t="n">
        <f aca="false">N(I16)+N(I35)+N(I51)+N(I97)</f>
        <v>11359.113</v>
      </c>
      <c r="J99" s="52" t="n">
        <f aca="false">N(J16)+N(J35)+N(J51)+N(J97)</f>
        <v>2994.267</v>
      </c>
      <c r="K99" s="52" t="n">
        <f aca="false">N(K16)+N(K35)+N(K51)+N(K97)</f>
        <v>3288.262</v>
      </c>
      <c r="L99" s="52" t="n">
        <f aca="false">N(L16)+N(L35)+N(L51)+N(L97)</f>
        <v>3316.665</v>
      </c>
      <c r="M99" s="52" t="n">
        <f aca="false">N(M16)+N(M35)+N(M51)+N(M97)</f>
        <v>3152.882</v>
      </c>
      <c r="N99" s="52" t="n">
        <f aca="false">N(N16)+N(N35)+N(N51)+N(N97)</f>
        <v>12752.076</v>
      </c>
      <c r="O99" s="52" t="n">
        <f aca="false">N(O16)+N(O35)+N(O51)+N(O97)</f>
        <v>3142.585</v>
      </c>
      <c r="P99" s="52" t="n">
        <f aca="false">N(P16)+N(P35)+N(P51)+N(P97)</f>
        <v>3502.918</v>
      </c>
      <c r="Q99" s="52" t="n">
        <f aca="false">N(Q16)+N(Q35)+N(Q51)+N(Q97)</f>
        <v>3467.362</v>
      </c>
      <c r="R99" s="52" t="n">
        <f aca="false">N(R16)+N(R35)+N(R51)+N(R97)</f>
        <v>3357.202</v>
      </c>
      <c r="S99" s="52" t="n">
        <f aca="false">N(S16)+N(S35)+N(S51)+N(S97)</f>
        <v>13470.067</v>
      </c>
      <c r="T99" s="52" t="n">
        <f aca="false">N(T16)+N(T35)+N(T51)+N(T97)</f>
        <v>3300.89</v>
      </c>
      <c r="U99" s="52" t="n">
        <f aca="false">N(U16)+N(U35)+N(U51)+N(U97)</f>
        <v>3545.088</v>
      </c>
      <c r="V99" s="52" t="n">
        <f aca="false">N(V16)+N(V35)+N(V51)+N(V97)</f>
        <v>3419.253</v>
      </c>
      <c r="W99" s="52" t="n">
        <f aca="false">N(W16)+N(W35)+N(W51)+N(W97)</f>
        <v>3210.853</v>
      </c>
      <c r="X99" s="52" t="n">
        <f aca="false">N(X16)+N(X35)+N(X51)+N(X97)</f>
        <v>13476.084</v>
      </c>
      <c r="Y99" s="52" t="n">
        <f aca="false">N(Y16)+N(Y35)+N(Y51)+N(Y97)</f>
        <v>3073.943</v>
      </c>
      <c r="Z99" s="52" t="n">
        <f aca="false">N(Z16)+N(Z35)+N(Z51)+N(Z97)</f>
        <v>3299.741</v>
      </c>
      <c r="AA99" s="52" t="n">
        <f aca="false">N(AA16)+N(AA35)+N(AA51)+N(AA97)</f>
        <v>3355.754</v>
      </c>
      <c r="AB99" s="52" t="n">
        <f aca="false">N(AB16)+N(AB35)+N(AB51)+N(AB97)</f>
        <v>3414.975</v>
      </c>
      <c r="AC99" s="52" t="n">
        <f aca="false">N(AC16)+N(AC35)+N(AC51)+N(AC97)</f>
        <v>13144.413</v>
      </c>
      <c r="AD99" s="52" t="n">
        <f aca="false">N(AD16)+N(AD35)+N(AD51)+N(AD97)</f>
        <v>3415.125</v>
      </c>
      <c r="AE99" s="52" t="n">
        <f aca="false">N(AE16)+N(AE35)+N(AE51)+N(AE97)</f>
        <v>3710.018</v>
      </c>
      <c r="AF99" s="52" t="n">
        <f aca="false">N(AF16)+N(AF35)+N(AF51)+N(AF97)</f>
        <v>3784.451</v>
      </c>
      <c r="AG99" s="52" t="n">
        <f aca="false">N(AG16)+N(AG35)+N(AG51)+N(AG97)</f>
        <v>3959.786</v>
      </c>
      <c r="AH99" s="52" t="n">
        <f aca="false">N(AH16)+N(AH35)+N(AH51)+N(AH97)</f>
        <v>14869.38</v>
      </c>
      <c r="AI99" s="52" t="n">
        <f aca="false">N(AI16)+N(AI35)+N(AI51)+N(AI97)</f>
        <v>3925.327</v>
      </c>
      <c r="AJ99" s="52" t="n">
        <f aca="false">N(AJ16)+N(AJ35)+N(AJ51)+N(AJ97)</f>
        <v>4276.037</v>
      </c>
      <c r="AK99" s="52" t="n">
        <f aca="false">N(AK16)+N(AK35)+N(AK51)+N(AK97)</f>
        <v>4291.9</v>
      </c>
      <c r="AL99" s="52" t="n">
        <f aca="false">N(AL16)+N(AL35)+N(AL51)+N(AL97)</f>
        <v>4137.908</v>
      </c>
      <c r="AM99" s="52" t="n">
        <f aca="false">N(AM16)+N(AM35)+N(AM51)+N(AM97)</f>
        <v>16631.172</v>
      </c>
      <c r="AN99" s="52" t="n">
        <f aca="false">N(AN16)+N(AN35)+N(AN51)+N(AN97)</f>
        <v>3751.21</v>
      </c>
      <c r="AO99" s="52" t="n">
        <f aca="false">N(AO16)+N(AO35)+N(AO51)+N(AO97)</f>
        <v>3908.84</v>
      </c>
      <c r="AP99" s="52" t="n">
        <f aca="false">N(AP16)+N(AP35)+N(AP51)+N(AP97)</f>
        <v>3856.132</v>
      </c>
      <c r="AQ99" s="52" t="n">
        <f aca="false">N(AQ16)+N(AQ35)+N(AQ51)+N(AQ97)</f>
        <v>3793.326</v>
      </c>
      <c r="AR99" s="52" t="n">
        <f aca="false">N(AR16)+N(AR35)+N(AR51)+N(AR97)</f>
        <v>15309.508</v>
      </c>
      <c r="AS99" s="52" t="n">
        <f aca="false">N(AS16)+N(AS35)+N(AS51)+N(AS97)</f>
        <v>3805.008</v>
      </c>
      <c r="AT99" s="52" t="n">
        <f aca="false">N(AT16)+N(AT35)+N(AT51)+N(AT97)</f>
        <v>3627.846</v>
      </c>
      <c r="AU99" s="52" t="n">
        <f aca="false">N(AU16)+N(AU35)+N(AU51)+N(AU97)</f>
        <v>4224.8</v>
      </c>
      <c r="AV99" s="52" t="n">
        <f aca="false">N(AV16)+N(AV35)+N(AV51)+N(AV97)</f>
        <v>4549.452</v>
      </c>
      <c r="AW99" s="52" t="n">
        <f aca="false">N(AW16)+N(AW35)+N(AW51)+N(AW97)</f>
        <v>16207.106</v>
      </c>
      <c r="AX99" s="52" t="n">
        <f aca="false">N(AX16)+N(AX35)+N(AX51)+N(AX97)</f>
        <v>4803.869</v>
      </c>
      <c r="AY99" s="52" t="n">
        <f aca="false">N(AY16)+N(AY35)+N(AY51)+N(AY97)</f>
        <v>5532.726</v>
      </c>
      <c r="AZ99" s="52" t="n">
        <f aca="false">N(AZ16)+N(AZ35)+N(AZ51)+N(AZ97)</f>
        <v>6263.695</v>
      </c>
      <c r="BA99" s="52" t="n">
        <f aca="false">N(BA16)+N(BA35)+N(BA51)+N(BA97)</f>
        <v>6501.848</v>
      </c>
      <c r="BB99" s="52" t="n">
        <f aca="false">N(BB16)+N(BB35)+N(BB51)+N(BB97)</f>
        <v>23102.138</v>
      </c>
      <c r="BC99" s="52" t="n">
        <f aca="false">N(BC16)+N(BC35)+N(BC51)+N(BC97)</f>
        <v>6815.953</v>
      </c>
      <c r="BD99" s="52" t="n">
        <f aca="false">N(BD16)+N(BD35)+N(BD51)+N(BD97)</f>
        <v>6798.475</v>
      </c>
      <c r="BE99" s="52" t="n">
        <f aca="false">N(BE16)+N(BE35)+N(BE51)+N(BE97)</f>
        <v>6015.376</v>
      </c>
      <c r="BF99" s="52" t="n">
        <f aca="false">N(BF16)+N(BF35)+N(BF51)+N(BF97)</f>
        <v>5066.821</v>
      </c>
      <c r="BG99" s="52" t="n">
        <f aca="false">N(BG16)+N(BG35)+N(BG51)+N(BG97)</f>
        <v>24696.625</v>
      </c>
      <c r="BH99" s="52" t="n">
        <f aca="false">N(BH16)+N(BH35)+N(BH51)+N(BH97)</f>
        <v>4611.67</v>
      </c>
      <c r="BI99" s="52" t="n">
        <f aca="false">N(BI16)+N(BI35)+N(BI51)+N(BI97)</f>
        <v>4421.856</v>
      </c>
      <c r="BJ99" s="52" t="n">
        <f aca="false">N(BJ16)+N(BJ35)+N(BJ51)+N(BJ97)</f>
        <v>4341.03</v>
      </c>
      <c r="BK99" s="52" t="n">
        <f aca="false">N(BK16)+N(BK35)+N(BK51)+N(BK97)</f>
        <v>4221.887</v>
      </c>
      <c r="BL99" s="52" t="n">
        <f aca="false">N(BL16)+N(BL35)+N(BL51)+N(BL97)</f>
        <v>17596.443</v>
      </c>
      <c r="BM99" s="52" t="n">
        <f aca="false">N(BM16)+N(BM35)+N(BM51)+N(BM97)</f>
        <v>4412.311</v>
      </c>
      <c r="BN99" s="52" t="n">
        <f aca="false">N(BN16)+N(BN35)+N(BN51)+N(BN97)</f>
        <v>4483.348</v>
      </c>
      <c r="BO99" s="52" t="n">
        <f aca="false">N(BO16)+N(BO35)+N(BO51)+N(BO97)</f>
        <v>4644.641</v>
      </c>
      <c r="BP99" s="52" t="n">
        <f aca="false">N(BP16)+N(BP35)+N(BP51)+N(BP97)</f>
        <v>4184.656</v>
      </c>
      <c r="BQ99" s="52" t="n">
        <f aca="false">N(BQ16)+N(BQ35)+N(BQ51)+N(BQ97)</f>
        <v>17724.956</v>
      </c>
      <c r="BR99" s="52" t="n">
        <f aca="false">N(BR16)+N(BR35)+N(BR51)+N(BR97)</f>
        <v>4046.74</v>
      </c>
      <c r="BS99" s="52" t="n">
        <f aca="false">N(BS16)+N(BS35)+N(BS51)+N(BS97)</f>
        <v>4136.543</v>
      </c>
      <c r="BT99" s="52" t="n">
        <f aca="false">N(BT16)+N(BT35)+N(BT51)+N(BT97)</f>
        <v>4136.846</v>
      </c>
      <c r="BU99" s="52" t="n">
        <f aca="false">N(BU16)+N(BU35)+N(BU51)+N(BU97)</f>
        <v>3912.634</v>
      </c>
      <c r="BV99" s="52" t="n">
        <f aca="false">N(BV16)+N(BV35)+N(BV51)+N(BV97)</f>
        <v>16232.763</v>
      </c>
      <c r="BW99" s="52" t="n">
        <f aca="false">N(BW16)+N(BW35)+N(BW51)+N(BW97)</f>
        <v>4012.934</v>
      </c>
      <c r="BX99" s="52" t="n">
        <f aca="false">N(BX16)+N(BX35)+N(BX51)+N(BX97)</f>
        <v>4934.098</v>
      </c>
      <c r="BY99" s="52" t="n">
        <f aca="false">N(BY16)+N(BY35)+N(BY51)+N(BY87)</f>
        <v>5104.07181155538</v>
      </c>
      <c r="BZ99" s="52" t="n">
        <f aca="false">N(BZ16)+N(BZ35)+N(BZ51)+N(BZ87)</f>
        <v>4746.20858956453</v>
      </c>
      <c r="CA99" s="52" t="n">
        <f aca="false">N(CA16)+N(CA35)+N(CA51)+N(CA87)</f>
        <v>18797.3124011199</v>
      </c>
      <c r="CB99" s="52" t="n">
        <f aca="false">N(CB16)+N(CB35)+N(CB51)+N(CB87)</f>
        <v>19741.0321325419</v>
      </c>
      <c r="CC99" s="52" t="n">
        <f aca="false">N(CC16)+N(CC35)+N(CC51)+N(CC87)</f>
        <v>20378.5189157288</v>
      </c>
      <c r="CD99" s="52" t="n">
        <f aca="false">N(CD16)+N(CD35)+N(CD51)+N(CD87)</f>
        <v>21048.013970395</v>
      </c>
      <c r="CE99" s="52" t="n">
        <f aca="false">N(CE16)+N(CE35)+N(CE51)+N(CE87)</f>
        <v>22335.6781215865</v>
      </c>
      <c r="CF99" s="6"/>
      <c r="CH99" s="33" t="n">
        <f aca="false">IFERROR((CE99/BV99)^(1/5)-1,"n/m")</f>
        <v>0.0659119690226462</v>
      </c>
      <c r="CI99" s="33" t="n">
        <f aca="false">IFERROR((BV99/AW99)^(1/5)-1,"n/m")</f>
        <v>0.000316413907250235</v>
      </c>
      <c r="CJ99" s="33" t="n">
        <f aca="false">IFERROR((BV99/X99)^(1/10)-1,"n/m")</f>
        <v>0.0187857783922183</v>
      </c>
      <c r="CK99" s="33" t="n">
        <f aca="false">IFERROR((BV99/C99)^(1/19)-1,"n/m")</f>
        <v>0.0488736912654484</v>
      </c>
    </row>
    <row r="100" customFormat="false" ht="15" hidden="false" customHeight="false" outlineLevel="0" collapsed="false">
      <c r="B100" s="25" t="s">
        <v>100</v>
      </c>
      <c r="D100" s="26" t="n">
        <f aca="false">IF(AND(ISNUMBER(D98),ISNUMBER(C98)),IFERROR(D98/C98-1,""),"")</f>
        <v>0.148939904521202</v>
      </c>
      <c r="E100" s="26" t="n">
        <f aca="false">IF(AND(ISNUMBER(E98),ISNUMBER(D98)),IFERROR(E98/D98-1,""),"")</f>
        <v>0.10547300241683</v>
      </c>
      <c r="F100" s="26" t="n">
        <f aca="false">IF(AND(ISNUMBER(F98),ISNUMBER(E98)),IFERROR(F98/E98-1,""),"")</f>
        <v>0.00508813691713894</v>
      </c>
      <c r="G100" s="26" t="n">
        <f aca="false">IF(AND(ISNUMBER(G98),ISNUMBER(F98)),IFERROR(G98/F98-1,""),"")</f>
        <v>0.0622442489248958</v>
      </c>
      <c r="H100" s="26" t="n">
        <f aca="false">IF(AND(ISNUMBER(H98),ISNUMBER(G98)),IFERROR(H98/G98-1,""),"")</f>
        <v>0.112181517706669</v>
      </c>
      <c r="I100" s="26" t="n">
        <f aca="false">IF(AND(ISNUMBER(I98),ISNUMBER(H98)),IFERROR(I98/H98-1,""),"")</f>
        <v>0.052009055172608</v>
      </c>
      <c r="N100" s="26" t="n">
        <f aca="false">IF(AND(ISNUMBER(N98),ISNUMBER(I98)),IFERROR(N98/I98-1,""),"")</f>
        <v>0.0690067543059356</v>
      </c>
      <c r="O100" s="26" t="n">
        <f aca="false">IF(AND(ISNUMBER(O98),ISNUMBER(J98)),IFERROR(O98/J98-1,""),"")</f>
        <v>0.00332000649518793</v>
      </c>
      <c r="P100" s="26" t="n">
        <f aca="false">IF(AND(ISNUMBER(P98),ISNUMBER(K98)),IFERROR(P98/K98-1,""),"")</f>
        <v>0.102485812586489</v>
      </c>
      <c r="Q100" s="26" t="n">
        <f aca="false">IF(AND(ISNUMBER(Q98),ISNUMBER(L98)),IFERROR(Q98/L98-1,""),"")</f>
        <v>0.138694512913711</v>
      </c>
      <c r="R100" s="26" t="n">
        <f aca="false">IF(AND(ISNUMBER(R98),ISNUMBER(M98)),IFERROR(R98/M98-1,""),"")</f>
        <v>0.129033782187574</v>
      </c>
      <c r="S100" s="26" t="n">
        <f aca="false">IF(AND(ISNUMBER(S98),ISNUMBER(N98)),IFERROR(S98/N98-1,""),"")</f>
        <v>0.0934357971673578</v>
      </c>
      <c r="T100" s="26" t="n">
        <f aca="false">IF(AND(ISNUMBER(T98),ISNUMBER(O98)),IFERROR(T98/O98-1,""),"")</f>
        <v>0.148446641223878</v>
      </c>
      <c r="U100" s="26" t="n">
        <f aca="false">IF(AND(ISNUMBER(U98),ISNUMBER(P98)),IFERROR(U98/P98-1,""),"")</f>
        <v>0.120876252550203</v>
      </c>
      <c r="V100" s="26" t="n">
        <f aca="false">IF(AND(ISNUMBER(V98),ISNUMBER(Q98)),IFERROR(V98/Q98-1,""),"")</f>
        <v>0.11564663244649</v>
      </c>
      <c r="W100" s="26" t="n">
        <f aca="false">IF(AND(ISNUMBER(W98),ISNUMBER(R98)),IFERROR(W98/R98-1,""),"")</f>
        <v>0.137422880099479</v>
      </c>
      <c r="X100" s="26" t="n">
        <f aca="false">IF(AND(ISNUMBER(X98),ISNUMBER(S98)),IFERROR(X98/S98-1,""),"")</f>
        <v>0.129916937795993</v>
      </c>
      <c r="Y100" s="26" t="n">
        <f aca="false">IF(AND(ISNUMBER(Y98),ISNUMBER(T98)),IFERROR(Y98/T98-1,""),"")</f>
        <v>0.0727942716764107</v>
      </c>
      <c r="Z100" s="26" t="n">
        <f aca="false">IF(AND(ISNUMBER(Z98),ISNUMBER(U98)),IFERROR(Z98/U98-1,""),"")</f>
        <v>0.0174600782852581</v>
      </c>
      <c r="AA100" s="26" t="n">
        <f aca="false">IF(AND(ISNUMBER(AA98),ISNUMBER(V98)),IFERROR(AA98/V98-1,""),"")</f>
        <v>-0.0511625536252813</v>
      </c>
      <c r="AB100" s="26" t="n">
        <f aca="false">IF(AND(ISNUMBER(AB98),ISNUMBER(W98)),IFERROR(AB98/W98-1,""),"")</f>
        <v>-0.0162252508422729</v>
      </c>
      <c r="AC100" s="26" t="n">
        <f aca="false">IF(AND(ISNUMBER(AC98),ISNUMBER(X98)),IFERROR(AC98/X98-1,""),"")</f>
        <v>0.00398857384680507</v>
      </c>
      <c r="AD100" s="26" t="n">
        <f aca="false">IF(AND(ISNUMBER(AD98),ISNUMBER(Y98)),IFERROR(AD98/Y98-1,""),"")</f>
        <v>0.00928577134387165</v>
      </c>
      <c r="AE100" s="26" t="n">
        <f aca="false">IF(AND(ISNUMBER(AE98),ISNUMBER(Z98)),IFERROR(AE98/Z98-1,""),"")</f>
        <v>-0.0343747633432342</v>
      </c>
      <c r="AF100" s="26" t="n">
        <f aca="false">IF(AND(ISNUMBER(AF98),ISNUMBER(AA98)),IFERROR(AF98/AA98-1,""),"")</f>
        <v>0.0633597272509141</v>
      </c>
      <c r="AG100" s="26" t="n">
        <f aca="false">IF(AND(ISNUMBER(AG98),ISNUMBER(AB98)),IFERROR(AG98/AB98-1,""),"")</f>
        <v>0.125255558167532</v>
      </c>
      <c r="AH100" s="26" t="n">
        <f aca="false">IF(AND(ISNUMBER(AH98),ISNUMBER(AC98)),IFERROR(AH98/AC98-1,""),"")</f>
        <v>0.0397457243116219</v>
      </c>
      <c r="AI100" s="26" t="n">
        <f aca="false">IF(AND(ISNUMBER(AI98),ISNUMBER(AD98)),IFERROR(AI98/AD98-1,""),"")</f>
        <v>0.100883626527088</v>
      </c>
      <c r="AJ100" s="26" t="n">
        <f aca="false">IF(AND(ISNUMBER(AJ98),ISNUMBER(AE98)),IFERROR(AJ98/AE98-1,""),"")</f>
        <v>0.170261193574642</v>
      </c>
      <c r="AK100" s="26" t="n">
        <f aca="false">IF(AND(ISNUMBER(AK98),ISNUMBER(AF98)),IFERROR(AK98/AF98-1,""),"")</f>
        <v>0.168727245784261</v>
      </c>
      <c r="AL100" s="26" t="n">
        <f aca="false">IF(AND(ISNUMBER(AL98),ISNUMBER(AG98)),IFERROR(AL98/AG98-1,""),"")</f>
        <v>0.12967338715421</v>
      </c>
      <c r="AM100" s="26" t="n">
        <f aca="false">IF(AND(ISNUMBER(AM98),ISNUMBER(AH98)),IFERROR(AM98/AH98-1,""),"")</f>
        <v>0.1423893076582</v>
      </c>
      <c r="AN100" s="26" t="n">
        <f aca="false">IF(AND(ISNUMBER(AN98),ISNUMBER(AI98)),IFERROR(AN98/AI98-1,""),"")</f>
        <v>0.0844749770339897</v>
      </c>
      <c r="AO100" s="26" t="n">
        <f aca="false">IF(AND(ISNUMBER(AO98),ISNUMBER(AJ98)),IFERROR(AO98/AJ98-1,""),"")</f>
        <v>0.035344156143938</v>
      </c>
      <c r="AP100" s="26" t="n">
        <f aca="false">IF(AND(ISNUMBER(AP98),ISNUMBER(AK98)),IFERROR(AP98/AK98-1,""),"")</f>
        <v>-0.0873330797471055</v>
      </c>
      <c r="AQ100" s="26" t="n">
        <f aca="false">IF(AND(ISNUMBER(AQ98),ISNUMBER(AL98)),IFERROR(AQ98/AL98-1,""),"")</f>
        <v>-0.189021033003028</v>
      </c>
      <c r="AR100" s="26" t="n">
        <f aca="false">IF(AND(ISNUMBER(AR98),ISNUMBER(AM98)),IFERROR(AR98/AM98-1,""),"")</f>
        <v>-0.043961060684192</v>
      </c>
      <c r="AS100" s="26" t="n">
        <f aca="false">IF(AND(ISNUMBER(AS98),ISNUMBER(AN98)),IFERROR(AS98/AN98-1,""),"")</f>
        <v>-0.163298467884502</v>
      </c>
      <c r="AT100" s="26" t="n">
        <f aca="false">IF(AND(ISNUMBER(AT98),ISNUMBER(AO98)),IFERROR(AT98/AO98-1,""),"")</f>
        <v>-0.116169650871096</v>
      </c>
      <c r="AU100" s="26" t="n">
        <f aca="false">IF(AND(ISNUMBER(AU98),ISNUMBER(AP98)),IFERROR(AU98/AP98-1,""),"")</f>
        <v>-0.0697124075076844</v>
      </c>
      <c r="AV100" s="26" t="n">
        <f aca="false">IF(AND(ISNUMBER(AV98),ISNUMBER(AQ98)),IFERROR(AV98/AQ98-1,""),"")</f>
        <v>0.106614172956296</v>
      </c>
      <c r="AW100" s="26" t="n">
        <f aca="false">IF(AND(ISNUMBER(AW98),ISNUMBER(AR98)),IFERROR(AW98/AR98-1,""),"")</f>
        <v>-0.0672978103939591</v>
      </c>
      <c r="AX100" s="26" t="n">
        <f aca="false">IF(AND(ISNUMBER(AX98),ISNUMBER(AS98)),IFERROR(AX98/AS98-1,""),"")</f>
        <v>0.23668683852361</v>
      </c>
      <c r="AY100" s="26" t="n">
        <f aca="false">IF(AND(ISNUMBER(AY98),ISNUMBER(AT98)),IFERROR(AY98/AT98-1,""),"")</f>
        <v>0.219256802391721</v>
      </c>
      <c r="AZ100" s="26" t="n">
        <f aca="false">IF(AND(ISNUMBER(AZ98),ISNUMBER(AU98)),IFERROR(AZ98/AU98-1,""),"")</f>
        <v>0.432599151836246</v>
      </c>
      <c r="BA100" s="26" t="n">
        <f aca="false">IF(AND(ISNUMBER(BA98),ISNUMBER(AV98)),IFERROR(BA98/AV98-1,""),"")</f>
        <v>0.336825491977558</v>
      </c>
      <c r="BB100" s="26" t="n">
        <f aca="false">IF(AND(ISNUMBER(BB98),ISNUMBER(AW98)),IFERROR(BB98/AW98-1,""),"")</f>
        <v>0.306697006164766</v>
      </c>
      <c r="BC100" s="26" t="n">
        <f aca="false">IF(AND(ISNUMBER(BC98),ISNUMBER(AX98)),IFERROR(BC98/AX98-1,""),"")</f>
        <v>0.290179105327601</v>
      </c>
      <c r="BD100" s="26" t="n">
        <f aca="false">IF(AND(ISNUMBER(BD98),ISNUMBER(AY98)),IFERROR(BD98/AY98-1,""),"")</f>
        <v>0.376996860550792</v>
      </c>
      <c r="BE100" s="26" t="n">
        <f aca="false">IF(AND(ISNUMBER(BE98),ISNUMBER(AZ98)),IFERROR(BE98/AZ98-1,""),"")</f>
        <v>0.0509386490277095</v>
      </c>
      <c r="BF100" s="26" t="n">
        <f aca="false">IF(AND(ISNUMBER(BF98),ISNUMBER(BA98)),IFERROR(BF98/BA98-1,""),"")</f>
        <v>-0.102957817037839</v>
      </c>
      <c r="BG100" s="26" t="n">
        <f aca="false">IF(AND(ISNUMBER(BG98),ISNUMBER(BB98)),IFERROR(BG98/BB98-1,""),"")</f>
        <v>0.13993513508026</v>
      </c>
      <c r="BH100" s="26" t="n">
        <f aca="false">IF(AND(ISNUMBER(BH98),ISNUMBER(BC98)),IFERROR(BH98/BC98-1,""),"")</f>
        <v>-0.243386640417746</v>
      </c>
      <c r="BI100" s="26" t="n">
        <f aca="false">IF(AND(ISNUMBER(BI98),ISNUMBER(BD98)),IFERROR(BI98/BD98-1,""),"")</f>
        <v>-0.354897621491781</v>
      </c>
      <c r="BJ100" s="26" t="n">
        <f aca="false">IF(AND(ISNUMBER(BJ98),ISNUMBER(BE98)),IFERROR(BJ98/BE98-1,""),"")</f>
        <v>-0.284430462784915</v>
      </c>
      <c r="BK100" s="26" t="n">
        <f aca="false">IF(AND(ISNUMBER(BK98),ISNUMBER(BF98)),IFERROR(BK98/BF98-1,""),"")</f>
        <v>-0.194683756544741</v>
      </c>
      <c r="BL100" s="26" t="n">
        <f aca="false">IF(AND(ISNUMBER(BL98),ISNUMBER(BG98)),IFERROR(BL98/BG98-1,""),"")</f>
        <v>-0.275123936282571</v>
      </c>
      <c r="BM100" s="26" t="n">
        <f aca="false">IF(AND(ISNUMBER(BM98),ISNUMBER(BH98)),IFERROR(BM98/BH98-1,""),"")</f>
        <v>-0.040707951694767</v>
      </c>
      <c r="BN100" s="26" t="n">
        <f aca="false">IF(AND(ISNUMBER(BN98),ISNUMBER(BI98)),IFERROR(BN98/BI98-1,""),"")</f>
        <v>0.0329273203745777</v>
      </c>
      <c r="BO100" s="26" t="n">
        <f aca="false">IF(AND(ISNUMBER(BO98),ISNUMBER(BJ98)),IFERROR(BO98/BJ98-1,""),"")</f>
        <v>0.158154143741267</v>
      </c>
      <c r="BP100" s="26" t="n">
        <f aca="false">IF(AND(ISNUMBER(BP98),ISNUMBER(BK98)),IFERROR(BP98/BK98-1,""),"")</f>
        <v>0.106688564764</v>
      </c>
      <c r="BQ100" s="26" t="n">
        <f aca="false">IF(AND(ISNUMBER(BQ98),ISNUMBER(BL98)),IFERROR(BQ98/BL98-1,""),"")</f>
        <v>0.0615854669877385</v>
      </c>
      <c r="BR100" s="26" t="n">
        <f aca="false">IF(AND(ISNUMBER(BR98),ISNUMBER(BM98)),IFERROR(BR98/BM98-1,""),"")</f>
        <v>0.023351562725682</v>
      </c>
      <c r="BS100" s="26" t="n">
        <f aca="false">IF(AND(ISNUMBER(BS98),ISNUMBER(BN98)),IFERROR(BS98/BN98-1,""),"")</f>
        <v>0.00846948468815523</v>
      </c>
      <c r="BT100" s="26" t="n">
        <f aca="false">IF(AND(ISNUMBER(BT98),ISNUMBER(BO98)),IFERROR(BT98/BO98-1,""),"")</f>
        <v>-0.0396815789938972</v>
      </c>
      <c r="BU100" s="26" t="n">
        <f aca="false">IF(AND(ISNUMBER(BU98),ISNUMBER(BP98)),IFERROR(BU98/BP98-1,""),"")</f>
        <v>-0.0403273042243688</v>
      </c>
      <c r="BV100" s="26" t="n">
        <f aca="false">IF(AND(ISNUMBER(BV98),ISNUMBER(BQ98)),IFERROR(BV98/BQ98-1,""),"")</f>
        <v>-0.0128766074963815</v>
      </c>
      <c r="BW100" s="26" t="n">
        <f aca="false">IF(AND(ISNUMBER(BW98),ISNUMBER(BR98)),IFERROR(BW98/BR98-1,""),"")</f>
        <v>-0.0187122634781782</v>
      </c>
      <c r="BX100" s="26" t="n">
        <f aca="false">IF(AND(ISNUMBER(BX98),ISNUMBER(BS98)),IFERROR(BX98/BS98-1,""),"")</f>
        <v>0.0645311591662807</v>
      </c>
      <c r="BY100" s="27" t="n">
        <f aca="false">IFERROR(BY98/BT98-1,"")</f>
        <v>0.0794683724201535</v>
      </c>
      <c r="BZ100" s="27" t="n">
        <f aca="false">IFERROR(BZ98/BU98-1,"")</f>
        <v>0.0795265147140098</v>
      </c>
      <c r="CA100" s="27" t="n">
        <f aca="false">IFERROR(CA98/BV98-1,"")</f>
        <v>0.0514766281106964</v>
      </c>
      <c r="CB100" s="27" t="n">
        <f aca="false">IFERROR(CB98/CA98-1,"")</f>
        <v>0.0559928552976354</v>
      </c>
      <c r="CC100" s="27" t="n">
        <f aca="false">IFERROR(CC98/CB98-1,"")</f>
        <v>0.0621985585693952</v>
      </c>
      <c r="CD100" s="27" t="n">
        <f aca="false">IFERROR(CD98/CC98-1,"")</f>
        <v>0.0586122010896151</v>
      </c>
      <c r="CE100" s="27" t="n">
        <f aca="false">IFERROR(CE98/CD98-1,"")</f>
        <v>0.0598982226007088</v>
      </c>
    </row>
    <row r="101" customFormat="false" ht="15" hidden="false" customHeight="false" outlineLevel="0" collapsed="false">
      <c r="B101" s="25" t="s">
        <v>160</v>
      </c>
      <c r="C101" s="26" t="n">
        <f aca="false">IF(AND(ISNUMBER(C98),ISNUMBER(C99)),IFERROR(C98/C99,""),"")</f>
        <v>0.165117749718816</v>
      </c>
      <c r="D101" s="26" t="n">
        <f aca="false">IF(AND(ISNUMBER(D98),ISNUMBER(D99)),IFERROR(D98/D99,""),"")</f>
        <v>0.170002745952386</v>
      </c>
      <c r="E101" s="26" t="n">
        <f aca="false">IF(AND(ISNUMBER(E98),ISNUMBER(E99)),IFERROR(E98/E99,""),"")</f>
        <v>0.160277988961853</v>
      </c>
      <c r="F101" s="26" t="n">
        <f aca="false">IF(AND(ISNUMBER(F98),ISNUMBER(F99)),IFERROR(F98/F99,""),"")</f>
        <v>0.182384126883994</v>
      </c>
      <c r="G101" s="26" t="n">
        <f aca="false">IF(AND(ISNUMBER(G98),ISNUMBER(G99)),IFERROR(G98/G99,""),"")</f>
        <v>0.158284421312433</v>
      </c>
      <c r="H101" s="26" t="n">
        <f aca="false">IF(AND(ISNUMBER(H98),ISNUMBER(H99)),IFERROR(H98/H99,""),"")</f>
        <v>0.157953110315773</v>
      </c>
      <c r="I101" s="26" t="n">
        <f aca="false">IF(AND(ISNUMBER(I98),ISNUMBER(I99)),IFERROR(I98/I99,""),"")</f>
        <v>0.151206436629339</v>
      </c>
      <c r="J101" s="26" t="n">
        <f aca="false">IF(AND(ISNUMBER(J98),ISNUMBER(J99)),IFERROR(J98/J99,""),"")</f>
        <v>0.152198184063078</v>
      </c>
      <c r="K101" s="26" t="n">
        <f aca="false">IF(AND(ISNUMBER(K98),ISNUMBER(K99)),IFERROR(K98/K99,""),"")</f>
        <v>0.143723949004064</v>
      </c>
      <c r="L101" s="26" t="n">
        <f aca="false">IF(AND(ISNUMBER(L98),ISNUMBER(L99)),IFERROR(L98/L99,""),"")</f>
        <v>0.139690321452423</v>
      </c>
      <c r="M101" s="26" t="n">
        <f aca="false">IF(AND(ISNUMBER(M98),ISNUMBER(M99)),IFERROR(M98/M99,""),"")</f>
        <v>0.140971022702404</v>
      </c>
      <c r="N101" s="26" t="n">
        <f aca="false">IF(AND(ISNUMBER(N98),ISNUMBER(N99)),IFERROR(N98/N99,""),"")</f>
        <v>0.143984006996194</v>
      </c>
      <c r="O101" s="26" t="n">
        <f aca="false">IF(AND(ISNUMBER(O98),ISNUMBER(O99)),IFERROR(O98/O99,""),"")</f>
        <v>0.145496462307304</v>
      </c>
      <c r="P101" s="26" t="n">
        <f aca="false">IF(AND(ISNUMBER(P98),ISNUMBER(P99)),IFERROR(P98/P99,""),"")</f>
        <v>0.148743704534334</v>
      </c>
      <c r="Q101" s="26" t="n">
        <f aca="false">IF(AND(ISNUMBER(Q98),ISNUMBER(Q99)),IFERROR(Q98/Q99,""),"")</f>
        <v>0.152151405016263</v>
      </c>
      <c r="R101" s="26" t="n">
        <f aca="false">IF(AND(ISNUMBER(R98),ISNUMBER(R99)),IFERROR(R98/R99,""),"")</f>
        <v>0.149474473088006</v>
      </c>
      <c r="S101" s="26" t="n">
        <f aca="false">IF(AND(ISNUMBER(S98),ISNUMBER(S99)),IFERROR(S98/S99,""),"")</f>
        <v>0.149045435334509</v>
      </c>
      <c r="T101" s="26" t="n">
        <f aca="false">IF(AND(ISNUMBER(T98),ISNUMBER(T99)),IFERROR(T98/T99,""),"")</f>
        <v>0.159081338669268</v>
      </c>
      <c r="U101" s="26" t="n">
        <f aca="false">IF(AND(ISNUMBER(U98),ISNUMBER(U99)),IFERROR(U98/U99,""),"")</f>
        <v>0.164740057228481</v>
      </c>
      <c r="V101" s="26" t="n">
        <f aca="false">IF(AND(ISNUMBER(V98),ISNUMBER(V99)),IFERROR(V98/V99,""),"")</f>
        <v>0.172135551244672</v>
      </c>
      <c r="W101" s="26" t="n">
        <f aca="false">IF(AND(ISNUMBER(W98),ISNUMBER(W99)),IFERROR(W98/W99,""),"")</f>
        <v>0.177764911691691</v>
      </c>
      <c r="X101" s="26" t="n">
        <f aca="false">IF(AND(ISNUMBER(X98),ISNUMBER(X99)),IFERROR(X98/X99,""),"")</f>
        <v>0.168333768177758</v>
      </c>
      <c r="Y101" s="26" t="n">
        <f aca="false">IF(AND(ISNUMBER(Y98),ISNUMBER(Y99)),IFERROR(Y98/Y99,""),"")</f>
        <v>0.183261368216652</v>
      </c>
      <c r="Z101" s="26" t="n">
        <f aca="false">IF(AND(ISNUMBER(Z98),ISNUMBER(Z99)),IFERROR(Z98/Z99,""),"")</f>
        <v>0.180079285010551</v>
      </c>
      <c r="AA101" s="26" t="n">
        <f aca="false">IF(AND(ISNUMBER(AA98),ISNUMBER(AA99)),IFERROR(AA98/AA99,""),"")</f>
        <v>0.166419230968659</v>
      </c>
      <c r="AB101" s="26" t="n">
        <f aca="false">IF(AND(ISNUMBER(AB98),ISNUMBER(AB99)),IFERROR(AB98/AB99,""),"")</f>
        <v>0.164427558034832</v>
      </c>
      <c r="AC101" s="26" t="n">
        <f aca="false">IF(AND(ISNUMBER(AC98),ISNUMBER(AC99)),IFERROR(AC98/AC99,""),"")</f>
        <v>0.173269662175101</v>
      </c>
      <c r="AD101" s="26" t="n">
        <f aca="false">IF(AND(ISNUMBER(AD98),ISNUMBER(AD99)),IFERROR(AD98/AD99,""),"")</f>
        <v>0.166484682112661</v>
      </c>
      <c r="AE101" s="26" t="n">
        <f aca="false">IF(AND(ISNUMBER(AE98),ISNUMBER(AE99)),IFERROR(AE98/AE99,""),"")</f>
        <v>0.154659357447861</v>
      </c>
      <c r="AF101" s="26" t="n">
        <f aca="false">IF(AND(ISNUMBER(AF98),ISNUMBER(AF99)),IFERROR(AF98/AF99,""),"")</f>
        <v>0.156917344153749</v>
      </c>
      <c r="AG101" s="26" t="n">
        <f aca="false">IF(AND(ISNUMBER(AG98),ISNUMBER(AG99)),IFERROR(AG98/AG99,""),"")</f>
        <v>0.159566451318329</v>
      </c>
      <c r="AH101" s="26" t="n">
        <f aca="false">IF(AND(ISNUMBER(AH98),ISNUMBER(AH99)),IFERROR(AH98/AH99,""),"")</f>
        <v>0.159256808286559</v>
      </c>
      <c r="AI101" s="26" t="n">
        <f aca="false">IF(AND(ISNUMBER(AI98),ISNUMBER(AI99)),IFERROR(AI98/AI99,""),"")</f>
        <v>0.159458052794073</v>
      </c>
      <c r="AJ101" s="26" t="n">
        <f aca="false">IF(AND(ISNUMBER(AJ98),ISNUMBER(AJ99)),IFERROR(AJ98/AJ99,""),"")</f>
        <v>0.157033954570552</v>
      </c>
      <c r="AK101" s="26" t="n">
        <f aca="false">IF(AND(ISNUMBER(AK98),ISNUMBER(AK99)),IFERROR(AK98/AK99,""),"")</f>
        <v>0.161710198280482</v>
      </c>
      <c r="AL101" s="26" t="n">
        <f aca="false">IF(AND(ISNUMBER(AL98),ISNUMBER(AL99)),IFERROR(AL98/AL99,""),"")</f>
        <v>0.172498518575087</v>
      </c>
      <c r="AM101" s="26" t="n">
        <f aca="false">IF(AND(ISNUMBER(AM98),ISNUMBER(AM99)),IFERROR(AM98/AM99,""),"")</f>
        <v>0.162660514845256</v>
      </c>
      <c r="AN101" s="26" t="n">
        <f aca="false">IF(AND(ISNUMBER(AN98),ISNUMBER(AN99)),IFERROR(AN98/AN99,""),"")</f>
        <v>0.180954945204347</v>
      </c>
      <c r="AO101" s="26" t="n">
        <f aca="false">IF(AND(ISNUMBER(AO98),ISNUMBER(AO99)),IFERROR(AO98/AO99,""),"")</f>
        <v>0.17785736944976</v>
      </c>
      <c r="AP101" s="26" t="n">
        <f aca="false">IF(AND(ISNUMBER(AP98),ISNUMBER(AP99)),IFERROR(AP98/AP99,""),"")</f>
        <v>0.164265901685938</v>
      </c>
      <c r="AQ101" s="26" t="n">
        <f aca="false">IF(AND(ISNUMBER(AQ98),ISNUMBER(AQ99)),IFERROR(AQ98/AQ99,""),"")</f>
        <v>0.15260038288299</v>
      </c>
      <c r="AR101" s="26" t="n">
        <f aca="false">IF(AND(ISNUMBER(AR98),ISNUMBER(AR99)),IFERROR(AR98/AR99,""),"")</f>
        <v>0.168934886738359</v>
      </c>
      <c r="AS101" s="26" t="n">
        <f aca="false">IF(AND(ISNUMBER(AS98),ISNUMBER(AS99)),IFERROR(AS98/AS99,""),"")</f>
        <v>0.149264600757738</v>
      </c>
      <c r="AT101" s="26" t="n">
        <f aca="false">IF(AND(ISNUMBER(AT98),ISNUMBER(AT99)),IFERROR(AT98/AT99,""),"")</f>
        <v>0.169371301868933</v>
      </c>
      <c r="AU101" s="26" t="n">
        <f aca="false">IF(AND(ISNUMBER(AU98),ISNUMBER(AU99)),IFERROR(AU98/AU99,""),"")</f>
        <v>0.13947950198826</v>
      </c>
      <c r="AV101" s="26" t="n">
        <f aca="false">IF(AND(ISNUMBER(AV98),ISNUMBER(AV99)),IFERROR(AV98/AV99,""),"")</f>
        <v>0.140803331917778</v>
      </c>
      <c r="AW101" s="26" t="n">
        <f aca="false">IF(AND(ISNUMBER(AW98),ISNUMBER(AW99)),IFERROR(AW98/AW99,""),"")</f>
        <v>0.148839465849116</v>
      </c>
      <c r="AX101" s="26" t="n">
        <f aca="false">IF(AND(ISNUMBER(AX98),ISNUMBER(AX99)),IFERROR(AX98/AX99,""),"")</f>
        <v>0.146211314255239</v>
      </c>
      <c r="AY101" s="26" t="n">
        <f aca="false">IF(AND(ISNUMBER(AY98),ISNUMBER(AY99)),IFERROR(AY98/AY99,""),"")</f>
        <v>0.135408115276267</v>
      </c>
      <c r="AZ101" s="26" t="n">
        <f aca="false">IF(AND(ISNUMBER(AZ98),ISNUMBER(AZ99)),IFERROR(AZ98/AZ99,""),"")</f>
        <v>0.134775400143206</v>
      </c>
      <c r="BA101" s="26" t="n">
        <f aca="false">IF(AND(ISNUMBER(BA98),ISNUMBER(BA99)),IFERROR(BA98/BA99,""),"")</f>
        <v>0.131707323825472</v>
      </c>
      <c r="BB101" s="26" t="n">
        <f aca="false">IF(AND(ISNUMBER(BB98),ISNUMBER(BB99)),IFERROR(BB98/BB99,""),"")</f>
        <v>0.136441441047578</v>
      </c>
      <c r="BC101" s="26" t="n">
        <f aca="false">IF(AND(ISNUMBER(BC98),ISNUMBER(BC99)),IFERROR(BC98/BC99,""),"")</f>
        <v>0.132952207857067</v>
      </c>
      <c r="BD101" s="26" t="n">
        <f aca="false">IF(AND(ISNUMBER(BD98),ISNUMBER(BD99)),IFERROR(BD98/BD99,""),"")</f>
        <v>0.151741824453278</v>
      </c>
      <c r="BE101" s="26" t="n">
        <f aca="false">IF(AND(ISNUMBER(BE98),ISNUMBER(BE99)),IFERROR(BE98/BE99,""),"")</f>
        <v>0.147487704841726</v>
      </c>
      <c r="BF101" s="26" t="n">
        <f aca="false">IF(AND(ISNUMBER(BF98),ISNUMBER(BF99)),IFERROR(BF98/BF99,""),"")</f>
        <v>0.15160867139376</v>
      </c>
      <c r="BG101" s="26" t="n">
        <f aca="false">IF(AND(ISNUMBER(BG98),ISNUMBER(BG99)),IFERROR(BG98/BG99,""),"")</f>
        <v>0.145492633102701</v>
      </c>
      <c r="BH101" s="26" t="n">
        <f aca="false">IF(AND(ISNUMBER(BH98),ISNUMBER(BH99)),IFERROR(BH98/BH99,""),"")</f>
        <v>0.148674991922666</v>
      </c>
      <c r="BI101" s="26" t="n">
        <f aca="false">IF(AND(ISNUMBER(BI98),ISNUMBER(BI99)),IFERROR(BI98/BI99,""),"")</f>
        <v>0.150501508868674</v>
      </c>
      <c r="BJ101" s="26" t="n">
        <f aca="false">IF(AND(ISNUMBER(BJ98),ISNUMBER(BJ99)),IFERROR(BJ98/BJ99,""),"")</f>
        <v>0.14624386378348</v>
      </c>
      <c r="BK101" s="26" t="n">
        <f aca="false">IF(AND(ISNUMBER(BK98),ISNUMBER(BK99)),IFERROR(BK98/BK99,""),"")</f>
        <v>0.146527607205025</v>
      </c>
      <c r="BL101" s="26" t="n">
        <f aca="false">IF(AND(ISNUMBER(BL98),ISNUMBER(BL99)),IFERROR(BL98/BL99,""),"")</f>
        <v>0.148019005886587</v>
      </c>
      <c r="BM101" s="26" t="n">
        <f aca="false">IF(AND(ISNUMBER(BM98),ISNUMBER(BM99)),IFERROR(BM98/BM99,""),"")</f>
        <v>0.149066781557329</v>
      </c>
      <c r="BN101" s="26" t="n">
        <f aca="false">IF(AND(ISNUMBER(BN98),ISNUMBER(BN99)),IFERROR(BN98/BN99,""),"")</f>
        <v>0.153324925925893</v>
      </c>
      <c r="BO101" s="26" t="n">
        <f aca="false">IF(AND(ISNUMBER(BO98),ISNUMBER(BO99)),IFERROR(BO98/BO99,""),"")</f>
        <v>0.158301362796393</v>
      </c>
      <c r="BP101" s="26" t="n">
        <f aca="false">IF(AND(ISNUMBER(BP98),ISNUMBER(BP99)),IFERROR(BP98/BP99,""),"")</f>
        <v>0.163603173116261</v>
      </c>
      <c r="BQ101" s="26" t="n">
        <f aca="false">IF(AND(ISNUMBER(BQ98),ISNUMBER(BQ99)),IFERROR(BQ98/BQ99,""),"")</f>
        <v>0.155995535334474</v>
      </c>
      <c r="BR101" s="26" t="n">
        <f aca="false">IF(AND(ISNUMBER(BR98),ISNUMBER(BR99)),IFERROR(BR98/BR99,""),"")</f>
        <v>0.166328452037937</v>
      </c>
      <c r="BS101" s="26" t="n">
        <f aca="false">IF(AND(ISNUMBER(BS98),ISNUMBER(BS99)),IFERROR(BS98/BS99,""),"")</f>
        <v>0.167587040676236</v>
      </c>
      <c r="BT101" s="26" t="n">
        <f aca="false">IF(AND(ISNUMBER(BT98),ISNUMBER(BT99)),IFERROR(BT98/BT99,""),"")</f>
        <v>0.170680030148572</v>
      </c>
      <c r="BU101" s="26" t="n">
        <f aca="false">IF(AND(ISNUMBER(BU98),ISNUMBER(BU99)),IFERROR(BU98/BU99,""),"")</f>
        <v>0.167921149793208</v>
      </c>
      <c r="BV101" s="26" t="n">
        <f aca="false">IF(AND(ISNUMBER(BV98),ISNUMBER(BV99)),IFERROR(BV98/BV99,""),"")</f>
        <v>0.168142047043994</v>
      </c>
      <c r="BW101" s="26" t="n">
        <f aca="false">IF(AND(ISNUMBER(BW98),ISNUMBER(BW99)),IFERROR(BW98/BW99,""),"")</f>
        <v>0.164591044856457</v>
      </c>
      <c r="BX101" s="26" t="n">
        <f aca="false">IF(AND(ISNUMBER(BX98),ISNUMBER(BX99)),IFERROR(BX98/BX99,""),"")</f>
        <v>0.149564520202071</v>
      </c>
      <c r="BY101" s="27" t="n">
        <f aca="false">IF(AND(ISNUMBER(BY98),ISNUMBER(BY99)),IFERROR(BY98/BY99,""),"")</f>
        <v>0.149329362543009</v>
      </c>
      <c r="BZ101" s="27" t="n">
        <f aca="false">IF(AND(ISNUMBER(BZ98),ISNUMBER(BZ99)),IFERROR(BZ98/BZ99,""),"")</f>
        <v>0.149438024088905</v>
      </c>
      <c r="CA101" s="27" t="n">
        <f aca="false">IF(AND(ISNUMBER(CA98),ISNUMBER(CA99)),IFERROR(CA98/CA99,""),"")</f>
        <v>0.152676657294935</v>
      </c>
      <c r="CB101" s="27" t="n">
        <f aca="false">IF(AND(ISNUMBER(CB98),ISNUMBER(CB99)),IFERROR(CB98/CB99,""),"")</f>
        <v>0.153518078722691</v>
      </c>
      <c r="CC101" s="27" t="n">
        <f aca="false">IF(AND(ISNUMBER(CC98),ISNUMBER(CC99)),IFERROR(CC98/CC99,""),"")</f>
        <v>0.15796558234236</v>
      </c>
      <c r="CD101" s="27" t="n">
        <f aca="false">IF(AND(ISNUMBER(CD98),ISNUMBER(CD99)),IFERROR(CD98/CD99,""),"")</f>
        <v>0.161905223893896</v>
      </c>
      <c r="CE101" s="27" t="n">
        <f aca="false">IF(AND(ISNUMBER(CE98),ISNUMBER(CE99)),IFERROR(CE98/CE99,""),"")</f>
        <v>0.161710048124241</v>
      </c>
    </row>
    <row r="102" customFormat="false" ht="15" hidden="false" customHeight="false" outlineLevel="0" collapsed="false">
      <c r="B102" s="46" t="s">
        <v>212</v>
      </c>
      <c r="C102" s="47" t="n">
        <f aca="false">ROUND(C98-C133,1)</f>
        <v>0</v>
      </c>
      <c r="D102" s="47" t="n">
        <f aca="false">ROUND(D98-D133,1)</f>
        <v>0</v>
      </c>
      <c r="E102" s="47" t="n">
        <f aca="false">ROUND(E98-E133,1)</f>
        <v>0</v>
      </c>
      <c r="F102" s="47" t="n">
        <f aca="false">ROUND(F98-F133,1)</f>
        <v>0</v>
      </c>
      <c r="G102" s="47" t="n">
        <f aca="false">ROUND(G98-G133,1)</f>
        <v>0</v>
      </c>
      <c r="H102" s="47" t="n">
        <f aca="false">ROUND(H98-H133,1)</f>
        <v>0</v>
      </c>
      <c r="I102" s="47" t="n">
        <f aca="false">ROUND(I98-I133,1)</f>
        <v>0</v>
      </c>
      <c r="J102" s="47" t="n">
        <f aca="false">ROUND(J98-J133,1)</f>
        <v>0</v>
      </c>
      <c r="K102" s="47" t="n">
        <f aca="false">ROUND(K98-K133,1)</f>
        <v>0</v>
      </c>
      <c r="L102" s="47" t="n">
        <f aca="false">ROUND(L98-L133,1)</f>
        <v>0</v>
      </c>
      <c r="M102" s="47" t="n">
        <f aca="false">ROUND(M98-M133,1)</f>
        <v>0</v>
      </c>
      <c r="N102" s="47" t="n">
        <f aca="false">ROUND(N98-N133,1)</f>
        <v>0</v>
      </c>
      <c r="O102" s="47" t="n">
        <f aca="false">ROUND(O98-O133,1)</f>
        <v>0</v>
      </c>
      <c r="P102" s="47" t="n">
        <f aca="false">ROUND(P98-P133,1)</f>
        <v>0</v>
      </c>
      <c r="Q102" s="47" t="n">
        <f aca="false">ROUND(Q98-Q133,1)</f>
        <v>0</v>
      </c>
      <c r="R102" s="47" t="n">
        <f aca="false">ROUND(R98-R133,1)</f>
        <v>0</v>
      </c>
      <c r="S102" s="47" t="n">
        <f aca="false">ROUND(S98-S133,1)</f>
        <v>0</v>
      </c>
      <c r="T102" s="47" t="n">
        <f aca="false">ROUND(T98-T133,1)</f>
        <v>0</v>
      </c>
      <c r="U102" s="47" t="n">
        <f aca="false">ROUND(U98-U133,1)</f>
        <v>0</v>
      </c>
      <c r="V102" s="47" t="n">
        <f aca="false">ROUND(V98-V133,1)</f>
        <v>0</v>
      </c>
      <c r="W102" s="47" t="n">
        <f aca="false">ROUND(W98-W133,1)</f>
        <v>0</v>
      </c>
      <c r="X102" s="47" t="n">
        <f aca="false">ROUND(X98-X133,1)</f>
        <v>0</v>
      </c>
      <c r="Y102" s="47" t="n">
        <f aca="false">ROUND(Y98-Y133,1)</f>
        <v>0</v>
      </c>
      <c r="Z102" s="47" t="n">
        <f aca="false">ROUND(Z98-Z133,1)</f>
        <v>0</v>
      </c>
      <c r="AA102" s="47" t="n">
        <f aca="false">ROUND(AA98-AA133,1)</f>
        <v>0</v>
      </c>
      <c r="AB102" s="47" t="n">
        <f aca="false">ROUND(AB98-AB133,1)</f>
        <v>0</v>
      </c>
      <c r="AC102" s="47" t="n">
        <f aca="false">ROUND(AC98-AC133,1)</f>
        <v>0</v>
      </c>
      <c r="AD102" s="47" t="n">
        <f aca="false">ROUND(AD98-AD133,1)</f>
        <v>0</v>
      </c>
      <c r="AE102" s="47" t="n">
        <f aca="false">ROUND(AE98-AE133,1)</f>
        <v>0</v>
      </c>
      <c r="AF102" s="47" t="n">
        <f aca="false">ROUND(AF98-AF133,1)</f>
        <v>0</v>
      </c>
      <c r="AG102" s="47" t="n">
        <f aca="false">ROUND(AG98-AG133,1)</f>
        <v>0</v>
      </c>
      <c r="AH102" s="47" t="n">
        <f aca="false">ROUND(AH98-AH133,1)</f>
        <v>0</v>
      </c>
      <c r="AI102" s="47" t="n">
        <f aca="false">ROUND(AI98-AI133,1)</f>
        <v>0</v>
      </c>
      <c r="AJ102" s="47" t="n">
        <f aca="false">ROUND(AJ98-AJ133,1)</f>
        <v>0</v>
      </c>
      <c r="AK102" s="47" t="n">
        <f aca="false">ROUND(AK98-AK133,1)</f>
        <v>0</v>
      </c>
      <c r="AL102" s="47" t="n">
        <f aca="false">ROUND(AL98-AL133,1)</f>
        <v>0</v>
      </c>
      <c r="AM102" s="47" t="n">
        <f aca="false">ROUND(AM98-AM133,1)</f>
        <v>0</v>
      </c>
      <c r="AN102" s="47" t="n">
        <f aca="false">ROUND(AN98-AN133,1)</f>
        <v>0</v>
      </c>
      <c r="AO102" s="47" t="n">
        <f aca="false">ROUND(AO98-AO133,1)</f>
        <v>0</v>
      </c>
      <c r="AP102" s="47" t="n">
        <f aca="false">ROUND(AP98-AP133,1)</f>
        <v>0</v>
      </c>
      <c r="AQ102" s="47" t="n">
        <f aca="false">ROUND(AQ98-AQ133,1)</f>
        <v>0</v>
      </c>
      <c r="AR102" s="47" t="n">
        <f aca="false">ROUND(AR98-AR133,1)</f>
        <v>0</v>
      </c>
      <c r="AS102" s="47" t="n">
        <f aca="false">ROUND(AS98-AS133,1)</f>
        <v>0</v>
      </c>
      <c r="AT102" s="47" t="n">
        <f aca="false">ROUND(AT98-AT133,1)</f>
        <v>0</v>
      </c>
      <c r="AU102" s="47" t="n">
        <f aca="false">ROUND(AU98-AU133,1)</f>
        <v>0</v>
      </c>
      <c r="AV102" s="47" t="n">
        <f aca="false">ROUND(AV98-AV133,1)</f>
        <v>0</v>
      </c>
      <c r="AW102" s="47" t="n">
        <f aca="false">ROUND(AW98-AW133,1)</f>
        <v>0</v>
      </c>
      <c r="AX102" s="47" t="n">
        <f aca="false">ROUND(AX98-AX133,1)</f>
        <v>0</v>
      </c>
      <c r="AY102" s="47" t="n">
        <f aca="false">ROUND(AY98-AY133,1)</f>
        <v>0</v>
      </c>
      <c r="AZ102" s="47" t="n">
        <f aca="false">ROUND(AZ98-AZ133,1)</f>
        <v>0</v>
      </c>
      <c r="BA102" s="47" t="n">
        <f aca="false">ROUND(BA98-BA133,1)</f>
        <v>0</v>
      </c>
      <c r="BB102" s="47" t="n">
        <f aca="false">ROUND(BB98-BB133,1)</f>
        <v>0</v>
      </c>
      <c r="BC102" s="47" t="n">
        <f aca="false">ROUND(BC98-BC133,1)</f>
        <v>0</v>
      </c>
      <c r="BD102" s="47" t="n">
        <f aca="false">ROUND(BD98-BD133,1)</f>
        <v>0</v>
      </c>
      <c r="BE102" s="47" t="n">
        <f aca="false">ROUND(BE98-BE133,1)</f>
        <v>0</v>
      </c>
      <c r="BF102" s="47" t="n">
        <f aca="false">ROUND(BF98-BF133,1)</f>
        <v>0</v>
      </c>
      <c r="BG102" s="47" t="n">
        <f aca="false">ROUND(BG98-BG133,1)</f>
        <v>0</v>
      </c>
      <c r="BH102" s="47" t="n">
        <f aca="false">ROUND(BH98-BH133,1)</f>
        <v>0</v>
      </c>
      <c r="BI102" s="47" t="n">
        <f aca="false">ROUND(BI98-BI133,1)</f>
        <v>0</v>
      </c>
      <c r="BJ102" s="47" t="n">
        <f aca="false">ROUND(BJ98-BJ133,1)</f>
        <v>0</v>
      </c>
      <c r="BK102" s="47" t="n">
        <f aca="false">ROUND(BK98-BK133,1)</f>
        <v>0</v>
      </c>
      <c r="BL102" s="47" t="n">
        <f aca="false">ROUND(BL98-BL133,1)</f>
        <v>0</v>
      </c>
      <c r="BM102" s="47" t="n">
        <f aca="false">ROUND(BM98-BM133,1)</f>
        <v>0</v>
      </c>
      <c r="BN102" s="47" t="n">
        <f aca="false">ROUND(BN98-BN133,1)</f>
        <v>0</v>
      </c>
      <c r="BO102" s="47" t="n">
        <f aca="false">ROUND(BO98-BO133,1)</f>
        <v>0</v>
      </c>
      <c r="BP102" s="47" t="n">
        <f aca="false">ROUND(BP98-BP133,1)</f>
        <v>0</v>
      </c>
      <c r="BQ102" s="47" t="n">
        <f aca="false">ROUND(BQ98-BQ133,1)</f>
        <v>0</v>
      </c>
      <c r="BR102" s="47" t="n">
        <f aca="false">ROUND(BR98-BR133,1)</f>
        <v>0</v>
      </c>
      <c r="BS102" s="47" t="n">
        <f aca="false">ROUND(BS98-BS133,1)</f>
        <v>0</v>
      </c>
      <c r="BT102" s="47" t="n">
        <f aca="false">ROUND(BT98-BT133,1)</f>
        <v>0</v>
      </c>
      <c r="BU102" s="47" t="n">
        <f aca="false">ROUND(BU98-BU133,1)</f>
        <v>0</v>
      </c>
      <c r="BV102" s="47" t="n">
        <f aca="false">ROUND(BV98-BV133,1)</f>
        <v>0</v>
      </c>
      <c r="BW102" s="47" t="n">
        <f aca="false">ROUND(BW98-BW133,1)</f>
        <v>0</v>
      </c>
      <c r="BX102" s="47" t="n">
        <f aca="false">ROUND(BX98-BX133,1)</f>
        <v>0</v>
      </c>
      <c r="BY102" s="53" t="n">
        <f aca="false">ROUND(BY98-BY133,1)</f>
        <v>0</v>
      </c>
      <c r="BZ102" s="53" t="n">
        <f aca="false">ROUND(BZ98-BZ133,1)</f>
        <v>0</v>
      </c>
      <c r="CA102" s="53" t="n">
        <f aca="false">ROUND(CA98-CA133,1)</f>
        <v>0</v>
      </c>
      <c r="CB102" s="53" t="n">
        <f aca="false">ROUND(CB98-CB133,1)</f>
        <v>0</v>
      </c>
      <c r="CC102" s="53" t="n">
        <f aca="false">ROUND(CC98-CC133,1)</f>
        <v>0</v>
      </c>
      <c r="CD102" s="53" t="n">
        <f aca="false">ROUND(CD98-CD133,1)</f>
        <v>0</v>
      </c>
      <c r="CE102" s="53" t="n">
        <f aca="false">ROUND(CE98-CE133,1)</f>
        <v>0</v>
      </c>
    </row>
    <row r="103" customFormat="false" ht="15" hidden="false" customHeight="false" outlineLevel="0" collapsed="false">
      <c r="B103" s="46" t="s">
        <v>213</v>
      </c>
      <c r="C103" s="47" t="n">
        <f aca="false">ROUND(C99-C125,1)</f>
        <v>0</v>
      </c>
      <c r="D103" s="47" t="n">
        <f aca="false">ROUND(D99-D125,1)</f>
        <v>0</v>
      </c>
      <c r="E103" s="47" t="n">
        <f aca="false">ROUND(E99-E125,1)</f>
        <v>0</v>
      </c>
      <c r="F103" s="47" t="n">
        <f aca="false">ROUND(F99-F125,1)</f>
        <v>0</v>
      </c>
      <c r="G103" s="47" t="n">
        <f aca="false">ROUND(G99-G125,1)</f>
        <v>0</v>
      </c>
      <c r="H103" s="47" t="n">
        <f aca="false">ROUND(H99-H125,1)</f>
        <v>0</v>
      </c>
      <c r="I103" s="47" t="n">
        <f aca="false">ROUND(I99-I125,1)</f>
        <v>0</v>
      </c>
      <c r="J103" s="47" t="n">
        <f aca="false">ROUND(J99-J125,1)</f>
        <v>0</v>
      </c>
      <c r="K103" s="47" t="n">
        <f aca="false">ROUND(K99-K125,1)</f>
        <v>0</v>
      </c>
      <c r="L103" s="47" t="n">
        <f aca="false">ROUND(L99-L125,1)</f>
        <v>0</v>
      </c>
      <c r="M103" s="47" t="n">
        <f aca="false">ROUND(M99-M125,1)</f>
        <v>0</v>
      </c>
      <c r="N103" s="47" t="n">
        <f aca="false">ROUND(N99-N125,1)</f>
        <v>0</v>
      </c>
      <c r="O103" s="47" t="n">
        <f aca="false">ROUND(O99-O125,1)</f>
        <v>0</v>
      </c>
      <c r="P103" s="47" t="n">
        <f aca="false">ROUND(P99-P125,1)</f>
        <v>0</v>
      </c>
      <c r="Q103" s="47" t="n">
        <f aca="false">ROUND(Q99-Q125,1)</f>
        <v>0</v>
      </c>
      <c r="R103" s="47" t="n">
        <f aca="false">ROUND(R99-R125,1)</f>
        <v>0</v>
      </c>
      <c r="S103" s="47" t="n">
        <f aca="false">ROUND(S99-S125,1)</f>
        <v>0</v>
      </c>
      <c r="T103" s="47" t="n">
        <f aca="false">ROUND(T99-T125,1)</f>
        <v>0</v>
      </c>
      <c r="U103" s="47" t="n">
        <f aca="false">ROUND(U99-U125,1)</f>
        <v>0</v>
      </c>
      <c r="V103" s="47" t="n">
        <f aca="false">ROUND(V99-V125,1)</f>
        <v>0</v>
      </c>
      <c r="W103" s="47" t="n">
        <f aca="false">ROUND(W99-W125,1)</f>
        <v>0</v>
      </c>
      <c r="X103" s="47" t="n">
        <f aca="false">ROUND(X99-X125,1)</f>
        <v>0</v>
      </c>
      <c r="Y103" s="47" t="n">
        <f aca="false">ROUND(Y99-Y125,1)</f>
        <v>0</v>
      </c>
      <c r="Z103" s="47" t="n">
        <f aca="false">ROUND(Z99-Z125,1)</f>
        <v>0</v>
      </c>
      <c r="AA103" s="47" t="n">
        <f aca="false">ROUND(AA99-AA125,1)</f>
        <v>0</v>
      </c>
      <c r="AB103" s="47" t="n">
        <f aca="false">ROUND(AB99-AB125,1)</f>
        <v>0</v>
      </c>
      <c r="AC103" s="47" t="n">
        <f aca="false">ROUND(AC99-AC125,1)</f>
        <v>0</v>
      </c>
      <c r="AD103" s="47" t="n">
        <f aca="false">ROUND(AD99-AD125,1)</f>
        <v>0</v>
      </c>
      <c r="AE103" s="47" t="n">
        <f aca="false">ROUND(AE99-AE125,1)</f>
        <v>0</v>
      </c>
      <c r="AF103" s="47" t="n">
        <f aca="false">ROUND(AF99-AF125,1)</f>
        <v>0</v>
      </c>
      <c r="AG103" s="47" t="n">
        <f aca="false">ROUND(AG99-AG125,1)</f>
        <v>0</v>
      </c>
      <c r="AH103" s="47" t="n">
        <f aca="false">ROUND(AH99-AH125,1)</f>
        <v>0</v>
      </c>
      <c r="AI103" s="47" t="n">
        <f aca="false">ROUND(AI99-AI125,1)</f>
        <v>0</v>
      </c>
      <c r="AJ103" s="47" t="n">
        <f aca="false">ROUND(AJ99-AJ125,1)</f>
        <v>0</v>
      </c>
      <c r="AK103" s="47" t="n">
        <f aca="false">ROUND(AK99-AK125,1)</f>
        <v>0</v>
      </c>
      <c r="AL103" s="47" t="n">
        <f aca="false">ROUND(AL99-AL125,1)</f>
        <v>0</v>
      </c>
      <c r="AM103" s="47" t="n">
        <f aca="false">ROUND(AM99-AM125,1)</f>
        <v>0</v>
      </c>
      <c r="AN103" s="47" t="n">
        <f aca="false">ROUND(AN99-AN125,1)</f>
        <v>0</v>
      </c>
      <c r="AO103" s="47" t="n">
        <f aca="false">ROUND(AO99-AO125,1)</f>
        <v>0</v>
      </c>
      <c r="AP103" s="47" t="n">
        <f aca="false">ROUND(AP99-AP125,1)</f>
        <v>0</v>
      </c>
      <c r="AQ103" s="47" t="n">
        <f aca="false">ROUND(AQ99-AQ125,1)</f>
        <v>0</v>
      </c>
      <c r="AR103" s="47" t="n">
        <f aca="false">ROUND(AR99-AR125,1)</f>
        <v>0</v>
      </c>
      <c r="AS103" s="47" t="n">
        <f aca="false">ROUND(AS99-AS125,1)</f>
        <v>0</v>
      </c>
      <c r="AT103" s="47" t="n">
        <f aca="false">ROUND(AT99-AT125,1)</f>
        <v>0</v>
      </c>
      <c r="AU103" s="47" t="n">
        <f aca="false">ROUND(AU99-AU125,1)</f>
        <v>0</v>
      </c>
      <c r="AV103" s="47" t="n">
        <f aca="false">ROUND(AV99-AV125,1)</f>
        <v>0</v>
      </c>
      <c r="AW103" s="47" t="n">
        <f aca="false">ROUND(AW99-AW125,1)</f>
        <v>0</v>
      </c>
      <c r="AX103" s="47" t="n">
        <f aca="false">ROUND(AX99-AX125,1)</f>
        <v>0</v>
      </c>
      <c r="AY103" s="47" t="n">
        <f aca="false">ROUND(AY99-AY125,1)</f>
        <v>0</v>
      </c>
      <c r="AZ103" s="47" t="n">
        <f aca="false">ROUND(AZ99-AZ125,1)</f>
        <v>0</v>
      </c>
      <c r="BA103" s="47" t="n">
        <f aca="false">ROUND(BA99-BA125,1)</f>
        <v>0</v>
      </c>
      <c r="BB103" s="47" t="n">
        <f aca="false">ROUND(BB99-BB125,1)</f>
        <v>0</v>
      </c>
      <c r="BC103" s="47" t="n">
        <f aca="false">ROUND(BC99-BC125,1)</f>
        <v>0</v>
      </c>
      <c r="BD103" s="47" t="n">
        <f aca="false">ROUND(BD99-BD125,1)</f>
        <v>0</v>
      </c>
      <c r="BE103" s="47" t="n">
        <f aca="false">ROUND(BE99-BE125,1)</f>
        <v>0</v>
      </c>
      <c r="BF103" s="47" t="n">
        <f aca="false">ROUND(BF99-BF125,1)</f>
        <v>0</v>
      </c>
      <c r="BG103" s="47" t="n">
        <f aca="false">ROUND(BG99-BG125,1)</f>
        <v>0</v>
      </c>
      <c r="BH103" s="47" t="n">
        <f aca="false">ROUND(BH99-BH125,1)</f>
        <v>0</v>
      </c>
      <c r="BI103" s="47" t="n">
        <f aca="false">ROUND(BI99-BI125,1)</f>
        <v>0</v>
      </c>
      <c r="BJ103" s="47" t="n">
        <f aca="false">ROUND(BJ99-BJ125,1)</f>
        <v>0</v>
      </c>
      <c r="BK103" s="47" t="n">
        <f aca="false">ROUND(BK99-BK125,1)</f>
        <v>0</v>
      </c>
      <c r="BL103" s="47" t="n">
        <f aca="false">ROUND(BL99-BL125,1)</f>
        <v>0</v>
      </c>
      <c r="BM103" s="47" t="n">
        <f aca="false">ROUND(BM99-BM125,1)</f>
        <v>0</v>
      </c>
      <c r="BN103" s="47" t="n">
        <f aca="false">ROUND(BN99-BN125,1)</f>
        <v>0</v>
      </c>
      <c r="BO103" s="47" t="n">
        <f aca="false">ROUND(BO99-BO125,1)</f>
        <v>0</v>
      </c>
      <c r="BP103" s="47" t="n">
        <f aca="false">ROUND(BP99-BP125,1)</f>
        <v>0</v>
      </c>
      <c r="BQ103" s="47" t="n">
        <f aca="false">ROUND(BQ99-BQ125,1)</f>
        <v>0</v>
      </c>
      <c r="BR103" s="47" t="n">
        <f aca="false">ROUND(BR99-BR125,1)</f>
        <v>0</v>
      </c>
      <c r="BS103" s="47" t="n">
        <f aca="false">ROUND(BS99-BS125,1)</f>
        <v>0</v>
      </c>
      <c r="BT103" s="47" t="n">
        <f aca="false">ROUND(BT99-BT125,1)</f>
        <v>0</v>
      </c>
      <c r="BU103" s="47" t="n">
        <f aca="false">ROUND(BU99-BU125,1)</f>
        <v>0</v>
      </c>
      <c r="BV103" s="47" t="n">
        <f aca="false">ROUND(BV99-BV125,1)</f>
        <v>0</v>
      </c>
      <c r="BW103" s="47" t="n">
        <f aca="false">ROUND(BW99-BW125,1)</f>
        <v>0</v>
      </c>
      <c r="BX103" s="47" t="n">
        <f aca="false">ROUND(BX99-BX125,1)</f>
        <v>0</v>
      </c>
      <c r="BY103" s="53" t="n">
        <f aca="false">ROUND(BY99-BY125,1)</f>
        <v>0</v>
      </c>
      <c r="BZ103" s="53" t="n">
        <f aca="false">ROUND(BZ99-BZ125,1)</f>
        <v>0</v>
      </c>
      <c r="CA103" s="53" t="n">
        <f aca="false">ROUND(CA99-CA125,1)</f>
        <v>0</v>
      </c>
      <c r="CB103" s="53" t="n">
        <f aca="false">ROUND(CB99-CB125,1)</f>
        <v>0</v>
      </c>
      <c r="CC103" s="53" t="n">
        <f aca="false">ROUND(CC99-CC125,1)</f>
        <v>0</v>
      </c>
      <c r="CD103" s="53" t="n">
        <f aca="false">ROUND(CD99-CD125,1)</f>
        <v>0</v>
      </c>
      <c r="CE103" s="53" t="n">
        <f aca="false">ROUND(CE99-CE125,1)</f>
        <v>0</v>
      </c>
    </row>
    <row r="104" customFormat="false" ht="15" hidden="false" customHeight="false" outlineLevel="0" collapsed="false">
      <c r="B104" s="28" t="s">
        <v>214</v>
      </c>
      <c r="C104" s="43" t="n">
        <f aca="false">C98</f>
        <v>1082.544</v>
      </c>
      <c r="D104" s="43" t="n">
        <f aca="false">D98</f>
        <v>1243.778</v>
      </c>
      <c r="E104" s="43" t="n">
        <f aca="false">E98</f>
        <v>1374.963</v>
      </c>
      <c r="F104" s="43" t="n">
        <f aca="false">F98</f>
        <v>1381.959</v>
      </c>
      <c r="G104" s="43" t="n">
        <f aca="false">G98</f>
        <v>1467.978</v>
      </c>
      <c r="H104" s="43" t="n">
        <f aca="false">H98</f>
        <v>1632.658</v>
      </c>
      <c r="I104" s="43" t="n">
        <f aca="false">I98</f>
        <v>1717.571</v>
      </c>
      <c r="J104" s="43" t="n">
        <f aca="false">J98</f>
        <v>455.722</v>
      </c>
      <c r="K104" s="43" t="n">
        <f aca="false">K98</f>
        <v>472.602</v>
      </c>
      <c r="L104" s="43" t="n">
        <f aca="false">L98</f>
        <v>463.306</v>
      </c>
      <c r="M104" s="43" t="n">
        <f aca="false">M98</f>
        <v>444.465</v>
      </c>
      <c r="N104" s="43" t="n">
        <f aca="false">N98</f>
        <v>1836.095</v>
      </c>
      <c r="O104" s="43" t="n">
        <f aca="false">O98</f>
        <v>457.235</v>
      </c>
      <c r="P104" s="43" t="n">
        <f aca="false">P98</f>
        <v>521.037</v>
      </c>
      <c r="Q104" s="43" t="n">
        <f aca="false">Q98</f>
        <v>527.564</v>
      </c>
      <c r="R104" s="43" t="n">
        <f aca="false">R98</f>
        <v>501.816</v>
      </c>
      <c r="S104" s="43" t="n">
        <f aca="false">S98</f>
        <v>2007.652</v>
      </c>
      <c r="T104" s="43" t="n">
        <f aca="false">T98</f>
        <v>525.11</v>
      </c>
      <c r="U104" s="43" t="n">
        <f aca="false">U98</f>
        <v>584.018</v>
      </c>
      <c r="V104" s="43" t="n">
        <f aca="false">V98</f>
        <v>588.575</v>
      </c>
      <c r="W104" s="43" t="n">
        <f aca="false">W98</f>
        <v>570.777</v>
      </c>
      <c r="X104" s="43" t="n">
        <f aca="false">X98</f>
        <v>2268.48</v>
      </c>
      <c r="Y104" s="43" t="n">
        <f aca="false">Y98</f>
        <v>563.335</v>
      </c>
      <c r="Z104" s="43" t="n">
        <f aca="false">Z98</f>
        <v>594.215</v>
      </c>
      <c r="AA104" s="43" t="n">
        <f aca="false">AA98</f>
        <v>558.462</v>
      </c>
      <c r="AB104" s="43" t="n">
        <f aca="false">AB98</f>
        <v>561.516</v>
      </c>
      <c r="AC104" s="43" t="n">
        <f aca="false">AC98</f>
        <v>2277.528</v>
      </c>
      <c r="AD104" s="43" t="n">
        <f aca="false">AD98</f>
        <v>568.566</v>
      </c>
      <c r="AE104" s="43" t="n">
        <f aca="false">AE98</f>
        <v>573.789</v>
      </c>
      <c r="AF104" s="43" t="n">
        <f aca="false">AF98</f>
        <v>593.846</v>
      </c>
      <c r="AG104" s="43" t="n">
        <f aca="false">AG98</f>
        <v>631.849</v>
      </c>
      <c r="AH104" s="43" t="n">
        <f aca="false">AH98</f>
        <v>2368.05</v>
      </c>
      <c r="AI104" s="43" t="n">
        <f aca="false">AI98</f>
        <v>625.925</v>
      </c>
      <c r="AJ104" s="43" t="n">
        <f aca="false">AJ98</f>
        <v>671.483</v>
      </c>
      <c r="AK104" s="43" t="n">
        <f aca="false">AK98</f>
        <v>694.044</v>
      </c>
      <c r="AL104" s="43" t="n">
        <f aca="false">AL98</f>
        <v>713.783</v>
      </c>
      <c r="AM104" s="43" t="n">
        <f aca="false">AM98</f>
        <v>2705.235</v>
      </c>
      <c r="AN104" s="43" t="n">
        <f aca="false">AN98</f>
        <v>678.8</v>
      </c>
      <c r="AO104" s="43" t="n">
        <f aca="false">AO98</f>
        <v>695.216</v>
      </c>
      <c r="AP104" s="43" t="n">
        <f aca="false">AP98</f>
        <v>633.431</v>
      </c>
      <c r="AQ104" s="43" t="n">
        <f aca="false">AQ98</f>
        <v>578.863</v>
      </c>
      <c r="AR104" s="43" t="n">
        <f aca="false">AR98</f>
        <v>2586.31</v>
      </c>
      <c r="AS104" s="43" t="n">
        <f aca="false">AS98</f>
        <v>567.953</v>
      </c>
      <c r="AT104" s="43" t="n">
        <f aca="false">AT98</f>
        <v>614.453</v>
      </c>
      <c r="AU104" s="43" t="n">
        <f aca="false">AU98</f>
        <v>589.273</v>
      </c>
      <c r="AV104" s="43" t="n">
        <f aca="false">AV98</f>
        <v>640.578</v>
      </c>
      <c r="AW104" s="43" t="n">
        <f aca="false">AW98</f>
        <v>2412.257</v>
      </c>
      <c r="AX104" s="43" t="n">
        <f aca="false">AX98</f>
        <v>702.38</v>
      </c>
      <c r="AY104" s="43" t="n">
        <f aca="false">AY98</f>
        <v>749.176</v>
      </c>
      <c r="AZ104" s="43" t="n">
        <f aca="false">AZ98</f>
        <v>844.192</v>
      </c>
      <c r="BA104" s="43" t="n">
        <f aca="false">BA98</f>
        <v>856.341</v>
      </c>
      <c r="BB104" s="43" t="n">
        <f aca="false">BB98</f>
        <v>3152.089</v>
      </c>
      <c r="BC104" s="43" t="n">
        <f aca="false">BC98</f>
        <v>906.196</v>
      </c>
      <c r="BD104" s="43" t="n">
        <f aca="false">BD98</f>
        <v>1031.613</v>
      </c>
      <c r="BE104" s="43" t="n">
        <f aca="false">BE98</f>
        <v>887.194</v>
      </c>
      <c r="BF104" s="43" t="n">
        <f aca="false">BF98</f>
        <v>768.174</v>
      </c>
      <c r="BG104" s="43" t="n">
        <f aca="false">BG98</f>
        <v>3593.177</v>
      </c>
      <c r="BH104" s="43" t="n">
        <f aca="false">BH98</f>
        <v>685.64</v>
      </c>
      <c r="BI104" s="43" t="n">
        <f aca="false">BI98</f>
        <v>665.496</v>
      </c>
      <c r="BJ104" s="43" t="n">
        <f aca="false">BJ98</f>
        <v>634.849</v>
      </c>
      <c r="BK104" s="43" t="n">
        <f aca="false">BK98</f>
        <v>618.623</v>
      </c>
      <c r="BL104" s="43" t="n">
        <f aca="false">BL98</f>
        <v>2604.608</v>
      </c>
      <c r="BM104" s="43" t="n">
        <f aca="false">BM98</f>
        <v>657.729</v>
      </c>
      <c r="BN104" s="43" t="n">
        <f aca="false">BN98</f>
        <v>687.409</v>
      </c>
      <c r="BO104" s="43" t="n">
        <f aca="false">BO98</f>
        <v>735.253</v>
      </c>
      <c r="BP104" s="43" t="n">
        <f aca="false">BP98</f>
        <v>684.623</v>
      </c>
      <c r="BQ104" s="43" t="n">
        <f aca="false">BQ98</f>
        <v>2765.014</v>
      </c>
      <c r="BR104" s="43" t="n">
        <f aca="false">BR98</f>
        <v>673.088</v>
      </c>
      <c r="BS104" s="43" t="n">
        <f aca="false">BS98</f>
        <v>693.231</v>
      </c>
      <c r="BT104" s="43" t="n">
        <f aca="false">BT98</f>
        <v>706.077</v>
      </c>
      <c r="BU104" s="43" t="n">
        <f aca="false">BU98</f>
        <v>657.014</v>
      </c>
      <c r="BV104" s="43" t="n">
        <f aca="false">BV98</f>
        <v>2729.41</v>
      </c>
      <c r="BW104" s="43" t="n">
        <f aca="false">BW98</f>
        <v>660.493</v>
      </c>
      <c r="BX104" s="43" t="n">
        <f aca="false">BX98</f>
        <v>737.966</v>
      </c>
      <c r="BY104" s="49" t="n">
        <f aca="false">BY98-N(BY85)</f>
        <v>762.187789993305</v>
      </c>
      <c r="BZ104" s="49" t="n">
        <f aca="false">BZ98-N(BZ85)</f>
        <v>709.264033538311</v>
      </c>
      <c r="CA104" s="49" t="n">
        <f aca="false">CA98-N(CA85)</f>
        <v>2869.91082353162</v>
      </c>
      <c r="CB104" s="49" t="n">
        <f aca="false">CB98-N(CB85)</f>
        <v>3030.60532499074</v>
      </c>
      <c r="CC104" s="49" t="n">
        <f aca="false">CC98-N(CC85)</f>
        <v>3206.6046077979</v>
      </c>
      <c r="CD104" s="49" t="n">
        <f aca="false">CD98-N(CD85)</f>
        <v>3363.03341439865</v>
      </c>
      <c r="CE104" s="49" t="n">
        <f aca="false">CE98-N(CE85)</f>
        <v>3527.11358392931</v>
      </c>
    </row>
    <row r="105" customFormat="false" ht="15" hidden="false" customHeight="false" outlineLevel="1" collapsed="false">
      <c r="B105" s="54" t="s">
        <v>215</v>
      </c>
      <c r="BY105" s="6"/>
      <c r="BZ105" s="6"/>
      <c r="CA105" s="49" t="n">
        <f aca="false">CHOOSE(MATCH($CF$2,{"Bull","Base","Bear"},0),$CO$12,$CP$12,$CQ$12)</f>
        <v>1002</v>
      </c>
      <c r="CB105" s="6"/>
      <c r="CC105" s="6"/>
      <c r="CD105" s="6"/>
      <c r="CE105" s="6"/>
      <c r="CF105" s="23" t="s">
        <v>216</v>
      </c>
    </row>
    <row r="106" customFormat="false" ht="15" hidden="false" customHeight="false" outlineLevel="1" collapsed="false">
      <c r="B106" s="28" t="s">
        <v>217</v>
      </c>
      <c r="BY106" s="49" t="n">
        <f aca="false">BT13*(1+BY11)*(1+$BX$12)+BT32*(1+BY30)*(1+$BX$31)+BT49*(1+$BX$48)</f>
        <v>751.583272956205</v>
      </c>
      <c r="BZ106" s="49" t="n">
        <f aca="false">BU13*(1+BZ11)*(1+$BX$12)+BU32*(1+BZ30)*(1+$BX$31)+BU49*(1+$BX$48)</f>
        <v>699.39682956503</v>
      </c>
      <c r="CA106" s="6"/>
      <c r="CB106" s="6"/>
      <c r="CC106" s="6"/>
      <c r="CD106" s="6"/>
      <c r="CE106" s="6"/>
    </row>
    <row r="107" customFormat="false" ht="15" hidden="false" customHeight="false" outlineLevel="1" collapsed="false">
      <c r="B107" s="28" t="s">
        <v>218</v>
      </c>
      <c r="BY107" s="49" t="n">
        <f aca="false">BT13*(1+BY11)+BT32*(1+BY30)+BT49</f>
        <v>714.656635</v>
      </c>
      <c r="BZ107" s="49" t="n">
        <f aca="false">BU13*(1+BZ11)+BU32*(1+BZ30)+BU49</f>
        <v>664.96784</v>
      </c>
      <c r="CA107" s="6"/>
      <c r="CB107" s="6"/>
      <c r="CC107" s="6"/>
      <c r="CD107" s="6"/>
      <c r="CE107" s="6"/>
    </row>
    <row r="108" customFormat="false" ht="15" hidden="false" customHeight="false" outlineLevel="1" collapsed="false">
      <c r="B108" s="28" t="s">
        <v>219</v>
      </c>
      <c r="BY108" s="49" t="n">
        <f aca="false">BY136+BY137-BY180</f>
        <v>472.556317771702</v>
      </c>
      <c r="BZ108" s="49" t="n">
        <f aca="false">BZ136+BZ137-BZ180</f>
        <v>456.049505759914</v>
      </c>
      <c r="CA108" s="6"/>
      <c r="CB108" s="6"/>
      <c r="CC108" s="6"/>
      <c r="CD108" s="6"/>
      <c r="CE108" s="6"/>
    </row>
    <row r="109" customFormat="false" ht="15" hidden="false" customHeight="false" outlineLevel="1" collapsed="false">
      <c r="B109" s="25" t="s">
        <v>220</v>
      </c>
      <c r="BY109" s="27" t="n">
        <f aca="false">(CA105-BW181-BX181-(BY106-BY108)-(BZ106-BZ108))/(BY107+BZ107)</f>
        <v>0.0148386183206701</v>
      </c>
      <c r="BZ109" s="27" t="n">
        <f aca="false">BY109</f>
        <v>0.0148386183206701</v>
      </c>
      <c r="CA109" s="6"/>
      <c r="CB109" s="6"/>
      <c r="CC109" s="6"/>
      <c r="CD109" s="6"/>
      <c r="CE109" s="6"/>
      <c r="CF109" s="23" t="s">
        <v>221</v>
      </c>
    </row>
    <row r="110" customFormat="false" ht="15" hidden="false" customHeight="false" outlineLevel="1" collapsed="false">
      <c r="B110" s="46" t="s">
        <v>222</v>
      </c>
      <c r="CA110" s="53" t="n">
        <f aca="false">ROUND(CA181-CA105,1)</f>
        <v>0</v>
      </c>
    </row>
    <row r="112" customFormat="false" ht="15" hidden="false" customHeight="false" outlineLevel="0" collapsed="false">
      <c r="B112" s="15" t="s">
        <v>223</v>
      </c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7" t="s">
        <v>224</v>
      </c>
    </row>
    <row r="113" customFormat="false" ht="15" hidden="false" customHeight="false" outlineLevel="0" collapsed="false">
      <c r="B113" s="18" t="s">
        <v>225</v>
      </c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31" t="n">
        <v>11617</v>
      </c>
      <c r="T113" s="31" t="n">
        <v>12565</v>
      </c>
      <c r="U113" s="31" t="n">
        <v>12850</v>
      </c>
      <c r="V113" s="31" t="n">
        <v>13112</v>
      </c>
      <c r="W113" s="31" t="n">
        <v>13158</v>
      </c>
      <c r="X113" s="31" t="n">
        <v>12902</v>
      </c>
      <c r="Y113" s="31" t="n">
        <v>13251</v>
      </c>
      <c r="Z113" s="31" t="n">
        <v>13522</v>
      </c>
      <c r="AA113" s="31" t="n">
        <v>13706</v>
      </c>
      <c r="AB113" s="31" t="n">
        <v>14074</v>
      </c>
      <c r="AC113" s="31" t="n">
        <v>13670</v>
      </c>
      <c r="AD113" s="31" t="n">
        <v>14279</v>
      </c>
      <c r="AE113" s="31" t="n">
        <v>14620</v>
      </c>
      <c r="AF113" s="31" t="n">
        <v>14903</v>
      </c>
      <c r="AG113" s="31" t="n">
        <v>15036</v>
      </c>
      <c r="AH113" s="31" t="n">
        <v>14687</v>
      </c>
      <c r="AI113" s="31" t="n">
        <v>15088</v>
      </c>
      <c r="AJ113" s="31" t="n">
        <v>15229</v>
      </c>
      <c r="AK113" s="31" t="n">
        <v>15291</v>
      </c>
      <c r="AL113" s="31" t="n">
        <v>15243</v>
      </c>
      <c r="AM113" s="31" t="n">
        <v>15204</v>
      </c>
      <c r="AN113" s="31" t="n">
        <v>15381</v>
      </c>
      <c r="AO113" s="31" t="n">
        <v>15712</v>
      </c>
      <c r="AP113" s="31" t="n">
        <v>15782</v>
      </c>
      <c r="AQ113" s="31" t="n">
        <v>15540</v>
      </c>
      <c r="AR113" s="31" t="n">
        <v>15551</v>
      </c>
      <c r="AS113" s="31" t="n">
        <v>15450</v>
      </c>
      <c r="AT113" s="31" t="n">
        <v>15294</v>
      </c>
      <c r="AU113" s="31" t="n">
        <v>14904</v>
      </c>
      <c r="AV113" s="31" t="n">
        <v>14791</v>
      </c>
      <c r="AW113" s="31" t="n">
        <v>15119</v>
      </c>
      <c r="AX113" s="31" t="n">
        <v>14997</v>
      </c>
      <c r="AY113" s="31" t="n">
        <v>15405</v>
      </c>
      <c r="AZ113" s="31" t="n">
        <v>15968</v>
      </c>
      <c r="BA113" s="31" t="n">
        <v>16554</v>
      </c>
      <c r="BB113" s="31" t="n">
        <v>15761</v>
      </c>
      <c r="BC113" s="31" t="n">
        <v>17258</v>
      </c>
      <c r="BD113" s="31" t="n">
        <v>17893</v>
      </c>
      <c r="BE113" s="31" t="n">
        <v>18045</v>
      </c>
      <c r="BF113" s="31" t="n">
        <v>17672</v>
      </c>
      <c r="BG113" s="31" t="n">
        <v>17601</v>
      </c>
      <c r="BH113" s="31" t="n">
        <v>16902</v>
      </c>
      <c r="BI113" s="31" t="n">
        <v>16085</v>
      </c>
      <c r="BJ113" s="31" t="n">
        <v>15577</v>
      </c>
      <c r="BK113" s="31" t="n">
        <v>15319</v>
      </c>
      <c r="BL113" s="31" t="n">
        <v>16041</v>
      </c>
      <c r="BM113" s="31" t="n">
        <v>14990</v>
      </c>
      <c r="BN113" s="31" t="n">
        <v>14474</v>
      </c>
      <c r="BO113" s="31" t="n">
        <v>14085</v>
      </c>
      <c r="BP113" s="31" t="n">
        <v>13869</v>
      </c>
      <c r="BQ113" s="31" t="n">
        <v>14386</v>
      </c>
      <c r="BR113" s="31" t="n">
        <v>13347</v>
      </c>
      <c r="BS113" s="31" t="n">
        <v>12858</v>
      </c>
      <c r="BT113" s="31" t="n">
        <v>12559</v>
      </c>
      <c r="BU113" s="31" t="n">
        <v>12085</v>
      </c>
      <c r="BV113" s="31" t="n">
        <v>12733</v>
      </c>
      <c r="BW113" s="31" t="n">
        <v>11705</v>
      </c>
      <c r="BX113" s="31" t="n">
        <v>11471</v>
      </c>
      <c r="BY113" s="32" t="n">
        <f aca="false">BT113*(1+$BX$114)</f>
        <v>11204.2533053352</v>
      </c>
      <c r="BZ113" s="32" t="n">
        <f aca="false">BU113*(1+$BX$114)</f>
        <v>10781.3839632913</v>
      </c>
      <c r="CA113" s="32" t="n">
        <f aca="false">AVERAGE(BW113:BZ113)</f>
        <v>11290.4093171566</v>
      </c>
      <c r="CB113" s="32" t="n">
        <f aca="false">CA113*(1+CB115)/(1+CB116)</f>
        <v>11070.4093181098</v>
      </c>
      <c r="CC113" s="32" t="n">
        <f aca="false">CB113*(1+CC115)/(1+CC116)</f>
        <v>11020.6397362106</v>
      </c>
      <c r="CD113" s="32" t="n">
        <f aca="false">CC113*(1+CD115)/(1+CD116)</f>
        <v>11037.1077042153</v>
      </c>
      <c r="CE113" s="32" t="n">
        <f aca="false">CD113*(1+CE115)/(1+CE116)</f>
        <v>11053.5407857441</v>
      </c>
      <c r="CF113" s="23" t="s">
        <v>226</v>
      </c>
      <c r="CH113" s="33" t="n">
        <f aca="false">IFERROR((CE113/BV113)^(1/5)-1,"n/m")</f>
        <v>-0.0278928536934772</v>
      </c>
      <c r="CI113" s="33" t="n">
        <f aca="false">IFERROR((BV113/AW113)^(1/5)-1,"n/m")</f>
        <v>-0.0337677376757599</v>
      </c>
      <c r="CJ113" s="33" t="n">
        <f aca="false">IFERROR((BV113/X113)^(1/10)-1,"n/m")</f>
        <v>-0.00131766007449863</v>
      </c>
      <c r="CK113" s="33" t="str">
        <f aca="false">IFERROR((BV113/C113)^(1/19)-1,"n/m")</f>
        <v>n/m</v>
      </c>
    </row>
    <row r="114" customFormat="false" ht="15" hidden="false" customHeight="false" outlineLevel="0" collapsed="false">
      <c r="B114" s="25" t="s">
        <v>227</v>
      </c>
      <c r="D114" s="26" t="str">
        <f aca="false">IF(AND(ISNUMBER(D113),ISNUMBER(C113)),IFERROR(D113/C113-1,""),"")</f>
        <v/>
      </c>
      <c r="E114" s="26" t="str">
        <f aca="false">IF(AND(ISNUMBER(E113),ISNUMBER(D113)),IFERROR(E113/D113-1,""),"")</f>
        <v/>
      </c>
      <c r="F114" s="26" t="str">
        <f aca="false">IF(AND(ISNUMBER(F113),ISNUMBER(E113)),IFERROR(F113/E113-1,""),"")</f>
        <v/>
      </c>
      <c r="G114" s="26" t="str">
        <f aca="false">IF(AND(ISNUMBER(G113),ISNUMBER(F113)),IFERROR(G113/F113-1,""),"")</f>
        <v/>
      </c>
      <c r="H114" s="26" t="str">
        <f aca="false">IF(AND(ISNUMBER(H113),ISNUMBER(G113)),IFERROR(H113/G113-1,""),"")</f>
        <v/>
      </c>
      <c r="I114" s="26" t="str">
        <f aca="false">IF(AND(ISNUMBER(I113),ISNUMBER(H113)),IFERROR(I113/H113-1,""),"")</f>
        <v/>
      </c>
      <c r="N114" s="26" t="str">
        <f aca="false">IF(AND(ISNUMBER(N113),ISNUMBER(I113)),IFERROR(N113/I113-1,""),"")</f>
        <v/>
      </c>
      <c r="O114" s="26" t="str">
        <f aca="false">IF(AND(ISNUMBER(O113),ISNUMBER(J113)),IFERROR(O113/J113-1,""),"")</f>
        <v/>
      </c>
      <c r="P114" s="26" t="str">
        <f aca="false">IF(AND(ISNUMBER(P113),ISNUMBER(K113)),IFERROR(P113/K113-1,""),"")</f>
        <v/>
      </c>
      <c r="Q114" s="26" t="str">
        <f aca="false">IF(AND(ISNUMBER(Q113),ISNUMBER(L113)),IFERROR(Q113/L113-1,""),"")</f>
        <v/>
      </c>
      <c r="R114" s="26" t="str">
        <f aca="false">IF(AND(ISNUMBER(R113),ISNUMBER(M113)),IFERROR(R113/M113-1,""),"")</f>
        <v/>
      </c>
      <c r="S114" s="26" t="str">
        <f aca="false">IF(AND(ISNUMBER(S113),ISNUMBER(N113)),IFERROR(S113/N113-1,""),"")</f>
        <v/>
      </c>
      <c r="T114" s="26" t="str">
        <f aca="false">IF(AND(ISNUMBER(T113),ISNUMBER(O113)),IFERROR(T113/O113-1,""),"")</f>
        <v/>
      </c>
      <c r="U114" s="26" t="str">
        <f aca="false">IF(AND(ISNUMBER(U113),ISNUMBER(P113)),IFERROR(U113/P113-1,""),"")</f>
        <v/>
      </c>
      <c r="V114" s="26" t="str">
        <f aca="false">IF(AND(ISNUMBER(V113),ISNUMBER(Q113)),IFERROR(V113/Q113-1,""),"")</f>
        <v/>
      </c>
      <c r="W114" s="26" t="str">
        <f aca="false">IF(AND(ISNUMBER(W113),ISNUMBER(R113)),IFERROR(W113/R113-1,""),"")</f>
        <v/>
      </c>
      <c r="X114" s="26" t="n">
        <f aca="false">IF(AND(ISNUMBER(X113),ISNUMBER(S113)),IFERROR(X113/S113-1,""),"")</f>
        <v>0.110613755702849</v>
      </c>
      <c r="Y114" s="26" t="n">
        <f aca="false">IF(AND(ISNUMBER(Y113),ISNUMBER(T113)),IFERROR(Y113/T113-1,""),"")</f>
        <v>0.0545961002785516</v>
      </c>
      <c r="Z114" s="26" t="n">
        <f aca="false">IF(AND(ISNUMBER(Z113),ISNUMBER(U113)),IFERROR(Z113/U113-1,""),"")</f>
        <v>0.0522957198443579</v>
      </c>
      <c r="AA114" s="26" t="n">
        <f aca="false">IF(AND(ISNUMBER(AA113),ISNUMBER(V113)),IFERROR(AA113/V113-1,""),"")</f>
        <v>0.0453020134228188</v>
      </c>
      <c r="AB114" s="26" t="n">
        <f aca="false">IF(AND(ISNUMBER(AB113),ISNUMBER(W113)),IFERROR(AB113/W113-1,""),"")</f>
        <v>0.0696154430764553</v>
      </c>
      <c r="AC114" s="26" t="n">
        <f aca="false">IF(AND(ISNUMBER(AC113),ISNUMBER(X113)),IFERROR(AC113/X113-1,""),"")</f>
        <v>0.059525654937219</v>
      </c>
      <c r="AD114" s="26" t="n">
        <f aca="false">IF(AND(ISNUMBER(AD113),ISNUMBER(Y113)),IFERROR(AD113/Y113-1,""),"")</f>
        <v>0.0775790506376877</v>
      </c>
      <c r="AE114" s="26" t="n">
        <f aca="false">IF(AND(ISNUMBER(AE113),ISNUMBER(Z113)),IFERROR(AE113/Z113-1,""),"")</f>
        <v>0.0812010057683774</v>
      </c>
      <c r="AF114" s="26" t="n">
        <f aca="false">IF(AND(ISNUMBER(AF113),ISNUMBER(AA113)),IFERROR(AF113/AA113-1,""),"")</f>
        <v>0.0873340143003065</v>
      </c>
      <c r="AG114" s="26" t="n">
        <f aca="false">IF(AND(ISNUMBER(AG113),ISNUMBER(AB113)),IFERROR(AG113/AB113-1,""),"")</f>
        <v>0.0683529913315333</v>
      </c>
      <c r="AH114" s="26" t="n">
        <f aca="false">IF(AND(ISNUMBER(AH113),ISNUMBER(AC113)),IFERROR(AH113/AC113-1,""),"")</f>
        <v>0.0743964886613022</v>
      </c>
      <c r="AI114" s="26" t="n">
        <f aca="false">IF(AND(ISNUMBER(AI113),ISNUMBER(AD113)),IFERROR(AI113/AD113-1,""),"")</f>
        <v>0.0566566286154493</v>
      </c>
      <c r="AJ114" s="26" t="n">
        <f aca="false">IF(AND(ISNUMBER(AJ113),ISNUMBER(AE113)),IFERROR(AJ113/AE113-1,""),"")</f>
        <v>0.041655266757866</v>
      </c>
      <c r="AK114" s="26" t="n">
        <f aca="false">IF(AND(ISNUMBER(AK113),ISNUMBER(AF113)),IFERROR(AK113/AF113-1,""),"")</f>
        <v>0.0260350265047307</v>
      </c>
      <c r="AL114" s="26" t="n">
        <f aca="false">IF(AND(ISNUMBER(AL113),ISNUMBER(AG113)),IFERROR(AL113/AG113-1,""),"")</f>
        <v>0.0137669592976855</v>
      </c>
      <c r="AM114" s="26" t="n">
        <f aca="false">IF(AND(ISNUMBER(AM113),ISNUMBER(AH113)),IFERROR(AM113/AH113-1,""),"")</f>
        <v>0.0352011983386669</v>
      </c>
      <c r="AN114" s="26" t="n">
        <f aca="false">IF(AND(ISNUMBER(AN113),ISNUMBER(AI113)),IFERROR(AN113/AI113-1,""),"")</f>
        <v>0.0194194061505832</v>
      </c>
      <c r="AO114" s="26" t="n">
        <f aca="false">IF(AND(ISNUMBER(AO113),ISNUMBER(AJ113)),IFERROR(AO113/AJ113-1,""),"")</f>
        <v>0.0317158053713311</v>
      </c>
      <c r="AP114" s="26" t="n">
        <f aca="false">IF(AND(ISNUMBER(AP113),ISNUMBER(AK113)),IFERROR(AP113/AK113-1,""),"")</f>
        <v>0.0321103917336996</v>
      </c>
      <c r="AQ114" s="26" t="n">
        <f aca="false">IF(AND(ISNUMBER(AQ113),ISNUMBER(AL113)),IFERROR(AQ113/AL113-1,""),"")</f>
        <v>0.0194843534737257</v>
      </c>
      <c r="AR114" s="26" t="n">
        <f aca="false">IF(AND(ISNUMBER(AR113),ISNUMBER(AM113)),IFERROR(AR113/AM113-1,""),"")</f>
        <v>0.0228229413312286</v>
      </c>
      <c r="AS114" s="26" t="n">
        <f aca="false">IF(AND(ISNUMBER(AS113),ISNUMBER(AN113)),IFERROR(AS113/AN113-1,""),"")</f>
        <v>0.00448605422274229</v>
      </c>
      <c r="AT114" s="26" t="n">
        <f aca="false">IF(AND(ISNUMBER(AT113),ISNUMBER(AO113)),IFERROR(AT113/AO113-1,""),"")</f>
        <v>-0.0266038696537678</v>
      </c>
      <c r="AU114" s="26" t="n">
        <f aca="false">IF(AND(ISNUMBER(AU113),ISNUMBER(AP113)),IFERROR(AU113/AP113-1,""),"")</f>
        <v>-0.05563299961982</v>
      </c>
      <c r="AV114" s="26" t="n">
        <f aca="false">IF(AND(ISNUMBER(AV113),ISNUMBER(AQ113)),IFERROR(AV113/AQ113-1,""),"")</f>
        <v>-0.0481981981981982</v>
      </c>
      <c r="AW114" s="26" t="n">
        <f aca="false">IF(AND(ISNUMBER(AW113),ISNUMBER(AR113)),IFERROR(AW113/AR113-1,""),"")</f>
        <v>-0.0277795640151759</v>
      </c>
      <c r="AX114" s="26" t="n">
        <f aca="false">IF(AND(ISNUMBER(AX113),ISNUMBER(AS113)),IFERROR(AX113/AS113-1,""),"")</f>
        <v>-0.0293203883495146</v>
      </c>
      <c r="AY114" s="26" t="n">
        <f aca="false">IF(AND(ISNUMBER(AY113),ISNUMBER(AT113)),IFERROR(AY113/AT113-1,""),"")</f>
        <v>0.00725774813652413</v>
      </c>
      <c r="AZ114" s="26" t="n">
        <f aca="false">IF(AND(ISNUMBER(AZ113),ISNUMBER(AU113)),IFERROR(AZ113/AU113-1,""),"")</f>
        <v>0.0713902308105208</v>
      </c>
      <c r="BA114" s="26" t="n">
        <f aca="false">IF(AND(ISNUMBER(BA113),ISNUMBER(AV113)),IFERROR(BA113/AV113-1,""),"")</f>
        <v>0.119194104523021</v>
      </c>
      <c r="BB114" s="26" t="n">
        <f aca="false">IF(AND(ISNUMBER(BB113),ISNUMBER(AW113)),IFERROR(BB113/AW113-1,""),"")</f>
        <v>0.042463125868113</v>
      </c>
      <c r="BC114" s="26" t="n">
        <f aca="false">IF(AND(ISNUMBER(BC113),ISNUMBER(AX113)),IFERROR(BC113/AX113-1,""),"")</f>
        <v>0.150763486030539</v>
      </c>
      <c r="BD114" s="26" t="n">
        <f aca="false">IF(AND(ISNUMBER(BD113),ISNUMBER(AY113)),IFERROR(BD113/AY113-1,""),"")</f>
        <v>0.161506004543979</v>
      </c>
      <c r="BE114" s="26" t="n">
        <f aca="false">IF(AND(ISNUMBER(BE113),ISNUMBER(AZ113)),IFERROR(BE113/AZ113-1,""),"")</f>
        <v>0.130072645290581</v>
      </c>
      <c r="BF114" s="26" t="n">
        <f aca="false">IF(AND(ISNUMBER(BF113),ISNUMBER(BA113)),IFERROR(BF113/BA113-1,""),"")</f>
        <v>0.0675365470581129</v>
      </c>
      <c r="BG114" s="26" t="n">
        <f aca="false">IF(AND(ISNUMBER(BG113),ISNUMBER(BB113)),IFERROR(BG113/BB113-1,""),"")</f>
        <v>0.116743861430112</v>
      </c>
      <c r="BH114" s="26" t="n">
        <f aca="false">IF(AND(ISNUMBER(BH113),ISNUMBER(BC113)),IFERROR(BH113/BC113-1,""),"")</f>
        <v>-0.0206281144976243</v>
      </c>
      <c r="BI114" s="26" t="n">
        <f aca="false">IF(AND(ISNUMBER(BI113),ISNUMBER(BD113)),IFERROR(BI113/BD113-1,""),"")</f>
        <v>-0.101045101436316</v>
      </c>
      <c r="BJ114" s="26" t="n">
        <f aca="false">IF(AND(ISNUMBER(BJ113),ISNUMBER(BE113)),IFERROR(BJ113/BE113-1,""),"")</f>
        <v>-0.136769188140759</v>
      </c>
      <c r="BK114" s="26" t="n">
        <f aca="false">IF(AND(ISNUMBER(BK113),ISNUMBER(BF113)),IFERROR(BK113/BF113-1,""),"")</f>
        <v>-0.133148483476686</v>
      </c>
      <c r="BL114" s="26" t="n">
        <f aca="false">IF(AND(ISNUMBER(BL113),ISNUMBER(BG113)),IFERROR(BL113/BG113-1,""),"")</f>
        <v>-0.0886313277654679</v>
      </c>
      <c r="BM114" s="26" t="n">
        <f aca="false">IF(AND(ISNUMBER(BM113),ISNUMBER(BH113)),IFERROR(BM113/BH113-1,""),"")</f>
        <v>-0.113122707371909</v>
      </c>
      <c r="BN114" s="26" t="n">
        <f aca="false">IF(AND(ISNUMBER(BN113),ISNUMBER(BI113)),IFERROR(BN113/BI113-1,""),"")</f>
        <v>-0.100155424308362</v>
      </c>
      <c r="BO114" s="26" t="n">
        <f aca="false">IF(AND(ISNUMBER(BO113),ISNUMBER(BJ113)),IFERROR(BO113/BJ113-1,""),"")</f>
        <v>-0.0957822430506516</v>
      </c>
      <c r="BP114" s="26" t="n">
        <f aca="false">IF(AND(ISNUMBER(BP113),ISNUMBER(BK113)),IFERROR(BP113/BK113-1,""),"")</f>
        <v>-0.0946536980220641</v>
      </c>
      <c r="BQ114" s="26" t="n">
        <f aca="false">IF(AND(ISNUMBER(BQ113),ISNUMBER(BL113)),IFERROR(BQ113/BL113-1,""),"")</f>
        <v>-0.103173118882863</v>
      </c>
      <c r="BR114" s="26" t="n">
        <f aca="false">IF(AND(ISNUMBER(BR113),ISNUMBER(BM113)),IFERROR(BR113/BM113-1,""),"")</f>
        <v>-0.109606404269513</v>
      </c>
      <c r="BS114" s="26" t="n">
        <f aca="false">IF(AND(ISNUMBER(BS113),ISNUMBER(BN113)),IFERROR(BS113/BN113-1,""),"")</f>
        <v>-0.111648473124223</v>
      </c>
      <c r="BT114" s="26" t="n">
        <f aca="false">IF(AND(ISNUMBER(BT113),ISNUMBER(BO113)),IFERROR(BT113/BO113-1,""),"")</f>
        <v>-0.108342208022719</v>
      </c>
      <c r="BU114" s="26" t="n">
        <f aca="false">IF(AND(ISNUMBER(BU113),ISNUMBER(BP113)),IFERROR(BU113/BP113-1,""),"")</f>
        <v>-0.128632201312279</v>
      </c>
      <c r="BV114" s="26" t="n">
        <f aca="false">IF(AND(ISNUMBER(BV113),ISNUMBER(BQ113)),IFERROR(BV113/BQ113-1,""),"")</f>
        <v>-0.114903378284443</v>
      </c>
      <c r="BW114" s="26" t="n">
        <f aca="false">IF(AND(ISNUMBER(BW113),ISNUMBER(BR113)),IFERROR(BW113/BR113-1,""),"")</f>
        <v>-0.123023900501985</v>
      </c>
      <c r="BX114" s="26" t="n">
        <f aca="false">IF(AND(ISNUMBER(BX113),ISNUMBER(BS113)),IFERROR(BX113/BS113-1,""),"")</f>
        <v>-0.107870586405351</v>
      </c>
      <c r="BY114" s="27" t="n">
        <f aca="false">IFERROR(BY113/BT113-1,"")</f>
        <v>-0.107870586405351</v>
      </c>
      <c r="BZ114" s="27" t="n">
        <f aca="false">IFERROR(BZ113/BU113-1,"")</f>
        <v>-0.107870586405351</v>
      </c>
      <c r="CA114" s="27" t="n">
        <f aca="false">IFERROR(CA113/BV113-1,"")</f>
        <v>-0.113295427852302</v>
      </c>
      <c r="CB114" s="27" t="n">
        <f aca="false">IFERROR(CB113/CA113-1,"")</f>
        <v>-0.0194855645058482</v>
      </c>
      <c r="CC114" s="27" t="n">
        <f aca="false">IFERROR(CC113/CB113-1,"")</f>
        <v>-0.00449573095889966</v>
      </c>
      <c r="CD114" s="27" t="n">
        <f aca="false">IFERROR(CD113/CC113-1,"")</f>
        <v>0.00149428421569331</v>
      </c>
      <c r="CE114" s="27" t="n">
        <f aca="false">IFERROR(CE113/CD113-1,"")</f>
        <v>0.00148889382700657</v>
      </c>
    </row>
    <row r="115" customFormat="false" ht="15" hidden="false" customHeight="false" outlineLevel="0" collapsed="false">
      <c r="B115" s="25" t="s">
        <v>228</v>
      </c>
      <c r="AS115" s="26" t="n">
        <f aca="false">IFERROR((AN13*AS11+AN32*AS30+AN49*AS48)/(AN13+AN32+AN49),"")</f>
        <v>0.0508561726576311</v>
      </c>
      <c r="AT115" s="26" t="n">
        <f aca="false">IFERROR((AO13*AT11+AO32*AT30+AO49*AT48)/(AO13+AO32+AO49),"")</f>
        <v>-0.0366834556920774</v>
      </c>
      <c r="AU115" s="26" t="n">
        <f aca="false">IFERROR((AP13*AU11+AP32*AU30+AP49*AU48)/(AP13+AP32+AP49),"")</f>
        <v>0.0349050141066904</v>
      </c>
      <c r="AV115" s="26" t="n">
        <f aca="false">IFERROR((AQ13*AV11+AQ32*AV30+AQ49*AV48)/(AQ13+AQ32+AQ49),"")</f>
        <v>0.0581256403190417</v>
      </c>
      <c r="AW115" s="26" t="n">
        <f aca="false">IFERROR((AR13*AW11+AR32*AW30+AR49*AW48)/(AR13+AR32+AR49),"")</f>
        <v>0.0259893682716961</v>
      </c>
      <c r="AX115" s="26" t="n">
        <f aca="false">IFERROR((AS13*AX11+AS32*AX30+AS49*AX48)/(AS13+AS32+AS49),"")</f>
        <v>0.0592198136518044</v>
      </c>
      <c r="AY115" s="26" t="n">
        <f aca="false">IFERROR((AT13*AY11+AT32*AY30+AT49*AY48)/(AT13+AT32+AT49),"")</f>
        <v>0.178819795818395</v>
      </c>
      <c r="AZ115" s="26" t="n">
        <f aca="false">IFERROR((AU13*AZ11+AU32*AZ30+AU49*AZ48)/(AU13+AU32+AU49),"")</f>
        <v>0.0637894744880556</v>
      </c>
      <c r="BA115" s="26" t="n">
        <f aca="false">IFERROR((AV13*BA11+AV32*BA30+AV49*BA48)/(AV13+AV32+AV49),"")</f>
        <v>0.0264571215371118</v>
      </c>
      <c r="BB115" s="26" t="n">
        <f aca="false">IFERROR((AW13*BB11+AW32*BB30+AW49*BB48)/(AW13+AW32+AW49),"")</f>
        <v>0.0842495291831396</v>
      </c>
      <c r="BC115" s="26" t="n">
        <f aca="false">IFERROR((AX13*BC11+AX32*BC30+AX49*BC48)/(AX13+AX32+AX49),"")</f>
        <v>0.0434068168228025</v>
      </c>
      <c r="BD115" s="26" t="n">
        <f aca="false">IFERROR((AY13*BD11+AY32*BD30+AY49*BD48)/(AY13+AY32+AY49),"")</f>
        <v>0.0203668881154264</v>
      </c>
      <c r="BE115" s="26" t="n">
        <f aca="false">IFERROR((AZ13*BE11+AZ32*BE30+AZ49*BE48)/(AZ13+AZ32+AZ49),"")</f>
        <v>-0.00746812012635917</v>
      </c>
      <c r="BF115" s="26" t="n">
        <f aca="false">IFERROR((BA13*BF11+BA32*BF30+BA49*BF48)/(BA13+BA32+BA49),"")</f>
        <v>-0.0390101081228156</v>
      </c>
      <c r="BG115" s="26" t="n">
        <f aca="false">IFERROR((BB13*BG11+BB32*BG30+BB49*BG48)/(BB13+BB32+BB49),"")</f>
        <v>0.00519370792694735</v>
      </c>
      <c r="BH115" s="26" t="n">
        <f aca="false">IFERROR((BC13*BH11+BC32*BH30+BC49*BH48)/(BC13+BC32+BC49),"")</f>
        <v>-0.0735210263563291</v>
      </c>
      <c r="BI115" s="26" t="n">
        <f aca="false">IFERROR((BD13*BI11+BD32*BI30+BD49*BI48)/(BD13+BD32+BD49),"")</f>
        <v>-0.0341317771296019</v>
      </c>
      <c r="BJ115" s="26" t="n">
        <f aca="false">IFERROR((BE13*BJ11+BE32*BJ30+BE49*BJ48)/(BE13+BE32+BE49),"")</f>
        <v>-0.0197281654294326</v>
      </c>
      <c r="BK115" s="26" t="n">
        <f aca="false">IFERROR((BF13*BK11+BF32*BK30+BF49*BK48)/(BF13+BF32+BF49),"")</f>
        <v>0.00196869459263136</v>
      </c>
      <c r="BL115" s="26" t="n">
        <f aca="false">IFERROR((BG13*BL11+BG32*BL30+BG49*BL48)/(BG13+BG32+BG49),"")</f>
        <v>-0.028810861530061</v>
      </c>
      <c r="BM115" s="26" t="n">
        <f aca="false">IFERROR((BH13*BM11+BH32*BM30+BH49*BM48)/(BH13+BH32+BH49),"")</f>
        <v>0.0267810439880987</v>
      </c>
      <c r="BN115" s="26" t="n">
        <f aca="false">IFERROR((BI13*BN11+BI32*BN30+BI49*BN48)/(BI13+BI32+BI49),"")</f>
        <v>0.0167231959320567</v>
      </c>
      <c r="BO115" s="26" t="n">
        <f aca="false">IFERROR((BJ13*BO11+BJ32*BO30+BJ49*BO48)/(BJ13+BJ32+BJ49),"")</f>
        <v>0.0121727705743004</v>
      </c>
      <c r="BP115" s="26" t="n">
        <f aca="false">IFERROR((BK13*BP11+BK32*BP30+BK49*BP48)/(BK13+BK32+BK49),"")</f>
        <v>0.00451599762698769</v>
      </c>
      <c r="BQ115" s="26" t="n">
        <f aca="false">IFERROR((BL13*BQ11+BL32*BQ30+BL49*BQ48)/(BL13+BL32+BL49),"")</f>
        <v>0.0149951910593162</v>
      </c>
      <c r="BR115" s="26" t="n">
        <f aca="false">IFERROR((BM13*BR11+BM32*BR30+BM49*BR48)/(BM13+BM32+BM49),"")</f>
        <v>-0.017801290501103</v>
      </c>
      <c r="BS115" s="26" t="n">
        <f aca="false">IFERROR((BN13*BS11+BN32*BS30+BN49*BS48)/(BN13+BN32+BN49),"")</f>
        <v>-0.0195649315036609</v>
      </c>
      <c r="BT115" s="26" t="n">
        <f aca="false">IFERROR((BO13*BT11+BO32*BT30+BO49*BT48)/(BO13+BO32+BO49),"")</f>
        <v>-0.0184624884223526</v>
      </c>
      <c r="BU115" s="26" t="n">
        <f aca="false">IFERROR((BP13*BU11+BP32*BU30+BP49*BU48)/(BP13+BP32+BP49),"")</f>
        <v>-0.0319671410396671</v>
      </c>
      <c r="BV115" s="26" t="n">
        <f aca="false">IFERROR((BQ13*BV11+BQ32*BV30+BQ49*BV48)/(BQ13+BQ32+BQ49),"")</f>
        <v>-0.0212691757618587</v>
      </c>
      <c r="BW115" s="26" t="n">
        <f aca="false">IFERROR((BR13*BW11+BR32*BW30+BR49*BW48)/(BR13+BR32+BR49),"")</f>
        <v>-0.0332749061044024</v>
      </c>
      <c r="BX115" s="26" t="n">
        <f aca="false">IFERROR((BS13*BX11+BS32*BX30+BS49*BX48)/(BS13+BS32+BS49),"")</f>
        <v>0.0212115874794982</v>
      </c>
      <c r="BY115" s="27" t="n">
        <f aca="false">IFERROR((BT13*BY11+BT32*BY30+BT49*BY48)/(BT13+BT32+BT49),"")</f>
        <v>0.0222182533058177</v>
      </c>
      <c r="BZ115" s="27" t="n">
        <f aca="false">IFERROR((BU13*BZ11+BU32*BZ30+BU49*BZ48)/(BU13+BU32+BU49),"")</f>
        <v>0.0225019393940733</v>
      </c>
      <c r="CA115" s="27" t="n">
        <f aca="false">IFERROR((BV13*CA11+BV32*CA30+BV49*CA48)/(BV13+BV32+BV49),"")</f>
        <v>0.00826464120394866</v>
      </c>
      <c r="CB115" s="27" t="n">
        <f aca="false">IFERROR((CA13*CB11+CA32*CB30+CA49*CB48)/(CA13+CA32+CA49),"")</f>
        <v>0.0295401572688596</v>
      </c>
      <c r="CC115" s="27" t="n">
        <f aca="false">IFERROR((CB13*CC11+CB32*CC30+CB49*CC48)/(CB13+CB32+CB49),"")</f>
        <v>0.0353244398027443</v>
      </c>
      <c r="CD115" s="27" t="n">
        <f aca="false">IFERROR((CC13*CD11+CC32*CD30+CC49*CD48)/(CC13+CC32+CC49),"")</f>
        <v>0.0315391127421642</v>
      </c>
      <c r="CE115" s="27" t="n">
        <f aca="false">IFERROR((CD13*CE11+CD32*CE30+CD49*CE48)/(CD13+CD32+CD49),"")</f>
        <v>0.0315335606418168</v>
      </c>
    </row>
    <row r="116" customFormat="false" ht="15" hidden="false" customHeight="false" outlineLevel="0" collapsed="false">
      <c r="B116" s="25" t="s">
        <v>229</v>
      </c>
      <c r="AS116" s="26" t="n">
        <f aca="false">IFERROR((1+AS115)/(1+AS114)-1,"")</f>
        <v>0.0461630285855679</v>
      </c>
      <c r="AT116" s="26" t="n">
        <f aca="false">IFERROR((1+AT115)/(1+AT114)-1,"")</f>
        <v>-0.0103550709973794</v>
      </c>
      <c r="AU116" s="26" t="n">
        <f aca="false">IFERROR((1+AU115)/(1+AU114)-1,"")</f>
        <v>0.0958716406757776</v>
      </c>
      <c r="AV116" s="26" t="n">
        <f aca="false">IFERROR((1+AV115)/(1+AV114)-1,"")</f>
        <v>0.111707960959902</v>
      </c>
      <c r="AW116" s="26" t="n">
        <f aca="false">IFERROR((1+AW115)/(1+AW114)-1,"")</f>
        <v>0.0553052891059691</v>
      </c>
      <c r="AX116" s="26" t="n">
        <f aca="false">IFERROR((1+AX115)/(1+AX114)-1,"")</f>
        <v>0.091214650991557</v>
      </c>
      <c r="AY116" s="26" t="n">
        <f aca="false">IFERROR((1+AY115)/(1+AY114)-1,"")</f>
        <v>0.170325865449304</v>
      </c>
      <c r="AZ116" s="26" t="n">
        <f aca="false">IFERROR((1+AZ115)/(1+AZ114)-1,"")</f>
        <v>-0.00709429310057741</v>
      </c>
      <c r="BA116" s="26" t="n">
        <f aca="false">IFERROR((1+BA115)/(1+BA114)-1,"")</f>
        <v>-0.0828604998999987</v>
      </c>
      <c r="BB116" s="26" t="n">
        <f aca="false">IFERROR((1+BB115)/(1+BB114)-1,"")</f>
        <v>0.040084298694238</v>
      </c>
      <c r="BC116" s="26" t="n">
        <f aca="false">IFERROR((1+BC115)/(1+BC114)-1,"")</f>
        <v>-0.0932916889621294</v>
      </c>
      <c r="BD116" s="26" t="n">
        <f aca="false">IFERROR((1+BD115)/(1+BD114)-1,"")</f>
        <v>-0.121513893063313</v>
      </c>
      <c r="BE116" s="26" t="n">
        <f aca="false">IFERROR((1+BE115)/(1+BE114)-1,"")</f>
        <v>-0.121709667064434</v>
      </c>
      <c r="BF116" s="26" t="n">
        <f aca="false">IFERROR((1+BF115)/(1+BF114)-1,"")</f>
        <v>-0.0998060960765669</v>
      </c>
      <c r="BG116" s="26" t="n">
        <f aca="false">IFERROR((1+BG115)/(1+BG114)-1,"")</f>
        <v>-0.0998887545800458</v>
      </c>
      <c r="BH116" s="26" t="n">
        <f aca="false">IFERROR((1+BH115)/(1+BH114)-1,"")</f>
        <v>-0.0540069738999839</v>
      </c>
      <c r="BI116" s="26" t="n">
        <f aca="false">IFERROR((1+BI115)/(1+BI114)-1,"")</f>
        <v>0.0744345733180001</v>
      </c>
      <c r="BJ116" s="26" t="n">
        <f aca="false">IFERROR((1+BJ115)/(1+BJ114)-1,"")</f>
        <v>0.135584852977203</v>
      </c>
      <c r="BK116" s="26" t="n">
        <f aca="false">IFERROR((1+BK115)/(1+BK114)-1,"")</f>
        <v>0.155871190733141</v>
      </c>
      <c r="BL116" s="26" t="n">
        <f aca="false">IFERROR((1+BL115)/(1+BL114)-1,"")</f>
        <v>0.0656380541243935</v>
      </c>
      <c r="BM116" s="26" t="n">
        <f aca="false">IFERROR((1+BM115)/(1+BM114)-1,"")</f>
        <v>0.157748712841017</v>
      </c>
      <c r="BN116" s="26" t="n">
        <f aca="false">IFERROR((1+BN115)/(1+BN114)-1,"")</f>
        <v>0.129887564361416</v>
      </c>
      <c r="BO116" s="26" t="n">
        <f aca="false">IFERROR((1+BO115)/(1+BO114)-1,"")</f>
        <v>0.119390503886111</v>
      </c>
      <c r="BP116" s="26" t="n">
        <f aca="false">IFERROR((1+BP115)/(1+BP114)-1,"")</f>
        <v>0.109537859084853</v>
      </c>
      <c r="BQ116" s="26" t="n">
        <f aca="false">IFERROR((1+BQ115)/(1+BQ114)-1,"")</f>
        <v>0.131762676197865</v>
      </c>
      <c r="BR116" s="26" t="n">
        <f aca="false">IFERROR((1+BR115)/(1+BR114)-1,"")</f>
        <v>0.103106215283469</v>
      </c>
      <c r="BS116" s="26" t="n">
        <f aca="false">IFERROR((1+BS115)/(1+BS114)-1,"")</f>
        <v>0.103656648111371</v>
      </c>
      <c r="BT116" s="26" t="n">
        <f aca="false">IFERROR((1+BT115)/(1+BT114)-1,"")</f>
        <v>0.100800688794583</v>
      </c>
      <c r="BU116" s="26" t="n">
        <f aca="false">IFERROR((1+BU115)/(1+BU114)-1,"")</f>
        <v>0.110934854854849</v>
      </c>
      <c r="BV116" s="26" t="n">
        <f aca="false">IFERROR((1+BV115)/(1+BV114)-1,"")</f>
        <v>0.105789808960174</v>
      </c>
      <c r="BW116" s="26" t="n">
        <f aca="false">IFERROR((1+BW115)/(1+BW114)-1,"")</f>
        <v>0.102339156618927</v>
      </c>
      <c r="BX116" s="26" t="n">
        <f aca="false">IFERROR((1+BX115)/(1+BX114)-1,"")</f>
        <v>0.144689965287367</v>
      </c>
      <c r="BY116" s="27" t="n">
        <f aca="false">IFERROR((1+BY115)/(1+BY114)-1,"")</f>
        <v>0.145818350711028</v>
      </c>
      <c r="BZ116" s="27" t="n">
        <f aca="false">IFERROR((1+BZ115)/(1+BZ114)-1,"")</f>
        <v>0.146136338307819</v>
      </c>
      <c r="CA116" s="27" t="n">
        <f aca="false">IFERROR((1+CA115)/(1+CA114)-1,"")</f>
        <v>0.137091961488164</v>
      </c>
      <c r="CB116" s="27" t="n">
        <f aca="false">CHOOSE(MATCH($CF$2,{"Bull","Base","Bear"},0),$CO$45,$CP$45,$CQ$45)</f>
        <v>0.05</v>
      </c>
      <c r="CC116" s="27" t="n">
        <f aca="false">CHOOSE(MATCH($CF$2,{"Bull","Base","Bear"},0),$CO$46,$CP$46,$CQ$46)</f>
        <v>0.04</v>
      </c>
      <c r="CD116" s="27" t="n">
        <f aca="false">CHOOSE(MATCH($CF$2,{"Bull","Base","Bear"},0),$CO$47,$CP$47,$CQ$47)</f>
        <v>0.03</v>
      </c>
      <c r="CE116" s="27" t="n">
        <f aca="false">CHOOSE(MATCH($CF$2,{"Bull","Base","Bear"},0),$CO$48,$CP$48,$CQ$48)</f>
        <v>0.03</v>
      </c>
      <c r="CF116" s="23" t="s">
        <v>230</v>
      </c>
    </row>
    <row r="117" customFormat="false" ht="15" hidden="false" customHeight="false" outlineLevel="0" collapsed="false">
      <c r="B117" s="28" t="s">
        <v>231</v>
      </c>
      <c r="C117" s="47" t="str">
        <f aca="false">IFERROR(C136*1/C113*1000,"")</f>
        <v/>
      </c>
      <c r="D117" s="47" t="str">
        <f aca="false">IFERROR(D136*1/D113*1000,"")</f>
        <v/>
      </c>
      <c r="E117" s="47" t="str">
        <f aca="false">IFERROR(E136*1/E113*1000,"")</f>
        <v/>
      </c>
      <c r="F117" s="47" t="str">
        <f aca="false">IFERROR(F136*1/F113*1000,"")</f>
        <v/>
      </c>
      <c r="G117" s="47" t="str">
        <f aca="false">IFERROR(G136*1/G113*1000,"")</f>
        <v/>
      </c>
      <c r="H117" s="47" t="str">
        <f aca="false">IFERROR(H136*1/H113*1000,"")</f>
        <v/>
      </c>
      <c r="I117" s="47" t="str">
        <f aca="false">IFERROR(I136*1/I113*1000,"")</f>
        <v/>
      </c>
      <c r="J117" s="47" t="str">
        <f aca="false">IFERROR(J136*4/J113*1000,"")</f>
        <v/>
      </c>
      <c r="K117" s="47" t="str">
        <f aca="false">IFERROR(K136*4/K113*1000,"")</f>
        <v/>
      </c>
      <c r="L117" s="47" t="str">
        <f aca="false">IFERROR(L136*4/L113*1000,"")</f>
        <v/>
      </c>
      <c r="M117" s="47" t="str">
        <f aca="false">IFERROR(M136*4/M113*1000,"")</f>
        <v/>
      </c>
      <c r="N117" s="47" t="str">
        <f aca="false">IFERROR(N136*1/N113*1000,"")</f>
        <v/>
      </c>
      <c r="O117" s="47" t="str">
        <f aca="false">IFERROR(O136*4/O113*1000,"")</f>
        <v/>
      </c>
      <c r="P117" s="47" t="str">
        <f aca="false">IFERROR(P136*4/P113*1000,"")</f>
        <v/>
      </c>
      <c r="Q117" s="47" t="str">
        <f aca="false">IFERROR(Q136*4/Q113*1000,"")</f>
        <v/>
      </c>
      <c r="R117" s="47" t="str">
        <f aca="false">IFERROR(R136*4/R113*1000,"")</f>
        <v/>
      </c>
      <c r="S117" s="47" t="n">
        <f aca="false">IFERROR(S136*1/S113*1000,"")</f>
        <v>80.8316260652492</v>
      </c>
      <c r="T117" s="47" t="n">
        <f aca="false">IFERROR(T136*4/T113*1000,"")</f>
        <v>81.2237166732989</v>
      </c>
      <c r="U117" s="47" t="n">
        <f aca="false">IFERROR(U136*4/U113*1000,"")</f>
        <v>82.1786770428016</v>
      </c>
      <c r="V117" s="47" t="n">
        <f aca="false">IFERROR(V136*4/V113*1000,"")</f>
        <v>80.5604026845638</v>
      </c>
      <c r="W117" s="47" t="n">
        <f aca="false">IFERROR(W136*4/W113*1000,"")</f>
        <v>81.5291077671379</v>
      </c>
      <c r="X117" s="47" t="n">
        <f aca="false">IFERROR(X136*1/X113*1000,"")</f>
        <v>81.4920167415905</v>
      </c>
      <c r="Y117" s="47" t="n">
        <f aca="false">IFERROR(Y136*4/Y113*1000,"")</f>
        <v>83.7663572560562</v>
      </c>
      <c r="Z117" s="47" t="n">
        <f aca="false">IFERROR(Z136*4/Z113*1000,"")</f>
        <v>79.9440911107824</v>
      </c>
      <c r="AA117" s="47" t="n">
        <f aca="false">IFERROR(AA136*4/AA113*1000,"")</f>
        <v>74.9695024077047</v>
      </c>
      <c r="AB117" s="47" t="n">
        <f aca="false">IFERROR(AB136*4/AB113*1000,"")</f>
        <v>73.9818104305812</v>
      </c>
      <c r="AC117" s="47" t="n">
        <f aca="false">IFERROR(AC136*1/AC113*1000,"")</f>
        <v>77.9031455742502</v>
      </c>
      <c r="AD117" s="47" t="n">
        <f aca="false">IFERROR(AD136*4/AD113*1000,"")</f>
        <v>81.3793683031025</v>
      </c>
      <c r="AE117" s="47" t="n">
        <f aca="false">IFERROR(AE136*4/AE113*1000,"")</f>
        <v>77.7619699042408</v>
      </c>
      <c r="AF117" s="47" t="n">
        <f aca="false">IFERROR(AF136*4/AF113*1000,"")</f>
        <v>78.6966382607529</v>
      </c>
      <c r="AG117" s="47" t="n">
        <f aca="false">IFERROR(AG136*4/AG113*1000,"")</f>
        <v>82.8941207768023</v>
      </c>
      <c r="AH117" s="47" t="n">
        <f aca="false">IFERROR(AH136*1/AH113*1000,"")</f>
        <v>80.3109552665623</v>
      </c>
      <c r="AI117" s="47" t="n">
        <f aca="false">IFERROR(AI136*4/AI113*1000,"")</f>
        <v>87.0352598091198</v>
      </c>
      <c r="AJ117" s="47" t="n">
        <f aca="false">IFERROR(AJ136*4/AJ113*1000,"")</f>
        <v>89.4687766760785</v>
      </c>
      <c r="AK117" s="47" t="n">
        <f aca="false">IFERROR(AK136*4/AK113*1000,"")</f>
        <v>87.7114642600222</v>
      </c>
      <c r="AL117" s="47" t="n">
        <f aca="false">IFERROR(AL136*4/AL113*1000,"")</f>
        <v>89.0417896739487</v>
      </c>
      <c r="AM117" s="47" t="n">
        <f aca="false">IFERROR(AM136*1/AM113*1000,"")</f>
        <v>88.367666403578</v>
      </c>
      <c r="AN117" s="47" t="n">
        <f aca="false">IFERROR(AN136*4/AN113*1000,"")</f>
        <v>88.446264872245</v>
      </c>
      <c r="AO117" s="47" t="n">
        <f aca="false">IFERROR(AO136*4/AO113*1000,"")</f>
        <v>86.2744399185336</v>
      </c>
      <c r="AP117" s="47" t="n">
        <f aca="false">IFERROR(AP136*4/AP113*1000,"")</f>
        <v>81.2477506019516</v>
      </c>
      <c r="AQ117" s="47" t="n">
        <f aca="false">IFERROR(AQ136*4/AQ113*1000,"")</f>
        <v>76.9577863577864</v>
      </c>
      <c r="AR117" s="47" t="n">
        <f aca="false">IFERROR(AR136*1/AR113*1000,"")</f>
        <v>83.5012539386535</v>
      </c>
      <c r="AS117" s="47" t="n">
        <f aca="false">IFERROR(AS136*4/AS113*1000,"")</f>
        <v>85.4938511326861</v>
      </c>
      <c r="AT117" s="47" t="n">
        <f aca="false">IFERROR(AT136*4/AT113*1000,"")</f>
        <v>78.5884660651236</v>
      </c>
      <c r="AU117" s="47" t="n">
        <f aca="false">IFERROR(AU136*4/AU113*1000,"")</f>
        <v>81.2946859903382</v>
      </c>
      <c r="AV117" s="47" t="n">
        <f aca="false">IFERROR(AV136*4/AV113*1000,"")</f>
        <v>83.6346426881212</v>
      </c>
      <c r="AW117" s="47" t="n">
        <f aca="false">IFERROR(AW136*1/AW113*1000,"")</f>
        <v>82.2056352933395</v>
      </c>
      <c r="AX117" s="47" t="n">
        <f aca="false">IFERROR(AX136*4/AX113*1000,"")</f>
        <v>96.2419150496766</v>
      </c>
      <c r="AY117" s="47" t="n">
        <f aca="false">IFERROR(AY136*4/AY113*1000,"")</f>
        <v>94.229406037001</v>
      </c>
      <c r="AZ117" s="47" t="n">
        <f aca="false">IFERROR(AZ136*4/AZ113*1000,"")</f>
        <v>100.170340681363</v>
      </c>
      <c r="BA117" s="47" t="n">
        <f aca="false">IFERROR(BA136*4/BA113*1000,"")</f>
        <v>101.484595868068</v>
      </c>
      <c r="BB117" s="47" t="n">
        <f aca="false">IFERROR(BB136*1/BB113*1000,"")</f>
        <v>97.9385825772476</v>
      </c>
      <c r="BC117" s="47" t="n">
        <f aca="false">IFERROR(BC136*4/BC113*1000,"")</f>
        <v>95.8073936724997</v>
      </c>
      <c r="BD117" s="47" t="n">
        <f aca="false">IFERROR(BD136*4/BD113*1000,"")</f>
        <v>99.4274856088973</v>
      </c>
      <c r="BE117" s="47" t="n">
        <f aca="false">IFERROR(BE136*4/BE113*1000,"")</f>
        <v>96.9897478525908</v>
      </c>
      <c r="BF117" s="47" t="n">
        <f aca="false">IFERROR(BF136*4/BF113*1000,"")</f>
        <v>96.7202354006338</v>
      </c>
      <c r="BG117" s="47" t="n">
        <f aca="false">IFERROR(BG136*1/BG113*1000,"")</f>
        <v>97.8910289188114</v>
      </c>
      <c r="BH117" s="47" t="n">
        <f aca="false">IFERROR(BH136*4/BH113*1000,"")</f>
        <v>90.6652467163649</v>
      </c>
      <c r="BI117" s="47" t="n">
        <f aca="false">IFERROR(BI136*4/BI113*1000,"")</f>
        <v>93.8208268573205</v>
      </c>
      <c r="BJ117" s="47" t="n">
        <f aca="false">IFERROR(BJ136*4/BJ113*1000,"")</f>
        <v>88.2151890607948</v>
      </c>
      <c r="BK117" s="47" t="n">
        <f aca="false">IFERROR(BK136*4/BK113*1000,"")</f>
        <v>94.4761407402572</v>
      </c>
      <c r="BL117" s="47" t="n">
        <f aca="false">IFERROR(BL136*1/BL113*1000,"")</f>
        <v>91.374290879621</v>
      </c>
      <c r="BM117" s="47" t="n">
        <f aca="false">IFERROR(BM136*4/BM113*1000,"")</f>
        <v>101.157304869913</v>
      </c>
      <c r="BN117" s="47" t="n">
        <f aca="false">IFERROR(BN136*4/BN113*1000,"")</f>
        <v>99.8264474229653</v>
      </c>
      <c r="BO117" s="47" t="n">
        <f aca="false">IFERROR(BO136*4/BO113*1000,"")</f>
        <v>102.679162229322</v>
      </c>
      <c r="BP117" s="47" t="n">
        <f aca="false">IFERROR(BP136*4/BP113*1000,"")</f>
        <v>102.208089984858</v>
      </c>
      <c r="BQ117" s="47" t="n">
        <f aca="false">IFERROR(BQ136*1/BQ113*1000,"")</f>
        <v>101.226817739469</v>
      </c>
      <c r="BR117" s="47" t="n">
        <f aca="false">IFERROR(BR136*4/BR113*1000,"")</f>
        <v>104.458829699558</v>
      </c>
      <c r="BS117" s="47" t="n">
        <f aca="false">IFERROR(BS136*4/BS113*1000,"")</f>
        <v>104.315445636958</v>
      </c>
      <c r="BT117" s="47" t="n">
        <f aca="false">IFERROR(BT136*4/BT113*1000,"")</f>
        <v>111.251532765348</v>
      </c>
      <c r="BU117" s="47" t="n">
        <f aca="false">IFERROR(BU136*4/BU113*1000,"")</f>
        <v>111.536946628051</v>
      </c>
      <c r="BV117" s="47" t="n">
        <f aca="false">IFERROR(BV136*1/BV113*1000,"")</f>
        <v>107.606848346815</v>
      </c>
      <c r="BW117" s="47" t="n">
        <f aca="false">IFERROR(BW136*4/BW113*1000,"")</f>
        <v>120.537548056386</v>
      </c>
      <c r="BX117" s="47" t="n">
        <f aca="false">IFERROR(BX136*4/BX113*1000,"")</f>
        <v>118.027024670909</v>
      </c>
      <c r="BY117" s="53" t="n">
        <f aca="false">IFERROR(BY136*4/BY113*1000,"")</f>
        <v>126.038145641592</v>
      </c>
      <c r="BZ117" s="53" t="n">
        <f aca="false">IFERROR(BZ136*4/BZ113*1000,"")</f>
        <v>126.361494301169</v>
      </c>
      <c r="CA117" s="53" t="n">
        <f aca="false">IFERROR((CA136-CA176)/CA113*1000,"")</f>
        <v>117.850003233533</v>
      </c>
      <c r="CB117" s="53" t="n">
        <f aca="false">CA117*(1+CB118)</f>
        <v>122.564003362874</v>
      </c>
      <c r="CC117" s="53" t="n">
        <f aca="false">CB117*(1+CC118)</f>
        <v>127.466563497389</v>
      </c>
      <c r="CD117" s="53" t="n">
        <f aca="false">CC117*(1+CD118)</f>
        <v>132.565226037285</v>
      </c>
      <c r="CE117" s="53" t="n">
        <f aca="false">CD117*(1+CE118)</f>
        <v>137.867835078776</v>
      </c>
      <c r="CF117" s="23" t="s">
        <v>232</v>
      </c>
    </row>
    <row r="118" customFormat="false" ht="15" hidden="false" customHeight="false" outlineLevel="0" collapsed="false">
      <c r="B118" s="25" t="s">
        <v>233</v>
      </c>
      <c r="D118" s="26" t="str">
        <f aca="false">IF(AND(ISNUMBER(D117),ISNUMBER(C117)),IFERROR(D117/C117-1,""),"")</f>
        <v/>
      </c>
      <c r="E118" s="26" t="str">
        <f aca="false">IF(AND(ISNUMBER(E117),ISNUMBER(D117)),IFERROR(E117/D117-1,""),"")</f>
        <v/>
      </c>
      <c r="F118" s="26" t="str">
        <f aca="false">IF(AND(ISNUMBER(F117),ISNUMBER(E117)),IFERROR(F117/E117-1,""),"")</f>
        <v/>
      </c>
      <c r="G118" s="26" t="str">
        <f aca="false">IF(AND(ISNUMBER(G117),ISNUMBER(F117)),IFERROR(G117/F117-1,""),"")</f>
        <v/>
      </c>
      <c r="H118" s="26" t="str">
        <f aca="false">IF(AND(ISNUMBER(H117),ISNUMBER(G117)),IFERROR(H117/G117-1,""),"")</f>
        <v/>
      </c>
      <c r="I118" s="26" t="str">
        <f aca="false">IF(AND(ISNUMBER(I117),ISNUMBER(H117)),IFERROR(I117/H117-1,""),"")</f>
        <v/>
      </c>
      <c r="N118" s="26" t="str">
        <f aca="false">IF(AND(ISNUMBER(N117),ISNUMBER(I117)),IFERROR(N117/I117-1,""),"")</f>
        <v/>
      </c>
      <c r="O118" s="26" t="str">
        <f aca="false">IF(AND(ISNUMBER(O117),ISNUMBER(J117)),IFERROR(O117/J117-1,""),"")</f>
        <v/>
      </c>
      <c r="P118" s="26" t="str">
        <f aca="false">IF(AND(ISNUMBER(P117),ISNUMBER(K117)),IFERROR(P117/K117-1,""),"")</f>
        <v/>
      </c>
      <c r="Q118" s="26" t="str">
        <f aca="false">IF(AND(ISNUMBER(Q117),ISNUMBER(L117)),IFERROR(Q117/L117-1,""),"")</f>
        <v/>
      </c>
      <c r="R118" s="26" t="str">
        <f aca="false">IF(AND(ISNUMBER(R117),ISNUMBER(M117)),IFERROR(R117/M117-1,""),"")</f>
        <v/>
      </c>
      <c r="S118" s="26" t="str">
        <f aca="false">IF(AND(ISNUMBER(S117),ISNUMBER(N117)),IFERROR(S117/N117-1,""),"")</f>
        <v/>
      </c>
      <c r="T118" s="26" t="str">
        <f aca="false">IF(AND(ISNUMBER(T117),ISNUMBER(O117)),IFERROR(T117/O117-1,""),"")</f>
        <v/>
      </c>
      <c r="U118" s="26" t="str">
        <f aca="false">IF(AND(ISNUMBER(U117),ISNUMBER(P117)),IFERROR(U117/P117-1,""),"")</f>
        <v/>
      </c>
      <c r="V118" s="26" t="str">
        <f aca="false">IF(AND(ISNUMBER(V117),ISNUMBER(Q117)),IFERROR(V117/Q117-1,""),"")</f>
        <v/>
      </c>
      <c r="W118" s="26" t="str">
        <f aca="false">IF(AND(ISNUMBER(W117),ISNUMBER(R117)),IFERROR(W117/R117-1,""),"")</f>
        <v/>
      </c>
      <c r="X118" s="26" t="n">
        <f aca="false">IF(AND(ISNUMBER(X117),ISNUMBER(S117)),IFERROR(X117/S117-1,""),"")</f>
        <v>0.008169954119297</v>
      </c>
      <c r="Y118" s="26" t="n">
        <f aca="false">IF(AND(ISNUMBER(Y117),ISNUMBER(T117)),IFERROR(Y117/T117-1,""),"")</f>
        <v>0.0313041644349323</v>
      </c>
      <c r="Z118" s="26" t="n">
        <f aca="false">IF(AND(ISNUMBER(Z117),ISNUMBER(U117)),IFERROR(Z117/U117-1,""),"")</f>
        <v>-0.0271917973424576</v>
      </c>
      <c r="AA118" s="26" t="n">
        <f aca="false">IF(AND(ISNUMBER(AA117),ISNUMBER(V117)),IFERROR(AA117/V117-1,""),"")</f>
        <v>-0.0694001034075067</v>
      </c>
      <c r="AB118" s="26" t="n">
        <f aca="false">IF(AND(ISNUMBER(AB117),ISNUMBER(W117)),IFERROR(AB117/W117-1,""),"")</f>
        <v>-0.0925718132242182</v>
      </c>
      <c r="AC118" s="26" t="n">
        <f aca="false">IF(AND(ISNUMBER(AC117),ISNUMBER(X117)),IFERROR(AC117/X117-1,""),"")</f>
        <v>-0.044039542900509</v>
      </c>
      <c r="AD118" s="26" t="n">
        <f aca="false">IF(AND(ISNUMBER(AD117),ISNUMBER(Y117)),IFERROR(AD117/Y117-1,""),"")</f>
        <v>-0.0284957951037212</v>
      </c>
      <c r="AE118" s="26" t="n">
        <f aca="false">IF(AND(ISNUMBER(AE117),ISNUMBER(Z117)),IFERROR(AE117/Z117-1,""),"")</f>
        <v>-0.0272955909088737</v>
      </c>
      <c r="AF118" s="26" t="n">
        <f aca="false">IF(AND(ISNUMBER(AF117),ISNUMBER(AA117)),IFERROR(AF117/AA117-1,""),"")</f>
        <v>0.0497153606913254</v>
      </c>
      <c r="AG118" s="26" t="n">
        <f aca="false">IF(AND(ISNUMBER(AG117),ISNUMBER(AB117)),IFERROR(AG117/AB117-1,""),"")</f>
        <v>0.120466237502849</v>
      </c>
      <c r="AH118" s="26" t="n">
        <f aca="false">IF(AND(ISNUMBER(AH117),ISNUMBER(AC117)),IFERROR(AH117/AC117-1,""),"")</f>
        <v>0.0309077338862676</v>
      </c>
      <c r="AI118" s="26" t="n">
        <f aca="false">IF(AND(ISNUMBER(AI117),ISNUMBER(AD117)),IFERROR(AI117/AD117-1,""),"")</f>
        <v>0.0695003122284219</v>
      </c>
      <c r="AJ118" s="26" t="n">
        <f aca="false">IF(AND(ISNUMBER(AJ117),ISNUMBER(AE117)),IFERROR(AJ117/AE117-1,""),"")</f>
        <v>0.150546684790187</v>
      </c>
      <c r="AK118" s="26" t="n">
        <f aca="false">IF(AND(ISNUMBER(AK117),ISNUMBER(AF117)),IFERROR(AK117/AF117-1,""),"")</f>
        <v>0.114551602184069</v>
      </c>
      <c r="AL118" s="26" t="n">
        <f aca="false">IF(AND(ISNUMBER(AL117),ISNUMBER(AG117)),IFERROR(AL117/AG117-1,""),"")</f>
        <v>0.0741629061209219</v>
      </c>
      <c r="AM118" s="26" t="n">
        <f aca="false">IF(AND(ISNUMBER(AM117),ISNUMBER(AH117)),IFERROR(AM117/AH117-1,""),"")</f>
        <v>0.100318955368847</v>
      </c>
      <c r="AN118" s="26" t="n">
        <f aca="false">IF(AND(ISNUMBER(AN117),ISNUMBER(AI117)),IFERROR(AN117/AI117-1,""),"")</f>
        <v>0.016211878567602</v>
      </c>
      <c r="AO118" s="26" t="n">
        <f aca="false">IF(AND(ISNUMBER(AO117),ISNUMBER(AJ117)),IFERROR(AO117/AJ117-1,""),"")</f>
        <v>-0.0357033691106564</v>
      </c>
      <c r="AP118" s="26" t="n">
        <f aca="false">IF(AND(ISNUMBER(AP117),ISNUMBER(AK117)),IFERROR(AP117/AK117-1,""),"")</f>
        <v>-0.0736929170274576</v>
      </c>
      <c r="AQ118" s="26" t="n">
        <f aca="false">IF(AND(ISNUMBER(AQ117),ISNUMBER(AL117)),IFERROR(AQ117/AL117-1,""),"")</f>
        <v>-0.135711595200538</v>
      </c>
      <c r="AR118" s="26" t="n">
        <f aca="false">IF(AND(ISNUMBER(AR117),ISNUMBER(AM117)),IFERROR(AR117/AM117-1,""),"")</f>
        <v>-0.0550700574427243</v>
      </c>
      <c r="AS118" s="26" t="n">
        <f aca="false">IF(AND(ISNUMBER(AS117),ISNUMBER(AN117)),IFERROR(AS117/AN117-1,""),"")</f>
        <v>-0.0333808753125241</v>
      </c>
      <c r="AT118" s="26" t="n">
        <f aca="false">IF(AND(ISNUMBER(AT117),ISNUMBER(AO117)),IFERROR(AT117/AO117-1,""),"")</f>
        <v>-0.0890874963739858</v>
      </c>
      <c r="AU118" s="26" t="n">
        <f aca="false">IF(AND(ISNUMBER(AU117),ISNUMBER(AP117)),IFERROR(AU117/AP117-1,""),"")</f>
        <v>0.000577682311680539</v>
      </c>
      <c r="AV118" s="26" t="n">
        <f aca="false">IF(AND(ISNUMBER(AV117),ISNUMBER(AQ117)),IFERROR(AV117/AQ117-1,""),"")</f>
        <v>0.0867599842242506</v>
      </c>
      <c r="AW118" s="26" t="n">
        <f aca="false">IF(AND(ISNUMBER(AW117),ISNUMBER(AR117)),IFERROR(AW117/AR117-1,""),"")</f>
        <v>-0.0155161579521408</v>
      </c>
      <c r="AX118" s="26" t="n">
        <f aca="false">IF(AND(ISNUMBER(AX117),ISNUMBER(AS117)),IFERROR(AX117/AS117-1,""),"")</f>
        <v>0.125717391070728</v>
      </c>
      <c r="AY118" s="26" t="n">
        <f aca="false">IF(AND(ISNUMBER(AY117),ISNUMBER(AT117)),IFERROR(AY117/AT117-1,""),"")</f>
        <v>0.199023352344303</v>
      </c>
      <c r="AZ118" s="26" t="n">
        <f aca="false">IF(AND(ISNUMBER(AZ117),ISNUMBER(AU117)),IFERROR(AZ117/AU117-1,""),"")</f>
        <v>0.232188050929527</v>
      </c>
      <c r="BA118" s="26" t="n">
        <f aca="false">IF(AND(ISNUMBER(BA117),ISNUMBER(AV117)),IFERROR(BA117/AV117-1,""),"")</f>
        <v>0.213427744846243</v>
      </c>
      <c r="BB118" s="26" t="n">
        <f aca="false">IF(AND(ISNUMBER(BB117),ISNUMBER(AW117)),IFERROR(BB117/AW117-1,""),"")</f>
        <v>0.191385264863744</v>
      </c>
      <c r="BC118" s="26" t="n">
        <f aca="false">IF(AND(ISNUMBER(BC117),ISNUMBER(AX117)),IFERROR(BC117/AX117-1,""),"")</f>
        <v>-0.00451488706300773</v>
      </c>
      <c r="BD118" s="26" t="n">
        <f aca="false">IF(AND(ISNUMBER(BD117),ISNUMBER(AY117)),IFERROR(BD117/AY117-1,""),"")</f>
        <v>0.0551640914499156</v>
      </c>
      <c r="BE118" s="26" t="n">
        <f aca="false">IF(AND(ISNUMBER(BE117),ISNUMBER(AZ117)),IFERROR(BE117/AZ117-1,""),"")</f>
        <v>-0.0317518419837395</v>
      </c>
      <c r="BF118" s="26" t="n">
        <f aca="false">IF(AND(ISNUMBER(BF117),ISNUMBER(BA117)),IFERROR(BF117/BA117-1,""),"")</f>
        <v>-0.046946636843567</v>
      </c>
      <c r="BG118" s="26" t="n">
        <f aca="false">IF(AND(ISNUMBER(BG117),ISNUMBER(BB117)),IFERROR(BG117/BB117-1,""),"")</f>
        <v>-0.00048554570818593</v>
      </c>
      <c r="BH118" s="26" t="n">
        <f aca="false">IF(AND(ISNUMBER(BH117),ISNUMBER(BC117)),IFERROR(BH117/BC117-1,""),"")</f>
        <v>-0.0536717132052698</v>
      </c>
      <c r="BI118" s="26" t="n">
        <f aca="false">IF(AND(ISNUMBER(BI117),ISNUMBER(BD117)),IFERROR(BI117/BD117-1,""),"")</f>
        <v>-0.0563894250894657</v>
      </c>
      <c r="BJ118" s="26" t="n">
        <f aca="false">IF(AND(ISNUMBER(BJ117),ISNUMBER(BE117)),IFERROR(BJ117/BE117-1,""),"")</f>
        <v>-0.0904689308516603</v>
      </c>
      <c r="BK118" s="26" t="n">
        <f aca="false">IF(AND(ISNUMBER(BK117),ISNUMBER(BF117)),IFERROR(BK117/BF117-1,""),"")</f>
        <v>-0.0232019147914717</v>
      </c>
      <c r="BL118" s="26" t="n">
        <f aca="false">IF(AND(ISNUMBER(BL117),ISNUMBER(BG117)),IFERROR(BL117/BG117-1,""),"")</f>
        <v>-0.0665713509314044</v>
      </c>
      <c r="BM118" s="26" t="n">
        <f aca="false">IF(AND(ISNUMBER(BM117),ISNUMBER(BH117)),IFERROR(BM117/BH117-1,""),"")</f>
        <v>0.115723041998346</v>
      </c>
      <c r="BN118" s="26" t="n">
        <f aca="false">IF(AND(ISNUMBER(BN117),ISNUMBER(BI117)),IFERROR(BN117/BI117-1,""),"")</f>
        <v>0.0640115928074048</v>
      </c>
      <c r="BO118" s="26" t="n">
        <f aca="false">IF(AND(ISNUMBER(BO117),ISNUMBER(BJ117)),IFERROR(BO117/BJ117-1,""),"")</f>
        <v>0.163962389272432</v>
      </c>
      <c r="BP118" s="26" t="n">
        <f aca="false">IF(AND(ISNUMBER(BP117),ISNUMBER(BK117)),IFERROR(BP117/BK117-1,""),"")</f>
        <v>0.0818402316608013</v>
      </c>
      <c r="BQ118" s="26" t="n">
        <f aca="false">IF(AND(ISNUMBER(BQ117),ISNUMBER(BL117)),IFERROR(BQ117/BL117-1,""),"")</f>
        <v>0.107826028142073</v>
      </c>
      <c r="BR118" s="26" t="n">
        <f aca="false">IF(AND(ISNUMBER(BR117),ISNUMBER(BM117)),IFERROR(BR117/BM117-1,""),"")</f>
        <v>0.0326375325429082</v>
      </c>
      <c r="BS118" s="26" t="n">
        <f aca="false">IF(AND(ISNUMBER(BS117),ISNUMBER(BN117)),IFERROR(BS117/BN117-1,""),"")</f>
        <v>0.0449680253066835</v>
      </c>
      <c r="BT118" s="26" t="n">
        <f aca="false">IF(AND(ISNUMBER(BT117),ISNUMBER(BO117)),IFERROR(BT117/BO117-1,""),"")</f>
        <v>0.083486954411258</v>
      </c>
      <c r="BU118" s="26" t="n">
        <f aca="false">IF(AND(ISNUMBER(BU117),ISNUMBER(BP117)),IFERROR(BU117/BP117-1,""),"")</f>
        <v>0.0912731726478306</v>
      </c>
      <c r="BV118" s="26" t="n">
        <f aca="false">IF(AND(ISNUMBER(BV117),ISNUMBER(BQ117)),IFERROR(BV117/BQ117-1,""),"")</f>
        <v>0.0630270786914091</v>
      </c>
      <c r="BW118" s="26" t="n">
        <f aca="false">IF(AND(ISNUMBER(BW117),ISNUMBER(BR117)),IFERROR(BW117/BR117-1,""),"")</f>
        <v>0.15392397562823</v>
      </c>
      <c r="BX118" s="26" t="n">
        <f aca="false">IF(AND(ISNUMBER(BX117),ISNUMBER(BS117)),IFERROR(BX117/BS117-1,""),"")</f>
        <v>0.13144342096444</v>
      </c>
      <c r="BY118" s="27" t="n">
        <f aca="false">IFERROR(BY117/BT117-1,"")</f>
        <v>0.132911542957636</v>
      </c>
      <c r="BZ118" s="27" t="n">
        <f aca="false">IFERROR(BZ117/BU117-1,"")</f>
        <v>0.132911542957636</v>
      </c>
      <c r="CA118" s="27" t="n">
        <f aca="false">IFERROR(CA117/BV117-1,"")</f>
        <v>0.0951905482233255</v>
      </c>
      <c r="CB118" s="35" t="n">
        <v>0.04</v>
      </c>
      <c r="CC118" s="35" t="n">
        <v>0.04</v>
      </c>
      <c r="CD118" s="35" t="n">
        <v>0.04</v>
      </c>
      <c r="CE118" s="35" t="n">
        <v>0.04</v>
      </c>
      <c r="CF118" s="23" t="s">
        <v>234</v>
      </c>
    </row>
    <row r="119" customFormat="false" ht="15" hidden="false" customHeight="false" outlineLevel="0" collapsed="false">
      <c r="B119" s="25" t="s">
        <v>235</v>
      </c>
      <c r="C119" s="26" t="n">
        <f aca="false">IF(AND(ISNUMBER(C137),ISNUMBER(C133)),IFERROR(C137/C133,""),"")</f>
        <v>0.137409657251807</v>
      </c>
      <c r="D119" s="26" t="n">
        <f aca="false">IF(AND(ISNUMBER(D137),ISNUMBER(D133)),IFERROR(D137/D133,""),"")</f>
        <v>0.133551164275297</v>
      </c>
      <c r="E119" s="26" t="n">
        <f aca="false">IF(AND(ISNUMBER(E137),ISNUMBER(E133)),IFERROR(E137/E133,""),"")</f>
        <v>0.146589399132922</v>
      </c>
      <c r="F119" s="26" t="n">
        <f aca="false">IF(AND(ISNUMBER(F137),ISNUMBER(F133)),IFERROR(F137/F133,""),"")</f>
        <v>0.144418177384423</v>
      </c>
      <c r="G119" s="26" t="n">
        <f aca="false">IF(AND(ISNUMBER(G137),ISNUMBER(G133)),IFERROR(G137/G133,""),"")</f>
        <v>0.145134327626163</v>
      </c>
      <c r="H119" s="26" t="n">
        <f aca="false">IF(AND(ISNUMBER(H137),ISNUMBER(H133)),IFERROR(H137/H133,""),"")</f>
        <v>0.149262735980224</v>
      </c>
      <c r="I119" s="26" t="n">
        <f aca="false">IF(AND(ISNUMBER(I137),ISNUMBER(I133)),IFERROR(I137/I133,""),"")</f>
        <v>0.160834690385434</v>
      </c>
      <c r="J119" s="26" t="n">
        <f aca="false">IF(AND(ISNUMBER(J137),ISNUMBER(J133)),IFERROR(J137/J133,""),"")</f>
        <v>0.163193789196045</v>
      </c>
      <c r="K119" s="26" t="n">
        <f aca="false">IF(AND(ISNUMBER(K137),ISNUMBER(K133)),IFERROR(K137/K133,""),"")</f>
        <v>0.177986974240481</v>
      </c>
      <c r="L119" s="26" t="n">
        <f aca="false">IF(AND(ISNUMBER(L137),ISNUMBER(L133)),IFERROR(L137/L133,""),"")</f>
        <v>0.178204037936051</v>
      </c>
      <c r="M119" s="26" t="n">
        <f aca="false">IF(AND(ISNUMBER(M137),ISNUMBER(M133)),IFERROR(M137/M133,""),"")</f>
        <v>0.192890328822292</v>
      </c>
      <c r="N119" s="26" t="n">
        <f aca="false">IF(AND(ISNUMBER(N137),ISNUMBER(N133)),IFERROR(N137/N133,""),"")</f>
        <v>0.177977719017807</v>
      </c>
      <c r="O119" s="26" t="n">
        <f aca="false">IF(AND(ISNUMBER(O137),ISNUMBER(O133)),IFERROR(O137/O133,""),"")</f>
        <v>0.17489256071823</v>
      </c>
      <c r="P119" s="26" t="n">
        <f aca="false">IF(AND(ISNUMBER(P137),ISNUMBER(P133)),IFERROR(P137/P133,""),"")</f>
        <v>0.156743187144099</v>
      </c>
      <c r="Q119" s="26" t="n">
        <f aca="false">IF(AND(ISNUMBER(Q137),ISNUMBER(Q133)),IFERROR(Q137/Q133,""),"")</f>
        <v>0.150893540878453</v>
      </c>
      <c r="R119" s="26" t="n">
        <f aca="false">IF(AND(ISNUMBER(R137),ISNUMBER(R133)),IFERROR(R137/R133,""),"")</f>
        <v>0.157370430596075</v>
      </c>
      <c r="S119" s="26" t="n">
        <f aca="false">IF(AND(ISNUMBER(S137),ISNUMBER(S133)),IFERROR(S137/S133,""),"")</f>
        <v>0.159496267281382</v>
      </c>
      <c r="T119" s="26" t="n">
        <f aca="false">IF(AND(ISNUMBER(T137),ISNUMBER(T133)),IFERROR(T137/T133,""),"")</f>
        <v>0.167662013673326</v>
      </c>
      <c r="U119" s="26" t="n">
        <f aca="false">IF(AND(ISNUMBER(U137),ISNUMBER(U133)),IFERROR(U137/U133,""),"")</f>
        <v>0.155686982250547</v>
      </c>
      <c r="V119" s="26" t="n">
        <f aca="false">IF(AND(ISNUMBER(V137),ISNUMBER(V133)),IFERROR(V137/V133,""),"")</f>
        <v>0.155947840122329</v>
      </c>
      <c r="W119" s="26" t="n">
        <f aca="false">IF(AND(ISNUMBER(W137),ISNUMBER(W133)),IFERROR(W137/W133,""),"")</f>
        <v>0.154189814936481</v>
      </c>
      <c r="X119" s="26" t="n">
        <f aca="false">IF(AND(ISNUMBER(X137),ISNUMBER(X133)),IFERROR(X137/X133,""),"")</f>
        <v>0.158149950627733</v>
      </c>
      <c r="Y119" s="26" t="n">
        <f aca="false">IF(AND(ISNUMBER(Y137),ISNUMBER(Y133)),IFERROR(Y137/Y133,""),"")</f>
        <v>0.154235046641874</v>
      </c>
      <c r="Z119" s="26" t="n">
        <f aca="false">IF(AND(ISNUMBER(Z137),ISNUMBER(Z133)),IFERROR(Z137/Z133,""),"")</f>
        <v>0.151825517699822</v>
      </c>
      <c r="AA119" s="26" t="n">
        <f aca="false">IF(AND(ISNUMBER(AA137),ISNUMBER(AA133)),IFERROR(AA137/AA133,""),"")</f>
        <v>0.161715568830108</v>
      </c>
      <c r="AB119" s="26" t="n">
        <f aca="false">IF(AND(ISNUMBER(AB137),ISNUMBER(AB133)),IFERROR(AB137/AB133,""),"")</f>
        <v>0.19170602440536</v>
      </c>
      <c r="AC119" s="26" t="n">
        <f aca="false">IF(AND(ISNUMBER(AC137),ISNUMBER(AC133)),IFERROR(AC137/AC133,""),"")</f>
        <v>0.164678985285801</v>
      </c>
      <c r="AD119" s="26" t="n">
        <f aca="false">IF(AND(ISNUMBER(AD137),ISNUMBER(AD133)),IFERROR(AD137/AD133,""),"")</f>
        <v>0.158475884945635</v>
      </c>
      <c r="AE119" s="26" t="n">
        <f aca="false">IF(AND(ISNUMBER(AE137),ISNUMBER(AE133)),IFERROR(AE137/AE133,""),"")</f>
        <v>0.187785056876308</v>
      </c>
      <c r="AF119" s="26" t="n">
        <f aca="false">IF(AND(ISNUMBER(AF137),ISNUMBER(AF133)),IFERROR(AF137/AF133,""),"")</f>
        <v>0.178795512641325</v>
      </c>
      <c r="AG119" s="26" t="n">
        <f aca="false">IF(AND(ISNUMBER(AG137),ISNUMBER(AG133)),IFERROR(AG137/AG133,""),"")</f>
        <v>0.173101484690171</v>
      </c>
      <c r="AH119" s="26" t="n">
        <f aca="false">IF(AND(ISNUMBER(AH137),ISNUMBER(AH133)),IFERROR(AH137/AH133,""),"")</f>
        <v>0.174575705749457</v>
      </c>
      <c r="AI119" s="26" t="n">
        <f aca="false">IF(AND(ISNUMBER(AI137),ISNUMBER(AI133)),IFERROR(AI137/AI133,""),"")</f>
        <v>0.169418061269321</v>
      </c>
      <c r="AJ119" s="26" t="n">
        <f aca="false">IF(AND(ISNUMBER(AJ137),ISNUMBER(AJ133)),IFERROR(AJ137/AJ133,""),"")</f>
        <v>0.166564157245976</v>
      </c>
      <c r="AK119" s="26" t="n">
        <f aca="false">IF(AND(ISNUMBER(AK137),ISNUMBER(AK133)),IFERROR(AK137/AK133,""),"")</f>
        <v>0.162485375566967</v>
      </c>
      <c r="AL119" s="26" t="n">
        <f aca="false">IF(AND(ISNUMBER(AL137),ISNUMBER(AL133)),IFERROR(AL137/AL133,""),"")</f>
        <v>0.16664728636014</v>
      </c>
      <c r="AM119" s="26" t="n">
        <f aca="false">IF(AND(ISNUMBER(AM137),ISNUMBER(AM133)),IFERROR(AM137/AM133,""),"")</f>
        <v>0.166199978929742</v>
      </c>
      <c r="AN119" s="26" t="n">
        <f aca="false">IF(AND(ISNUMBER(AN137),ISNUMBER(AN133)),IFERROR(AN137/AN133,""),"")</f>
        <v>0.16816735415439</v>
      </c>
      <c r="AO119" s="26" t="n">
        <f aca="false">IF(AND(ISNUMBER(AO137),ISNUMBER(AO133)),IFERROR(AO137/AO133,""),"")</f>
        <v>0.185258969874111</v>
      </c>
      <c r="AP119" s="26" t="n">
        <f aca="false">IF(AND(ISNUMBER(AP137),ISNUMBER(AP133)),IFERROR(AP137/AP133,""),"")</f>
        <v>0.176472259804146</v>
      </c>
      <c r="AQ119" s="26" t="n">
        <f aca="false">IF(AND(ISNUMBER(AQ137),ISNUMBER(AQ133)),IFERROR(AQ137/AQ133,""),"")</f>
        <v>0.247167291742606</v>
      </c>
      <c r="AR119" s="26" t="n">
        <f aca="false">IF(AND(ISNUMBER(AR137),ISNUMBER(AR133)),IFERROR(AR137/AR133,""),"")</f>
        <v>0.192477313237779</v>
      </c>
      <c r="AS119" s="26" t="n">
        <f aca="false">IF(AND(ISNUMBER(AS137),ISNUMBER(AS133)),IFERROR(AS137/AS133,""),"")</f>
        <v>0.225886649071314</v>
      </c>
      <c r="AT119" s="26" t="n">
        <f aca="false">IF(AND(ISNUMBER(AT137),ISNUMBER(AT133)),IFERROR(AT137/AT133,""),"")</f>
        <v>0.203730797961764</v>
      </c>
      <c r="AU119" s="26" t="n">
        <f aca="false">IF(AND(ISNUMBER(AU137),ISNUMBER(AU133)),IFERROR(AU137/AU133,""),"")</f>
        <v>0.200467355538095</v>
      </c>
      <c r="AV119" s="26" t="n">
        <f aca="false">IF(AND(ISNUMBER(AV137),ISNUMBER(AV133)),IFERROR(AV137/AV133,""),"")</f>
        <v>0.194380699930375</v>
      </c>
      <c r="AW119" s="26" t="n">
        <f aca="false">IF(AND(ISNUMBER(AW137),ISNUMBER(AW133)),IFERROR(AW137/AW133,""),"")</f>
        <v>0.205667140773143</v>
      </c>
      <c r="AX119" s="26" t="n">
        <f aca="false">IF(AND(ISNUMBER(AX137),ISNUMBER(AX133)),IFERROR(AX137/AX133,""),"")</f>
        <v>0.168307753637632</v>
      </c>
      <c r="AY119" s="26" t="n">
        <f aca="false">IF(AND(ISNUMBER(AY137),ISNUMBER(AY133)),IFERROR(AY137/AY133,""),"")</f>
        <v>0.167745629865346</v>
      </c>
      <c r="AZ119" s="26" t="n">
        <f aca="false">IF(AND(ISNUMBER(AZ137),ISNUMBER(AZ133)),IFERROR(AZ137/AZ133,""),"")</f>
        <v>0.158190316894735</v>
      </c>
      <c r="BA119" s="26" t="n">
        <f aca="false">IF(AND(ISNUMBER(BA137),ISNUMBER(BA133)),IFERROR(BA137/BA133,""),"")</f>
        <v>0.17392720890393</v>
      </c>
      <c r="BB119" s="26" t="n">
        <f aca="false">IF(AND(ISNUMBER(BB137),ISNUMBER(BB133)),IFERROR(BB137/BB133,""),"")</f>
        <v>0.16699116046533</v>
      </c>
      <c r="BC119" s="26" t="n">
        <f aca="false">IF(AND(ISNUMBER(BC137),ISNUMBER(BC133)),IFERROR(BC137/BC133,""),"")</f>
        <v>0.162614930986233</v>
      </c>
      <c r="BD119" s="26" t="n">
        <f aca="false">IF(AND(ISNUMBER(BD137),ISNUMBER(BD133)),IFERROR(BD137/BD133,""),"")</f>
        <v>0.113592984966262</v>
      </c>
      <c r="BE119" s="26" t="n">
        <f aca="false">IF(AND(ISNUMBER(BE137),ISNUMBER(BE133)),IFERROR(BE137/BE133,""),"")</f>
        <v>0.182643255026522</v>
      </c>
      <c r="BF119" s="26" t="n">
        <f aca="false">IF(AND(ISNUMBER(BF137),ISNUMBER(BF133)),IFERROR(BF137/BF133,""),"")</f>
        <v>0.230195242223767</v>
      </c>
      <c r="BG119" s="26" t="n">
        <f aca="false">IF(AND(ISNUMBER(BG137),ISNUMBER(BG133)),IFERROR(BG137/BG133,""),"")</f>
        <v>0.167933558519383</v>
      </c>
      <c r="BH119" s="26" t="n">
        <f aca="false">IF(AND(ISNUMBER(BH137),ISNUMBER(BH133)),IFERROR(BH137/BH133,""),"")</f>
        <v>0.206377982614783</v>
      </c>
      <c r="BI119" s="26" t="n">
        <f aca="false">IF(AND(ISNUMBER(BI137),ISNUMBER(BI133)),IFERROR(BI137/BI133,""),"")</f>
        <v>0.23380456080878</v>
      </c>
      <c r="BJ119" s="26" t="n">
        <f aca="false">IF(AND(ISNUMBER(BJ137),ISNUMBER(BJ133)),IFERROR(BJ137/BJ133,""),"")</f>
        <v>0.28005872262538</v>
      </c>
      <c r="BK119" s="26" t="n">
        <f aca="false">IF(AND(ISNUMBER(BK137),ISNUMBER(BK133)),IFERROR(BK137/BK133,""),"")</f>
        <v>0.24146208595542</v>
      </c>
      <c r="BL119" s="26" t="n">
        <f aca="false">IF(AND(ISNUMBER(BL137),ISNUMBER(BL133)),IFERROR(BL137/BL133,""),"")</f>
        <v>0.23967752537042</v>
      </c>
      <c r="BM119" s="26" t="n">
        <f aca="false">IF(AND(ISNUMBER(BM137),ISNUMBER(BM133)),IFERROR(BM137/BM133,""),"")</f>
        <v>0.230351710202835</v>
      </c>
      <c r="BN119" s="26" t="n">
        <f aca="false">IF(AND(ISNUMBER(BN137),ISNUMBER(BN133)),IFERROR(BN137/BN133,""),"")</f>
        <v>0.215442334912694</v>
      </c>
      <c r="BO119" s="26" t="n">
        <f aca="false">IF(AND(ISNUMBER(BO137),ISNUMBER(BO133)),IFERROR(BO137/BO133,""),"")</f>
        <v>0.263276722434319</v>
      </c>
      <c r="BP119" s="26" t="n">
        <f aca="false">IF(AND(ISNUMBER(BP137),ISNUMBER(BP133)),IFERROR(BP137/BP133,""),"")</f>
        <v>0.213903126246124</v>
      </c>
      <c r="BQ119" s="26" t="n">
        <f aca="false">IF(AND(ISNUMBER(BQ137),ISNUMBER(BQ133)),IFERROR(BQ137/BQ133,""),"")</f>
        <v>0.231327580981507</v>
      </c>
      <c r="BR119" s="26" t="n">
        <f aca="false">IF(AND(ISNUMBER(BR137),ISNUMBER(BR133)),IFERROR(BR137/BR133,""),"")</f>
        <v>0.219409646286964</v>
      </c>
      <c r="BS119" s="26" t="n">
        <f aca="false">IF(AND(ISNUMBER(BS137),ISNUMBER(BS133)),IFERROR(BS137/BS133,""),"")</f>
        <v>0.204823500391644</v>
      </c>
      <c r="BT119" s="26" t="n">
        <f aca="false">IF(AND(ISNUMBER(BT137),ISNUMBER(BT133)),IFERROR(BT137/BT133,""),"")</f>
        <v>0.192527160635455</v>
      </c>
      <c r="BU119" s="26" t="n">
        <f aca="false">IF(AND(ISNUMBER(BU137),ISNUMBER(BU133)),IFERROR(BU137/BU133,""),"")</f>
        <v>0.211076171892836</v>
      </c>
      <c r="BV119" s="26" t="n">
        <f aca="false">IF(AND(ISNUMBER(BV137),ISNUMBER(BV133)),IFERROR(BV137/BV133,""),"")</f>
        <v>0.206744681084923</v>
      </c>
      <c r="BW119" s="26" t="n">
        <f aca="false">IF(AND(ISNUMBER(BW137),ISNUMBER(BW133)),IFERROR(BW137/BW133,""),"")</f>
        <v>0.19997789529942</v>
      </c>
      <c r="BX119" s="26" t="n">
        <f aca="false">IF(AND(ISNUMBER(BX137),ISNUMBER(BX133)),IFERROR(BX137/BX133,""),"")</f>
        <v>0.194793527073063</v>
      </c>
      <c r="BY119" s="27" t="n">
        <f aca="false">IF(AND(ISNUMBER(BY137),ISNUMBER(BY133)),IFERROR(BY137/BY133,""),"")</f>
        <v>0.169834116992425</v>
      </c>
      <c r="BZ119" s="27" t="n">
        <f aca="false">IF(AND(ISNUMBER(BZ137),ISNUMBER(BZ133)),IFERROR(BZ137/BZ133,""),"")</f>
        <v>0.186186740700905</v>
      </c>
      <c r="CA119" s="27" t="n">
        <f aca="false">IF(AND(ISNUMBER(CA137),ISNUMBER(CA133)),IFERROR(CA137/CA133,""),"")</f>
        <v>0.187230921808075</v>
      </c>
      <c r="CB119" s="27" t="n">
        <f aca="false">CHOOSE(MATCH($CF$2,{"Bull","Base","Bear"},0),$CO$50,$CP$50,$CQ$50)</f>
        <v>0.19</v>
      </c>
      <c r="CC119" s="27" t="n">
        <f aca="false">CHOOSE(MATCH($CF$2,{"Bull","Base","Bear"},0),$CO$51,$CP$51,$CQ$51)</f>
        <v>0.19</v>
      </c>
      <c r="CD119" s="27" t="n">
        <f aca="false">CHOOSE(MATCH($CF$2,{"Bull","Base","Bear"},0),$CO$52,$CP$52,$CQ$52)</f>
        <v>0.185</v>
      </c>
      <c r="CE119" s="27" t="n">
        <f aca="false">CHOOSE(MATCH($CF$2,{"Bull","Base","Bear"},0),$CO$53,$CP$53,$CQ$53)</f>
        <v>0.185</v>
      </c>
      <c r="CF119" s="23" t="s">
        <v>236</v>
      </c>
    </row>
    <row r="120" customFormat="false" ht="15" hidden="false" customHeight="false" outlineLevel="0" collapsed="false">
      <c r="B120" s="25" t="s">
        <v>237</v>
      </c>
      <c r="C120" s="26" t="n">
        <f aca="false">IF(AND(ISNUMBER(C152),ISNUMBER(C133)),IFERROR(C152/C133,""),"")</f>
        <v>0.0221071845578563</v>
      </c>
      <c r="D120" s="26" t="n">
        <f aca="false">IF(AND(ISNUMBER(D152),ISNUMBER(D133)),IFERROR(D152/D133,""),"")</f>
        <v>0.022002318741769</v>
      </c>
      <c r="E120" s="26" t="n">
        <f aca="false">IF(AND(ISNUMBER(E152),ISNUMBER(E133)),IFERROR(E152/E133,""),"")</f>
        <v>0.0226653371763458</v>
      </c>
      <c r="F120" s="26" t="n">
        <f aca="false">IF(AND(ISNUMBER(F152),ISNUMBER(F133)),IFERROR(F152/F133,""),"")</f>
        <v>0.0220802498482227</v>
      </c>
      <c r="G120" s="26" t="n">
        <f aca="false">IF(AND(ISNUMBER(G152),ISNUMBER(G133)),IFERROR(G152/G133,""),"")</f>
        <v>0.0200064306140828</v>
      </c>
      <c r="H120" s="26" t="n">
        <f aca="false">IF(AND(ISNUMBER(H152),ISNUMBER(H133)),IFERROR(H152/H133,""),"")</f>
        <v>0.0199049647874815</v>
      </c>
      <c r="I120" s="26" t="n">
        <f aca="false">IF(AND(ISNUMBER(I152),ISNUMBER(I133)),IFERROR(I152/I133,""),"")</f>
        <v>0.022176666932546</v>
      </c>
      <c r="J120" s="26" t="n">
        <f aca="false">IF(AND(ISNUMBER(J152),ISNUMBER(J133)),IFERROR(J152/J133,""),"")</f>
        <v>0.030296979298783</v>
      </c>
      <c r="K120" s="26" t="n">
        <f aca="false">IF(AND(ISNUMBER(K152),ISNUMBER(K133)),IFERROR(K152/K133,""),"")</f>
        <v>0.0299300468470298</v>
      </c>
      <c r="L120" s="26" t="n">
        <f aca="false">IF(AND(ISNUMBER(L152),ISNUMBER(L133)),IFERROR(L152/L133,""),"")</f>
        <v>0.0304334500308651</v>
      </c>
      <c r="M120" s="26" t="n">
        <f aca="false">IF(AND(ISNUMBER(M152),ISNUMBER(M133)),IFERROR(M152/M133,""),"")</f>
        <v>0.0333659568244969</v>
      </c>
      <c r="N120" s="26" t="n">
        <f aca="false">IF(AND(ISNUMBER(N152),ISNUMBER(N133)),IFERROR(N152/N133,""),"")</f>
        <v>0.030979878492126</v>
      </c>
      <c r="O120" s="26" t="n">
        <f aca="false">IF(AND(ISNUMBER(O152),ISNUMBER(O133)),IFERROR(O152/O133,""),"")</f>
        <v>0.0318195238772185</v>
      </c>
      <c r="P120" s="26" t="n">
        <f aca="false">IF(AND(ISNUMBER(P152),ISNUMBER(P133)),IFERROR(P152/P133,""),"")</f>
        <v>0.0284048925508169</v>
      </c>
      <c r="Q120" s="26" t="n">
        <f aca="false">IF(AND(ISNUMBER(Q152),ISNUMBER(Q133)),IFERROR(Q152/Q133,""),"")</f>
        <v>0.0267133466271391</v>
      </c>
      <c r="R120" s="26" t="n">
        <f aca="false">IF(AND(ISNUMBER(R152),ISNUMBER(R133)),IFERROR(R152/R133,""),"")</f>
        <v>0.0270358059527795</v>
      </c>
      <c r="S120" s="26" t="n">
        <f aca="false">IF(AND(ISNUMBER(S152),ISNUMBER(S133)),IFERROR(S152/S133,""),"")</f>
        <v>0.0283958574493986</v>
      </c>
      <c r="T120" s="26" t="n">
        <f aca="false">IF(AND(ISNUMBER(T152),ISNUMBER(T133)),IFERROR(T152/T133,""),"")</f>
        <v>0.0309325665098741</v>
      </c>
      <c r="U120" s="26" t="n">
        <f aca="false">IF(AND(ISNUMBER(U152),ISNUMBER(U133)),IFERROR(U152/U133,""),"")</f>
        <v>0.0281481050241602</v>
      </c>
      <c r="V120" s="26" t="n">
        <f aca="false">IF(AND(ISNUMBER(V152),ISNUMBER(V133)),IFERROR(V152/V133,""),"")</f>
        <v>0.0285961857027566</v>
      </c>
      <c r="W120" s="26" t="n">
        <f aca="false">IF(AND(ISNUMBER(W152),ISNUMBER(W133)),IFERROR(W152/W133,""),"")</f>
        <v>0.0296017533993136</v>
      </c>
      <c r="X120" s="26" t="n">
        <f aca="false">IF(AND(ISNUMBER(X152),ISNUMBER(X133)),IFERROR(X152/X133,""),"")</f>
        <v>0.0292746685004937</v>
      </c>
      <c r="Y120" s="26" t="n">
        <f aca="false">IF(AND(ISNUMBER(Y152),ISNUMBER(Y133)),IFERROR(Y152/Y133,""),"")</f>
        <v>0.0299555326759388</v>
      </c>
      <c r="Z120" s="26" t="n">
        <f aca="false">IF(AND(ISNUMBER(Z152),ISNUMBER(Z133)),IFERROR(Z152/Z133,""),"")</f>
        <v>0.0306017182332994</v>
      </c>
      <c r="AA120" s="26" t="n">
        <f aca="false">IF(AND(ISNUMBER(AA152),ISNUMBER(AA133)),IFERROR(AA152/AA133,""),"")</f>
        <v>0.0316171915009437</v>
      </c>
      <c r="AB120" s="26" t="n">
        <f aca="false">IF(AND(ISNUMBER(AB152),ISNUMBER(AB133)),IFERROR(AB152/AB133,""),"")</f>
        <v>0.0390959473995398</v>
      </c>
      <c r="AC120" s="26" t="n">
        <f aca="false">IF(AND(ISNUMBER(AC152),ISNUMBER(AC133)),IFERROR(AC152/AC133,""),"")</f>
        <v>0.032785107362017</v>
      </c>
      <c r="AD120" s="26" t="n">
        <f aca="false">IF(AND(ISNUMBER(AD152),ISNUMBER(AD133)),IFERROR(AD152/AD133,""),"")</f>
        <v>0.0394518842139699</v>
      </c>
      <c r="AE120" s="26" t="n">
        <f aca="false">IF(AND(ISNUMBER(AE152),ISNUMBER(AE133)),IFERROR(AE152/AE133,""),"")</f>
        <v>0.0399903100268566</v>
      </c>
      <c r="AF120" s="26" t="n">
        <f aca="false">IF(AND(ISNUMBER(AF152),ISNUMBER(AF133)),IFERROR(AF152/AF133,""),"")</f>
        <v>0.0403522125264799</v>
      </c>
      <c r="AG120" s="26" t="n">
        <f aca="false">IF(AND(ISNUMBER(AG152),ISNUMBER(AG133)),IFERROR(AG152/AG133,""),"")</f>
        <v>0.0374092544262949</v>
      </c>
      <c r="AH120" s="26" t="n">
        <f aca="false">IF(AND(ISNUMBER(AH152),ISNUMBER(AH133)),IFERROR(AH152/AH133,""),"")</f>
        <v>0.0392631067756171</v>
      </c>
      <c r="AI120" s="26" t="n">
        <f aca="false">IF(AND(ISNUMBER(AI152),ISNUMBER(AI133)),IFERROR(AI152/AI133,""),"")</f>
        <v>0.0387282821424292</v>
      </c>
      <c r="AJ120" s="26" t="n">
        <f aca="false">IF(AND(ISNUMBER(AJ152),ISNUMBER(AJ133)),IFERROR(AJ152/AJ133,""),"")</f>
        <v>0.0360962228381061</v>
      </c>
      <c r="AK120" s="26" t="n">
        <f aca="false">IF(AND(ISNUMBER(AK152),ISNUMBER(AK133)),IFERROR(AK152/AK133,""),"")</f>
        <v>0.0344689962019699</v>
      </c>
      <c r="AL120" s="26" t="n">
        <f aca="false">IF(AND(ISNUMBER(AL152),ISNUMBER(AL133)),IFERROR(AL152/AL133,""),"")</f>
        <v>0.0340817867615227</v>
      </c>
      <c r="AM120" s="26" t="n">
        <f aca="false">IF(AND(ISNUMBER(AM152),ISNUMBER(AM133)),IFERROR(AM152/AM133,""),"")</f>
        <v>0.0357562282019862</v>
      </c>
      <c r="AN120" s="26" t="n">
        <f aca="false">IF(AND(ISNUMBER(AN152),ISNUMBER(AN133)),IFERROR(AN152/AN133,""),"")</f>
        <v>0.0361814967589864</v>
      </c>
      <c r="AO120" s="26" t="n">
        <f aca="false">IF(AND(ISNUMBER(AO152),ISNUMBER(AO133)),IFERROR(AO152/AO133,""),"")</f>
        <v>0.0360779959034315</v>
      </c>
      <c r="AP120" s="26" t="n">
        <f aca="false">IF(AND(ISNUMBER(AP152),ISNUMBER(AP133)),IFERROR(AP152/AP133,""),"")</f>
        <v>0.0402253757709995</v>
      </c>
      <c r="AQ120" s="26" t="n">
        <f aca="false">IF(AND(ISNUMBER(AQ152),ISNUMBER(AQ133)),IFERROR(AQ152/AQ133,""),"")</f>
        <v>0.0437530123708027</v>
      </c>
      <c r="AR120" s="26" t="n">
        <f aca="false">IF(AND(ISNUMBER(AR152),ISNUMBER(AR133)),IFERROR(AR152/AR133,""),"")</f>
        <v>0.0388387316292324</v>
      </c>
      <c r="AS120" s="26" t="n">
        <f aca="false">IF(AND(ISNUMBER(AS152),ISNUMBER(AS133)),IFERROR(AS152/AS133,""),"")</f>
        <v>0.0429489764117806</v>
      </c>
      <c r="AT120" s="26" t="n">
        <f aca="false">IF(AND(ISNUMBER(AT152),ISNUMBER(AT133)),IFERROR(AT152/AT133,""),"")</f>
        <v>0.0419202119608823</v>
      </c>
      <c r="AU120" s="26" t="n">
        <f aca="false">IF(AND(ISNUMBER(AU152),ISNUMBER(AU133)),IFERROR(AU152/AU133,""),"")</f>
        <v>0.0456766218713567</v>
      </c>
      <c r="AV120" s="26" t="n">
        <f aca="false">IF(AND(ISNUMBER(AV152),ISNUMBER(AV133)),IFERROR(AV152/AV133,""),"")</f>
        <v>0.0384964828639135</v>
      </c>
      <c r="AW120" s="26" t="n">
        <f aca="false">IF(AND(ISNUMBER(AW152),ISNUMBER(AW133)),IFERROR(AW152/AW133,""),"")</f>
        <v>0.0421708798026081</v>
      </c>
      <c r="AX120" s="26" t="n">
        <f aca="false">IF(AND(ISNUMBER(AX152),ISNUMBER(AX133)),IFERROR(AX152/AX133,""),"")</f>
        <v>0.0331416042598024</v>
      </c>
      <c r="AY120" s="26" t="n">
        <f aca="false">IF(AND(ISNUMBER(AY152),ISNUMBER(AY133)),IFERROR(AY152/AY133,""),"")</f>
        <v>0.0306163037790853</v>
      </c>
      <c r="AZ120" s="26" t="n">
        <f aca="false">IF(AND(ISNUMBER(AZ152),ISNUMBER(AZ133)),IFERROR(AZ152/AZ133,""),"")</f>
        <v>0.0265413555210189</v>
      </c>
      <c r="BA120" s="26" t="n">
        <f aca="false">IF(AND(ISNUMBER(BA152),ISNUMBER(BA133)),IFERROR(BA152/BA133,""),"")</f>
        <v>0.0264357306260006</v>
      </c>
      <c r="BB120" s="26" t="n">
        <f aca="false">IF(AND(ISNUMBER(BB152),ISNUMBER(BB133)),IFERROR(BB152/BB133,""),"")</f>
        <v>0.028951910939063</v>
      </c>
      <c r="BC120" s="26" t="n">
        <f aca="false">IF(AND(ISNUMBER(BC152),ISNUMBER(BC133)),IFERROR(BC152/BC133,""),"")</f>
        <v>0.0248136164803199</v>
      </c>
      <c r="BD120" s="26" t="n">
        <f aca="false">IF(AND(ISNUMBER(BD152),ISNUMBER(BD133)),IFERROR(BD152/BD133,""),"")</f>
        <v>0.0225491536070212</v>
      </c>
      <c r="BE120" s="26" t="n">
        <f aca="false">IF(AND(ISNUMBER(BE152),ISNUMBER(BE133)),IFERROR(BE152/BE133,""),"")</f>
        <v>0.0258962526797972</v>
      </c>
      <c r="BF120" s="26" t="n">
        <f aca="false">IF(AND(ISNUMBER(BF152),ISNUMBER(BF133)),IFERROR(BF152/BF133,""),"")</f>
        <v>0.0313119163106275</v>
      </c>
      <c r="BG120" s="26" t="n">
        <f aca="false">IF(AND(ISNUMBER(BG152),ISNUMBER(BG133)),IFERROR(BG152/BG133,""),"")</f>
        <v>0.0258200472729287</v>
      </c>
      <c r="BH120" s="26" t="n">
        <f aca="false">IF(AND(ISNUMBER(BH152),ISNUMBER(BH133)),IFERROR(BH152/BH133,""),"")</f>
        <v>0.0355580187853684</v>
      </c>
      <c r="BI120" s="26" t="n">
        <f aca="false">IF(AND(ISNUMBER(BI152),ISNUMBER(BI133)),IFERROR(BI152/BI133,""),"")</f>
        <v>0.0390310385036124</v>
      </c>
      <c r="BJ120" s="26" t="n">
        <f aca="false">IF(AND(ISNUMBER(BJ152),ISNUMBER(BJ133)),IFERROR(BJ152/BJ133,""),"")</f>
        <v>0.0402363396650227</v>
      </c>
      <c r="BK120" s="26" t="n">
        <f aca="false">IF(AND(ISNUMBER(BK152),ISNUMBER(BK133)),IFERROR(BK152/BK133,""),"")</f>
        <v>0.0373183667597228</v>
      </c>
      <c r="BL120" s="26" t="n">
        <f aca="false">IF(AND(ISNUMBER(BL152),ISNUMBER(BL133)),IFERROR(BL152/BL133,""),"")</f>
        <v>0.0380037994201047</v>
      </c>
      <c r="BM120" s="26" t="n">
        <f aca="false">IF(AND(ISNUMBER(BM152),ISNUMBER(BM133)),IFERROR(BM152/BM133,""),"")</f>
        <v>0.0363037056295222</v>
      </c>
      <c r="BN120" s="26" t="n">
        <f aca="false">IF(AND(ISNUMBER(BN152),ISNUMBER(BN133)),IFERROR(BN152/BN133,""),"")</f>
        <v>0.0364470060764407</v>
      </c>
      <c r="BO120" s="26" t="n">
        <f aca="false">IF(AND(ISNUMBER(BO152),ISNUMBER(BO133)),IFERROR(BO152/BO133,""),"")</f>
        <v>0.032571101375989</v>
      </c>
      <c r="BP120" s="26" t="n">
        <f aca="false">IF(AND(ISNUMBER(BP152),ISNUMBER(BP133)),IFERROR(BP152/BP133,""),"")</f>
        <v>0.0354647740435247</v>
      </c>
      <c r="BQ120" s="26" t="n">
        <f aca="false">IF(AND(ISNUMBER(BQ152),ISNUMBER(BQ133)),IFERROR(BQ152/BQ133,""),"")</f>
        <v>0.0351390625870249</v>
      </c>
      <c r="BR120" s="26" t="n">
        <f aca="false">IF(AND(ISNUMBER(BR152),ISNUMBER(BR133)),IFERROR(BR152/BR133,""),"")</f>
        <v>0.0380960587620044</v>
      </c>
      <c r="BS120" s="26" t="n">
        <f aca="false">IF(AND(ISNUMBER(BS152),ISNUMBER(BS133)),IFERROR(BS152/BS133,""),"")</f>
        <v>0.0358697173092375</v>
      </c>
      <c r="BT120" s="26" t="n">
        <f aca="false">IF(AND(ISNUMBER(BT152),ISNUMBER(BT133)),IFERROR(BT152/BT133,""),"")</f>
        <v>0.0365809961236523</v>
      </c>
      <c r="BU120" s="26" t="n">
        <f aca="false">IF(AND(ISNUMBER(BU152),ISNUMBER(BU133)),IFERROR(BU152/BU133,""),"")</f>
        <v>0.0403050772129665</v>
      </c>
      <c r="BV120" s="26" t="n">
        <f aca="false">IF(AND(ISNUMBER(BV152),ISNUMBER(BV133)),IFERROR(BV152/BV133,""),"")</f>
        <v>0.0376704122869045</v>
      </c>
      <c r="BW120" s="26" t="n">
        <f aca="false">IF(AND(ISNUMBER(BW152),ISNUMBER(BW133)),IFERROR(BW152/BW133,""),"")</f>
        <v>0.0376264396443263</v>
      </c>
      <c r="BX120" s="26" t="n">
        <f aca="false">IF(AND(ISNUMBER(BX152),ISNUMBER(BX133)),IFERROR(BX152/BX133,""),"")</f>
        <v>0.0305827097725369</v>
      </c>
      <c r="BY120" s="27" t="n">
        <f aca="false">$BX$120</f>
        <v>0.0305827097725369</v>
      </c>
      <c r="BZ120" s="27" t="n">
        <f aca="false">$BX$120</f>
        <v>0.0305827097725369</v>
      </c>
      <c r="CA120" s="27" t="n">
        <f aca="false">IF(AND(ISNUMBER(CA152),ISNUMBER(CA133)),IFERROR(CA152/CA133,""),"")</f>
        <v>0.0322037825376073</v>
      </c>
      <c r="CB120" s="35" t="n">
        <v>0.035</v>
      </c>
      <c r="CC120" s="35" t="n">
        <v>0.035</v>
      </c>
      <c r="CD120" s="35" t="n">
        <v>0.035</v>
      </c>
      <c r="CE120" s="35" t="n">
        <v>0.035</v>
      </c>
    </row>
    <row r="121" customFormat="false" ht="15" hidden="false" customHeight="false" outlineLevel="0" collapsed="false">
      <c r="B121" s="25" t="s">
        <v>238</v>
      </c>
      <c r="C121" s="26" t="n">
        <f aca="false">IF(AND(ISNUMBER(C153),ISNUMBER(C133)),IFERROR(C153/C133,""),"")</f>
        <v>0.0436859841262803</v>
      </c>
      <c r="D121" s="26" t="n">
        <f aca="false">IF(AND(ISNUMBER(D153),ISNUMBER(D133)),IFERROR(D153/D133,""),"")</f>
        <v>0.0305536840175659</v>
      </c>
      <c r="E121" s="26" t="n">
        <f aca="false">IF(AND(ISNUMBER(E153),ISNUMBER(E133)),IFERROR(E153/E133,""),"")</f>
        <v>0.0151305889685759</v>
      </c>
      <c r="F121" s="26" t="n">
        <f aca="false">IF(AND(ISNUMBER(F153),ISNUMBER(F133)),IFERROR(F153/F133,""),"")</f>
        <v>0.0153890238422413</v>
      </c>
      <c r="G121" s="26" t="n">
        <f aca="false">IF(AND(ISNUMBER(G153),ISNUMBER(G133)),IFERROR(G153/G133,""),"")</f>
        <v>0.0252367542292868</v>
      </c>
      <c r="H121" s="26" t="n">
        <f aca="false">IF(AND(ISNUMBER(H153),ISNUMBER(H133)),IFERROR(H153/H133,""),"")</f>
        <v>0.023643040979801</v>
      </c>
      <c r="I121" s="26" t="n">
        <f aca="false">IF(AND(ISNUMBER(I153),ISNUMBER(I133)),IFERROR(I153/I133,""),"")</f>
        <v>0.0345726610428332</v>
      </c>
      <c r="J121" s="26" t="n">
        <f aca="false">IF(AND(ISNUMBER(J153),ISNUMBER(J133)),IFERROR(J153/J133,""),"")</f>
        <v>0.0112239479331698</v>
      </c>
      <c r="K121" s="26" t="n">
        <f aca="false">IF(AND(ISNUMBER(K153),ISNUMBER(K133)),IFERROR(K153/K133,""),"")</f>
        <v>0.0100930592760928</v>
      </c>
      <c r="L121" s="26" t="n">
        <f aca="false">IF(AND(ISNUMBER(L153),ISNUMBER(L133)),IFERROR(L153/L133,""),"")</f>
        <v>0.00209580709077802</v>
      </c>
      <c r="M121" s="26" t="n">
        <f aca="false">IF(AND(ISNUMBER(M153),ISNUMBER(M133)),IFERROR(M153/M133,""),"")</f>
        <v>-0.00396431665035492</v>
      </c>
      <c r="N121" s="26" t="n">
        <f aca="false">IF(AND(ISNUMBER(N153),ISNUMBER(N133)),IFERROR(N153/N133,""),"")</f>
        <v>0.00495290276374589</v>
      </c>
      <c r="O121" s="26" t="n">
        <f aca="false">IF(AND(ISNUMBER(O153),ISNUMBER(O133)),IFERROR(O153/O133,""),"")</f>
        <v>0.010482574606056</v>
      </c>
      <c r="P121" s="26" t="n">
        <f aca="false">IF(AND(ISNUMBER(P153),ISNUMBER(P133)),IFERROR(P153/P133,""),"")</f>
        <v>0.0223208716463514</v>
      </c>
      <c r="Q121" s="26" t="n">
        <f aca="false">IF(AND(ISNUMBER(Q153),ISNUMBER(Q133)),IFERROR(Q153/Q133,""),"")</f>
        <v>0.0324851581988157</v>
      </c>
      <c r="R121" s="26" t="n">
        <f aca="false">IF(AND(ISNUMBER(R153),ISNUMBER(R133)),IFERROR(R153/R133,""),"")</f>
        <v>0.0284965007094234</v>
      </c>
      <c r="S121" s="26" t="n">
        <f aca="false">IF(AND(ISNUMBER(S153),ISNUMBER(S133)),IFERROR(S153/S133,""),"")</f>
        <v>0.0238392908731195</v>
      </c>
      <c r="T121" s="26" t="n">
        <f aca="false">IF(AND(ISNUMBER(T153),ISNUMBER(T133)),IFERROR(T153/T133,""),"")</f>
        <v>0.0292053093637524</v>
      </c>
      <c r="U121" s="26" t="n">
        <f aca="false">IF(AND(ISNUMBER(U153),ISNUMBER(U133)),IFERROR(U153/U133,""),"")</f>
        <v>0.0268536243745912</v>
      </c>
      <c r="V121" s="26" t="n">
        <f aca="false">IF(AND(ISNUMBER(V153),ISNUMBER(V133)),IFERROR(V153/V133,""),"")</f>
        <v>0.021225842076201</v>
      </c>
      <c r="W121" s="26" t="n">
        <f aca="false">IF(AND(ISNUMBER(W153),ISNUMBER(W133)),IFERROR(W153/W133,""),"")</f>
        <v>0.0247890156751236</v>
      </c>
      <c r="X121" s="26" t="n">
        <f aca="false">IF(AND(ISNUMBER(X153),ISNUMBER(X133)),IFERROR(X153/X133,""),"")</f>
        <v>0.0254183417971505</v>
      </c>
      <c r="Y121" s="26" t="n">
        <f aca="false">IF(AND(ISNUMBER(Y153),ISNUMBER(Y133)),IFERROR(Y153/Y133,""),"")</f>
        <v>0.0269448906955896</v>
      </c>
      <c r="Z121" s="26" t="n">
        <f aca="false">IF(AND(ISNUMBER(Z153),ISNUMBER(Z133)),IFERROR(Z153/Z133,""),"")</f>
        <v>0.017848758446017</v>
      </c>
      <c r="AA121" s="26" t="n">
        <f aca="false">IF(AND(ISNUMBER(AA153),ISNUMBER(AA133)),IFERROR(AA153/AA133,""),"")</f>
        <v>0.00866845013626711</v>
      </c>
      <c r="AB121" s="26" t="n">
        <f aca="false">IF(AND(ISNUMBER(AB153),ISNUMBER(AB133)),IFERROR(AB153/AB133,""),"")</f>
        <v>0.0123576175923749</v>
      </c>
      <c r="AC121" s="26" t="n">
        <f aca="false">IF(AND(ISNUMBER(AC153),ISNUMBER(AC133)),IFERROR(AC153/AC133,""),"")</f>
        <v>0.0164937599010857</v>
      </c>
      <c r="AD121" s="26" t="n">
        <f aca="false">IF(AND(ISNUMBER(AD153),ISNUMBER(AD133)),IFERROR(AD153/AD133,""),"")</f>
        <v>0.0216650309726575</v>
      </c>
      <c r="AE121" s="26" t="n">
        <f aca="false">IF(AND(ISNUMBER(AE153),ISNUMBER(AE133)),IFERROR(AE153/AE133,""),"")</f>
        <v>0.00788443138505618</v>
      </c>
      <c r="AF121" s="26" t="n">
        <f aca="false">IF(AND(ISNUMBER(AF153),ISNUMBER(AF133)),IFERROR(AF153/AF133,""),"")</f>
        <v>0.0129107546400919</v>
      </c>
      <c r="AG121" s="26" t="n">
        <f aca="false">IF(AND(ISNUMBER(AG153),ISNUMBER(AG133)),IFERROR(AG153/AG133,""),"")</f>
        <v>0.0273736288258746</v>
      </c>
      <c r="AH121" s="26" t="n">
        <f aca="false">IF(AND(ISNUMBER(AH153),ISNUMBER(AH133)),IFERROR(AH153/AH133,""),"")</f>
        <v>0.0176537657566352</v>
      </c>
      <c r="AI121" s="26" t="n">
        <f aca="false">IF(AND(ISNUMBER(AI153),ISNUMBER(AI133)),IFERROR(AI153/AI133,""),"")</f>
        <v>0.0289715221472221</v>
      </c>
      <c r="AJ121" s="26" t="n">
        <f aca="false">IF(AND(ISNUMBER(AJ153),ISNUMBER(AJ133)),IFERROR(AJ153/AJ133,""),"")</f>
        <v>0.0395691328000858</v>
      </c>
      <c r="AK121" s="26" t="n">
        <f aca="false">IF(AND(ISNUMBER(AK153),ISNUMBER(AK133)),IFERROR(AK153/AK133,""),"")</f>
        <v>0.0342499899141841</v>
      </c>
      <c r="AL121" s="26" t="n">
        <f aca="false">IF(AND(ISNUMBER(AL153),ISNUMBER(AL133)),IFERROR(AL153/AL133,""),"")</f>
        <v>0.0270614458455861</v>
      </c>
      <c r="AM121" s="26" t="n">
        <f aca="false">IF(AND(ISNUMBER(AM153),ISNUMBER(AM133)),IFERROR(AM153/AM133,""),"")</f>
        <v>0.0324522638513845</v>
      </c>
      <c r="AN121" s="26" t="n">
        <f aca="false">IF(AND(ISNUMBER(AN153),ISNUMBER(AN133)),IFERROR(AN153/AN133,""),"")</f>
        <v>0.0252253977607543</v>
      </c>
      <c r="AO121" s="26" t="n">
        <f aca="false">IF(AND(ISNUMBER(AO153),ISNUMBER(AO133)),IFERROR(AO153/AO133,""),"")</f>
        <v>0.0211214931762215</v>
      </c>
      <c r="AP121" s="26" t="n">
        <f aca="false">IF(AND(ISNUMBER(AP153),ISNUMBER(AP133)),IFERROR(AP153/AP133,""),"")</f>
        <v>0.013971529653585</v>
      </c>
      <c r="AQ121" s="26" t="n">
        <f aca="false">IF(AND(ISNUMBER(AQ153),ISNUMBER(AQ133)),IFERROR(AQ153/AQ133,""),"")</f>
        <v>-0.00271912352318251</v>
      </c>
      <c r="AR121" s="26" t="n">
        <f aca="false">IF(AND(ISNUMBER(AR153),ISNUMBER(AR133)),IFERROR(AR153/AR133,""),"")</f>
        <v>0.0151114908885632</v>
      </c>
      <c r="AS121" s="26" t="n">
        <f aca="false">IF(AND(ISNUMBER(AS153),ISNUMBER(AS133)),IFERROR(AS153/AS133,""),"")</f>
        <v>0.0200668013022204</v>
      </c>
      <c r="AT121" s="26" t="n">
        <f aca="false">IF(AND(ISNUMBER(AT153),ISNUMBER(AT133)),IFERROR(AT153/AT133,""),"")</f>
        <v>0.0178272382102455</v>
      </c>
      <c r="AU121" s="26" t="n">
        <f aca="false">IF(AND(ISNUMBER(AU153),ISNUMBER(AU133)),IFERROR(AU153/AU133,""),"")</f>
        <v>0.0182869400091299</v>
      </c>
      <c r="AV121" s="26" t="n">
        <f aca="false">IF(AND(ISNUMBER(AV153),ISNUMBER(AV133)),IFERROR(AV153/AV133,""),"")</f>
        <v>0.0169659276465942</v>
      </c>
      <c r="AW121" s="26" t="n">
        <f aca="false">IF(AND(ISNUMBER(AW153),ISNUMBER(AW133)),IFERROR(AW153/AW133,""),"")</f>
        <v>0.0182381064704134</v>
      </c>
      <c r="AX121" s="26" t="n">
        <f aca="false">IF(AND(ISNUMBER(AX153),ISNUMBER(AX133)),IFERROR(AX153/AX133,""),"")</f>
        <v>0.034153876818816</v>
      </c>
      <c r="AY121" s="26" t="n">
        <f aca="false">IF(AND(ISNUMBER(AY153),ISNUMBER(AY133)),IFERROR(AY153/AY133,""),"")</f>
        <v>0.0389240979422726</v>
      </c>
      <c r="AZ121" s="26" t="n">
        <f aca="false">IF(AND(ISNUMBER(AZ153),ISNUMBER(AZ133)),IFERROR(AZ153/AZ133,""),"")</f>
        <v>0.0483444524468368</v>
      </c>
      <c r="BA121" s="26" t="n">
        <f aca="false">IF(AND(ISNUMBER(BA153),ISNUMBER(BA133)),IFERROR(BA153/BA133,""),"")</f>
        <v>0.0420568441777283</v>
      </c>
      <c r="BB121" s="26" t="n">
        <f aca="false">IF(AND(ISNUMBER(BB153),ISNUMBER(BB133)),IFERROR(BB153/BB133,""),"")</f>
        <v>0.0412351935494207</v>
      </c>
      <c r="BC121" s="26" t="n">
        <f aca="false">IF(AND(ISNUMBER(BC153),ISNUMBER(BC133)),IFERROR(BC153/BC133,""),"")</f>
        <v>0.027153066224084</v>
      </c>
      <c r="BD121" s="26" t="n">
        <f aca="false">IF(AND(ISNUMBER(BD153),ISNUMBER(BD133)),IFERROR(BD153/BD133,""),"")</f>
        <v>0.02707313692247</v>
      </c>
      <c r="BE121" s="26" t="n">
        <f aca="false">IF(AND(ISNUMBER(BE153),ISNUMBER(BE133)),IFERROR(BE153/BE133,""),"")</f>
        <v>0.0290928477875188</v>
      </c>
      <c r="BF121" s="26" t="n">
        <f aca="false">IF(AND(ISNUMBER(BF153),ISNUMBER(BF133)),IFERROR(BF153/BF133,""),"")</f>
        <v>0.0160523527221697</v>
      </c>
      <c r="BG121" s="26" t="n">
        <f aca="false">IF(AND(ISNUMBER(BG153),ISNUMBER(BG133)),IFERROR(BG153/BG133,""),"")</f>
        <v>0.0252358845667775</v>
      </c>
      <c r="BH121" s="26" t="n">
        <f aca="false">IF(AND(ISNUMBER(BH153),ISNUMBER(BH133)),IFERROR(BH153/BH133,""),"")</f>
        <v>0.0227626742897147</v>
      </c>
      <c r="BI121" s="26" t="n">
        <f aca="false">IF(AND(ISNUMBER(BI153),ISNUMBER(BI133)),IFERROR(BI153/BI133,""),"")</f>
        <v>0.00906842415281234</v>
      </c>
      <c r="BJ121" s="26" t="n">
        <f aca="false">IF(AND(ISNUMBER(BJ153),ISNUMBER(BJ133)),IFERROR(BJ153/BJ133,""),"")</f>
        <v>0.0246783093302502</v>
      </c>
      <c r="BK121" s="26" t="n">
        <f aca="false">IF(AND(ISNUMBER(BK153),ISNUMBER(BK133)),IFERROR(BK153/BK133,""),"")</f>
        <v>0.0337200524390461</v>
      </c>
      <c r="BL121" s="26" t="n">
        <f aca="false">IF(AND(ISNUMBER(BL153),ISNUMBER(BL133)),IFERROR(BL153/BL133,""),"")</f>
        <v>0.022333111162985</v>
      </c>
      <c r="BM121" s="26" t="n">
        <f aca="false">IF(AND(ISNUMBER(BM153),ISNUMBER(BM133)),IFERROR(BM153/BM133,""),"")</f>
        <v>0.0344716440965808</v>
      </c>
      <c r="BN121" s="26" t="n">
        <f aca="false">IF(AND(ISNUMBER(BN153),ISNUMBER(BN133)),IFERROR(BN153/BN133,""),"")</f>
        <v>0.0284721323113314</v>
      </c>
      <c r="BO121" s="26" t="n">
        <f aca="false">IF(AND(ISNUMBER(BO153),ISNUMBER(BO133)),IFERROR(BO153/BO133,""),"")</f>
        <v>0.0299271135241883</v>
      </c>
      <c r="BP121" s="26" t="n">
        <f aca="false">IF(AND(ISNUMBER(BP153),ISNUMBER(BP133)),IFERROR(BP153/BP133,""),"")</f>
        <v>0.0297112425378639</v>
      </c>
      <c r="BQ121" s="26" t="n">
        <f aca="false">IF(AND(ISNUMBER(BQ153),ISNUMBER(BQ133)),IFERROR(BQ153/BQ133,""),"")</f>
        <v>0.0305929734894652</v>
      </c>
      <c r="BR121" s="26" t="n">
        <f aca="false">IF(AND(ISNUMBER(BR153),ISNUMBER(BR133)),IFERROR(BR153/BR133,""),"")</f>
        <v>0.0343877769325854</v>
      </c>
      <c r="BS121" s="26" t="n">
        <f aca="false">IF(AND(ISNUMBER(BS153),ISNUMBER(BS133)),IFERROR(BS153/BS133,""),"")</f>
        <v>0.0301227152276803</v>
      </c>
      <c r="BT121" s="26" t="n">
        <f aca="false">IF(AND(ISNUMBER(BT153),ISNUMBER(BT133)),IFERROR(BT153/BT133,""),"")</f>
        <v>0.0265495123053152</v>
      </c>
      <c r="BU121" s="26" t="n">
        <f aca="false">IF(AND(ISNUMBER(BU153),ISNUMBER(BU133)),IFERROR(BU153/BU133,""),"")</f>
        <v>0.0263251620209006</v>
      </c>
      <c r="BV121" s="26" t="n">
        <f aca="false">IF(AND(ISNUMBER(BV153),ISNUMBER(BV133)),IFERROR(BV153/BV133,""),"")</f>
        <v>0.0293360103465584</v>
      </c>
      <c r="BW121" s="26" t="n">
        <f aca="false">IF(AND(ISNUMBER(BW153),ISNUMBER(BW133)),IFERROR(BW153/BW133,""),"")</f>
        <v>0.0428392125276119</v>
      </c>
      <c r="BX121" s="26" t="n">
        <f aca="false">IF(AND(ISNUMBER(BX153),ISNUMBER(BX133)),IFERROR(BX153/BX133,""),"")</f>
        <v>0.0334839274438118</v>
      </c>
      <c r="BY121" s="27" t="n">
        <f aca="false">$BX$121</f>
        <v>0.0334839274438118</v>
      </c>
      <c r="BZ121" s="27" t="n">
        <f aca="false">$BX$121</f>
        <v>0.0334839274438118</v>
      </c>
      <c r="CA121" s="27" t="n">
        <f aca="false">IF(AND(ISNUMBER(CA153),ISNUMBER(CA133)),IFERROR(CA153/CA133,""),"")</f>
        <v>0.0356369909676639</v>
      </c>
      <c r="CB121" s="35" t="n">
        <v>0.03</v>
      </c>
      <c r="CC121" s="35" t="n">
        <v>0.03</v>
      </c>
      <c r="CD121" s="35" t="n">
        <v>0.03</v>
      </c>
      <c r="CE121" s="35" t="n">
        <v>0.03</v>
      </c>
    </row>
    <row r="122" customFormat="false" ht="15" hidden="false" customHeight="false" outlineLevel="0" collapsed="false">
      <c r="B122" s="25" t="s">
        <v>239</v>
      </c>
      <c r="C122" s="26" t="str">
        <f aca="false">IF(AND(ISNUMBER(C134),ISNUMBER(C133)),IFERROR(C134/C133,""),"")</f>
        <v/>
      </c>
      <c r="D122" s="26" t="str">
        <f aca="false">IF(AND(ISNUMBER(D134),ISNUMBER(D133)),IFERROR(D134/D133,""),"")</f>
        <v/>
      </c>
      <c r="E122" s="26" t="str">
        <f aca="false">IF(AND(ISNUMBER(E134),ISNUMBER(E133)),IFERROR(E134/E133,""),"")</f>
        <v/>
      </c>
      <c r="F122" s="26" t="str">
        <f aca="false">IF(AND(ISNUMBER(F134),ISNUMBER(F133)),IFERROR(F134/F133,""),"")</f>
        <v/>
      </c>
      <c r="G122" s="26" t="str">
        <f aca="false">IF(AND(ISNUMBER(G134),ISNUMBER(G133)),IFERROR(G134/G133,""),"")</f>
        <v/>
      </c>
      <c r="H122" s="26" t="str">
        <f aca="false">IF(AND(ISNUMBER(H134),ISNUMBER(H133)),IFERROR(H134/H133,""),"")</f>
        <v/>
      </c>
      <c r="I122" s="26" t="str">
        <f aca="false">IF(AND(ISNUMBER(I134),ISNUMBER(I133)),IFERROR(I134/I133,""),"")</f>
        <v/>
      </c>
      <c r="J122" s="26" t="str">
        <f aca="false">IF(AND(ISNUMBER(J134),ISNUMBER(J133)),IFERROR(J134/J133,""),"")</f>
        <v/>
      </c>
      <c r="K122" s="26" t="str">
        <f aca="false">IF(AND(ISNUMBER(K134),ISNUMBER(K133)),IFERROR(K134/K133,""),"")</f>
        <v/>
      </c>
      <c r="L122" s="26" t="str">
        <f aca="false">IF(AND(ISNUMBER(L134),ISNUMBER(L133)),IFERROR(L134/L133,""),"")</f>
        <v/>
      </c>
      <c r="M122" s="26" t="str">
        <f aca="false">IF(AND(ISNUMBER(M134),ISNUMBER(M133)),IFERROR(M134/M133,""),"")</f>
        <v/>
      </c>
      <c r="N122" s="26" t="str">
        <f aca="false">IF(AND(ISNUMBER(N134),ISNUMBER(N133)),IFERROR(N134/N133,""),"")</f>
        <v/>
      </c>
      <c r="O122" s="26" t="str">
        <f aca="false">IF(AND(ISNUMBER(O134),ISNUMBER(O133)),IFERROR(O134/O133,""),"")</f>
        <v/>
      </c>
      <c r="P122" s="26" t="str">
        <f aca="false">IF(AND(ISNUMBER(P134),ISNUMBER(P133)),IFERROR(P134/P133,""),"")</f>
        <v/>
      </c>
      <c r="Q122" s="26" t="str">
        <f aca="false">IF(AND(ISNUMBER(Q134),ISNUMBER(Q133)),IFERROR(Q134/Q133,""),"")</f>
        <v/>
      </c>
      <c r="R122" s="26" t="str">
        <f aca="false">IF(AND(ISNUMBER(R134),ISNUMBER(R133)),IFERROR(R134/R133,""),"")</f>
        <v/>
      </c>
      <c r="S122" s="26" t="str">
        <f aca="false">IF(AND(ISNUMBER(S134),ISNUMBER(S133)),IFERROR(S134/S133,""),"")</f>
        <v/>
      </c>
      <c r="T122" s="26" t="str">
        <f aca="false">IF(AND(ISNUMBER(T134),ISNUMBER(T133)),IFERROR(T134/T133,""),"")</f>
        <v/>
      </c>
      <c r="U122" s="26" t="str">
        <f aca="false">IF(AND(ISNUMBER(U134),ISNUMBER(U133)),IFERROR(U134/U133,""),"")</f>
        <v/>
      </c>
      <c r="V122" s="26" t="str">
        <f aca="false">IF(AND(ISNUMBER(V134),ISNUMBER(V133)),IFERROR(V134/V133,""),"")</f>
        <v/>
      </c>
      <c r="W122" s="26" t="str">
        <f aca="false">IF(AND(ISNUMBER(W134),ISNUMBER(W133)),IFERROR(W134/W133,""),"")</f>
        <v/>
      </c>
      <c r="X122" s="26" t="str">
        <f aca="false">IF(AND(ISNUMBER(X134),ISNUMBER(X133)),IFERROR(X134/X133,""),"")</f>
        <v/>
      </c>
      <c r="Y122" s="26" t="str">
        <f aca="false">IF(AND(ISNUMBER(Y134),ISNUMBER(Y133)),IFERROR(Y134/Y133,""),"")</f>
        <v/>
      </c>
      <c r="Z122" s="26" t="str">
        <f aca="false">IF(AND(ISNUMBER(Z134),ISNUMBER(Z133)),IFERROR(Z134/Z133,""),"")</f>
        <v/>
      </c>
      <c r="AA122" s="26" t="str">
        <f aca="false">IF(AND(ISNUMBER(AA134),ISNUMBER(AA133)),IFERROR(AA134/AA133,""),"")</f>
        <v/>
      </c>
      <c r="AB122" s="26" t="str">
        <f aca="false">IF(AND(ISNUMBER(AB134),ISNUMBER(AB133)),IFERROR(AB134/AB133,""),"")</f>
        <v/>
      </c>
      <c r="AC122" s="26" t="str">
        <f aca="false">IF(AND(ISNUMBER(AC134),ISNUMBER(AC133)),IFERROR(AC134/AC133,""),"")</f>
        <v/>
      </c>
      <c r="AD122" s="26" t="str">
        <f aca="false">IF(AND(ISNUMBER(AD134),ISNUMBER(AD133)),IFERROR(AD134/AD133,""),"")</f>
        <v/>
      </c>
      <c r="AE122" s="26" t="str">
        <f aca="false">IF(AND(ISNUMBER(AE134),ISNUMBER(AE133)),IFERROR(AE134/AE133,""),"")</f>
        <v/>
      </c>
      <c r="AF122" s="26" t="str">
        <f aca="false">IF(AND(ISNUMBER(AF134),ISNUMBER(AF133)),IFERROR(AF134/AF133,""),"")</f>
        <v/>
      </c>
      <c r="AG122" s="26" t="str">
        <f aca="false">IF(AND(ISNUMBER(AG134),ISNUMBER(AG133)),IFERROR(AG134/AG133,""),"")</f>
        <v/>
      </c>
      <c r="AH122" s="26" t="str">
        <f aca="false">IF(AND(ISNUMBER(AH134),ISNUMBER(AH133)),IFERROR(AH134/AH133,""),"")</f>
        <v/>
      </c>
      <c r="AI122" s="26" t="str">
        <f aca="false">IF(AND(ISNUMBER(AI134),ISNUMBER(AI133)),IFERROR(AI134/AI133,""),"")</f>
        <v/>
      </c>
      <c r="AJ122" s="26" t="str">
        <f aca="false">IF(AND(ISNUMBER(AJ134),ISNUMBER(AJ133)),IFERROR(AJ134/AJ133,""),"")</f>
        <v/>
      </c>
      <c r="AK122" s="26" t="str">
        <f aca="false">IF(AND(ISNUMBER(AK134),ISNUMBER(AK133)),IFERROR(AK134/AK133,""),"")</f>
        <v/>
      </c>
      <c r="AL122" s="26" t="str">
        <f aca="false">IF(AND(ISNUMBER(AL134),ISNUMBER(AL133)),IFERROR(AL134/AL133,""),"")</f>
        <v/>
      </c>
      <c r="AM122" s="26" t="str">
        <f aca="false">IF(AND(ISNUMBER(AM134),ISNUMBER(AM133)),IFERROR(AM134/AM133,""),"")</f>
        <v/>
      </c>
      <c r="AN122" s="26" t="str">
        <f aca="false">IF(AND(ISNUMBER(AN134),ISNUMBER(AN133)),IFERROR(AN134/AN133,""),"")</f>
        <v/>
      </c>
      <c r="AO122" s="26" t="str">
        <f aca="false">IF(AND(ISNUMBER(AO134),ISNUMBER(AO133)),IFERROR(AO134/AO133,""),"")</f>
        <v/>
      </c>
      <c r="AP122" s="26" t="str">
        <f aca="false">IF(AND(ISNUMBER(AP134),ISNUMBER(AP133)),IFERROR(AP134/AP133,""),"")</f>
        <v/>
      </c>
      <c r="AQ122" s="26" t="str">
        <f aca="false">IF(AND(ISNUMBER(AQ134),ISNUMBER(AQ133)),IFERROR(AQ134/AQ133,""),"")</f>
        <v/>
      </c>
      <c r="AR122" s="26" t="str">
        <f aca="false">IF(AND(ISNUMBER(AR134),ISNUMBER(AR133)),IFERROR(AR134/AR133,""),"")</f>
        <v/>
      </c>
      <c r="AS122" s="26" t="str">
        <f aca="false">IF(AND(ISNUMBER(AS134),ISNUMBER(AS133)),IFERROR(AS134/AS133,""),"")</f>
        <v/>
      </c>
      <c r="AT122" s="26" t="str">
        <f aca="false">IF(AND(ISNUMBER(AT134),ISNUMBER(AT133)),IFERROR(AT134/AT133,""),"")</f>
        <v/>
      </c>
      <c r="AU122" s="26" t="str">
        <f aca="false">IF(AND(ISNUMBER(AU134),ISNUMBER(AU133)),IFERROR(AU134/AU133,""),"")</f>
        <v/>
      </c>
      <c r="AV122" s="26" t="n">
        <f aca="false">IF(AND(ISNUMBER(AV134),ISNUMBER(AV133)),IFERROR(AV134/AV133,""),"")</f>
        <v>0.00704051653350567</v>
      </c>
      <c r="AW122" s="26" t="n">
        <f aca="false">IF(AND(ISNUMBER(AW134),ISNUMBER(AW133)),IFERROR(AW134/AW133,""),"")</f>
        <v>0.00689561684347895</v>
      </c>
      <c r="AX122" s="26" t="n">
        <f aca="false">IF(AND(ISNUMBER(AX134),ISNUMBER(AX133)),IFERROR(AX134/AX133,""),"")</f>
        <v>0.00661607676756172</v>
      </c>
      <c r="AY122" s="26" t="n">
        <f aca="false">IF(AND(ISNUMBER(AY134),ISNUMBER(AY133)),IFERROR(AY134/AY133,""),"")</f>
        <v>0.00640970880006835</v>
      </c>
      <c r="AZ122" s="26" t="n">
        <f aca="false">IF(AND(ISNUMBER(AZ134),ISNUMBER(AZ133)),IFERROR(AZ134/AZ133,""),"")</f>
        <v>0.00610287707061901</v>
      </c>
      <c r="BA122" s="26" t="n">
        <f aca="false">IF(AND(ISNUMBER(BA134),ISNUMBER(BA133)),IFERROR(BA134/BA133,""),"")</f>
        <v>0.0065476253034714</v>
      </c>
      <c r="BB122" s="26" t="n">
        <f aca="false">IF(AND(ISNUMBER(BB134),ISNUMBER(BB133)),IFERROR(BB134/BB133,""),"")</f>
        <v>0.00641098649181543</v>
      </c>
      <c r="BC122" s="26" t="n">
        <f aca="false">IF(AND(ISNUMBER(BC134),ISNUMBER(BC133)),IFERROR(BC134/BC133,""),"")</f>
        <v>0.00632754944846369</v>
      </c>
      <c r="BD122" s="26" t="n">
        <f aca="false">IF(AND(ISNUMBER(BD134),ISNUMBER(BD133)),IFERROR(BD134/BD133,""),"")</f>
        <v>0.00643652222296539</v>
      </c>
      <c r="BE122" s="26" t="n">
        <f aca="false">IF(AND(ISNUMBER(BE134),ISNUMBER(BE133)),IFERROR(BE134/BE133,""),"")</f>
        <v>0.00727800233094453</v>
      </c>
      <c r="BF122" s="26" t="n">
        <f aca="false">IF(AND(ISNUMBER(BF134),ISNUMBER(BF133)),IFERROR(BF134/BF133,""),"")</f>
        <v>0.00866470356976414</v>
      </c>
      <c r="BG122" s="26" t="n">
        <f aca="false">IF(AND(ISNUMBER(BG134),ISNUMBER(BG133)),IFERROR(BG134/BG133,""),"")</f>
        <v>0.00709316574162642</v>
      </c>
      <c r="BH122" s="26" t="n">
        <f aca="false">IF(AND(ISNUMBER(BH134),ISNUMBER(BH133)),IFERROR(BH134/BH133,""),"")</f>
        <v>0.0106717811096202</v>
      </c>
      <c r="BI122" s="26" t="n">
        <f aca="false">IF(AND(ISNUMBER(BI134),ISNUMBER(BI133)),IFERROR(BI134/BI133,""),"")</f>
        <v>0.0131465854039694</v>
      </c>
      <c r="BJ122" s="26" t="n">
        <f aca="false">IF(AND(ISNUMBER(BJ134),ISNUMBER(BJ133)),IFERROR(BJ134/BJ133,""),"")</f>
        <v>0.0129684381640359</v>
      </c>
      <c r="BK122" s="26" t="n">
        <f aca="false">IF(AND(ISNUMBER(BK134),ISNUMBER(BK133)),IFERROR(BK134/BK133,""),"")</f>
        <v>0.0150657185394012</v>
      </c>
      <c r="BL122" s="26" t="n">
        <f aca="false">IF(AND(ISNUMBER(BL134),ISNUMBER(BL133)),IFERROR(BL134/BL133,""),"")</f>
        <v>0.0129078924736467</v>
      </c>
      <c r="BM122" s="26" t="n">
        <f aca="false">IF(AND(ISNUMBER(BM134),ISNUMBER(BM133)),IFERROR(BM134/BM133,""),"")</f>
        <v>0.0155413551781965</v>
      </c>
      <c r="BN122" s="26" t="n">
        <f aca="false">IF(AND(ISNUMBER(BN134),ISNUMBER(BN133)),IFERROR(BN134/BN133,""),"")</f>
        <v>0.0158319137514929</v>
      </c>
      <c r="BO122" s="26" t="n">
        <f aca="false">IF(AND(ISNUMBER(BO134),ISNUMBER(BO133)),IFERROR(BO134/BO133,""),"")</f>
        <v>0.015560630150438</v>
      </c>
      <c r="BP122" s="26" t="n">
        <f aca="false">IF(AND(ISNUMBER(BP134),ISNUMBER(BP133)),IFERROR(BP134/BP133,""),"")</f>
        <v>0.0171802583319579</v>
      </c>
      <c r="BQ122" s="26" t="n">
        <f aca="false">IF(AND(ISNUMBER(BQ134),ISNUMBER(BQ133)),IFERROR(BQ134/BQ133,""),"")</f>
        <v>0.016024511991621</v>
      </c>
      <c r="BR122" s="26" t="n">
        <f aca="false">IF(AND(ISNUMBER(BR134),ISNUMBER(BR133)),IFERROR(BR134/BR133,""),"")</f>
        <v>0.0232748169630123</v>
      </c>
      <c r="BS122" s="26" t="n">
        <f aca="false">IF(AND(ISNUMBER(BS134),ISNUMBER(BS133)),IFERROR(BS134/BS133,""),"")</f>
        <v>0.0197351243669138</v>
      </c>
      <c r="BT122" s="26" t="n">
        <f aca="false">IF(AND(ISNUMBER(BT134),ISNUMBER(BT133)),IFERROR(BT134/BT133,""),"")</f>
        <v>0.0204227017733194</v>
      </c>
      <c r="BU122" s="26" t="n">
        <f aca="false">IF(AND(ISNUMBER(BU134),ISNUMBER(BU133)),IFERROR(BU134/BU133,""),"")</f>
        <v>0.0220558466029643</v>
      </c>
      <c r="BV122" s="26" t="n">
        <f aca="false">IF(AND(ISNUMBER(BV134),ISNUMBER(BV133)),IFERROR(BV134/BV133,""),"")</f>
        <v>0.0213445396624179</v>
      </c>
      <c r="BW122" s="26" t="n">
        <f aca="false">IF(AND(ISNUMBER(BW134),ISNUMBER(BW133)),IFERROR(BW134/BW133,""),"")</f>
        <v>0.0209873533860313</v>
      </c>
      <c r="BX122" s="26" t="n">
        <f aca="false">IF(AND(ISNUMBER(BX134),ISNUMBER(BX133)),IFERROR(BX134/BX133,""),"")</f>
        <v>0.016312404636528</v>
      </c>
      <c r="BY122" s="27" t="n">
        <f aca="false">$BX$122</f>
        <v>0.016312404636528</v>
      </c>
      <c r="BZ122" s="27" t="n">
        <f aca="false">$BX$122</f>
        <v>0.016312404636528</v>
      </c>
      <c r="CA122" s="27" t="n">
        <f aca="false">IF(AND(ISNUMBER(CA134),ISNUMBER(CA133)),IFERROR(CA134/CA133,""),"")</f>
        <v>0.0173883164380682</v>
      </c>
      <c r="CB122" s="35" t="n">
        <v>0.017</v>
      </c>
      <c r="CC122" s="35" t="n">
        <v>0.017</v>
      </c>
      <c r="CD122" s="35" t="n">
        <v>0.017</v>
      </c>
      <c r="CE122" s="35" t="n">
        <v>0.017</v>
      </c>
    </row>
    <row r="124" customFormat="false" ht="15" hidden="false" customHeight="false" outlineLevel="0" collapsed="false">
      <c r="B124" s="8" t="s">
        <v>240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</row>
    <row r="125" customFormat="false" ht="15" hidden="false" customHeight="false" outlineLevel="0" collapsed="false">
      <c r="B125" s="51" t="s">
        <v>241</v>
      </c>
      <c r="C125" s="55" t="n">
        <v>6556.194</v>
      </c>
      <c r="D125" s="55" t="n">
        <v>7316.223</v>
      </c>
      <c r="E125" s="55" t="n">
        <v>8578.614</v>
      </c>
      <c r="F125" s="55" t="n">
        <v>7577.189</v>
      </c>
      <c r="G125" s="55" t="n">
        <v>9274.305</v>
      </c>
      <c r="H125" s="55" t="n">
        <v>10336.346</v>
      </c>
      <c r="I125" s="55" t="n">
        <v>11359.113</v>
      </c>
      <c r="J125" s="55" t="n">
        <v>2994.267</v>
      </c>
      <c r="K125" s="55" t="n">
        <v>3288.262</v>
      </c>
      <c r="L125" s="55" t="n">
        <v>3316.665</v>
      </c>
      <c r="M125" s="55" t="n">
        <v>3152.882</v>
      </c>
      <c r="N125" s="55" t="n">
        <v>12752.076</v>
      </c>
      <c r="O125" s="55" t="n">
        <v>3142.585</v>
      </c>
      <c r="P125" s="55" t="n">
        <v>3502.918</v>
      </c>
      <c r="Q125" s="55" t="n">
        <v>3467.362</v>
      </c>
      <c r="R125" s="55" t="n">
        <v>3357.202</v>
      </c>
      <c r="S125" s="55" t="n">
        <v>13470.067</v>
      </c>
      <c r="T125" s="55" t="n">
        <v>3300.89</v>
      </c>
      <c r="U125" s="55" t="n">
        <v>3545.088</v>
      </c>
      <c r="V125" s="55" t="n">
        <v>3419.253</v>
      </c>
      <c r="W125" s="55" t="n">
        <v>3210.853</v>
      </c>
      <c r="X125" s="55" t="n">
        <v>13476.084</v>
      </c>
      <c r="Y125" s="55" t="n">
        <v>3073.943</v>
      </c>
      <c r="Z125" s="55" t="n">
        <v>3299.741</v>
      </c>
      <c r="AA125" s="55" t="n">
        <v>3355.754</v>
      </c>
      <c r="AB125" s="55" t="n">
        <v>3414.975</v>
      </c>
      <c r="AC125" s="55" t="n">
        <v>13144.413</v>
      </c>
      <c r="AD125" s="55" t="n">
        <v>3415.125</v>
      </c>
      <c r="AE125" s="55" t="n">
        <v>3710.018</v>
      </c>
      <c r="AF125" s="55" t="n">
        <v>3784.451</v>
      </c>
      <c r="AG125" s="55" t="n">
        <v>3959.786</v>
      </c>
      <c r="AH125" s="55" t="n">
        <v>14869.38</v>
      </c>
      <c r="AI125" s="55" t="n">
        <v>3925.327</v>
      </c>
      <c r="AJ125" s="55" t="n">
        <v>4276.037</v>
      </c>
      <c r="AK125" s="55" t="n">
        <v>4291.9</v>
      </c>
      <c r="AL125" s="55" t="n">
        <v>4137.908</v>
      </c>
      <c r="AM125" s="55" t="n">
        <v>16631.172</v>
      </c>
      <c r="AN125" s="55" t="n">
        <v>3751.21</v>
      </c>
      <c r="AO125" s="55" t="n">
        <v>3908.84</v>
      </c>
      <c r="AP125" s="55" t="n">
        <v>3856.132</v>
      </c>
      <c r="AQ125" s="55" t="n">
        <v>3793.326</v>
      </c>
      <c r="AR125" s="55" t="n">
        <v>15309.508</v>
      </c>
      <c r="AS125" s="55" t="n">
        <v>3805.008</v>
      </c>
      <c r="AT125" s="55" t="n">
        <v>3627.846</v>
      </c>
      <c r="AU125" s="55" t="n">
        <v>4224.8</v>
      </c>
      <c r="AV125" s="55" t="n">
        <v>4549.452</v>
      </c>
      <c r="AW125" s="55" t="n">
        <v>16207.106</v>
      </c>
      <c r="AX125" s="55" t="n">
        <v>4803.869</v>
      </c>
      <c r="AY125" s="55" t="n">
        <v>5532.726</v>
      </c>
      <c r="AZ125" s="55" t="n">
        <v>6263.695</v>
      </c>
      <c r="BA125" s="55" t="n">
        <v>6501.848</v>
      </c>
      <c r="BB125" s="55" t="n">
        <v>23102.138</v>
      </c>
      <c r="BC125" s="55" t="n">
        <v>6815.953</v>
      </c>
      <c r="BD125" s="55" t="n">
        <v>6798.475</v>
      </c>
      <c r="BE125" s="55" t="n">
        <v>6015.376</v>
      </c>
      <c r="BF125" s="55" t="n">
        <v>5066.821</v>
      </c>
      <c r="BG125" s="55" t="n">
        <v>24696.625</v>
      </c>
      <c r="BH125" s="55" t="n">
        <v>4611.67</v>
      </c>
      <c r="BI125" s="55" t="n">
        <v>4421.856</v>
      </c>
      <c r="BJ125" s="55" t="n">
        <v>4341.03</v>
      </c>
      <c r="BK125" s="55" t="n">
        <v>4221.887</v>
      </c>
      <c r="BL125" s="55" t="n">
        <v>17596.443</v>
      </c>
      <c r="BM125" s="55" t="n">
        <v>4412.311</v>
      </c>
      <c r="BN125" s="55" t="n">
        <v>4483.348</v>
      </c>
      <c r="BO125" s="55" t="n">
        <v>4644.641</v>
      </c>
      <c r="BP125" s="55" t="n">
        <v>4184.656</v>
      </c>
      <c r="BQ125" s="55" t="n">
        <v>17724.956</v>
      </c>
      <c r="BR125" s="55" t="n">
        <v>4046.74</v>
      </c>
      <c r="BS125" s="55" t="n">
        <v>4136.543</v>
      </c>
      <c r="BT125" s="55" t="n">
        <v>4136.846</v>
      </c>
      <c r="BU125" s="55" t="n">
        <v>3912.634</v>
      </c>
      <c r="BV125" s="55" t="n">
        <v>16232.763</v>
      </c>
      <c r="BW125" s="55" t="n">
        <v>4012.934</v>
      </c>
      <c r="BX125" s="55" t="n">
        <v>4934.098</v>
      </c>
      <c r="BY125" s="52" t="n">
        <f aca="false">BY99</f>
        <v>5104.07181155538</v>
      </c>
      <c r="BZ125" s="52" t="n">
        <f aca="false">BZ99</f>
        <v>4746.20858956453</v>
      </c>
      <c r="CA125" s="52" t="n">
        <f aca="false">CA99</f>
        <v>18797.3124011199</v>
      </c>
      <c r="CB125" s="52" t="n">
        <f aca="false">CB99</f>
        <v>19741.0321325419</v>
      </c>
      <c r="CC125" s="52" t="n">
        <f aca="false">CC99</f>
        <v>20378.5189157288</v>
      </c>
      <c r="CD125" s="52" t="n">
        <f aca="false">CD99</f>
        <v>21048.013970395</v>
      </c>
      <c r="CE125" s="52" t="n">
        <f aca="false">CE99</f>
        <v>22335.6781215865</v>
      </c>
      <c r="CF125" s="23" t="s">
        <v>242</v>
      </c>
      <c r="CH125" s="33" t="n">
        <f aca="false">IFERROR((CE125/BV125)^(1/5)-1,"n/m")</f>
        <v>0.0659119690226462</v>
      </c>
      <c r="CI125" s="33" t="n">
        <f aca="false">IFERROR((BV125/AW125)^(1/5)-1,"n/m")</f>
        <v>0.000316413907250235</v>
      </c>
      <c r="CJ125" s="33" t="n">
        <f aca="false">IFERROR((BV125/X125)^(1/10)-1,"n/m")</f>
        <v>0.0187857783922183</v>
      </c>
      <c r="CK125" s="33" t="n">
        <f aca="false">IFERROR((BV125/C125)^(1/19)-1,"n/m")</f>
        <v>0.0488736912654484</v>
      </c>
    </row>
    <row r="126" customFormat="false" ht="15" hidden="false" customHeight="false" outlineLevel="0" collapsed="false">
      <c r="B126" s="28" t="s">
        <v>243</v>
      </c>
      <c r="C126" s="37" t="n">
        <v>5321.547</v>
      </c>
      <c r="D126" s="37" t="n">
        <v>5971.784</v>
      </c>
      <c r="E126" s="37" t="n">
        <v>7129.611</v>
      </c>
      <c r="F126" s="37" t="n">
        <v>5976.102</v>
      </c>
      <c r="G126" s="37" t="n">
        <v>7575.659</v>
      </c>
      <c r="H126" s="37" t="n">
        <v>8740.524</v>
      </c>
      <c r="I126" s="37" t="n">
        <v>9685.415</v>
      </c>
      <c r="J126" s="37" t="n">
        <v>2603.182</v>
      </c>
      <c r="K126" s="37" t="n">
        <v>2818.077</v>
      </c>
      <c r="L126" s="37" t="n">
        <v>2880.901</v>
      </c>
      <c r="M126" s="37" t="n">
        <v>2767.55</v>
      </c>
      <c r="N126" s="37" t="n">
        <v>11069.71</v>
      </c>
      <c r="O126" s="37" t="n">
        <v>2803.704</v>
      </c>
      <c r="P126" s="37" t="n">
        <v>3038.923</v>
      </c>
      <c r="Q126" s="37" t="n">
        <v>3069.056</v>
      </c>
      <c r="R126" s="37" t="n">
        <v>3010.291</v>
      </c>
      <c r="S126" s="37" t="n">
        <v>11921.974</v>
      </c>
      <c r="T126" s="37" t="n">
        <v>2947.257</v>
      </c>
      <c r="U126" s="37" t="n">
        <v>3130.722</v>
      </c>
      <c r="V126" s="37" t="n">
        <v>3044.5</v>
      </c>
      <c r="W126" s="37" t="n">
        <v>2867.301</v>
      </c>
      <c r="X126" s="37" t="n">
        <v>11989.78</v>
      </c>
      <c r="Y126" s="37" t="n">
        <v>2713.688</v>
      </c>
      <c r="Z126" s="37" t="n">
        <v>2881.496</v>
      </c>
      <c r="AA126" s="37" t="n">
        <v>2998.583</v>
      </c>
      <c r="AB126" s="37" t="n">
        <v>3110.978</v>
      </c>
      <c r="AC126" s="37" t="n">
        <v>11704.745</v>
      </c>
      <c r="AD126" s="37" t="n">
        <v>3102.043</v>
      </c>
      <c r="AE126" s="37" t="n">
        <v>3319.995</v>
      </c>
      <c r="AF126" s="37" t="n">
        <v>3433.701</v>
      </c>
      <c r="AG126" s="37" t="n">
        <v>3647.167</v>
      </c>
      <c r="AH126" s="37" t="n">
        <v>13502.906</v>
      </c>
      <c r="AI126" s="37" t="n">
        <v>3637.64</v>
      </c>
      <c r="AJ126" s="37" t="n">
        <v>3953.139</v>
      </c>
      <c r="AK126" s="37" t="n">
        <v>4028.392</v>
      </c>
      <c r="AL126" s="37" t="n">
        <v>3896.75</v>
      </c>
      <c r="AM126" s="37" t="n">
        <v>15515.921</v>
      </c>
      <c r="AN126" s="37" t="n">
        <v>3504.932</v>
      </c>
      <c r="AO126" s="37" t="n">
        <v>3638.612</v>
      </c>
      <c r="AP126" s="37" t="n">
        <v>3608.346</v>
      </c>
      <c r="AQ126" s="37" t="n">
        <v>3570.405</v>
      </c>
      <c r="AR126" s="37" t="n">
        <v>14322.295</v>
      </c>
      <c r="AS126" s="37" t="n">
        <v>3542.118</v>
      </c>
      <c r="AT126" s="37" t="n">
        <v>3348.611</v>
      </c>
      <c r="AU126" s="37" t="n">
        <v>3944.981</v>
      </c>
      <c r="AV126" s="37" t="n">
        <v>4311.852</v>
      </c>
      <c r="AW126" s="37" t="n">
        <v>15147.562</v>
      </c>
      <c r="AX126" s="37" t="n">
        <v>4560.227</v>
      </c>
      <c r="AY126" s="37" t="n">
        <v>5240.448</v>
      </c>
      <c r="AZ126" s="37" t="n">
        <v>5999.901</v>
      </c>
      <c r="BA126" s="37" t="n">
        <v>6245.998</v>
      </c>
      <c r="BB126" s="37" t="n">
        <v>22046.574</v>
      </c>
      <c r="BC126" s="37" t="n">
        <v>6528.351</v>
      </c>
      <c r="BD126" s="37" t="n">
        <v>6465.642</v>
      </c>
      <c r="BE126" s="37" t="n">
        <v>5724.364</v>
      </c>
      <c r="BF126" s="37" t="n">
        <v>4798.027</v>
      </c>
      <c r="BG126" s="37" t="n">
        <v>23516.384</v>
      </c>
      <c r="BH126" s="37" t="n">
        <v>4327.965</v>
      </c>
      <c r="BI126" s="37" t="n">
        <v>4084.827</v>
      </c>
      <c r="BJ126" s="37" t="n">
        <v>4029.407</v>
      </c>
      <c r="BK126" s="37" t="n">
        <v>3930.461</v>
      </c>
      <c r="BL126" s="37" t="n">
        <v>16372.66</v>
      </c>
      <c r="BM126" s="37" t="n">
        <v>4082.588</v>
      </c>
      <c r="BN126" s="37" t="n">
        <v>4121.93</v>
      </c>
      <c r="BO126" s="37" t="n">
        <v>4278.3</v>
      </c>
      <c r="BP126" s="37" t="n">
        <v>3870.927</v>
      </c>
      <c r="BQ126" s="37" t="n">
        <v>16353.745</v>
      </c>
      <c r="BR126" s="37" t="n">
        <v>3721.915</v>
      </c>
      <c r="BS126" s="37" t="n">
        <v>3746.66</v>
      </c>
      <c r="BT126" s="37" t="n">
        <v>3783.535</v>
      </c>
      <c r="BU126" s="37" t="n">
        <v>3571.694</v>
      </c>
      <c r="BV126" s="37" t="n">
        <v>14823.804</v>
      </c>
      <c r="BW126" s="37" t="n">
        <v>3643.711</v>
      </c>
      <c r="BX126" s="37" t="n">
        <v>4524.773</v>
      </c>
      <c r="BY126" s="6"/>
      <c r="BZ126" s="6"/>
      <c r="CA126" s="6"/>
      <c r="CB126" s="6"/>
      <c r="CC126" s="6"/>
      <c r="CD126" s="6"/>
      <c r="CE126" s="6"/>
    </row>
    <row r="127" customFormat="false" ht="15" hidden="false" customHeight="false" outlineLevel="0" collapsed="false">
      <c r="B127" s="28" t="s">
        <v>244</v>
      </c>
      <c r="C127" s="37" t="n">
        <v>1192.297</v>
      </c>
      <c r="D127" s="37" t="n">
        <v>1298.913</v>
      </c>
      <c r="E127" s="37" t="n">
        <v>1398.253</v>
      </c>
      <c r="F127" s="37" t="n">
        <v>1555.292</v>
      </c>
      <c r="G127" s="37" t="n">
        <v>1643.174</v>
      </c>
      <c r="H127" s="37" t="n">
        <v>1535.528</v>
      </c>
      <c r="I127" s="37" t="n">
        <v>1620.183</v>
      </c>
      <c r="J127" s="37" t="n">
        <v>387.852</v>
      </c>
      <c r="K127" s="37" t="n">
        <v>466.811</v>
      </c>
      <c r="L127" s="37" t="n">
        <v>432.373</v>
      </c>
      <c r="M127" s="37" t="n">
        <v>382.098</v>
      </c>
      <c r="N127" s="37" t="n">
        <v>1669.134</v>
      </c>
      <c r="O127" s="37" t="n">
        <v>335.808</v>
      </c>
      <c r="P127" s="37" t="n">
        <v>460.816</v>
      </c>
      <c r="Q127" s="37" t="n">
        <v>393.98</v>
      </c>
      <c r="R127" s="37" t="n">
        <v>342.951</v>
      </c>
      <c r="S127" s="37" t="n">
        <v>1533.555</v>
      </c>
      <c r="T127" s="37" t="n">
        <v>353.633</v>
      </c>
      <c r="U127" s="37" t="n">
        <v>414.366</v>
      </c>
      <c r="V127" s="37" t="n">
        <v>374.753</v>
      </c>
      <c r="W127" s="37" t="n">
        <v>343.552</v>
      </c>
      <c r="X127" s="37" t="n">
        <v>1486.304</v>
      </c>
      <c r="Y127" s="37" t="n">
        <v>360.255</v>
      </c>
      <c r="Z127" s="37" t="n">
        <v>418.245</v>
      </c>
      <c r="AA127" s="37" t="n">
        <v>357.171</v>
      </c>
      <c r="AB127" s="37" t="n">
        <v>303.997</v>
      </c>
      <c r="AC127" s="37" t="n">
        <v>1439.668</v>
      </c>
      <c r="AD127" s="37" t="n">
        <v>313.082</v>
      </c>
      <c r="AE127" s="37" t="n">
        <v>390.023</v>
      </c>
      <c r="AF127" s="37" t="n">
        <v>350.75</v>
      </c>
      <c r="AG127" s="37" t="n">
        <v>312.619</v>
      </c>
      <c r="AH127" s="37" t="n">
        <v>1366.474</v>
      </c>
      <c r="AI127" s="37" t="n">
        <v>287.687</v>
      </c>
      <c r="AJ127" s="37" t="n">
        <v>322.898</v>
      </c>
      <c r="AK127" s="37" t="n">
        <v>263.508</v>
      </c>
      <c r="AL127" s="37" t="n">
        <v>241.158</v>
      </c>
      <c r="AM127" s="37" t="n">
        <v>1115.251</v>
      </c>
      <c r="AN127" s="37" t="n">
        <v>246.278</v>
      </c>
      <c r="AO127" s="37" t="n">
        <v>270.228</v>
      </c>
      <c r="AP127" s="37" t="n">
        <v>247.786</v>
      </c>
      <c r="AQ127" s="37" t="n">
        <v>222.921</v>
      </c>
      <c r="AR127" s="37" t="n">
        <v>987.213</v>
      </c>
      <c r="AS127" s="37" t="n">
        <v>262.89</v>
      </c>
      <c r="AT127" s="37" t="n">
        <v>279.235</v>
      </c>
      <c r="AU127" s="37" t="n">
        <v>279.819</v>
      </c>
      <c r="AV127" s="37" t="n">
        <v>237.6</v>
      </c>
      <c r="AW127" s="37" t="n">
        <v>1059.544</v>
      </c>
      <c r="AX127" s="37" t="n">
        <v>243.642</v>
      </c>
      <c r="AY127" s="37" t="n">
        <v>292.278</v>
      </c>
      <c r="AZ127" s="37" t="n">
        <v>263.794</v>
      </c>
      <c r="BA127" s="37" t="n">
        <v>255.85</v>
      </c>
      <c r="BB127" s="37" t="n">
        <v>1055.564</v>
      </c>
      <c r="BC127" s="37" t="n">
        <v>287.602</v>
      </c>
      <c r="BD127" s="37" t="n">
        <v>332.833</v>
      </c>
      <c r="BE127" s="37" t="n">
        <v>291.012</v>
      </c>
      <c r="BF127" s="37" t="n">
        <v>268.794</v>
      </c>
      <c r="BG127" s="37" t="n">
        <v>1180.241</v>
      </c>
      <c r="BH127" s="37" t="n">
        <v>283.705</v>
      </c>
      <c r="BI127" s="37" t="n">
        <v>337.029</v>
      </c>
      <c r="BJ127" s="37" t="n">
        <v>311.623</v>
      </c>
      <c r="BK127" s="37" t="n">
        <v>291.426</v>
      </c>
      <c r="BL127" s="37" t="n">
        <v>1223.783</v>
      </c>
      <c r="BM127" s="37" t="n">
        <v>329.723</v>
      </c>
      <c r="BN127" s="37" t="n">
        <v>361.418</v>
      </c>
      <c r="BO127" s="37" t="n">
        <v>366.341</v>
      </c>
      <c r="BP127" s="37" t="n">
        <v>313.729</v>
      </c>
      <c r="BQ127" s="37" t="n">
        <v>1371.211</v>
      </c>
      <c r="BR127" s="37" t="n">
        <v>324.825</v>
      </c>
      <c r="BS127" s="37" t="n">
        <v>389.883</v>
      </c>
      <c r="BT127" s="37" t="n">
        <v>353.311</v>
      </c>
      <c r="BU127" s="37" t="n">
        <v>340.94</v>
      </c>
      <c r="BV127" s="37" t="n">
        <v>1408.959</v>
      </c>
      <c r="BW127" s="37" t="n">
        <v>369.223</v>
      </c>
      <c r="BX127" s="37" t="n">
        <v>409.325</v>
      </c>
      <c r="BY127" s="6"/>
      <c r="BZ127" s="6"/>
      <c r="CA127" s="6"/>
      <c r="CB127" s="6"/>
      <c r="CC127" s="6"/>
      <c r="CD127" s="6"/>
      <c r="CE127" s="6"/>
    </row>
    <row r="128" customFormat="false" ht="15" hidden="false" customHeight="false" outlineLevel="0" collapsed="false">
      <c r="B128" s="28" t="s">
        <v>245</v>
      </c>
      <c r="C128" s="37" t="n">
        <v>42.35</v>
      </c>
      <c r="D128" s="37" t="n">
        <v>45.526</v>
      </c>
      <c r="E128" s="37" t="n">
        <v>50.75</v>
      </c>
      <c r="F128" s="37" t="n">
        <v>45.795</v>
      </c>
      <c r="G128" s="37" t="n">
        <v>55.472</v>
      </c>
      <c r="H128" s="37" t="n">
        <v>60.294</v>
      </c>
      <c r="I128" s="37" t="n">
        <v>53.515</v>
      </c>
      <c r="J128" s="37" t="n">
        <v>3.233</v>
      </c>
      <c r="K128" s="37" t="n">
        <v>3.374</v>
      </c>
      <c r="L128" s="37" t="n">
        <v>3.391</v>
      </c>
      <c r="M128" s="37" t="n">
        <v>3.234</v>
      </c>
      <c r="N128" s="37" t="n">
        <v>13.232</v>
      </c>
      <c r="O128" s="37" t="n">
        <v>3.073</v>
      </c>
      <c r="P128" s="37" t="n">
        <v>3.179</v>
      </c>
      <c r="Q128" s="37" t="n">
        <v>4.326</v>
      </c>
      <c r="R128" s="37" t="n">
        <v>3.96</v>
      </c>
      <c r="S128" s="37" t="n">
        <v>14.538</v>
      </c>
      <c r="BY128" s="6"/>
      <c r="BZ128" s="6"/>
      <c r="CA128" s="6"/>
      <c r="CB128" s="6"/>
      <c r="CC128" s="6"/>
      <c r="CD128" s="6"/>
      <c r="CE128" s="6"/>
    </row>
    <row r="129" customFormat="false" ht="15" hidden="false" customHeight="false" outlineLevel="0" collapsed="false">
      <c r="B129" s="28" t="s">
        <v>246</v>
      </c>
      <c r="C129" s="43" t="n">
        <f aca="false">IF(ISNUMBER(C126),C126-C67-N(C69)-C70-C71-C73,"")</f>
        <v>4375.582</v>
      </c>
      <c r="D129" s="43" t="n">
        <f aca="false">IF(ISNUMBER(D126),D126-D67-N(D69)-D70-D71-D73,"")</f>
        <v>4873.752</v>
      </c>
      <c r="E129" s="43" t="n">
        <f aca="false">IF(ISNUMBER(E126),E126-E67-N(E69)-E70-E71-E73,"")</f>
        <v>5917.032</v>
      </c>
      <c r="F129" s="37" t="n">
        <v>4768.52</v>
      </c>
      <c r="G129" s="37" t="n">
        <v>6302.53</v>
      </c>
      <c r="H129" s="37" t="n">
        <v>7296.608</v>
      </c>
      <c r="I129" s="37" t="n">
        <v>8157.278</v>
      </c>
      <c r="J129" s="37" t="n">
        <v>2181.93</v>
      </c>
      <c r="K129" s="37" t="n">
        <v>2386.932</v>
      </c>
      <c r="L129" s="37" t="n">
        <v>2450.923</v>
      </c>
      <c r="M129" s="37" t="n">
        <v>2351.53</v>
      </c>
      <c r="N129" s="37" t="n">
        <v>9371.315</v>
      </c>
      <c r="O129" s="37" t="n">
        <v>2375.825</v>
      </c>
      <c r="P129" s="37" t="n">
        <v>2555.371</v>
      </c>
      <c r="Q129" s="37" t="n">
        <v>2575.069</v>
      </c>
      <c r="R129" s="37" t="n">
        <v>2535.985</v>
      </c>
      <c r="S129" s="37" t="n">
        <v>10042.25</v>
      </c>
      <c r="T129" s="37" t="n">
        <v>2452.112</v>
      </c>
      <c r="U129" s="37" t="n">
        <v>2582.374</v>
      </c>
      <c r="V129" s="37" t="n">
        <v>2484.409</v>
      </c>
      <c r="W129" s="37" t="n">
        <v>2323.376</v>
      </c>
      <c r="X129" s="37" t="n">
        <v>9842.271</v>
      </c>
      <c r="Y129" s="37" t="n">
        <v>2179.622</v>
      </c>
      <c r="Z129" s="37" t="n">
        <v>2324.995</v>
      </c>
      <c r="AA129" s="37" t="n">
        <v>2469.939</v>
      </c>
      <c r="AB129" s="37" t="n">
        <v>2575.378</v>
      </c>
      <c r="AC129" s="37" t="n">
        <v>9549.934</v>
      </c>
      <c r="AD129" s="37" t="n">
        <v>2563.885</v>
      </c>
      <c r="AE129" s="37" t="n">
        <v>2781.355</v>
      </c>
      <c r="AF129" s="37" t="n">
        <v>2869.616</v>
      </c>
      <c r="AG129" s="37" t="n">
        <v>3042.434</v>
      </c>
      <c r="AH129" s="37" t="n">
        <v>11257.29</v>
      </c>
      <c r="AI129" s="37" t="n">
        <v>3041.602</v>
      </c>
      <c r="AJ129" s="37" t="n">
        <v>3313.196</v>
      </c>
      <c r="AK129" s="37" t="n">
        <v>3359.52</v>
      </c>
      <c r="AL129" s="37" t="n">
        <v>3207.859</v>
      </c>
      <c r="AM129" s="37" t="n">
        <v>12922.177</v>
      </c>
      <c r="AN129" s="37" t="n">
        <v>2853.256</v>
      </c>
      <c r="AO129" s="37" t="n">
        <v>2972.998</v>
      </c>
      <c r="AP129" s="37" t="n">
        <v>2999.979</v>
      </c>
      <c r="AQ129" s="37" t="n">
        <v>3013.2</v>
      </c>
      <c r="AR129" s="37" t="n">
        <v>11839.433</v>
      </c>
      <c r="AS129" s="37" t="n">
        <v>3000.113</v>
      </c>
      <c r="AT129" s="37" t="n">
        <v>2762.59</v>
      </c>
      <c r="AU129" s="37" t="n">
        <v>3378.651</v>
      </c>
      <c r="AV129" s="37" t="n">
        <v>3693.254</v>
      </c>
      <c r="AW129" s="37" t="n">
        <v>12834.608</v>
      </c>
      <c r="AX129" s="37" t="n">
        <v>3881.285</v>
      </c>
      <c r="AY129" s="37" t="n">
        <v>4519.305</v>
      </c>
      <c r="AZ129" s="37" t="n">
        <v>5180.39</v>
      </c>
      <c r="BA129" s="37" t="n">
        <v>5413.594</v>
      </c>
      <c r="BB129" s="37" t="n">
        <v>18994.574</v>
      </c>
      <c r="BC129" s="37" t="n">
        <v>5650.224</v>
      </c>
      <c r="BD129" s="37" t="n">
        <v>5466.874</v>
      </c>
      <c r="BE129" s="37" t="n">
        <v>4862.541</v>
      </c>
      <c r="BF129" s="37" t="n">
        <v>4056.076</v>
      </c>
      <c r="BG129" s="37" t="n">
        <v>20035.715</v>
      </c>
      <c r="BH129" s="37" t="n">
        <v>3671.031</v>
      </c>
      <c r="BI129" s="37" t="n">
        <v>3453.56</v>
      </c>
      <c r="BJ129" s="37" t="n">
        <v>3421.96</v>
      </c>
      <c r="BK129" s="37" t="n">
        <v>3339.473</v>
      </c>
      <c r="BL129" s="37" t="n">
        <v>13886.024</v>
      </c>
      <c r="BM129" s="37" t="n">
        <v>3454.996</v>
      </c>
      <c r="BN129" s="37" t="n">
        <v>3470.383</v>
      </c>
      <c r="BO129" s="37" t="n">
        <v>3575.983</v>
      </c>
      <c r="BP129" s="37" t="n">
        <v>3218.573</v>
      </c>
      <c r="BQ129" s="37" t="n">
        <v>13719.935</v>
      </c>
      <c r="BR129" s="37" t="n">
        <v>3081.37</v>
      </c>
      <c r="BS129" s="37" t="n">
        <v>3092.641</v>
      </c>
      <c r="BT129" s="37" t="n">
        <v>3112.683</v>
      </c>
      <c r="BU129" s="37" t="n">
        <v>2948.469</v>
      </c>
      <c r="BV129" s="37" t="n">
        <v>12235.163</v>
      </c>
      <c r="BW129" s="37" t="n">
        <v>3015.31</v>
      </c>
      <c r="BX129" s="37" t="n">
        <v>3828.412</v>
      </c>
      <c r="BY129" s="6"/>
      <c r="BZ129" s="6"/>
      <c r="CA129" s="6"/>
      <c r="CB129" s="6"/>
      <c r="CC129" s="6"/>
      <c r="CD129" s="6"/>
      <c r="CE129" s="6"/>
      <c r="CF129" s="23" t="s">
        <v>247</v>
      </c>
    </row>
    <row r="130" customFormat="false" ht="15" hidden="false" customHeight="false" outlineLevel="0" collapsed="false">
      <c r="B130" s="28" t="s">
        <v>248</v>
      </c>
      <c r="C130" s="43" t="n">
        <f aca="false">IF(ISNUMBER(C127),C127-C74,"")</f>
        <v>1098.068</v>
      </c>
      <c r="D130" s="43" t="n">
        <f aca="false">IF(ISNUMBER(D127),D127-D74,"")</f>
        <v>1198.693</v>
      </c>
      <c r="E130" s="43" t="n">
        <f aca="false">IF(ISNUMBER(E127),E127-E74,"")</f>
        <v>1286.619</v>
      </c>
      <c r="F130" s="37" t="n">
        <v>1426.71</v>
      </c>
      <c r="G130" s="37" t="n">
        <v>1503.797</v>
      </c>
      <c r="H130" s="37" t="n">
        <v>1407.08</v>
      </c>
      <c r="I130" s="37" t="n">
        <v>1483.745</v>
      </c>
      <c r="J130" s="37" t="n">
        <v>356.006</v>
      </c>
      <c r="K130" s="37" t="n">
        <v>428.059</v>
      </c>
      <c r="L130" s="37" t="n">
        <v>401.82</v>
      </c>
      <c r="M130" s="37" t="n">
        <v>356.299</v>
      </c>
      <c r="N130" s="37" t="n">
        <v>1542.184</v>
      </c>
      <c r="O130" s="37" t="n">
        <v>308.962</v>
      </c>
      <c r="P130" s="37" t="n">
        <v>425.922</v>
      </c>
      <c r="Q130" s="37" t="n">
        <v>364.179</v>
      </c>
      <c r="R130" s="37" t="n">
        <v>318.946</v>
      </c>
      <c r="S130" s="37" t="n">
        <v>1418.009</v>
      </c>
      <c r="T130" s="37" t="n">
        <v>323.668</v>
      </c>
      <c r="U130" s="37" t="n">
        <v>378.696</v>
      </c>
      <c r="V130" s="37" t="n">
        <v>346.269</v>
      </c>
      <c r="W130" s="37" t="n">
        <v>316.7</v>
      </c>
      <c r="X130" s="37" t="n">
        <v>1365.333</v>
      </c>
      <c r="Y130" s="37" t="n">
        <v>330.986</v>
      </c>
      <c r="Z130" s="37" t="n">
        <v>380.531</v>
      </c>
      <c r="AA130" s="37" t="n">
        <v>327.353</v>
      </c>
      <c r="AB130" s="37" t="n">
        <v>278.081</v>
      </c>
      <c r="AC130" s="37" t="n">
        <v>1316.951</v>
      </c>
      <c r="AD130" s="37" t="n">
        <v>282.674</v>
      </c>
      <c r="AE130" s="37" t="n">
        <v>354.874</v>
      </c>
      <c r="AF130" s="37" t="n">
        <v>320.989</v>
      </c>
      <c r="AG130" s="37" t="n">
        <v>285.503</v>
      </c>
      <c r="AH130" s="37" t="n">
        <v>1244.04</v>
      </c>
      <c r="AI130" s="37" t="n">
        <v>257.8</v>
      </c>
      <c r="AJ130" s="37" t="n">
        <v>291.358</v>
      </c>
      <c r="AK130" s="37" t="n">
        <v>238.336</v>
      </c>
      <c r="AL130" s="37" t="n">
        <v>216.266</v>
      </c>
      <c r="AM130" s="37" t="n">
        <v>1003.76</v>
      </c>
      <c r="AN130" s="37" t="n">
        <v>219.154</v>
      </c>
      <c r="AO130" s="37" t="n">
        <v>240.626</v>
      </c>
      <c r="AP130" s="37" t="n">
        <v>222.722</v>
      </c>
      <c r="AQ130" s="37" t="n">
        <v>201.263</v>
      </c>
      <c r="AR130" s="37" t="n">
        <v>883.765</v>
      </c>
      <c r="AS130" s="37" t="n">
        <v>236.942</v>
      </c>
      <c r="AT130" s="37" t="n">
        <v>250.803</v>
      </c>
      <c r="AU130" s="37" t="n">
        <v>256.876</v>
      </c>
      <c r="AV130" s="37" t="n">
        <v>215.62</v>
      </c>
      <c r="AW130" s="37" t="n">
        <v>960.241</v>
      </c>
      <c r="AX130" s="37" t="n">
        <v>220.204</v>
      </c>
      <c r="AY130" s="37" t="n">
        <v>264.245</v>
      </c>
      <c r="AZ130" s="37" t="n">
        <v>239.113</v>
      </c>
      <c r="BA130" s="37" t="n">
        <v>231.913</v>
      </c>
      <c r="BB130" s="37" t="n">
        <v>955.475</v>
      </c>
      <c r="BC130" s="37" t="n">
        <v>259.533</v>
      </c>
      <c r="BD130" s="37" t="n">
        <v>299.988</v>
      </c>
      <c r="BE130" s="37" t="n">
        <v>265.641</v>
      </c>
      <c r="BF130" s="37" t="n">
        <v>242.571</v>
      </c>
      <c r="BG130" s="37" t="n">
        <v>1067.733</v>
      </c>
      <c r="BH130" s="37" t="n">
        <v>254.999</v>
      </c>
      <c r="BI130" s="37" t="n">
        <v>302.8</v>
      </c>
      <c r="BJ130" s="37" t="n">
        <v>284.221</v>
      </c>
      <c r="BK130" s="37" t="n">
        <v>263.791</v>
      </c>
      <c r="BL130" s="37" t="n">
        <v>1105.811</v>
      </c>
      <c r="BM130" s="37" t="n">
        <v>299.586</v>
      </c>
      <c r="BN130" s="37" t="n">
        <v>325.556</v>
      </c>
      <c r="BO130" s="37" t="n">
        <v>333.405</v>
      </c>
      <c r="BP130" s="37" t="n">
        <v>281.46</v>
      </c>
      <c r="BQ130" s="37" t="n">
        <v>1240.007</v>
      </c>
      <c r="BR130" s="37" t="n">
        <v>292.282</v>
      </c>
      <c r="BS130" s="37" t="n">
        <v>350.671</v>
      </c>
      <c r="BT130" s="37" t="n">
        <v>318.086</v>
      </c>
      <c r="BU130" s="37" t="n">
        <v>307.151</v>
      </c>
      <c r="BV130" s="37" t="n">
        <v>1268.19</v>
      </c>
      <c r="BW130" s="37" t="n">
        <v>337.131</v>
      </c>
      <c r="BX130" s="37" t="n">
        <v>367.72</v>
      </c>
      <c r="BY130" s="6"/>
      <c r="BZ130" s="6"/>
      <c r="CA130" s="6"/>
      <c r="CB130" s="6"/>
      <c r="CC130" s="6"/>
      <c r="CD130" s="6"/>
      <c r="CE130" s="6"/>
    </row>
    <row r="131" customFormat="false" ht="15" hidden="false" customHeight="false" outlineLevel="0" collapsed="false">
      <c r="B131" s="28" t="s">
        <v>249</v>
      </c>
      <c r="I131" s="37" t="n">
        <v>0.519</v>
      </c>
      <c r="J131" s="37" t="n">
        <v>0.609</v>
      </c>
      <c r="K131" s="37" t="n">
        <v>0.669</v>
      </c>
      <c r="L131" s="37" t="n">
        <v>0.616</v>
      </c>
      <c r="M131" s="37" t="n">
        <v>0.588</v>
      </c>
      <c r="N131" s="37" t="n">
        <v>2.482</v>
      </c>
      <c r="O131" s="37" t="n">
        <v>0.563</v>
      </c>
      <c r="P131" s="37" t="n">
        <v>0.588</v>
      </c>
      <c r="Q131" s="37" t="n">
        <v>0.55</v>
      </c>
      <c r="R131" s="37" t="n">
        <v>0.455</v>
      </c>
      <c r="S131" s="37" t="n">
        <v>2.156</v>
      </c>
      <c r="BY131" s="6"/>
      <c r="BZ131" s="6"/>
      <c r="CA131" s="6"/>
      <c r="CB131" s="6"/>
      <c r="CC131" s="6"/>
      <c r="CD131" s="6"/>
      <c r="CE131" s="6"/>
    </row>
    <row r="132" customFormat="false" ht="15" hidden="false" customHeight="false" outlineLevel="0" collapsed="false">
      <c r="B132" s="18" t="s">
        <v>250</v>
      </c>
      <c r="C132" s="42" t="n">
        <f aca="false">N(C129)+N(C130)+N(C131)</f>
        <v>5473.65</v>
      </c>
      <c r="D132" s="42" t="n">
        <f aca="false">N(D129)+N(D130)+N(D131)</f>
        <v>6072.445</v>
      </c>
      <c r="E132" s="42" t="n">
        <f aca="false">N(E129)+N(E130)+N(E131)</f>
        <v>7203.651</v>
      </c>
      <c r="F132" s="42" t="n">
        <f aca="false">N(F129)+N(F130)+N(F131)</f>
        <v>6195.23</v>
      </c>
      <c r="G132" s="42" t="n">
        <f aca="false">N(G129)+N(G130)+N(G131)</f>
        <v>7806.327</v>
      </c>
      <c r="H132" s="42" t="n">
        <f aca="false">N(H129)+N(H130)+N(H131)</f>
        <v>8703.688</v>
      </c>
      <c r="I132" s="42" t="n">
        <f aca="false">N(I129)+N(I130)+N(I131)</f>
        <v>9641.542</v>
      </c>
      <c r="J132" s="42" t="n">
        <f aca="false">N(J129)+N(J130)+N(J131)</f>
        <v>2538.545</v>
      </c>
      <c r="K132" s="42" t="n">
        <f aca="false">N(K129)+N(K130)+N(K131)</f>
        <v>2815.66</v>
      </c>
      <c r="L132" s="42" t="n">
        <f aca="false">N(L129)+N(L130)+N(L131)</f>
        <v>2853.359</v>
      </c>
      <c r="M132" s="42" t="n">
        <f aca="false">N(M129)+N(M130)+N(M131)</f>
        <v>2708.417</v>
      </c>
      <c r="N132" s="42" t="n">
        <f aca="false">N(N129)+N(N130)+N(N131)</f>
        <v>10915.981</v>
      </c>
      <c r="O132" s="42" t="n">
        <f aca="false">N(O129)+N(O130)+N(O131)</f>
        <v>2685.35</v>
      </c>
      <c r="P132" s="42" t="n">
        <f aca="false">N(P129)+N(P130)+N(P131)</f>
        <v>2981.881</v>
      </c>
      <c r="Q132" s="42" t="n">
        <f aca="false">N(Q129)+N(Q130)+N(Q131)</f>
        <v>2939.798</v>
      </c>
      <c r="R132" s="42" t="n">
        <f aca="false">N(R129)+N(R130)+N(R131)</f>
        <v>2855.386</v>
      </c>
      <c r="S132" s="42" t="n">
        <f aca="false">N(S129)+N(S130)+N(S131)</f>
        <v>11462.415</v>
      </c>
      <c r="T132" s="42" t="n">
        <f aca="false">N(T129)+N(T130)+N(T131)</f>
        <v>2775.78</v>
      </c>
      <c r="U132" s="42" t="n">
        <f aca="false">N(U129)+N(U130)+N(U131)</f>
        <v>2961.07</v>
      </c>
      <c r="V132" s="42" t="n">
        <f aca="false">N(V129)+N(V130)+N(V131)</f>
        <v>2830.678</v>
      </c>
      <c r="W132" s="42" t="n">
        <f aca="false">N(W129)+N(W130)+N(W131)</f>
        <v>2640.076</v>
      </c>
      <c r="X132" s="42" t="n">
        <f aca="false">N(X129)+N(X130)+N(X131)</f>
        <v>11207.604</v>
      </c>
      <c r="Y132" s="42" t="n">
        <f aca="false">N(Y129)+N(Y130)+N(Y131)</f>
        <v>2510.608</v>
      </c>
      <c r="Z132" s="42" t="n">
        <f aca="false">N(Z129)+N(Z130)+N(Z131)</f>
        <v>2705.526</v>
      </c>
      <c r="AA132" s="42" t="n">
        <f aca="false">N(AA129)+N(AA130)+N(AA131)</f>
        <v>2797.292</v>
      </c>
      <c r="AB132" s="42" t="n">
        <f aca="false">N(AB129)+N(AB130)+N(AB131)</f>
        <v>2853.459</v>
      </c>
      <c r="AC132" s="42" t="n">
        <f aca="false">N(AC129)+N(AC130)+N(AC131)</f>
        <v>10866.885</v>
      </c>
      <c r="AD132" s="42" t="n">
        <f aca="false">N(AD129)+N(AD130)+N(AD131)</f>
        <v>2846.559</v>
      </c>
      <c r="AE132" s="42" t="n">
        <f aca="false">N(AE129)+N(AE130)+N(AE131)</f>
        <v>3136.229</v>
      </c>
      <c r="AF132" s="42" t="n">
        <f aca="false">N(AF129)+N(AF130)+N(AF131)</f>
        <v>3190.605</v>
      </c>
      <c r="AG132" s="42" t="n">
        <f aca="false">N(AG129)+N(AG130)+N(AG131)</f>
        <v>3327.937</v>
      </c>
      <c r="AH132" s="42" t="n">
        <f aca="false">N(AH129)+N(AH130)+N(AH131)</f>
        <v>12501.33</v>
      </c>
      <c r="AI132" s="42" t="n">
        <f aca="false">N(AI129)+N(AI130)+N(AI131)</f>
        <v>3299.402</v>
      </c>
      <c r="AJ132" s="42" t="n">
        <f aca="false">N(AJ129)+N(AJ130)+N(AJ131)</f>
        <v>3604.554</v>
      </c>
      <c r="AK132" s="42" t="n">
        <f aca="false">N(AK129)+N(AK130)+N(AK131)</f>
        <v>3597.856</v>
      </c>
      <c r="AL132" s="42" t="n">
        <f aca="false">N(AL129)+N(AL130)+N(AL131)</f>
        <v>3424.125</v>
      </c>
      <c r="AM132" s="42" t="n">
        <f aca="false">N(AM129)+N(AM130)+N(AM131)</f>
        <v>13925.937</v>
      </c>
      <c r="AN132" s="42" t="n">
        <f aca="false">N(AN129)+N(AN130)+N(AN131)</f>
        <v>3072.41</v>
      </c>
      <c r="AO132" s="42" t="n">
        <f aca="false">N(AO129)+N(AO130)+N(AO131)</f>
        <v>3213.624</v>
      </c>
      <c r="AP132" s="42" t="n">
        <f aca="false">N(AP129)+N(AP130)+N(AP131)</f>
        <v>3222.701</v>
      </c>
      <c r="AQ132" s="42" t="n">
        <f aca="false">N(AQ129)+N(AQ130)+N(AQ131)</f>
        <v>3214.463</v>
      </c>
      <c r="AR132" s="42" t="n">
        <f aca="false">N(AR129)+N(AR130)+N(AR131)</f>
        <v>12723.198</v>
      </c>
      <c r="AS132" s="42" t="n">
        <f aca="false">N(AS129)+N(AS130)+N(AS131)</f>
        <v>3237.055</v>
      </c>
      <c r="AT132" s="42" t="n">
        <f aca="false">N(AT129)+N(AT130)+N(AT131)</f>
        <v>3013.393</v>
      </c>
      <c r="AU132" s="42" t="n">
        <f aca="false">N(AU129)+N(AU130)+N(AU131)</f>
        <v>3635.527</v>
      </c>
      <c r="AV132" s="42" t="n">
        <f aca="false">N(AV129)+N(AV130)+N(AV131)</f>
        <v>3908.874</v>
      </c>
      <c r="AW132" s="42" t="n">
        <f aca="false">N(AW129)+N(AW130)+N(AW131)</f>
        <v>13794.849</v>
      </c>
      <c r="AX132" s="42" t="n">
        <f aca="false">N(AX129)+N(AX130)+N(AX131)</f>
        <v>4101.489</v>
      </c>
      <c r="AY132" s="42" t="n">
        <f aca="false">N(AY129)+N(AY130)+N(AY131)</f>
        <v>4783.55</v>
      </c>
      <c r="AZ132" s="42" t="n">
        <f aca="false">N(AZ129)+N(AZ130)+N(AZ131)</f>
        <v>5419.503</v>
      </c>
      <c r="BA132" s="42" t="n">
        <f aca="false">N(BA129)+N(BA130)+N(BA131)</f>
        <v>5645.507</v>
      </c>
      <c r="BB132" s="42" t="n">
        <f aca="false">N(BB129)+N(BB130)+N(BB131)</f>
        <v>19950.049</v>
      </c>
      <c r="BC132" s="42" t="n">
        <f aca="false">N(BC129)+N(BC130)+N(BC131)</f>
        <v>5909.757</v>
      </c>
      <c r="BD132" s="42" t="n">
        <f aca="false">N(BD129)+N(BD130)+N(BD131)</f>
        <v>5766.862</v>
      </c>
      <c r="BE132" s="42" t="n">
        <f aca="false">N(BE129)+N(BE130)+N(BE131)</f>
        <v>5128.182</v>
      </c>
      <c r="BF132" s="42" t="n">
        <f aca="false">N(BF129)+N(BF130)+N(BF131)</f>
        <v>4298.647</v>
      </c>
      <c r="BG132" s="42" t="n">
        <f aca="false">N(BG129)+N(BG130)+N(BG131)</f>
        <v>21103.448</v>
      </c>
      <c r="BH132" s="42" t="n">
        <f aca="false">N(BH129)+N(BH130)+N(BH131)</f>
        <v>3926.03</v>
      </c>
      <c r="BI132" s="42" t="n">
        <f aca="false">N(BI129)+N(BI130)+N(BI131)</f>
        <v>3756.36</v>
      </c>
      <c r="BJ132" s="42" t="n">
        <f aca="false">N(BJ129)+N(BJ130)+N(BJ131)</f>
        <v>3706.181</v>
      </c>
      <c r="BK132" s="42" t="n">
        <f aca="false">N(BK129)+N(BK130)+N(BK131)</f>
        <v>3603.264</v>
      </c>
      <c r="BL132" s="42" t="n">
        <f aca="false">N(BL129)+N(BL130)+N(BL131)</f>
        <v>14991.835</v>
      </c>
      <c r="BM132" s="42" t="n">
        <f aca="false">N(BM129)+N(BM130)+N(BM131)</f>
        <v>3754.582</v>
      </c>
      <c r="BN132" s="42" t="n">
        <f aca="false">N(BN129)+N(BN130)+N(BN131)</f>
        <v>3795.939</v>
      </c>
      <c r="BO132" s="42" t="n">
        <f aca="false">N(BO129)+N(BO130)+N(BO131)</f>
        <v>3909.388</v>
      </c>
      <c r="BP132" s="42" t="n">
        <f aca="false">N(BP129)+N(BP130)+N(BP131)</f>
        <v>3500.033</v>
      </c>
      <c r="BQ132" s="42" t="n">
        <f aca="false">N(BQ129)+N(BQ130)+N(BQ131)</f>
        <v>14959.942</v>
      </c>
      <c r="BR132" s="42" t="n">
        <f aca="false">N(BR129)+N(BR130)+N(BR131)</f>
        <v>3373.652</v>
      </c>
      <c r="BS132" s="42" t="n">
        <f aca="false">N(BS129)+N(BS130)+N(BS131)</f>
        <v>3443.312</v>
      </c>
      <c r="BT132" s="42" t="n">
        <f aca="false">N(BT129)+N(BT130)+N(BT131)</f>
        <v>3430.769</v>
      </c>
      <c r="BU132" s="42" t="n">
        <f aca="false">N(BU129)+N(BU130)+N(BU131)</f>
        <v>3255.62</v>
      </c>
      <c r="BV132" s="42" t="n">
        <f aca="false">N(BV129)+N(BV130)+N(BV131)</f>
        <v>13503.353</v>
      </c>
      <c r="BW132" s="42" t="n">
        <f aca="false">N(BW129)+N(BW130)+N(BW131)</f>
        <v>3352.441</v>
      </c>
      <c r="BX132" s="42" t="n">
        <f aca="false">N(BX129)+N(BX130)+N(BX131)</f>
        <v>4196.132</v>
      </c>
      <c r="BY132" s="32" t="n">
        <f aca="false">BY125-BY98</f>
        <v>4341.88402156207</v>
      </c>
      <c r="BZ132" s="32" t="n">
        <f aca="false">BZ125-BZ98</f>
        <v>4036.94455602622</v>
      </c>
      <c r="CA132" s="32" t="n">
        <f aca="false">CA125-CA98</f>
        <v>15927.4015775883</v>
      </c>
      <c r="CB132" s="32" t="n">
        <f aca="false">CB125-CB98</f>
        <v>16710.4268075511</v>
      </c>
      <c r="CC132" s="32" t="n">
        <f aca="false">CC125-CC98</f>
        <v>17159.4143079309</v>
      </c>
      <c r="CD132" s="32" t="n">
        <f aca="false">CD125-CD98</f>
        <v>17640.2305559964</v>
      </c>
      <c r="CE132" s="32" t="n">
        <f aca="false">CE125-CE98</f>
        <v>18723.7745376572</v>
      </c>
    </row>
    <row r="133" customFormat="false" ht="15" hidden="false" customHeight="false" outlineLevel="0" collapsed="false">
      <c r="B133" s="51" t="s">
        <v>251</v>
      </c>
      <c r="C133" s="52" t="n">
        <f aca="false">C125-C132</f>
        <v>1082.544</v>
      </c>
      <c r="D133" s="52" t="n">
        <f aca="false">D125-D132</f>
        <v>1243.778</v>
      </c>
      <c r="E133" s="52" t="n">
        <f aca="false">E125-E132</f>
        <v>1374.963</v>
      </c>
      <c r="F133" s="52" t="n">
        <f aca="false">F125-F132</f>
        <v>1381.959</v>
      </c>
      <c r="G133" s="52" t="n">
        <f aca="false">G125-G132</f>
        <v>1467.978</v>
      </c>
      <c r="H133" s="52" t="n">
        <f aca="false">H125-H132</f>
        <v>1632.658</v>
      </c>
      <c r="I133" s="52" t="n">
        <f aca="false">I125-I132</f>
        <v>1717.571</v>
      </c>
      <c r="J133" s="52" t="n">
        <f aca="false">J125-J132</f>
        <v>455.722</v>
      </c>
      <c r="K133" s="52" t="n">
        <f aca="false">K125-K132</f>
        <v>472.602</v>
      </c>
      <c r="L133" s="52" t="n">
        <f aca="false">L125-L132</f>
        <v>463.306</v>
      </c>
      <c r="M133" s="52" t="n">
        <f aca="false">M125-M132</f>
        <v>444.465</v>
      </c>
      <c r="N133" s="52" t="n">
        <f aca="false">N125-N132</f>
        <v>1836.095</v>
      </c>
      <c r="O133" s="52" t="n">
        <f aca="false">O125-O132</f>
        <v>457.235</v>
      </c>
      <c r="P133" s="52" t="n">
        <f aca="false">P125-P132</f>
        <v>521.037</v>
      </c>
      <c r="Q133" s="52" t="n">
        <f aca="false">Q125-Q132</f>
        <v>527.564</v>
      </c>
      <c r="R133" s="52" t="n">
        <f aca="false">R125-R132</f>
        <v>501.816</v>
      </c>
      <c r="S133" s="52" t="n">
        <f aca="false">S125-S132</f>
        <v>2007.652</v>
      </c>
      <c r="T133" s="52" t="n">
        <f aca="false">T125-T132</f>
        <v>525.11</v>
      </c>
      <c r="U133" s="52" t="n">
        <f aca="false">U125-U132</f>
        <v>584.018000000001</v>
      </c>
      <c r="V133" s="52" t="n">
        <f aca="false">V125-V132</f>
        <v>588.575</v>
      </c>
      <c r="W133" s="52" t="n">
        <f aca="false">W125-W132</f>
        <v>570.777</v>
      </c>
      <c r="X133" s="52" t="n">
        <f aca="false">X125-X132</f>
        <v>2268.48</v>
      </c>
      <c r="Y133" s="52" t="n">
        <f aca="false">Y125-Y132</f>
        <v>563.335000000001</v>
      </c>
      <c r="Z133" s="52" t="n">
        <f aca="false">Z125-Z132</f>
        <v>594.215</v>
      </c>
      <c r="AA133" s="52" t="n">
        <f aca="false">AA125-AA132</f>
        <v>558.462</v>
      </c>
      <c r="AB133" s="52" t="n">
        <f aca="false">AB125-AB132</f>
        <v>561.516</v>
      </c>
      <c r="AC133" s="52" t="n">
        <f aca="false">AC125-AC132</f>
        <v>2277.528</v>
      </c>
      <c r="AD133" s="52" t="n">
        <f aca="false">AD125-AD132</f>
        <v>568.566</v>
      </c>
      <c r="AE133" s="52" t="n">
        <f aca="false">AE125-AE132</f>
        <v>573.789</v>
      </c>
      <c r="AF133" s="52" t="n">
        <f aca="false">AF125-AF132</f>
        <v>593.846</v>
      </c>
      <c r="AG133" s="52" t="n">
        <f aca="false">AG125-AG132</f>
        <v>631.849</v>
      </c>
      <c r="AH133" s="52" t="n">
        <f aca="false">AH125-AH132</f>
        <v>2368.05</v>
      </c>
      <c r="AI133" s="52" t="n">
        <f aca="false">AI125-AI132</f>
        <v>625.925</v>
      </c>
      <c r="AJ133" s="52" t="n">
        <f aca="false">AJ125-AJ132</f>
        <v>671.483</v>
      </c>
      <c r="AK133" s="52" t="n">
        <f aca="false">AK125-AK132</f>
        <v>694.044</v>
      </c>
      <c r="AL133" s="52" t="n">
        <f aca="false">AL125-AL132</f>
        <v>713.783</v>
      </c>
      <c r="AM133" s="52" t="n">
        <f aca="false">AM125-AM132</f>
        <v>2705.235</v>
      </c>
      <c r="AN133" s="52" t="n">
        <f aca="false">AN125-AN132</f>
        <v>678.8</v>
      </c>
      <c r="AO133" s="52" t="n">
        <f aca="false">AO125-AO132</f>
        <v>695.216</v>
      </c>
      <c r="AP133" s="52" t="n">
        <f aca="false">AP125-AP132</f>
        <v>633.431</v>
      </c>
      <c r="AQ133" s="52" t="n">
        <f aca="false">AQ125-AQ132</f>
        <v>578.863</v>
      </c>
      <c r="AR133" s="52" t="n">
        <f aca="false">AR125-AR132</f>
        <v>2586.31</v>
      </c>
      <c r="AS133" s="52" t="n">
        <f aca="false">AS125-AS132</f>
        <v>567.953</v>
      </c>
      <c r="AT133" s="52" t="n">
        <f aca="false">AT125-AT132</f>
        <v>614.453</v>
      </c>
      <c r="AU133" s="52" t="n">
        <f aca="false">AU125-AU132</f>
        <v>589.273</v>
      </c>
      <c r="AV133" s="52" t="n">
        <f aca="false">AV125-AV132</f>
        <v>640.578</v>
      </c>
      <c r="AW133" s="52" t="n">
        <f aca="false">AW125-AW132</f>
        <v>2412.257</v>
      </c>
      <c r="AX133" s="52" t="n">
        <f aca="false">AX125-AX132</f>
        <v>702.38</v>
      </c>
      <c r="AY133" s="52" t="n">
        <f aca="false">AY125-AY132</f>
        <v>749.176</v>
      </c>
      <c r="AZ133" s="52" t="n">
        <f aca="false">AZ125-AZ132</f>
        <v>844.191999999999</v>
      </c>
      <c r="BA133" s="52" t="n">
        <f aca="false">BA125-BA132</f>
        <v>856.341</v>
      </c>
      <c r="BB133" s="52" t="n">
        <f aca="false">BB125-BB132</f>
        <v>3152.089</v>
      </c>
      <c r="BC133" s="52" t="n">
        <f aca="false">BC125-BC132</f>
        <v>906.196</v>
      </c>
      <c r="BD133" s="52" t="n">
        <f aca="false">BD125-BD132</f>
        <v>1031.613</v>
      </c>
      <c r="BE133" s="52" t="n">
        <f aca="false">BE125-BE132</f>
        <v>887.194</v>
      </c>
      <c r="BF133" s="52" t="n">
        <f aca="false">BF125-BF132</f>
        <v>768.174</v>
      </c>
      <c r="BG133" s="52" t="n">
        <f aca="false">BG125-BG132</f>
        <v>3593.177</v>
      </c>
      <c r="BH133" s="52" t="n">
        <f aca="false">BH125-BH132</f>
        <v>685.64</v>
      </c>
      <c r="BI133" s="52" t="n">
        <f aca="false">BI125-BI132</f>
        <v>665.496</v>
      </c>
      <c r="BJ133" s="52" t="n">
        <f aca="false">BJ125-BJ132</f>
        <v>634.849</v>
      </c>
      <c r="BK133" s="52" t="n">
        <f aca="false">BK125-BK132</f>
        <v>618.623</v>
      </c>
      <c r="BL133" s="52" t="n">
        <f aca="false">BL125-BL132</f>
        <v>2604.608</v>
      </c>
      <c r="BM133" s="52" t="n">
        <f aca="false">BM125-BM132</f>
        <v>657.728999999999</v>
      </c>
      <c r="BN133" s="52" t="n">
        <f aca="false">BN125-BN132</f>
        <v>687.409</v>
      </c>
      <c r="BO133" s="52" t="n">
        <f aca="false">BO125-BO132</f>
        <v>735.253</v>
      </c>
      <c r="BP133" s="52" t="n">
        <f aca="false">BP125-BP132</f>
        <v>684.623</v>
      </c>
      <c r="BQ133" s="52" t="n">
        <f aca="false">BQ125-BQ132</f>
        <v>2765.014</v>
      </c>
      <c r="BR133" s="52" t="n">
        <f aca="false">BR125-BR132</f>
        <v>673.088</v>
      </c>
      <c r="BS133" s="52" t="n">
        <f aca="false">BS125-BS132</f>
        <v>693.231</v>
      </c>
      <c r="BT133" s="52" t="n">
        <f aca="false">BT125-BT132</f>
        <v>706.076999999999</v>
      </c>
      <c r="BU133" s="52" t="n">
        <f aca="false">BU125-BU132</f>
        <v>657.014</v>
      </c>
      <c r="BV133" s="52" t="n">
        <f aca="false">BV125-BV132</f>
        <v>2729.41</v>
      </c>
      <c r="BW133" s="52" t="n">
        <f aca="false">BW125-BW132</f>
        <v>660.493</v>
      </c>
      <c r="BX133" s="52" t="n">
        <f aca="false">BX125-BX132</f>
        <v>737.966</v>
      </c>
      <c r="BY133" s="52" t="n">
        <f aca="false">BY125-BY132</f>
        <v>762.187789993304</v>
      </c>
      <c r="BZ133" s="52" t="n">
        <f aca="false">BZ125-BZ132</f>
        <v>709.26403353831</v>
      </c>
      <c r="CA133" s="52" t="n">
        <f aca="false">CA125-CA132</f>
        <v>2869.91082353162</v>
      </c>
      <c r="CB133" s="52" t="n">
        <f aca="false">CB125-CB132</f>
        <v>3030.60532499074</v>
      </c>
      <c r="CC133" s="52" t="n">
        <f aca="false">CC125-CC132</f>
        <v>3219.1046077979</v>
      </c>
      <c r="CD133" s="52" t="n">
        <f aca="false">CD125-CD132</f>
        <v>3407.78341439865</v>
      </c>
      <c r="CE133" s="52" t="n">
        <f aca="false">CE125-CE132</f>
        <v>3611.90358392931</v>
      </c>
      <c r="CF133" s="23" t="s">
        <v>252</v>
      </c>
      <c r="CH133" s="33" t="n">
        <f aca="false">IFERROR((CE133/BV133)^(1/5)-1,"n/m")</f>
        <v>0.0576293007345061</v>
      </c>
      <c r="CI133" s="33" t="n">
        <f aca="false">IFERROR((BV133/AW133)^(1/5)-1,"n/m")</f>
        <v>0.0250122143628786</v>
      </c>
      <c r="CJ133" s="33" t="n">
        <f aca="false">IFERROR((BV133/X133)^(1/10)-1,"n/m")</f>
        <v>0.0186696858542763</v>
      </c>
      <c r="CK133" s="33" t="n">
        <f aca="false">IFERROR((BV133/C133)^(1/19)-1,"n/m")</f>
        <v>0.0498761361916353</v>
      </c>
    </row>
    <row r="134" customFormat="false" ht="15" hidden="false" customHeight="false" outlineLevel="0" collapsed="false">
      <c r="B134" s="28" t="s">
        <v>253</v>
      </c>
      <c r="AV134" s="37" t="n">
        <v>4.51</v>
      </c>
      <c r="AW134" s="37" t="n">
        <v>16.634</v>
      </c>
      <c r="AX134" s="37" t="n">
        <v>4.647</v>
      </c>
      <c r="AY134" s="37" t="n">
        <v>4.802</v>
      </c>
      <c r="AZ134" s="37" t="n">
        <v>5.152</v>
      </c>
      <c r="BA134" s="37" t="n">
        <v>5.607</v>
      </c>
      <c r="BB134" s="37" t="n">
        <v>20.208</v>
      </c>
      <c r="BC134" s="37" t="n">
        <v>5.734</v>
      </c>
      <c r="BD134" s="37" t="n">
        <v>6.64</v>
      </c>
      <c r="BE134" s="37" t="n">
        <v>6.457</v>
      </c>
      <c r="BF134" s="37" t="n">
        <v>6.656</v>
      </c>
      <c r="BG134" s="37" t="n">
        <v>25.487</v>
      </c>
      <c r="BH134" s="37" t="n">
        <v>7.317</v>
      </c>
      <c r="BI134" s="37" t="n">
        <v>8.749</v>
      </c>
      <c r="BJ134" s="37" t="n">
        <v>8.233</v>
      </c>
      <c r="BK134" s="37" t="n">
        <v>9.32</v>
      </c>
      <c r="BL134" s="37" t="n">
        <v>33.62</v>
      </c>
      <c r="BM134" s="37" t="n">
        <v>10.222</v>
      </c>
      <c r="BN134" s="37" t="n">
        <v>10.883</v>
      </c>
      <c r="BO134" s="37" t="n">
        <v>11.441</v>
      </c>
      <c r="BP134" s="37" t="n">
        <v>11.762</v>
      </c>
      <c r="BQ134" s="37" t="n">
        <v>44.308</v>
      </c>
      <c r="BR134" s="37" t="n">
        <v>15.666</v>
      </c>
      <c r="BS134" s="37" t="n">
        <v>13.681</v>
      </c>
      <c r="BT134" s="37" t="n">
        <v>14.42</v>
      </c>
      <c r="BU134" s="37" t="n">
        <v>14.491</v>
      </c>
      <c r="BV134" s="37" t="n">
        <v>58.258</v>
      </c>
      <c r="BW134" s="37" t="n">
        <v>13.862</v>
      </c>
      <c r="BX134" s="37" t="n">
        <v>12.038</v>
      </c>
      <c r="BY134" s="49" t="n">
        <f aca="false">BY133*BY122</f>
        <v>12.4331156393918</v>
      </c>
      <c r="BZ134" s="49" t="n">
        <f aca="false">BZ133*BZ122</f>
        <v>11.5698019092129</v>
      </c>
      <c r="CA134" s="49" t="n">
        <f aca="false">SUM(BW134,BX134,BY134,BZ134)</f>
        <v>49.9029175486046</v>
      </c>
      <c r="CB134" s="49" t="n">
        <f aca="false">CB133*CB122</f>
        <v>51.5202905248426</v>
      </c>
      <c r="CC134" s="49" t="n">
        <f aca="false">CC133*CC122</f>
        <v>54.7247783325643</v>
      </c>
      <c r="CD134" s="49" t="n">
        <f aca="false">CD133*CD122</f>
        <v>57.9323180447771</v>
      </c>
      <c r="CE134" s="49" t="n">
        <f aca="false">CE133*CE122</f>
        <v>61.4023609267982</v>
      </c>
    </row>
    <row r="135" customFormat="false" ht="15" hidden="false" customHeight="false" outlineLevel="0" collapsed="false">
      <c r="B135" s="18" t="s">
        <v>254</v>
      </c>
      <c r="C135" s="42" t="n">
        <f aca="false">C133-N(C134)</f>
        <v>1082.544</v>
      </c>
      <c r="D135" s="42" t="n">
        <f aca="false">D133-N(D134)</f>
        <v>1243.778</v>
      </c>
      <c r="E135" s="42" t="n">
        <f aca="false">E133-N(E134)</f>
        <v>1374.963</v>
      </c>
      <c r="F135" s="42" t="n">
        <f aca="false">F133-N(F134)</f>
        <v>1381.959</v>
      </c>
      <c r="G135" s="42" t="n">
        <f aca="false">G133-N(G134)</f>
        <v>1467.978</v>
      </c>
      <c r="H135" s="42" t="n">
        <f aca="false">H133-N(H134)</f>
        <v>1632.658</v>
      </c>
      <c r="I135" s="42" t="n">
        <f aca="false">I133-N(I134)</f>
        <v>1717.571</v>
      </c>
      <c r="J135" s="42" t="n">
        <f aca="false">J133-N(J134)</f>
        <v>455.722</v>
      </c>
      <c r="K135" s="42" t="n">
        <f aca="false">K133-N(K134)</f>
        <v>472.602</v>
      </c>
      <c r="L135" s="42" t="n">
        <f aca="false">L133-N(L134)</f>
        <v>463.306</v>
      </c>
      <c r="M135" s="42" t="n">
        <f aca="false">M133-N(M134)</f>
        <v>444.465</v>
      </c>
      <c r="N135" s="42" t="n">
        <f aca="false">N133-N(N134)</f>
        <v>1836.095</v>
      </c>
      <c r="O135" s="42" t="n">
        <f aca="false">O133-N(O134)</f>
        <v>457.235</v>
      </c>
      <c r="P135" s="42" t="n">
        <f aca="false">P133-N(P134)</f>
        <v>521.037</v>
      </c>
      <c r="Q135" s="42" t="n">
        <f aca="false">Q133-N(Q134)</f>
        <v>527.564</v>
      </c>
      <c r="R135" s="42" t="n">
        <f aca="false">R133-N(R134)</f>
        <v>501.816</v>
      </c>
      <c r="S135" s="42" t="n">
        <f aca="false">S133-N(S134)</f>
        <v>2007.652</v>
      </c>
      <c r="T135" s="42" t="n">
        <f aca="false">T133-N(T134)</f>
        <v>525.11</v>
      </c>
      <c r="U135" s="42" t="n">
        <f aca="false">U133-N(U134)</f>
        <v>584.018000000001</v>
      </c>
      <c r="V135" s="42" t="n">
        <f aca="false">V133-N(V134)</f>
        <v>588.575</v>
      </c>
      <c r="W135" s="42" t="n">
        <f aca="false">W133-N(W134)</f>
        <v>570.777</v>
      </c>
      <c r="X135" s="42" t="n">
        <f aca="false">X133-N(X134)</f>
        <v>2268.48</v>
      </c>
      <c r="Y135" s="42" t="n">
        <f aca="false">Y133-N(Y134)</f>
        <v>563.335000000001</v>
      </c>
      <c r="Z135" s="42" t="n">
        <f aca="false">Z133-N(Z134)</f>
        <v>594.215</v>
      </c>
      <c r="AA135" s="42" t="n">
        <f aca="false">AA133-N(AA134)</f>
        <v>558.462</v>
      </c>
      <c r="AB135" s="42" t="n">
        <f aca="false">AB133-N(AB134)</f>
        <v>561.516</v>
      </c>
      <c r="AC135" s="42" t="n">
        <f aca="false">AC133-N(AC134)</f>
        <v>2277.528</v>
      </c>
      <c r="AD135" s="42" t="n">
        <f aca="false">AD133-N(AD134)</f>
        <v>568.566</v>
      </c>
      <c r="AE135" s="42" t="n">
        <f aca="false">AE133-N(AE134)</f>
        <v>573.789</v>
      </c>
      <c r="AF135" s="42" t="n">
        <f aca="false">AF133-N(AF134)</f>
        <v>593.846</v>
      </c>
      <c r="AG135" s="42" t="n">
        <f aca="false">AG133-N(AG134)</f>
        <v>631.849</v>
      </c>
      <c r="AH135" s="42" t="n">
        <f aca="false">AH133-N(AH134)</f>
        <v>2368.05</v>
      </c>
      <c r="AI135" s="42" t="n">
        <f aca="false">AI133-N(AI134)</f>
        <v>625.925</v>
      </c>
      <c r="AJ135" s="42" t="n">
        <f aca="false">AJ133-N(AJ134)</f>
        <v>671.483</v>
      </c>
      <c r="AK135" s="42" t="n">
        <f aca="false">AK133-N(AK134)</f>
        <v>694.044</v>
      </c>
      <c r="AL135" s="42" t="n">
        <f aca="false">AL133-N(AL134)</f>
        <v>713.783</v>
      </c>
      <c r="AM135" s="42" t="n">
        <f aca="false">AM133-N(AM134)</f>
        <v>2705.235</v>
      </c>
      <c r="AN135" s="42" t="n">
        <f aca="false">AN133-N(AN134)</f>
        <v>678.8</v>
      </c>
      <c r="AO135" s="42" t="n">
        <f aca="false">AO133-N(AO134)</f>
        <v>695.216</v>
      </c>
      <c r="AP135" s="42" t="n">
        <f aca="false">AP133-N(AP134)</f>
        <v>633.431</v>
      </c>
      <c r="AQ135" s="42" t="n">
        <f aca="false">AQ133-N(AQ134)</f>
        <v>578.863</v>
      </c>
      <c r="AR135" s="42" t="n">
        <f aca="false">AR133-N(AR134)</f>
        <v>2586.31</v>
      </c>
      <c r="AS135" s="42" t="n">
        <f aca="false">AS133-N(AS134)</f>
        <v>567.953</v>
      </c>
      <c r="AT135" s="42" t="n">
        <f aca="false">AT133-N(AT134)</f>
        <v>614.453</v>
      </c>
      <c r="AU135" s="42" t="n">
        <f aca="false">AU133-N(AU134)</f>
        <v>589.273</v>
      </c>
      <c r="AV135" s="42" t="n">
        <f aca="false">AV133-N(AV134)</f>
        <v>636.068</v>
      </c>
      <c r="AW135" s="42" t="n">
        <f aca="false">AW133-N(AW134)</f>
        <v>2395.623</v>
      </c>
      <c r="AX135" s="42" t="n">
        <f aca="false">AX133-N(AX134)</f>
        <v>697.733</v>
      </c>
      <c r="AY135" s="42" t="n">
        <f aca="false">AY133-N(AY134)</f>
        <v>744.374</v>
      </c>
      <c r="AZ135" s="42" t="n">
        <f aca="false">AZ133-N(AZ134)</f>
        <v>839.039999999999</v>
      </c>
      <c r="BA135" s="42" t="n">
        <f aca="false">BA133-N(BA134)</f>
        <v>850.734</v>
      </c>
      <c r="BB135" s="42" t="n">
        <f aca="false">BB133-N(BB134)</f>
        <v>3131.881</v>
      </c>
      <c r="BC135" s="42" t="n">
        <f aca="false">BC133-N(BC134)</f>
        <v>900.462</v>
      </c>
      <c r="BD135" s="42" t="n">
        <f aca="false">BD133-N(BD134)</f>
        <v>1024.973</v>
      </c>
      <c r="BE135" s="42" t="n">
        <f aca="false">BE133-N(BE134)</f>
        <v>880.737</v>
      </c>
      <c r="BF135" s="42" t="n">
        <f aca="false">BF133-N(BF134)</f>
        <v>761.518</v>
      </c>
      <c r="BG135" s="42" t="n">
        <f aca="false">BG133-N(BG134)</f>
        <v>3567.69</v>
      </c>
      <c r="BH135" s="42" t="n">
        <f aca="false">BH133-N(BH134)</f>
        <v>678.323</v>
      </c>
      <c r="BI135" s="42" t="n">
        <f aca="false">BI133-N(BI134)</f>
        <v>656.747</v>
      </c>
      <c r="BJ135" s="42" t="n">
        <f aca="false">BJ133-N(BJ134)</f>
        <v>626.616</v>
      </c>
      <c r="BK135" s="42" t="n">
        <f aca="false">BK133-N(BK134)</f>
        <v>609.303</v>
      </c>
      <c r="BL135" s="42" t="n">
        <f aca="false">BL133-N(BL134)</f>
        <v>2570.988</v>
      </c>
      <c r="BM135" s="42" t="n">
        <f aca="false">BM133-N(BM134)</f>
        <v>647.506999999999</v>
      </c>
      <c r="BN135" s="42" t="n">
        <f aca="false">BN133-N(BN134)</f>
        <v>676.526</v>
      </c>
      <c r="BO135" s="42" t="n">
        <f aca="false">BO133-N(BO134)</f>
        <v>723.812</v>
      </c>
      <c r="BP135" s="42" t="n">
        <f aca="false">BP133-N(BP134)</f>
        <v>672.861</v>
      </c>
      <c r="BQ135" s="42" t="n">
        <f aca="false">BQ133-N(BQ134)</f>
        <v>2720.706</v>
      </c>
      <c r="BR135" s="42" t="n">
        <f aca="false">BR133-N(BR134)</f>
        <v>657.422</v>
      </c>
      <c r="BS135" s="42" t="n">
        <f aca="false">BS133-N(BS134)</f>
        <v>679.55</v>
      </c>
      <c r="BT135" s="42" t="n">
        <f aca="false">BT133-N(BT134)</f>
        <v>691.656999999999</v>
      </c>
      <c r="BU135" s="42" t="n">
        <f aca="false">BU133-N(BU134)</f>
        <v>642.523</v>
      </c>
      <c r="BV135" s="42" t="n">
        <f aca="false">BV133-N(BV134)</f>
        <v>2671.152</v>
      </c>
      <c r="BW135" s="42" t="n">
        <f aca="false">BW133-N(BW134)</f>
        <v>646.631</v>
      </c>
      <c r="BX135" s="42" t="n">
        <f aca="false">BX133-N(BX134)</f>
        <v>725.928</v>
      </c>
      <c r="BY135" s="32" t="n">
        <f aca="false">BY133-N(BY134)</f>
        <v>749.754674353913</v>
      </c>
      <c r="BZ135" s="32" t="n">
        <f aca="false">BZ133-N(BZ134)</f>
        <v>697.694231629097</v>
      </c>
      <c r="CA135" s="32" t="n">
        <f aca="false">CA133-N(CA134)</f>
        <v>2820.00790598301</v>
      </c>
      <c r="CB135" s="32" t="n">
        <f aca="false">CB133-N(CB134)</f>
        <v>2979.0850344659</v>
      </c>
      <c r="CC135" s="32" t="n">
        <f aca="false">CC133-N(CC134)</f>
        <v>3164.37982946533</v>
      </c>
      <c r="CD135" s="32" t="n">
        <f aca="false">CD133-N(CD134)</f>
        <v>3349.85109635388</v>
      </c>
      <c r="CE135" s="32" t="n">
        <f aca="false">CE133-N(CE134)</f>
        <v>3550.50122300251</v>
      </c>
    </row>
    <row r="136" customFormat="false" ht="15" hidden="false" customHeight="false" outlineLevel="0" collapsed="false">
      <c r="B136" s="28" t="s">
        <v>255</v>
      </c>
      <c r="C136" s="37" t="n">
        <v>515.947</v>
      </c>
      <c r="D136" s="37" t="n">
        <v>567.986</v>
      </c>
      <c r="E136" s="37" t="n">
        <v>601.822</v>
      </c>
      <c r="F136" s="37" t="n">
        <v>597.568</v>
      </c>
      <c r="G136" s="37" t="n">
        <v>632.064</v>
      </c>
      <c r="H136" s="37" t="n">
        <v>696.233</v>
      </c>
      <c r="I136" s="37" t="n">
        <v>766.006</v>
      </c>
      <c r="J136" s="37" t="n">
        <v>212.645</v>
      </c>
      <c r="K136" s="37" t="n">
        <v>206.009</v>
      </c>
      <c r="L136" s="37" t="n">
        <v>204.388</v>
      </c>
      <c r="M136" s="37" t="n">
        <v>203.619</v>
      </c>
      <c r="N136" s="37" t="n">
        <v>826.661</v>
      </c>
      <c r="O136" s="37" t="n">
        <v>220.297</v>
      </c>
      <c r="P136" s="37" t="n">
        <v>238.986</v>
      </c>
      <c r="Q136" s="37" t="n">
        <v>244.621</v>
      </c>
      <c r="R136" s="37" t="n">
        <v>235.117</v>
      </c>
      <c r="S136" s="37" t="n">
        <v>939.021</v>
      </c>
      <c r="T136" s="37" t="n">
        <v>255.144</v>
      </c>
      <c r="U136" s="37" t="n">
        <v>263.999</v>
      </c>
      <c r="V136" s="37" t="n">
        <v>264.077</v>
      </c>
      <c r="W136" s="37" t="n">
        <v>268.19</v>
      </c>
      <c r="X136" s="37" t="n">
        <v>1051.41</v>
      </c>
      <c r="Y136" s="37" t="n">
        <v>277.497</v>
      </c>
      <c r="Z136" s="37" t="n">
        <v>270.251</v>
      </c>
      <c r="AA136" s="37" t="n">
        <v>256.883</v>
      </c>
      <c r="AB136" s="37" t="n">
        <v>260.305</v>
      </c>
      <c r="AC136" s="37" t="n">
        <v>1064.936</v>
      </c>
      <c r="AD136" s="37" t="n">
        <v>290.504</v>
      </c>
      <c r="AE136" s="37" t="n">
        <v>284.22</v>
      </c>
      <c r="AF136" s="37" t="n">
        <v>293.204</v>
      </c>
      <c r="AG136" s="37" t="n">
        <v>311.599</v>
      </c>
      <c r="AH136" s="37" t="n">
        <v>1179.527</v>
      </c>
      <c r="AI136" s="37" t="n">
        <v>328.297</v>
      </c>
      <c r="AJ136" s="37" t="n">
        <v>340.63</v>
      </c>
      <c r="AK136" s="37" t="n">
        <v>335.299</v>
      </c>
      <c r="AL136" s="37" t="n">
        <v>339.316</v>
      </c>
      <c r="AM136" s="37" t="n">
        <v>1343.542</v>
      </c>
      <c r="AN136" s="37" t="n">
        <v>340.098</v>
      </c>
      <c r="AO136" s="37" t="n">
        <v>338.886</v>
      </c>
      <c r="AP136" s="37" t="n">
        <v>320.563</v>
      </c>
      <c r="AQ136" s="37" t="n">
        <v>298.981</v>
      </c>
      <c r="AR136" s="37" t="n">
        <v>1298.528</v>
      </c>
      <c r="AS136" s="37" t="n">
        <v>330.22</v>
      </c>
      <c r="AT136" s="37" t="n">
        <v>300.483</v>
      </c>
      <c r="AU136" s="37" t="n">
        <v>302.904</v>
      </c>
      <c r="AV136" s="37" t="n">
        <v>309.26</v>
      </c>
      <c r="AW136" s="37" t="n">
        <v>1242.867</v>
      </c>
      <c r="AX136" s="37" t="n">
        <v>360.835</v>
      </c>
      <c r="AY136" s="37" t="n">
        <v>362.901</v>
      </c>
      <c r="AZ136" s="37" t="n">
        <v>399.88</v>
      </c>
      <c r="BA136" s="37" t="n">
        <v>419.994</v>
      </c>
      <c r="BB136" s="37" t="n">
        <v>1543.61</v>
      </c>
      <c r="BC136" s="37" t="n">
        <v>413.361</v>
      </c>
      <c r="BD136" s="37" t="n">
        <v>444.764</v>
      </c>
      <c r="BE136" s="37" t="n">
        <v>437.545</v>
      </c>
      <c r="BF136" s="37" t="n">
        <v>427.31</v>
      </c>
      <c r="BG136" s="37" t="n">
        <v>1722.98</v>
      </c>
      <c r="BH136" s="37" t="n">
        <v>383.106</v>
      </c>
      <c r="BI136" s="37" t="n">
        <v>377.277</v>
      </c>
      <c r="BJ136" s="37" t="n">
        <v>343.532</v>
      </c>
      <c r="BK136" s="37" t="n">
        <v>361.82</v>
      </c>
      <c r="BL136" s="37" t="n">
        <v>1465.735</v>
      </c>
      <c r="BM136" s="37" t="n">
        <v>379.087</v>
      </c>
      <c r="BN136" s="37" t="n">
        <v>361.222</v>
      </c>
      <c r="BO136" s="37" t="n">
        <v>361.559</v>
      </c>
      <c r="BP136" s="37" t="n">
        <v>354.381</v>
      </c>
      <c r="BQ136" s="37" t="n">
        <v>1456.249</v>
      </c>
      <c r="BR136" s="37" t="n">
        <v>348.553</v>
      </c>
      <c r="BS136" s="37" t="n">
        <v>335.322</v>
      </c>
      <c r="BT136" s="37" t="n">
        <v>349.302</v>
      </c>
      <c r="BU136" s="37" t="n">
        <v>336.981</v>
      </c>
      <c r="BV136" s="37" t="n">
        <v>1370.158</v>
      </c>
      <c r="BW136" s="37" t="n">
        <v>352.723</v>
      </c>
      <c r="BX136" s="37" t="n">
        <v>338.472</v>
      </c>
      <c r="BY136" s="49" t="n">
        <f aca="false">BT136*(BW136+BX136)/(BR136+BS136)</f>
        <v>353.040827475781</v>
      </c>
      <c r="BZ136" s="49" t="n">
        <f aca="false">BU136*(BW136+BX136)/(BR136+BS136)</f>
        <v>340.587947059039</v>
      </c>
      <c r="CA136" s="49" t="n">
        <f aca="false">SUM(BW136,BX136,BY136,BZ136)</f>
        <v>1384.82377453482</v>
      </c>
      <c r="CB136" s="49" t="n">
        <f aca="false">CB113*CB117/1000+N(CB176)</f>
        <v>1356.8336848932</v>
      </c>
      <c r="CC136" s="49" t="n">
        <f aca="false">CC113*CC117/1000+N(CC176)</f>
        <v>1404.76307471754</v>
      </c>
      <c r="CD136" s="49" t="n">
        <f aca="false">CD113*CD117/1000+N(CD176)</f>
        <v>1463.13667760716</v>
      </c>
      <c r="CE136" s="49" t="n">
        <f aca="false">CE113*CE117/1000+N(CE176)</f>
        <v>1523.9277380855</v>
      </c>
      <c r="CF136" s="23" t="s">
        <v>256</v>
      </c>
    </row>
    <row r="137" customFormat="false" ht="15" hidden="false" customHeight="false" outlineLevel="0" collapsed="false">
      <c r="B137" s="28" t="s">
        <v>257</v>
      </c>
      <c r="C137" s="37" t="n">
        <v>148.752</v>
      </c>
      <c r="D137" s="37" t="n">
        <v>166.108</v>
      </c>
      <c r="E137" s="37" t="n">
        <v>201.555</v>
      </c>
      <c r="F137" s="37" t="n">
        <v>199.58</v>
      </c>
      <c r="G137" s="37" t="n">
        <v>213.054</v>
      </c>
      <c r="H137" s="37" t="n">
        <v>243.695</v>
      </c>
      <c r="I137" s="37" t="n">
        <v>276.245</v>
      </c>
      <c r="J137" s="37" t="n">
        <v>74.371</v>
      </c>
      <c r="K137" s="37" t="n">
        <v>84.117</v>
      </c>
      <c r="L137" s="37" t="n">
        <v>82.563</v>
      </c>
      <c r="M137" s="37" t="n">
        <v>85.733</v>
      </c>
      <c r="N137" s="37" t="n">
        <v>326.784</v>
      </c>
      <c r="O137" s="37" t="n">
        <v>79.967</v>
      </c>
      <c r="P137" s="37" t="n">
        <v>81.669</v>
      </c>
      <c r="Q137" s="37" t="n">
        <v>79.606</v>
      </c>
      <c r="R137" s="37" t="n">
        <v>78.971</v>
      </c>
      <c r="S137" s="37" t="n">
        <v>320.213</v>
      </c>
      <c r="T137" s="37" t="n">
        <v>88.041</v>
      </c>
      <c r="U137" s="37" t="n">
        <v>90.924</v>
      </c>
      <c r="V137" s="37" t="n">
        <v>91.787</v>
      </c>
      <c r="W137" s="37" t="n">
        <v>88.008</v>
      </c>
      <c r="X137" s="37" t="n">
        <v>358.76</v>
      </c>
      <c r="Y137" s="37" t="n">
        <v>86.886</v>
      </c>
      <c r="Z137" s="37" t="n">
        <v>90.217</v>
      </c>
      <c r="AA137" s="37" t="n">
        <v>90.312</v>
      </c>
      <c r="AB137" s="37" t="n">
        <v>107.646</v>
      </c>
      <c r="AC137" s="37" t="n">
        <v>375.061</v>
      </c>
      <c r="AD137" s="37" t="n">
        <v>90.104</v>
      </c>
      <c r="AE137" s="37" t="n">
        <v>107.749</v>
      </c>
      <c r="AF137" s="37" t="n">
        <v>106.177</v>
      </c>
      <c r="AG137" s="37" t="n">
        <v>109.374</v>
      </c>
      <c r="AH137" s="37" t="n">
        <v>413.404</v>
      </c>
      <c r="AI137" s="37" t="n">
        <v>106.043</v>
      </c>
      <c r="AJ137" s="37" t="n">
        <v>111.845</v>
      </c>
      <c r="AK137" s="37" t="n">
        <v>112.772</v>
      </c>
      <c r="AL137" s="37" t="n">
        <v>118.95</v>
      </c>
      <c r="AM137" s="37" t="n">
        <v>449.61</v>
      </c>
      <c r="AN137" s="37" t="n">
        <v>114.152</v>
      </c>
      <c r="AO137" s="37" t="n">
        <v>128.795</v>
      </c>
      <c r="AP137" s="37" t="n">
        <v>111.783</v>
      </c>
      <c r="AQ137" s="37" t="n">
        <v>143.076</v>
      </c>
      <c r="AR137" s="37" t="n">
        <v>497.806</v>
      </c>
      <c r="AS137" s="37" t="n">
        <v>128.293</v>
      </c>
      <c r="AT137" s="37" t="n">
        <v>125.183</v>
      </c>
      <c r="AU137" s="37" t="n">
        <v>118.13</v>
      </c>
      <c r="AV137" s="37" t="n">
        <v>124.516</v>
      </c>
      <c r="AW137" s="37" t="n">
        <v>496.122</v>
      </c>
      <c r="AX137" s="37" t="n">
        <v>118.216</v>
      </c>
      <c r="AY137" s="37" t="n">
        <v>125.671</v>
      </c>
      <c r="AZ137" s="37" t="n">
        <v>133.543</v>
      </c>
      <c r="BA137" s="37" t="n">
        <v>148.941</v>
      </c>
      <c r="BB137" s="37" t="n">
        <v>526.371</v>
      </c>
      <c r="BC137" s="37" t="n">
        <v>147.361</v>
      </c>
      <c r="BD137" s="37" t="n">
        <v>117.184</v>
      </c>
      <c r="BE137" s="37" t="n">
        <v>162.04</v>
      </c>
      <c r="BF137" s="37" t="n">
        <v>176.83</v>
      </c>
      <c r="BG137" s="37" t="n">
        <v>603.415</v>
      </c>
      <c r="BH137" s="37" t="n">
        <v>141.501</v>
      </c>
      <c r="BI137" s="37" t="n">
        <v>155.596</v>
      </c>
      <c r="BJ137" s="37" t="n">
        <v>177.795</v>
      </c>
      <c r="BK137" s="37" t="n">
        <v>149.374</v>
      </c>
      <c r="BL137" s="37" t="n">
        <v>624.266</v>
      </c>
      <c r="BM137" s="37" t="n">
        <v>151.509</v>
      </c>
      <c r="BN137" s="37" t="n">
        <v>148.097</v>
      </c>
      <c r="BO137" s="37" t="n">
        <v>193.575</v>
      </c>
      <c r="BP137" s="37" t="n">
        <v>146.443</v>
      </c>
      <c r="BQ137" s="37" t="n">
        <v>639.624</v>
      </c>
      <c r="BR137" s="37" t="n">
        <v>147.682</v>
      </c>
      <c r="BS137" s="37" t="n">
        <v>141.99</v>
      </c>
      <c r="BT137" s="37" t="n">
        <v>135.939</v>
      </c>
      <c r="BU137" s="37" t="n">
        <v>138.68</v>
      </c>
      <c r="BV137" s="37" t="n">
        <v>564.291</v>
      </c>
      <c r="BW137" s="37" t="n">
        <v>132.084</v>
      </c>
      <c r="BX137" s="37" t="n">
        <v>143.751</v>
      </c>
      <c r="BY137" s="49" t="n">
        <f aca="false">BT137*(BW137+BX137)/(BR137+BS137)</f>
        <v>129.445490295921</v>
      </c>
      <c r="BZ137" s="49" t="n">
        <f aca="false">BU137*(BW137+BX137)/(BR137+BS137)</f>
        <v>132.055558700875</v>
      </c>
      <c r="CA137" s="49" t="n">
        <f aca="false">SUM(BW137,BX137,BY137,BZ137)</f>
        <v>537.336048996796</v>
      </c>
      <c r="CB137" s="49" t="n">
        <f aca="false">CB104*CB119+N(CB89)+N(CB93)+N(CB177)</f>
        <v>575.81501174824</v>
      </c>
      <c r="CC137" s="49" t="n">
        <f aca="false">CC104*CC119+N(CC89)+N(CC93)+N(CC177)</f>
        <v>620.1923754816</v>
      </c>
      <c r="CD137" s="49" t="n">
        <f aca="false">CD104*CD119+N(CD89)+N(CD93)+N(CD177)</f>
        <v>661.192431663751</v>
      </c>
      <c r="CE137" s="49" t="n">
        <f aca="false">CE104*CE119+N(CE89)+N(CE93)+N(CE177)</f>
        <v>726.264763026922</v>
      </c>
    </row>
    <row r="138" customFormat="false" ht="15" hidden="false" customHeight="false" outlineLevel="0" collapsed="false">
      <c r="B138" s="28" t="s">
        <v>258</v>
      </c>
      <c r="C138" s="43" t="n">
        <f aca="false">C136+C137</f>
        <v>664.699</v>
      </c>
      <c r="D138" s="43" t="n">
        <f aca="false">D136+D137</f>
        <v>734.094</v>
      </c>
      <c r="E138" s="43" t="n">
        <f aca="false">E136+E137</f>
        <v>803.377</v>
      </c>
      <c r="F138" s="43" t="n">
        <f aca="false">F136+F137</f>
        <v>797.148</v>
      </c>
      <c r="G138" s="43" t="n">
        <f aca="false">G136+G137</f>
        <v>845.118</v>
      </c>
      <c r="H138" s="43" t="n">
        <f aca="false">H136+H137</f>
        <v>939.928</v>
      </c>
      <c r="I138" s="43" t="n">
        <f aca="false">I136+I137</f>
        <v>1042.251</v>
      </c>
      <c r="J138" s="43" t="n">
        <f aca="false">J136+J137</f>
        <v>287.016</v>
      </c>
      <c r="K138" s="43" t="n">
        <f aca="false">K136+K137</f>
        <v>290.126</v>
      </c>
      <c r="L138" s="43" t="n">
        <f aca="false">L136+L137</f>
        <v>286.951</v>
      </c>
      <c r="M138" s="43" t="n">
        <f aca="false">M136+M137</f>
        <v>289.352</v>
      </c>
      <c r="N138" s="43" t="n">
        <f aca="false">N136+N137</f>
        <v>1153.445</v>
      </c>
      <c r="O138" s="43" t="n">
        <f aca="false">O136+O137</f>
        <v>300.264</v>
      </c>
      <c r="P138" s="43" t="n">
        <f aca="false">P136+P137</f>
        <v>320.655</v>
      </c>
      <c r="Q138" s="43" t="n">
        <f aca="false">Q136+Q137</f>
        <v>324.227</v>
      </c>
      <c r="R138" s="43" t="n">
        <f aca="false">R136+R137</f>
        <v>314.088</v>
      </c>
      <c r="S138" s="43" t="n">
        <f aca="false">S136+S137</f>
        <v>1259.234</v>
      </c>
      <c r="T138" s="43" t="n">
        <f aca="false">T136+T137</f>
        <v>343.185</v>
      </c>
      <c r="U138" s="43" t="n">
        <f aca="false">U136+U137</f>
        <v>354.923</v>
      </c>
      <c r="V138" s="43" t="n">
        <f aca="false">V136+V137</f>
        <v>355.864</v>
      </c>
      <c r="W138" s="43" t="n">
        <f aca="false">W136+W137</f>
        <v>356.198</v>
      </c>
      <c r="X138" s="43" t="n">
        <f aca="false">X136+X137</f>
        <v>1410.17</v>
      </c>
      <c r="Y138" s="43" t="n">
        <f aca="false">Y136+Y137</f>
        <v>364.383</v>
      </c>
      <c r="Z138" s="43" t="n">
        <f aca="false">Z136+Z137</f>
        <v>360.468</v>
      </c>
      <c r="AA138" s="43" t="n">
        <f aca="false">AA136+AA137</f>
        <v>347.195</v>
      </c>
      <c r="AB138" s="43" t="n">
        <f aca="false">AB136+AB137</f>
        <v>367.951</v>
      </c>
      <c r="AC138" s="43" t="n">
        <f aca="false">AC136+AC137</f>
        <v>1439.997</v>
      </c>
      <c r="AD138" s="43" t="n">
        <f aca="false">AD136+AD137</f>
        <v>380.608</v>
      </c>
      <c r="AE138" s="43" t="n">
        <f aca="false">AE136+AE137</f>
        <v>391.969</v>
      </c>
      <c r="AF138" s="43" t="n">
        <f aca="false">AF136+AF137</f>
        <v>399.381</v>
      </c>
      <c r="AG138" s="43" t="n">
        <f aca="false">AG136+AG137</f>
        <v>420.973</v>
      </c>
      <c r="AH138" s="43" t="n">
        <f aca="false">AH136+AH137</f>
        <v>1592.931</v>
      </c>
      <c r="AI138" s="43" t="n">
        <f aca="false">AI136+AI137</f>
        <v>434.34</v>
      </c>
      <c r="AJ138" s="43" t="n">
        <f aca="false">AJ136+AJ137</f>
        <v>452.475</v>
      </c>
      <c r="AK138" s="43" t="n">
        <f aca="false">AK136+AK137</f>
        <v>448.071</v>
      </c>
      <c r="AL138" s="43" t="n">
        <f aca="false">AL136+AL137</f>
        <v>458.266</v>
      </c>
      <c r="AM138" s="43" t="n">
        <f aca="false">AM136+AM137</f>
        <v>1793.152</v>
      </c>
      <c r="AN138" s="43" t="n">
        <f aca="false">AN136+AN137</f>
        <v>454.25</v>
      </c>
      <c r="AO138" s="43" t="n">
        <f aca="false">AO136+AO137</f>
        <v>467.681</v>
      </c>
      <c r="AP138" s="43" t="n">
        <f aca="false">AP136+AP137</f>
        <v>432.346</v>
      </c>
      <c r="AQ138" s="43" t="n">
        <f aca="false">AQ136+AQ137</f>
        <v>442.057</v>
      </c>
      <c r="AR138" s="43" t="n">
        <f aca="false">AR136+AR137</f>
        <v>1796.334</v>
      </c>
      <c r="AS138" s="43" t="n">
        <f aca="false">AS136+AS137</f>
        <v>458.513</v>
      </c>
      <c r="AT138" s="43" t="n">
        <f aca="false">AT136+AT137</f>
        <v>425.666</v>
      </c>
      <c r="AU138" s="43" t="n">
        <f aca="false">AU136+AU137</f>
        <v>421.034</v>
      </c>
      <c r="AV138" s="43" t="n">
        <f aca="false">AV136+AV137</f>
        <v>433.776</v>
      </c>
      <c r="AW138" s="43" t="n">
        <f aca="false">AW136+AW137</f>
        <v>1738.989</v>
      </c>
      <c r="AX138" s="43" t="n">
        <f aca="false">AX136+AX137</f>
        <v>479.051</v>
      </c>
      <c r="AY138" s="43" t="n">
        <f aca="false">AY136+AY137</f>
        <v>488.572</v>
      </c>
      <c r="AZ138" s="43" t="n">
        <f aca="false">AZ136+AZ137</f>
        <v>533.423</v>
      </c>
      <c r="BA138" s="43" t="n">
        <f aca="false">BA136+BA137</f>
        <v>568.935</v>
      </c>
      <c r="BB138" s="43" t="n">
        <f aca="false">BB136+BB137</f>
        <v>2069.981</v>
      </c>
      <c r="BC138" s="43" t="n">
        <f aca="false">BC136+BC137</f>
        <v>560.722</v>
      </c>
      <c r="BD138" s="43" t="n">
        <f aca="false">BD136+BD137</f>
        <v>561.948</v>
      </c>
      <c r="BE138" s="43" t="n">
        <f aca="false">BE136+BE137</f>
        <v>599.585</v>
      </c>
      <c r="BF138" s="43" t="n">
        <f aca="false">BF136+BF137</f>
        <v>604.14</v>
      </c>
      <c r="BG138" s="43" t="n">
        <f aca="false">BG136+BG137</f>
        <v>2326.395</v>
      </c>
      <c r="BH138" s="43" t="n">
        <f aca="false">BH136+BH137</f>
        <v>524.607</v>
      </c>
      <c r="BI138" s="43" t="n">
        <f aca="false">BI136+BI137</f>
        <v>532.873</v>
      </c>
      <c r="BJ138" s="43" t="n">
        <f aca="false">BJ136+BJ137</f>
        <v>521.327</v>
      </c>
      <c r="BK138" s="43" t="n">
        <f aca="false">BK136+BK137</f>
        <v>511.194</v>
      </c>
      <c r="BL138" s="43" t="n">
        <f aca="false">BL136+BL137</f>
        <v>2090.001</v>
      </c>
      <c r="BM138" s="43" t="n">
        <f aca="false">BM136+BM137</f>
        <v>530.596</v>
      </c>
      <c r="BN138" s="43" t="n">
        <f aca="false">BN136+BN137</f>
        <v>509.319</v>
      </c>
      <c r="BO138" s="43" t="n">
        <f aca="false">BO136+BO137</f>
        <v>555.134</v>
      </c>
      <c r="BP138" s="43" t="n">
        <f aca="false">BP136+BP137</f>
        <v>500.824</v>
      </c>
      <c r="BQ138" s="43" t="n">
        <f aca="false">BQ136+BQ137</f>
        <v>2095.873</v>
      </c>
      <c r="BR138" s="43" t="n">
        <f aca="false">BR136+BR137</f>
        <v>496.235</v>
      </c>
      <c r="BS138" s="43" t="n">
        <f aca="false">BS136+BS137</f>
        <v>477.312</v>
      </c>
      <c r="BT138" s="43" t="n">
        <f aca="false">BT136+BT137</f>
        <v>485.241</v>
      </c>
      <c r="BU138" s="43" t="n">
        <f aca="false">BU136+BU137</f>
        <v>475.661</v>
      </c>
      <c r="BV138" s="43" t="n">
        <f aca="false">BV136+BV137</f>
        <v>1934.449</v>
      </c>
      <c r="BW138" s="43" t="n">
        <f aca="false">BW136+BW137</f>
        <v>484.807</v>
      </c>
      <c r="BX138" s="43" t="n">
        <f aca="false">BX136+BX137</f>
        <v>482.223</v>
      </c>
      <c r="BY138" s="49" t="n">
        <f aca="false">BY136+BY137</f>
        <v>482.486317771702</v>
      </c>
      <c r="BZ138" s="49" t="n">
        <f aca="false">BZ136+BZ137</f>
        <v>472.643505759914</v>
      </c>
      <c r="CA138" s="49" t="n">
        <f aca="false">CA136+CA137</f>
        <v>1922.15982353162</v>
      </c>
      <c r="CB138" s="49" t="n">
        <f aca="false">CB136+CB137</f>
        <v>1932.64869664144</v>
      </c>
      <c r="CC138" s="49" t="n">
        <f aca="false">CC136+CC137</f>
        <v>2024.95545019914</v>
      </c>
      <c r="CD138" s="49" t="n">
        <f aca="false">CD136+CD137</f>
        <v>2124.32910927091</v>
      </c>
      <c r="CE138" s="49" t="n">
        <f aca="false">CE136+CE137</f>
        <v>2250.19250111242</v>
      </c>
    </row>
    <row r="139" customFormat="false" ht="15" hidden="false" customHeight="false" outlineLevel="0" collapsed="false">
      <c r="B139" s="51" t="s">
        <v>259</v>
      </c>
      <c r="C139" s="52" t="n">
        <f aca="false">C133-C138</f>
        <v>417.845000000001</v>
      </c>
      <c r="D139" s="52" t="n">
        <f aca="false">D133-D138</f>
        <v>509.683999999999</v>
      </c>
      <c r="E139" s="52" t="n">
        <f aca="false">E133-E138</f>
        <v>571.586000000001</v>
      </c>
      <c r="F139" s="52" t="n">
        <f aca="false">F133-F138</f>
        <v>584.811</v>
      </c>
      <c r="G139" s="52" t="n">
        <f aca="false">G133-G138</f>
        <v>622.860000000001</v>
      </c>
      <c r="H139" s="52" t="n">
        <f aca="false">H133-H138</f>
        <v>692.73</v>
      </c>
      <c r="I139" s="52" t="n">
        <f aca="false">I133-I138</f>
        <v>675.319999999998</v>
      </c>
      <c r="J139" s="52" t="n">
        <f aca="false">J133-J138</f>
        <v>168.706</v>
      </c>
      <c r="K139" s="52" t="n">
        <f aca="false">K133-K138</f>
        <v>182.476</v>
      </c>
      <c r="L139" s="52" t="n">
        <f aca="false">L133-L138</f>
        <v>176.355</v>
      </c>
      <c r="M139" s="52" t="n">
        <f aca="false">M133-M138</f>
        <v>155.113</v>
      </c>
      <c r="N139" s="52" t="n">
        <f aca="false">N133-N138</f>
        <v>682.649999999999</v>
      </c>
      <c r="O139" s="52" t="n">
        <f aca="false">O133-O138</f>
        <v>156.971</v>
      </c>
      <c r="P139" s="52" t="n">
        <f aca="false">P133-P138</f>
        <v>200.382</v>
      </c>
      <c r="Q139" s="52" t="n">
        <f aca="false">Q133-Q138</f>
        <v>203.337</v>
      </c>
      <c r="R139" s="52" t="n">
        <f aca="false">R133-R138</f>
        <v>187.728</v>
      </c>
      <c r="S139" s="52" t="n">
        <f aca="false">S133-S138</f>
        <v>748.417999999998</v>
      </c>
      <c r="T139" s="52" t="n">
        <f aca="false">T133-T138</f>
        <v>181.925</v>
      </c>
      <c r="U139" s="52" t="n">
        <f aca="false">U133-U138</f>
        <v>229.095</v>
      </c>
      <c r="V139" s="52" t="n">
        <f aca="false">V133-V138</f>
        <v>232.711</v>
      </c>
      <c r="W139" s="52" t="n">
        <f aca="false">W133-W138</f>
        <v>214.579</v>
      </c>
      <c r="X139" s="52" t="n">
        <f aca="false">X133-X138</f>
        <v>858.31</v>
      </c>
      <c r="Y139" s="52" t="n">
        <f aca="false">Y133-Y138</f>
        <v>198.952</v>
      </c>
      <c r="Z139" s="52" t="n">
        <f aca="false">Z133-Z138</f>
        <v>233.747</v>
      </c>
      <c r="AA139" s="52" t="n">
        <f aca="false">AA133-AA138</f>
        <v>211.267</v>
      </c>
      <c r="AB139" s="52" t="n">
        <f aca="false">AB133-AB138</f>
        <v>193.565</v>
      </c>
      <c r="AC139" s="52" t="n">
        <f aca="false">AC133-AC138</f>
        <v>837.531000000002</v>
      </c>
      <c r="AD139" s="52" t="n">
        <f aca="false">AD133-AD138</f>
        <v>187.958</v>
      </c>
      <c r="AE139" s="52" t="n">
        <f aca="false">AE133-AE138</f>
        <v>181.82</v>
      </c>
      <c r="AF139" s="52" t="n">
        <f aca="false">AF133-AF138</f>
        <v>194.465</v>
      </c>
      <c r="AG139" s="52" t="n">
        <f aca="false">AG133-AG138</f>
        <v>210.876</v>
      </c>
      <c r="AH139" s="52" t="n">
        <f aca="false">AH133-AH138</f>
        <v>775.118999999997</v>
      </c>
      <c r="AI139" s="52" t="n">
        <f aca="false">AI133-AI138</f>
        <v>191.585</v>
      </c>
      <c r="AJ139" s="52" t="n">
        <f aca="false">AJ133-AJ138</f>
        <v>219.008</v>
      </c>
      <c r="AK139" s="52" t="n">
        <f aca="false">AK133-AK138</f>
        <v>245.973</v>
      </c>
      <c r="AL139" s="52" t="n">
        <f aca="false">AL133-AL138</f>
        <v>255.517</v>
      </c>
      <c r="AM139" s="52" t="n">
        <f aca="false">AM133-AM138</f>
        <v>912.082999999999</v>
      </c>
      <c r="AN139" s="52" t="n">
        <f aca="false">AN133-AN138</f>
        <v>224.55</v>
      </c>
      <c r="AO139" s="52" t="n">
        <f aca="false">AO133-AO138</f>
        <v>227.535</v>
      </c>
      <c r="AP139" s="52" t="n">
        <f aca="false">AP133-AP138</f>
        <v>201.085</v>
      </c>
      <c r="AQ139" s="52" t="n">
        <f aca="false">AQ133-AQ138</f>
        <v>136.806</v>
      </c>
      <c r="AR139" s="52" t="n">
        <f aca="false">AR133-AR138</f>
        <v>789.975999999999</v>
      </c>
      <c r="AS139" s="52" t="n">
        <f aca="false">AS133-AS138</f>
        <v>109.44</v>
      </c>
      <c r="AT139" s="52" t="n">
        <f aca="false">AT133-AT138</f>
        <v>188.787</v>
      </c>
      <c r="AU139" s="52" t="n">
        <f aca="false">AU133-AU138</f>
        <v>168.239</v>
      </c>
      <c r="AV139" s="52" t="n">
        <f aca="false">AV133-AV138</f>
        <v>206.802</v>
      </c>
      <c r="AW139" s="52" t="n">
        <f aca="false">AW133-AW138</f>
        <v>673.268</v>
      </c>
      <c r="AX139" s="52" t="n">
        <f aca="false">AX133-AX138</f>
        <v>223.329</v>
      </c>
      <c r="AY139" s="52" t="n">
        <f aca="false">AY133-AY138</f>
        <v>260.604</v>
      </c>
      <c r="AZ139" s="52" t="n">
        <f aca="false">AZ133-AZ138</f>
        <v>310.768999999999</v>
      </c>
      <c r="BA139" s="52" t="n">
        <f aca="false">BA133-BA138</f>
        <v>287.406</v>
      </c>
      <c r="BB139" s="52" t="n">
        <f aca="false">BB133-BB138</f>
        <v>1082.108</v>
      </c>
      <c r="BC139" s="52" t="n">
        <f aca="false">BC133-BC138</f>
        <v>345.474</v>
      </c>
      <c r="BD139" s="52" t="n">
        <f aca="false">BD133-BD138</f>
        <v>469.665</v>
      </c>
      <c r="BE139" s="52" t="n">
        <f aca="false">BE133-BE138</f>
        <v>287.609</v>
      </c>
      <c r="BF139" s="52" t="n">
        <f aca="false">BF133-BF138</f>
        <v>164.034</v>
      </c>
      <c r="BG139" s="52" t="n">
        <f aca="false">BG133-BG138</f>
        <v>1266.782</v>
      </c>
      <c r="BH139" s="52" t="n">
        <f aca="false">BH133-BH138</f>
        <v>161.033</v>
      </c>
      <c r="BI139" s="52" t="n">
        <f aca="false">BI133-BI138</f>
        <v>132.623</v>
      </c>
      <c r="BJ139" s="52" t="n">
        <f aca="false">BJ133-BJ138</f>
        <v>113.522</v>
      </c>
      <c r="BK139" s="52" t="n">
        <f aca="false">BK133-BK138</f>
        <v>107.429</v>
      </c>
      <c r="BL139" s="52" t="n">
        <f aca="false">BL133-BL138</f>
        <v>514.607</v>
      </c>
      <c r="BM139" s="52" t="n">
        <f aca="false">BM133-BM138</f>
        <v>127.132999999999</v>
      </c>
      <c r="BN139" s="52" t="n">
        <f aca="false">BN133-BN138</f>
        <v>178.09</v>
      </c>
      <c r="BO139" s="52" t="n">
        <f aca="false">BO133-BO138</f>
        <v>180.119</v>
      </c>
      <c r="BP139" s="52" t="n">
        <f aca="false">BP133-BP138</f>
        <v>183.799</v>
      </c>
      <c r="BQ139" s="52" t="n">
        <f aca="false">BQ133-BQ138</f>
        <v>669.140999999999</v>
      </c>
      <c r="BR139" s="52" t="n">
        <f aca="false">BR133-BR138</f>
        <v>176.853</v>
      </c>
      <c r="BS139" s="52" t="n">
        <f aca="false">BS133-BS138</f>
        <v>215.919</v>
      </c>
      <c r="BT139" s="52" t="n">
        <f aca="false">BT133-BT138</f>
        <v>220.835999999999</v>
      </c>
      <c r="BU139" s="52" t="n">
        <f aca="false">BU133-BU138</f>
        <v>181.353</v>
      </c>
      <c r="BV139" s="52" t="n">
        <f aca="false">BV133-BV138</f>
        <v>794.961</v>
      </c>
      <c r="BW139" s="52" t="n">
        <f aca="false">BW133-BW138</f>
        <v>175.686</v>
      </c>
      <c r="BX139" s="52" t="n">
        <f aca="false">BX133-BX138</f>
        <v>255.743</v>
      </c>
      <c r="BY139" s="52" t="n">
        <f aca="false">BY133-BY138</f>
        <v>279.701472221602</v>
      </c>
      <c r="BZ139" s="52" t="n">
        <f aca="false">BZ133-BZ138</f>
        <v>236.620527778396</v>
      </c>
      <c r="CA139" s="52" t="n">
        <f aca="false">CA133-CA138</f>
        <v>947.751</v>
      </c>
      <c r="CB139" s="52" t="n">
        <f aca="false">CB133-CB138</f>
        <v>1097.9566283493</v>
      </c>
      <c r="CC139" s="52" t="n">
        <f aca="false">CC133-CC138</f>
        <v>1194.14915759875</v>
      </c>
      <c r="CD139" s="52" t="n">
        <f aca="false">CD133-CD138</f>
        <v>1283.45430512775</v>
      </c>
      <c r="CE139" s="52" t="n">
        <f aca="false">CE133-CE138</f>
        <v>1361.71108281689</v>
      </c>
      <c r="CF139" s="6"/>
      <c r="CH139" s="33" t="n">
        <f aca="false">IFERROR((CE139/BV139)^(1/5)-1,"n/m")</f>
        <v>0.113647713707797</v>
      </c>
      <c r="CI139" s="33" t="n">
        <f aca="false">IFERROR((BV139/AW139)^(1/5)-1,"n/m")</f>
        <v>0.0337881983371839</v>
      </c>
      <c r="CJ139" s="33" t="n">
        <f aca="false">IFERROR((BV139/X139)^(1/10)-1,"n/m")</f>
        <v>-0.00763791005765946</v>
      </c>
      <c r="CK139" s="33" t="n">
        <f aca="false">IFERROR((BV139/C139)^(1/19)-1,"n/m")</f>
        <v>0.0344312004491056</v>
      </c>
    </row>
    <row r="140" customFormat="false" ht="15" hidden="false" customHeight="false" outlineLevel="0" collapsed="false">
      <c r="B140" s="46" t="s">
        <v>260</v>
      </c>
      <c r="C140" s="47" t="n">
        <f aca="false">IF(ISNUMBER(C141),ROUND(C139-C141,1),"")</f>
        <v>0</v>
      </c>
      <c r="D140" s="47" t="n">
        <f aca="false">IF(ISNUMBER(D141),ROUND(D139-D141,1),"")</f>
        <v>0</v>
      </c>
      <c r="E140" s="47" t="n">
        <f aca="false">IF(ISNUMBER(E141),ROUND(E139-E141,1),"")</f>
        <v>0</v>
      </c>
      <c r="F140" s="47" t="n">
        <f aca="false">IF(ISNUMBER(F141),ROUND(F139-F141,1),"")</f>
        <v>0</v>
      </c>
      <c r="G140" s="47" t="n">
        <f aca="false">IF(ISNUMBER(G141),ROUND(G139-G141,1),"")</f>
        <v>0</v>
      </c>
      <c r="H140" s="47" t="n">
        <f aca="false">IF(ISNUMBER(H141),ROUND(H139-H141,1),"")</f>
        <v>0</v>
      </c>
      <c r="I140" s="47" t="n">
        <f aca="false">IF(ISNUMBER(I141),ROUND(I139-I141,1),"")</f>
        <v>0</v>
      </c>
      <c r="J140" s="47" t="n">
        <f aca="false">IF(ISNUMBER(J141),ROUND(J139-J141,1),"")</f>
        <v>0</v>
      </c>
      <c r="K140" s="47" t="n">
        <f aca="false">IF(ISNUMBER(K141),ROUND(K139-K141,1),"")</f>
        <v>0</v>
      </c>
      <c r="L140" s="47" t="n">
        <f aca="false">IF(ISNUMBER(L141),ROUND(L139-L141,1),"")</f>
        <v>0</v>
      </c>
      <c r="M140" s="47" t="n">
        <f aca="false">IF(ISNUMBER(M141),ROUND(M139-M141,1),"")</f>
        <v>0</v>
      </c>
      <c r="N140" s="47" t="n">
        <f aca="false">IF(ISNUMBER(N141),ROUND(N139-N141,1),"")</f>
        <v>0</v>
      </c>
      <c r="O140" s="47" t="n">
        <f aca="false">IF(ISNUMBER(O141),ROUND(O139-O141,1),"")</f>
        <v>0</v>
      </c>
      <c r="P140" s="47" t="n">
        <f aca="false">IF(ISNUMBER(P141),ROUND(P139-P141,1),"")</f>
        <v>0</v>
      </c>
      <c r="Q140" s="47" t="n">
        <f aca="false">IF(ISNUMBER(Q141),ROUND(Q139-Q141,1),"")</f>
        <v>0</v>
      </c>
      <c r="R140" s="47" t="n">
        <f aca="false">IF(ISNUMBER(R141),ROUND(R139-R141,1),"")</f>
        <v>0</v>
      </c>
      <c r="S140" s="47" t="n">
        <f aca="false">IF(ISNUMBER(S141),ROUND(S139-S141,1),"")</f>
        <v>0</v>
      </c>
      <c r="T140" s="47" t="n">
        <f aca="false">IF(ISNUMBER(T141),ROUND(T139-T141,1),"")</f>
        <v>0</v>
      </c>
      <c r="U140" s="47" t="n">
        <f aca="false">IF(ISNUMBER(U141),ROUND(U139-U141,1),"")</f>
        <v>0</v>
      </c>
      <c r="V140" s="47" t="n">
        <f aca="false">IF(ISNUMBER(V141),ROUND(V139-V141,1),"")</f>
        <v>0</v>
      </c>
      <c r="W140" s="47" t="n">
        <f aca="false">IF(ISNUMBER(W141),ROUND(W139-W141,1),"")</f>
        <v>0</v>
      </c>
      <c r="X140" s="47" t="n">
        <f aca="false">IF(ISNUMBER(X141),ROUND(X139-X141,1),"")</f>
        <v>0</v>
      </c>
      <c r="Y140" s="47" t="n">
        <f aca="false">IF(ISNUMBER(Y141),ROUND(Y139-Y141,1),"")</f>
        <v>0</v>
      </c>
      <c r="Z140" s="47" t="n">
        <f aca="false">IF(ISNUMBER(Z141),ROUND(Z139-Z141,1),"")</f>
        <v>0</v>
      </c>
      <c r="AA140" s="47" t="n">
        <f aca="false">IF(ISNUMBER(AA141),ROUND(AA139-AA141,1),"")</f>
        <v>0</v>
      </c>
      <c r="AB140" s="47" t="n">
        <f aca="false">IF(ISNUMBER(AB141),ROUND(AB139-AB141,1),"")</f>
        <v>0</v>
      </c>
      <c r="AC140" s="47" t="n">
        <f aca="false">IF(ISNUMBER(AC141),ROUND(AC139-AC141,1),"")</f>
        <v>0</v>
      </c>
      <c r="AD140" s="47" t="n">
        <f aca="false">IF(ISNUMBER(AD141),ROUND(AD139-AD141,1),"")</f>
        <v>0</v>
      </c>
      <c r="AE140" s="47" t="n">
        <f aca="false">IF(ISNUMBER(AE141),ROUND(AE139-AE141,1),"")</f>
        <v>0</v>
      </c>
      <c r="AF140" s="47" t="n">
        <f aca="false">IF(ISNUMBER(AF141),ROUND(AF139-AF141,1),"")</f>
        <v>0</v>
      </c>
      <c r="AG140" s="47" t="n">
        <f aca="false">IF(ISNUMBER(AG141),ROUND(AG139-AG141,1),"")</f>
        <v>0</v>
      </c>
      <c r="AH140" s="47" t="n">
        <f aca="false">IF(ISNUMBER(AH141),ROUND(AH139-AH141,1),"")</f>
        <v>0</v>
      </c>
      <c r="AI140" s="47" t="n">
        <f aca="false">IF(ISNUMBER(AI141),ROUND(AI139-AI141,1),"")</f>
        <v>0</v>
      </c>
      <c r="AJ140" s="47" t="n">
        <f aca="false">IF(ISNUMBER(AJ141),ROUND(AJ139-AJ141,1),"")</f>
        <v>0</v>
      </c>
      <c r="AK140" s="47" t="n">
        <f aca="false">IF(ISNUMBER(AK141),ROUND(AK139-AK141,1),"")</f>
        <v>0</v>
      </c>
      <c r="AL140" s="47" t="n">
        <f aca="false">IF(ISNUMBER(AL141),ROUND(AL139-AL141,1),"")</f>
        <v>0</v>
      </c>
      <c r="AM140" s="47" t="n">
        <f aca="false">IF(ISNUMBER(AM141),ROUND(AM139-AM141,1),"")</f>
        <v>0</v>
      </c>
      <c r="AN140" s="47" t="n">
        <f aca="false">IF(ISNUMBER(AN141),ROUND(AN139-AN141,1),"")</f>
        <v>0</v>
      </c>
      <c r="AO140" s="47" t="n">
        <f aca="false">IF(ISNUMBER(AO141),ROUND(AO139-AO141,1),"")</f>
        <v>0</v>
      </c>
      <c r="AP140" s="47" t="n">
        <f aca="false">IF(ISNUMBER(AP141),ROUND(AP139-AP141,1),"")</f>
        <v>0</v>
      </c>
      <c r="AQ140" s="47" t="n">
        <f aca="false">IF(ISNUMBER(AQ141),ROUND(AQ139-AQ141,1),"")</f>
        <v>0</v>
      </c>
      <c r="AR140" s="47" t="n">
        <f aca="false">IF(ISNUMBER(AR141),ROUND(AR139-AR141,1),"")</f>
        <v>0</v>
      </c>
      <c r="AS140" s="47" t="n">
        <f aca="false">IF(ISNUMBER(AS141),ROUND(AS139-AS141,1),"")</f>
        <v>0</v>
      </c>
      <c r="AT140" s="47" t="n">
        <f aca="false">IF(ISNUMBER(AT141),ROUND(AT139-AT141,1),"")</f>
        <v>0</v>
      </c>
      <c r="AU140" s="47" t="n">
        <f aca="false">IF(ISNUMBER(AU141),ROUND(AU139-AU141,1),"")</f>
        <v>0</v>
      </c>
      <c r="AV140" s="47" t="n">
        <f aca="false">IF(ISNUMBER(AV141),ROUND(AV139-AV141,1),"")</f>
        <v>0</v>
      </c>
      <c r="AW140" s="47" t="n">
        <f aca="false">IF(ISNUMBER(AW141),ROUND(AW139-AW141,1),"")</f>
        <v>0</v>
      </c>
      <c r="AX140" s="47" t="n">
        <f aca="false">IF(ISNUMBER(AX141),ROUND(AX139-AX141,1),"")</f>
        <v>0</v>
      </c>
      <c r="AY140" s="47" t="n">
        <f aca="false">IF(ISNUMBER(AY141),ROUND(AY139-AY141,1),"")</f>
        <v>0</v>
      </c>
      <c r="AZ140" s="47" t="n">
        <f aca="false">IF(ISNUMBER(AZ141),ROUND(AZ139-AZ141,1),"")</f>
        <v>0</v>
      </c>
      <c r="BA140" s="47" t="n">
        <f aca="false">IF(ISNUMBER(BA141),ROUND(BA139-BA141,1),"")</f>
        <v>0</v>
      </c>
      <c r="BB140" s="47" t="n">
        <f aca="false">IF(ISNUMBER(BB141),ROUND(BB139-BB141,1),"")</f>
        <v>0</v>
      </c>
      <c r="BC140" s="47" t="n">
        <f aca="false">IF(ISNUMBER(BC141),ROUND(BC139-BC141,1),"")</f>
        <v>0</v>
      </c>
      <c r="BD140" s="47" t="n">
        <f aca="false">IF(ISNUMBER(BD141),ROUND(BD139-BD141,1),"")</f>
        <v>0</v>
      </c>
      <c r="BE140" s="47" t="n">
        <f aca="false">IF(ISNUMBER(BE141),ROUND(BE139-BE141,1),"")</f>
        <v>0</v>
      </c>
      <c r="BF140" s="47" t="n">
        <f aca="false">IF(ISNUMBER(BF141),ROUND(BF139-BF141,1),"")</f>
        <v>0</v>
      </c>
      <c r="BG140" s="47" t="n">
        <f aca="false">IF(ISNUMBER(BG141),ROUND(BG139-BG141,1),"")</f>
        <v>0</v>
      </c>
      <c r="BH140" s="47" t="n">
        <f aca="false">IF(ISNUMBER(BH141),ROUND(BH139-BH141,1),"")</f>
        <v>0</v>
      </c>
      <c r="BI140" s="47" t="n">
        <f aca="false">IF(ISNUMBER(BI141),ROUND(BI139-BI141,1),"")</f>
        <v>0</v>
      </c>
      <c r="BJ140" s="47" t="n">
        <f aca="false">IF(ISNUMBER(BJ141),ROUND(BJ139-BJ141,1),"")</f>
        <v>0</v>
      </c>
      <c r="BK140" s="47" t="n">
        <f aca="false">IF(ISNUMBER(BK141),ROUND(BK139-BK141,1),"")</f>
        <v>0</v>
      </c>
      <c r="BL140" s="47" t="n">
        <f aca="false">IF(ISNUMBER(BL141),ROUND(BL139-BL141,1),"")</f>
        <v>0</v>
      </c>
      <c r="BM140" s="47" t="n">
        <f aca="false">IF(ISNUMBER(BM141),ROUND(BM139-BM141,1),"")</f>
        <v>-0</v>
      </c>
      <c r="BN140" s="47" t="n">
        <f aca="false">IF(ISNUMBER(BN141),ROUND(BN139-BN141,1),"")</f>
        <v>0</v>
      </c>
      <c r="BO140" s="47" t="n">
        <f aca="false">IF(ISNUMBER(BO141),ROUND(BO139-BO141,1),"")</f>
        <v>0</v>
      </c>
      <c r="BP140" s="47" t="n">
        <f aca="false">IF(ISNUMBER(BP141),ROUND(BP139-BP141,1),"")</f>
        <v>0</v>
      </c>
      <c r="BQ140" s="47" t="n">
        <f aca="false">IF(ISNUMBER(BQ141),ROUND(BQ139-BQ141,1),"")</f>
        <v>0</v>
      </c>
      <c r="BR140" s="47" t="n">
        <f aca="false">IF(ISNUMBER(BR141),ROUND(BR139-BR141,1),"")</f>
        <v>0</v>
      </c>
      <c r="BS140" s="47" t="n">
        <f aca="false">IF(ISNUMBER(BS141),ROUND(BS139-BS141,1),"")</f>
        <v>0</v>
      </c>
      <c r="BT140" s="47" t="n">
        <f aca="false">IF(ISNUMBER(BT141),ROUND(BT139-BT141,1),"")</f>
        <v>0</v>
      </c>
      <c r="BU140" s="47" t="n">
        <f aca="false">IF(ISNUMBER(BU141),ROUND(BU139-BU141,1),"")</f>
        <v>0</v>
      </c>
      <c r="BV140" s="47" t="n">
        <f aca="false">IF(ISNUMBER(BV141),ROUND(BV139-BV141,1),"")</f>
        <v>0</v>
      </c>
      <c r="BW140" s="47" t="n">
        <f aca="false">IF(ISNUMBER(BW141),ROUND(BW139-BW141,1),"")</f>
        <v>0</v>
      </c>
      <c r="BX140" s="47" t="n">
        <f aca="false">IF(ISNUMBER(BX141),ROUND(BX139-BX141,1),"")</f>
        <v>0</v>
      </c>
    </row>
    <row r="141" customFormat="false" ht="15" hidden="false" customHeight="false" outlineLevel="0" collapsed="false">
      <c r="B141" s="54" t="s">
        <v>261</v>
      </c>
      <c r="C141" s="37" t="n">
        <v>417.845</v>
      </c>
      <c r="D141" s="37" t="n">
        <v>509.684</v>
      </c>
      <c r="E141" s="37" t="n">
        <v>571.586</v>
      </c>
      <c r="F141" s="37" t="n">
        <v>584.811</v>
      </c>
      <c r="G141" s="37" t="n">
        <v>622.86</v>
      </c>
      <c r="H141" s="37" t="n">
        <v>692.73</v>
      </c>
      <c r="I141" s="37" t="n">
        <v>675.32</v>
      </c>
      <c r="J141" s="37" t="n">
        <v>168.706</v>
      </c>
      <c r="K141" s="37" t="n">
        <v>182.476</v>
      </c>
      <c r="L141" s="37" t="n">
        <v>176.355</v>
      </c>
      <c r="M141" s="37" t="n">
        <v>155.113</v>
      </c>
      <c r="N141" s="37" t="n">
        <v>682.65</v>
      </c>
      <c r="O141" s="37" t="n">
        <v>156.971</v>
      </c>
      <c r="P141" s="37" t="n">
        <v>200.382</v>
      </c>
      <c r="Q141" s="37" t="n">
        <v>203.337</v>
      </c>
      <c r="R141" s="37" t="n">
        <v>187.728</v>
      </c>
      <c r="S141" s="37" t="n">
        <v>748.418</v>
      </c>
      <c r="T141" s="37" t="n">
        <v>181.925</v>
      </c>
      <c r="U141" s="37" t="n">
        <v>229.095</v>
      </c>
      <c r="V141" s="37" t="n">
        <v>232.711</v>
      </c>
      <c r="W141" s="37" t="n">
        <v>214.579</v>
      </c>
      <c r="X141" s="37" t="n">
        <v>858.31</v>
      </c>
      <c r="Y141" s="37" t="n">
        <v>198.952</v>
      </c>
      <c r="Z141" s="37" t="n">
        <v>233.747</v>
      </c>
      <c r="AA141" s="37" t="n">
        <v>211.267</v>
      </c>
      <c r="AB141" s="37" t="n">
        <v>193.565</v>
      </c>
      <c r="AC141" s="37" t="n">
        <v>837.531</v>
      </c>
      <c r="AD141" s="37" t="n">
        <v>187.958</v>
      </c>
      <c r="AE141" s="37" t="n">
        <v>181.82</v>
      </c>
      <c r="AF141" s="37" t="n">
        <v>194.465</v>
      </c>
      <c r="AG141" s="37" t="n">
        <v>210.876</v>
      </c>
      <c r="AH141" s="37" t="n">
        <v>775.119</v>
      </c>
      <c r="AI141" s="37" t="n">
        <v>191.585</v>
      </c>
      <c r="AJ141" s="37" t="n">
        <v>219.008</v>
      </c>
      <c r="AK141" s="37" t="n">
        <v>245.973</v>
      </c>
      <c r="AL141" s="37" t="n">
        <v>255.517</v>
      </c>
      <c r="AM141" s="37" t="n">
        <v>912.083</v>
      </c>
      <c r="AN141" s="37" t="n">
        <v>224.55</v>
      </c>
      <c r="AO141" s="37" t="n">
        <v>227.535</v>
      </c>
      <c r="AP141" s="37" t="n">
        <v>201.085</v>
      </c>
      <c r="AQ141" s="37" t="n">
        <v>136.806</v>
      </c>
      <c r="AR141" s="37" t="n">
        <v>789.976</v>
      </c>
      <c r="AS141" s="37" t="n">
        <v>109.44</v>
      </c>
      <c r="AT141" s="37" t="n">
        <v>188.787</v>
      </c>
      <c r="AU141" s="37" t="n">
        <v>168.239</v>
      </c>
      <c r="AV141" s="37" t="n">
        <v>206.802</v>
      </c>
      <c r="AW141" s="37" t="n">
        <v>673.268</v>
      </c>
      <c r="AX141" s="37" t="n">
        <v>223.329</v>
      </c>
      <c r="AY141" s="37" t="n">
        <v>260.604</v>
      </c>
      <c r="AZ141" s="37" t="n">
        <v>310.769</v>
      </c>
      <c r="BA141" s="37" t="n">
        <v>287.406</v>
      </c>
      <c r="BB141" s="37" t="n">
        <v>1082.108</v>
      </c>
      <c r="BC141" s="37" t="n">
        <v>345.474</v>
      </c>
      <c r="BD141" s="37" t="n">
        <v>469.665</v>
      </c>
      <c r="BE141" s="37" t="n">
        <v>287.609</v>
      </c>
      <c r="BF141" s="37" t="n">
        <v>164.034</v>
      </c>
      <c r="BG141" s="37" t="n">
        <v>1266.782</v>
      </c>
      <c r="BH141" s="37" t="n">
        <v>161.033</v>
      </c>
      <c r="BI141" s="37" t="n">
        <v>132.623</v>
      </c>
      <c r="BJ141" s="37" t="n">
        <v>113.522</v>
      </c>
      <c r="BK141" s="37" t="n">
        <v>107.429</v>
      </c>
      <c r="BL141" s="37" t="n">
        <v>514.607</v>
      </c>
      <c r="BM141" s="37" t="n">
        <v>127.133</v>
      </c>
      <c r="BN141" s="37" t="n">
        <v>178.09</v>
      </c>
      <c r="BO141" s="37" t="n">
        <v>180.119</v>
      </c>
      <c r="BP141" s="37" t="n">
        <v>183.799</v>
      </c>
      <c r="BQ141" s="37" t="n">
        <v>669.141</v>
      </c>
      <c r="BR141" s="37" t="n">
        <v>176.853</v>
      </c>
      <c r="BS141" s="37" t="n">
        <v>215.919</v>
      </c>
      <c r="BT141" s="37" t="n">
        <v>220.836</v>
      </c>
      <c r="BU141" s="37" t="n">
        <v>181.353</v>
      </c>
      <c r="BV141" s="37" t="n">
        <v>794.961</v>
      </c>
      <c r="BW141" s="37" t="n">
        <v>175.686</v>
      </c>
      <c r="BX141" s="37" t="n">
        <v>255.743</v>
      </c>
      <c r="BY141" s="6"/>
      <c r="BZ141" s="6"/>
      <c r="CA141" s="6"/>
      <c r="CB141" s="6"/>
      <c r="CC141" s="6"/>
      <c r="CD141" s="6"/>
      <c r="CE141" s="6"/>
    </row>
    <row r="142" customFormat="false" ht="15" hidden="false" customHeight="false" outlineLevel="0" collapsed="false">
      <c r="B142" s="28" t="s">
        <v>262</v>
      </c>
      <c r="C142" s="37" t="n">
        <v>11.843</v>
      </c>
      <c r="D142" s="37" t="n">
        <v>13.83</v>
      </c>
      <c r="E142" s="37" t="n">
        <v>6.801</v>
      </c>
      <c r="F142" s="37" t="n">
        <v>2.25</v>
      </c>
      <c r="G142" s="37" t="n">
        <v>1.242</v>
      </c>
      <c r="H142" s="37" t="n">
        <v>1.974</v>
      </c>
      <c r="I142" s="37" t="n">
        <v>283.142</v>
      </c>
      <c r="J142" s="37" t="n">
        <v>-0.06</v>
      </c>
      <c r="K142" s="37" t="n">
        <v>-0.589</v>
      </c>
      <c r="L142" s="37" t="n">
        <v>-2.635</v>
      </c>
      <c r="M142" s="37" t="n">
        <v>-6.005</v>
      </c>
      <c r="N142" s="37" t="n">
        <v>-9.289</v>
      </c>
      <c r="O142" s="37" t="n">
        <v>-6.131</v>
      </c>
      <c r="P142" s="37" t="n">
        <v>-6.252</v>
      </c>
      <c r="Q142" s="37" t="n">
        <v>-6.204</v>
      </c>
      <c r="R142" s="37" t="n">
        <v>-6.4</v>
      </c>
      <c r="S142" s="37" t="n">
        <v>-24.987</v>
      </c>
      <c r="T142" s="37" t="n">
        <v>-9.605</v>
      </c>
      <c r="U142" s="37" t="n">
        <v>-5.894</v>
      </c>
      <c r="V142" s="37" t="n">
        <v>-6.559</v>
      </c>
      <c r="W142" s="37" t="n">
        <v>-13.471</v>
      </c>
      <c r="X142" s="37" t="n">
        <v>-35.529</v>
      </c>
      <c r="Y142" s="37" t="n">
        <v>-8.772</v>
      </c>
      <c r="Z142" s="37" t="n">
        <v>-6.265</v>
      </c>
      <c r="AA142" s="37" t="n">
        <v>-7.426</v>
      </c>
      <c r="AB142" s="37" t="n">
        <v>-3.118</v>
      </c>
      <c r="AC142" s="37" t="n">
        <v>-25.581</v>
      </c>
      <c r="AD142" s="37" t="n">
        <v>-9.302</v>
      </c>
      <c r="AE142" s="37" t="n">
        <v>-9.368</v>
      </c>
      <c r="AF142" s="37" t="n">
        <v>-10.484</v>
      </c>
      <c r="AG142" s="37" t="n">
        <v>-17.502</v>
      </c>
      <c r="AH142" s="37" t="n">
        <v>-46.656</v>
      </c>
      <c r="AI142" s="37" t="n">
        <v>-10.7</v>
      </c>
      <c r="AJ142" s="37" t="n">
        <v>-5.128</v>
      </c>
      <c r="AK142" s="37" t="n">
        <v>-6.526</v>
      </c>
      <c r="AL142" s="37" t="n">
        <v>-9.456</v>
      </c>
      <c r="AM142" s="37" t="n">
        <v>-31.81</v>
      </c>
      <c r="AN142" s="37" t="n">
        <v>-17.14</v>
      </c>
      <c r="AO142" s="37" t="n">
        <v>-6.615</v>
      </c>
      <c r="AP142" s="37" t="n">
        <v>-13.18</v>
      </c>
      <c r="AQ142" s="37" t="n">
        <v>-10.784</v>
      </c>
      <c r="AR142" s="37" t="n">
        <v>-47.719</v>
      </c>
      <c r="AS142" s="37" t="n">
        <v>-15.228</v>
      </c>
      <c r="AT142" s="37" t="n">
        <v>-10.211</v>
      </c>
      <c r="AU142" s="37" t="n">
        <v>-7.465</v>
      </c>
      <c r="AV142" s="37" t="n">
        <v>-12.033</v>
      </c>
      <c r="AW142" s="37" t="n">
        <v>-44.937</v>
      </c>
      <c r="AX142" s="37" t="n">
        <v>-11.26</v>
      </c>
      <c r="AY142" s="37" t="n">
        <v>-13.497</v>
      </c>
      <c r="AZ142" s="37" t="n">
        <v>-16.662</v>
      </c>
      <c r="BA142" s="37" t="n">
        <v>-18.398</v>
      </c>
      <c r="BB142" s="37" t="n">
        <v>-59.817</v>
      </c>
      <c r="BC142" s="37" t="n">
        <v>-14.174</v>
      </c>
      <c r="BD142" s="37" t="n">
        <v>-27.395</v>
      </c>
      <c r="BE142" s="37" t="n">
        <v>-15.972</v>
      </c>
      <c r="BF142" s="37" t="n">
        <v>-42.476</v>
      </c>
      <c r="BG142" s="37" t="n">
        <v>-100.017</v>
      </c>
      <c r="BH142" s="37" t="n">
        <v>-28.265</v>
      </c>
      <c r="BI142" s="37" t="n">
        <v>-18.259</v>
      </c>
      <c r="BJ142" s="37" t="n">
        <v>-20.748</v>
      </c>
      <c r="BK142" s="37" t="n">
        <v>-38.149</v>
      </c>
      <c r="BL142" s="37" t="n">
        <v>-105.421</v>
      </c>
      <c r="BM142" s="37" t="n">
        <v>-16.78</v>
      </c>
      <c r="BN142" s="37" t="n">
        <v>-21.525</v>
      </c>
      <c r="BO142" s="37" t="n">
        <v>-36.282</v>
      </c>
      <c r="BP142" s="37" t="n">
        <v>-15.35</v>
      </c>
      <c r="BQ142" s="37" t="n">
        <v>-89.937</v>
      </c>
      <c r="BR142" s="37" t="n">
        <v>-20.051</v>
      </c>
      <c r="BS142" s="37" t="n">
        <v>-22.026</v>
      </c>
      <c r="BT142" s="37" t="n">
        <v>-15.602</v>
      </c>
      <c r="BU142" s="37" t="n">
        <v>-14.825</v>
      </c>
      <c r="BV142" s="37" t="n">
        <v>-72.504</v>
      </c>
      <c r="BW142" s="37" t="n">
        <v>-9.013</v>
      </c>
      <c r="BX142" s="37" t="n">
        <v>-17.878</v>
      </c>
      <c r="BY142" s="49" t="n">
        <f aca="false">$BX$142</f>
        <v>-17.878</v>
      </c>
      <c r="BZ142" s="49" t="n">
        <f aca="false">$BX$142</f>
        <v>-17.878</v>
      </c>
      <c r="CA142" s="49" t="n">
        <f aca="false">SUM(BW142,BX142,BY142,BZ142)</f>
        <v>-62.647</v>
      </c>
      <c r="CB142" s="49" t="n">
        <f aca="false">-CB143+CB144+CB145</f>
        <v>-60.7068880108366</v>
      </c>
      <c r="CC142" s="49" t="n">
        <f aca="false">-CC143+CC144+CC145</f>
        <v>-73.4966167308311</v>
      </c>
      <c r="CD142" s="49" t="n">
        <f aca="false">-CD143+CD144+CD145</f>
        <v>-82.3116763469164</v>
      </c>
      <c r="CE142" s="49" t="n">
        <f aca="false">-CE143+CE144+CE145</f>
        <v>-88.0478236817175</v>
      </c>
      <c r="CF142" s="23" t="s">
        <v>263</v>
      </c>
    </row>
    <row r="143" customFormat="false" ht="15" hidden="false" customHeight="false" outlineLevel="0" collapsed="false">
      <c r="B143" s="28" t="s">
        <v>264</v>
      </c>
      <c r="AT143" s="56" t="n">
        <v>12.4</v>
      </c>
      <c r="AU143" s="56" t="n">
        <v>11.9</v>
      </c>
      <c r="AV143" s="56" t="n">
        <v>12.3</v>
      </c>
      <c r="AW143" s="56" t="n">
        <v>49.1</v>
      </c>
      <c r="AX143" s="56" t="n">
        <v>12.2</v>
      </c>
      <c r="AY143" s="56" t="n">
        <v>12.7</v>
      </c>
      <c r="AZ143" s="56" t="n">
        <v>13.1</v>
      </c>
      <c r="BA143" s="56" t="n">
        <v>14.1</v>
      </c>
      <c r="BB143" s="56" t="n">
        <v>52.1</v>
      </c>
      <c r="BC143" s="56" t="n">
        <v>14.5</v>
      </c>
      <c r="BD143" s="56" t="n">
        <v>17</v>
      </c>
      <c r="BE143" s="56" t="n">
        <v>20.8</v>
      </c>
      <c r="BF143" s="56" t="n">
        <v>24.8</v>
      </c>
      <c r="BG143" s="56" t="n">
        <v>77.1</v>
      </c>
      <c r="BH143" s="56" t="n">
        <v>23.5</v>
      </c>
      <c r="BI143" s="56" t="n">
        <v>23.2</v>
      </c>
      <c r="BJ143" s="56" t="n">
        <v>21.8</v>
      </c>
      <c r="BK143" s="56" t="n">
        <v>21.6</v>
      </c>
      <c r="BL143" s="56" t="n">
        <v>90.2</v>
      </c>
      <c r="BM143" s="56" t="n">
        <v>22.1</v>
      </c>
      <c r="BN143" s="56" t="n">
        <v>22.9</v>
      </c>
      <c r="BO143" s="56" t="n">
        <v>22.1</v>
      </c>
      <c r="BP143" s="56" t="n">
        <v>18.8</v>
      </c>
      <c r="BQ143" s="56" t="n">
        <v>85.9</v>
      </c>
      <c r="BR143" s="56" t="n">
        <v>16.8</v>
      </c>
      <c r="BS143" s="56" t="n">
        <v>16.8</v>
      </c>
      <c r="BT143" s="56" t="n">
        <v>15.8</v>
      </c>
      <c r="BU143" s="56" t="n">
        <v>13.7</v>
      </c>
      <c r="BV143" s="56" t="n">
        <v>63.1</v>
      </c>
      <c r="BW143" s="56" t="n">
        <v>14</v>
      </c>
      <c r="BX143" s="56" t="n">
        <v>16.9</v>
      </c>
      <c r="BY143" s="53" t="n">
        <f aca="false">$BX$143</f>
        <v>16.9</v>
      </c>
      <c r="BZ143" s="53" t="n">
        <f aca="false">$BX$143</f>
        <v>16.9</v>
      </c>
      <c r="CA143" s="53" t="n">
        <f aca="false">SUM(BW143,BX143,BY143,BZ143)</f>
        <v>64.7</v>
      </c>
      <c r="CB143" s="53" t="n">
        <f aca="false">CA342*CB343+CA346*CB348</f>
        <v>63.7068880108366</v>
      </c>
      <c r="CC143" s="53" t="n">
        <f aca="false">CB342*CC343+CB346*CC348</f>
        <v>76.4966167308311</v>
      </c>
      <c r="CD143" s="53" t="n">
        <f aca="false">CC342*CD343+CC346*CD348</f>
        <v>85.3116763469164</v>
      </c>
      <c r="CE143" s="53" t="n">
        <f aca="false">CD342*CE343+CD346*CE348</f>
        <v>91.0478236817175</v>
      </c>
    </row>
    <row r="144" customFormat="false" ht="15" hidden="false" customHeight="false" outlineLevel="0" collapsed="false">
      <c r="B144" s="28" t="s">
        <v>265</v>
      </c>
      <c r="BY144" s="6"/>
      <c r="BZ144" s="6"/>
      <c r="CA144" s="6"/>
      <c r="CB144" s="53" t="n">
        <f aca="false">CA276*CB349</f>
        <v>3</v>
      </c>
      <c r="CC144" s="53" t="n">
        <f aca="false">CB276*CC349</f>
        <v>3</v>
      </c>
      <c r="CD144" s="53" t="n">
        <f aca="false">CC276*CD349</f>
        <v>3</v>
      </c>
      <c r="CE144" s="53" t="n">
        <f aca="false">CD276*CE349</f>
        <v>3</v>
      </c>
    </row>
    <row r="145" customFormat="false" ht="15" hidden="false" customHeight="false" outlineLevel="0" collapsed="false">
      <c r="B145" s="28" t="s">
        <v>266</v>
      </c>
      <c r="C145" s="47" t="str">
        <f aca="false">IF(ISNUMBER(C143),C142+C143,"")</f>
        <v/>
      </c>
      <c r="D145" s="47" t="str">
        <f aca="false">IF(ISNUMBER(D143),D142+D143,"")</f>
        <v/>
      </c>
      <c r="E145" s="47" t="str">
        <f aca="false">IF(ISNUMBER(E143),E142+E143,"")</f>
        <v/>
      </c>
      <c r="F145" s="47" t="str">
        <f aca="false">IF(ISNUMBER(F143),F142+F143,"")</f>
        <v/>
      </c>
      <c r="G145" s="47" t="str">
        <f aca="false">IF(ISNUMBER(G143),G142+G143,"")</f>
        <v/>
      </c>
      <c r="H145" s="47" t="str">
        <f aca="false">IF(ISNUMBER(H143),H142+H143,"")</f>
        <v/>
      </c>
      <c r="I145" s="47" t="str">
        <f aca="false">IF(ISNUMBER(I143),I142+I143,"")</f>
        <v/>
      </c>
      <c r="J145" s="47" t="str">
        <f aca="false">IF(ISNUMBER(J143),J142+J143,"")</f>
        <v/>
      </c>
      <c r="K145" s="47" t="str">
        <f aca="false">IF(ISNUMBER(K143),K142+K143,"")</f>
        <v/>
      </c>
      <c r="L145" s="47" t="str">
        <f aca="false">IF(ISNUMBER(L143),L142+L143,"")</f>
        <v/>
      </c>
      <c r="M145" s="47" t="str">
        <f aca="false">IF(ISNUMBER(M143),M142+M143,"")</f>
        <v/>
      </c>
      <c r="N145" s="47" t="str">
        <f aca="false">IF(ISNUMBER(N143),N142+N143,"")</f>
        <v/>
      </c>
      <c r="O145" s="47" t="str">
        <f aca="false">IF(ISNUMBER(O143),O142+O143,"")</f>
        <v/>
      </c>
      <c r="P145" s="47" t="str">
        <f aca="false">IF(ISNUMBER(P143),P142+P143,"")</f>
        <v/>
      </c>
      <c r="Q145" s="47" t="str">
        <f aca="false">IF(ISNUMBER(Q143),Q142+Q143,"")</f>
        <v/>
      </c>
      <c r="R145" s="47" t="str">
        <f aca="false">IF(ISNUMBER(R143),R142+R143,"")</f>
        <v/>
      </c>
      <c r="S145" s="47" t="str">
        <f aca="false">IF(ISNUMBER(S143),S142+S143,"")</f>
        <v/>
      </c>
      <c r="T145" s="47" t="str">
        <f aca="false">IF(ISNUMBER(T143),T142+T143,"")</f>
        <v/>
      </c>
      <c r="U145" s="47" t="str">
        <f aca="false">IF(ISNUMBER(U143),U142+U143,"")</f>
        <v/>
      </c>
      <c r="V145" s="47" t="str">
        <f aca="false">IF(ISNUMBER(V143),V142+V143,"")</f>
        <v/>
      </c>
      <c r="W145" s="47" t="str">
        <f aca="false">IF(ISNUMBER(W143),W142+W143,"")</f>
        <v/>
      </c>
      <c r="X145" s="47" t="str">
        <f aca="false">IF(ISNUMBER(X143),X142+X143,"")</f>
        <v/>
      </c>
      <c r="Y145" s="47" t="str">
        <f aca="false">IF(ISNUMBER(Y143),Y142+Y143,"")</f>
        <v/>
      </c>
      <c r="Z145" s="47" t="str">
        <f aca="false">IF(ISNUMBER(Z143),Z142+Z143,"")</f>
        <v/>
      </c>
      <c r="AA145" s="47" t="str">
        <f aca="false">IF(ISNUMBER(AA143),AA142+AA143,"")</f>
        <v/>
      </c>
      <c r="AB145" s="47" t="str">
        <f aca="false">IF(ISNUMBER(AB143),AB142+AB143,"")</f>
        <v/>
      </c>
      <c r="AC145" s="47" t="str">
        <f aca="false">IF(ISNUMBER(AC143),AC142+AC143,"")</f>
        <v/>
      </c>
      <c r="AD145" s="47" t="str">
        <f aca="false">IF(ISNUMBER(AD143),AD142+AD143,"")</f>
        <v/>
      </c>
      <c r="AE145" s="47" t="str">
        <f aca="false">IF(ISNUMBER(AE143),AE142+AE143,"")</f>
        <v/>
      </c>
      <c r="AF145" s="47" t="str">
        <f aca="false">IF(ISNUMBER(AF143),AF142+AF143,"")</f>
        <v/>
      </c>
      <c r="AG145" s="47" t="str">
        <f aca="false">IF(ISNUMBER(AG143),AG142+AG143,"")</f>
        <v/>
      </c>
      <c r="AH145" s="47" t="str">
        <f aca="false">IF(ISNUMBER(AH143),AH142+AH143,"")</f>
        <v/>
      </c>
      <c r="AI145" s="47" t="str">
        <f aca="false">IF(ISNUMBER(AI143),AI142+AI143,"")</f>
        <v/>
      </c>
      <c r="AJ145" s="47" t="str">
        <f aca="false">IF(ISNUMBER(AJ143),AJ142+AJ143,"")</f>
        <v/>
      </c>
      <c r="AK145" s="47" t="str">
        <f aca="false">IF(ISNUMBER(AK143),AK142+AK143,"")</f>
        <v/>
      </c>
      <c r="AL145" s="47" t="str">
        <f aca="false">IF(ISNUMBER(AL143),AL142+AL143,"")</f>
        <v/>
      </c>
      <c r="AM145" s="47" t="str">
        <f aca="false">IF(ISNUMBER(AM143),AM142+AM143,"")</f>
        <v/>
      </c>
      <c r="AN145" s="47" t="str">
        <f aca="false">IF(ISNUMBER(AN143),AN142+AN143,"")</f>
        <v/>
      </c>
      <c r="AO145" s="47" t="str">
        <f aca="false">IF(ISNUMBER(AO143),AO142+AO143,"")</f>
        <v/>
      </c>
      <c r="AP145" s="47" t="str">
        <f aca="false">IF(ISNUMBER(AP143),AP142+AP143,"")</f>
        <v/>
      </c>
      <c r="AQ145" s="47" t="str">
        <f aca="false">IF(ISNUMBER(AQ143),AQ142+AQ143,"")</f>
        <v/>
      </c>
      <c r="AR145" s="47" t="str">
        <f aca="false">IF(ISNUMBER(AR143),AR142+AR143,"")</f>
        <v/>
      </c>
      <c r="AS145" s="47" t="str">
        <f aca="false">IF(ISNUMBER(AS143),AS142+AS143,"")</f>
        <v/>
      </c>
      <c r="AT145" s="47" t="n">
        <f aca="false">IF(ISNUMBER(AT143),AT142+AT143,"")</f>
        <v>2.189</v>
      </c>
      <c r="AU145" s="47" t="n">
        <f aca="false">IF(ISNUMBER(AU143),AU142+AU143,"")</f>
        <v>4.435</v>
      </c>
      <c r="AV145" s="47" t="n">
        <f aca="false">IF(ISNUMBER(AV143),AV142+AV143,"")</f>
        <v>0.267000000000001</v>
      </c>
      <c r="AW145" s="47" t="n">
        <f aca="false">IF(ISNUMBER(AW143),AW142+AW143,"")</f>
        <v>4.163</v>
      </c>
      <c r="AX145" s="47" t="n">
        <f aca="false">IF(ISNUMBER(AX143),AX142+AX143,"")</f>
        <v>0.94</v>
      </c>
      <c r="AY145" s="47" t="n">
        <f aca="false">IF(ISNUMBER(AY143),AY142+AY143,"")</f>
        <v>-0.797000000000001</v>
      </c>
      <c r="AZ145" s="47" t="n">
        <f aca="false">IF(ISNUMBER(AZ143),AZ142+AZ143,"")</f>
        <v>-3.562</v>
      </c>
      <c r="BA145" s="47" t="n">
        <f aca="false">IF(ISNUMBER(BA143),BA142+BA143,"")</f>
        <v>-4.298</v>
      </c>
      <c r="BB145" s="47" t="n">
        <f aca="false">IF(ISNUMBER(BB143),BB142+BB143,"")</f>
        <v>-7.717</v>
      </c>
      <c r="BC145" s="47" t="n">
        <f aca="false">IF(ISNUMBER(BC143),BC142+BC143,"")</f>
        <v>0.326000000000001</v>
      </c>
      <c r="BD145" s="47" t="n">
        <f aca="false">IF(ISNUMBER(BD143),BD142+BD143,"")</f>
        <v>-10.395</v>
      </c>
      <c r="BE145" s="47" t="n">
        <f aca="false">IF(ISNUMBER(BE143),BE142+BE143,"")</f>
        <v>4.828</v>
      </c>
      <c r="BF145" s="47" t="n">
        <f aca="false">IF(ISNUMBER(BF143),BF142+BF143,"")</f>
        <v>-17.676</v>
      </c>
      <c r="BG145" s="47" t="n">
        <f aca="false">IF(ISNUMBER(BG143),BG142+BG143,"")</f>
        <v>-22.917</v>
      </c>
      <c r="BH145" s="47" t="n">
        <f aca="false">IF(ISNUMBER(BH143),BH142+BH143,"")</f>
        <v>-4.765</v>
      </c>
      <c r="BI145" s="47" t="n">
        <f aca="false">IF(ISNUMBER(BI143),BI142+BI143,"")</f>
        <v>4.941</v>
      </c>
      <c r="BJ145" s="47" t="n">
        <f aca="false">IF(ISNUMBER(BJ143),BJ142+BJ143,"")</f>
        <v>1.052</v>
      </c>
      <c r="BK145" s="47" t="n">
        <f aca="false">IF(ISNUMBER(BK143),BK142+BK143,"")</f>
        <v>-16.549</v>
      </c>
      <c r="BL145" s="47" t="n">
        <f aca="false">IF(ISNUMBER(BL143),BL142+BL143,"")</f>
        <v>-15.221</v>
      </c>
      <c r="BM145" s="47" t="n">
        <f aca="false">IF(ISNUMBER(BM143),BM142+BM143,"")</f>
        <v>5.32</v>
      </c>
      <c r="BN145" s="47" t="n">
        <f aca="false">IF(ISNUMBER(BN143),BN142+BN143,"")</f>
        <v>1.375</v>
      </c>
      <c r="BO145" s="47" t="n">
        <f aca="false">IF(ISNUMBER(BO143),BO142+BO143,"")</f>
        <v>-14.182</v>
      </c>
      <c r="BP145" s="47" t="n">
        <f aca="false">IF(ISNUMBER(BP143),BP142+BP143,"")</f>
        <v>3.45</v>
      </c>
      <c r="BQ145" s="47" t="n">
        <f aca="false">IF(ISNUMBER(BQ143),BQ142+BQ143,"")</f>
        <v>-4.03699999999999</v>
      </c>
      <c r="BR145" s="47" t="n">
        <f aca="false">IF(ISNUMBER(BR143),BR142+BR143,"")</f>
        <v>-3.251</v>
      </c>
      <c r="BS145" s="47" t="n">
        <f aca="false">IF(ISNUMBER(BS143),BS142+BS143,"")</f>
        <v>-5.226</v>
      </c>
      <c r="BT145" s="47" t="n">
        <f aca="false">IF(ISNUMBER(BT143),BT142+BT143,"")</f>
        <v>0.198</v>
      </c>
      <c r="BU145" s="47" t="n">
        <f aca="false">IF(ISNUMBER(BU143),BU142+BU143,"")</f>
        <v>-1.125</v>
      </c>
      <c r="BV145" s="47" t="n">
        <f aca="false">IF(ISNUMBER(BV143),BV142+BV143,"")</f>
        <v>-9.404</v>
      </c>
      <c r="BW145" s="47" t="n">
        <f aca="false">IF(ISNUMBER(BW143),BW142+BW143,"")</f>
        <v>4.987</v>
      </c>
      <c r="BX145" s="47" t="n">
        <f aca="false">IF(ISNUMBER(BX143),BX142+BX143,"")</f>
        <v>-0.978000000000002</v>
      </c>
      <c r="BY145" s="6"/>
      <c r="BZ145" s="6"/>
      <c r="CA145" s="6"/>
      <c r="CB145" s="57" t="n">
        <v>0</v>
      </c>
      <c r="CC145" s="57" t="n">
        <v>0</v>
      </c>
      <c r="CD145" s="57" t="n">
        <v>0</v>
      </c>
      <c r="CE145" s="57" t="n">
        <v>0</v>
      </c>
    </row>
    <row r="146" customFormat="false" ht="15" hidden="false" customHeight="false" outlineLevel="0" collapsed="false">
      <c r="B146" s="18" t="s">
        <v>267</v>
      </c>
      <c r="C146" s="42" t="n">
        <f aca="false">C139+C142</f>
        <v>429.688000000001</v>
      </c>
      <c r="D146" s="42" t="n">
        <f aca="false">D139+D142</f>
        <v>523.513999999999</v>
      </c>
      <c r="E146" s="42" t="n">
        <f aca="false">E139+E142</f>
        <v>578.387000000001</v>
      </c>
      <c r="F146" s="42" t="n">
        <f aca="false">F139+F142</f>
        <v>587.061</v>
      </c>
      <c r="G146" s="42" t="n">
        <f aca="false">G139+G142</f>
        <v>624.102000000001</v>
      </c>
      <c r="H146" s="42" t="n">
        <f aca="false">H139+H142</f>
        <v>694.704</v>
      </c>
      <c r="I146" s="42" t="n">
        <f aca="false">I139+I142</f>
        <v>958.461999999998</v>
      </c>
      <c r="J146" s="42" t="n">
        <f aca="false">J139+J142</f>
        <v>168.646</v>
      </c>
      <c r="K146" s="42" t="n">
        <f aca="false">K139+K142</f>
        <v>181.887</v>
      </c>
      <c r="L146" s="42" t="n">
        <f aca="false">L139+L142</f>
        <v>173.72</v>
      </c>
      <c r="M146" s="42" t="n">
        <f aca="false">M139+M142</f>
        <v>149.108</v>
      </c>
      <c r="N146" s="42" t="n">
        <f aca="false">N139+N142</f>
        <v>673.360999999999</v>
      </c>
      <c r="O146" s="42" t="n">
        <f aca="false">O139+O142</f>
        <v>150.84</v>
      </c>
      <c r="P146" s="42" t="n">
        <f aca="false">P139+P142</f>
        <v>194.13</v>
      </c>
      <c r="Q146" s="42" t="n">
        <f aca="false">Q139+Q142</f>
        <v>197.133</v>
      </c>
      <c r="R146" s="42" t="n">
        <f aca="false">R139+R142</f>
        <v>181.328</v>
      </c>
      <c r="S146" s="42" t="n">
        <f aca="false">S139+S142</f>
        <v>723.430999999998</v>
      </c>
      <c r="T146" s="42" t="n">
        <f aca="false">T139+T142</f>
        <v>172.32</v>
      </c>
      <c r="U146" s="42" t="n">
        <f aca="false">U139+U142</f>
        <v>223.201</v>
      </c>
      <c r="V146" s="42" t="n">
        <f aca="false">V139+V142</f>
        <v>226.152</v>
      </c>
      <c r="W146" s="42" t="n">
        <f aca="false">W139+W142</f>
        <v>201.108</v>
      </c>
      <c r="X146" s="42" t="n">
        <f aca="false">X139+X142</f>
        <v>822.781</v>
      </c>
      <c r="Y146" s="42" t="n">
        <f aca="false">Y139+Y142</f>
        <v>190.18</v>
      </c>
      <c r="Z146" s="42" t="n">
        <f aca="false">Z139+Z142</f>
        <v>227.482</v>
      </c>
      <c r="AA146" s="42" t="n">
        <f aca="false">AA139+AA142</f>
        <v>203.841</v>
      </c>
      <c r="AB146" s="42" t="n">
        <f aca="false">AB139+AB142</f>
        <v>190.447</v>
      </c>
      <c r="AC146" s="42" t="n">
        <f aca="false">AC139+AC142</f>
        <v>811.950000000002</v>
      </c>
      <c r="AD146" s="42" t="n">
        <f aca="false">AD139+AD142</f>
        <v>178.656</v>
      </c>
      <c r="AE146" s="42" t="n">
        <f aca="false">AE139+AE142</f>
        <v>172.452</v>
      </c>
      <c r="AF146" s="42" t="n">
        <f aca="false">AF139+AF142</f>
        <v>183.981</v>
      </c>
      <c r="AG146" s="42" t="n">
        <f aca="false">AG139+AG142</f>
        <v>193.374</v>
      </c>
      <c r="AH146" s="42" t="n">
        <f aca="false">AH139+AH142</f>
        <v>728.462999999998</v>
      </c>
      <c r="AI146" s="42" t="n">
        <f aca="false">AI139+AI142</f>
        <v>180.885</v>
      </c>
      <c r="AJ146" s="42" t="n">
        <f aca="false">AJ139+AJ142</f>
        <v>213.88</v>
      </c>
      <c r="AK146" s="42" t="n">
        <f aca="false">AK139+AK142</f>
        <v>239.447</v>
      </c>
      <c r="AL146" s="42" t="n">
        <f aca="false">AL139+AL142</f>
        <v>246.061</v>
      </c>
      <c r="AM146" s="42" t="n">
        <f aca="false">AM139+AM142</f>
        <v>880.272999999999</v>
      </c>
      <c r="AN146" s="42" t="n">
        <f aca="false">AN139+AN142</f>
        <v>207.41</v>
      </c>
      <c r="AO146" s="42" t="n">
        <f aca="false">AO139+AO142</f>
        <v>220.92</v>
      </c>
      <c r="AP146" s="42" t="n">
        <f aca="false">AP139+AP142</f>
        <v>187.905</v>
      </c>
      <c r="AQ146" s="42" t="n">
        <f aca="false">AQ139+AQ142</f>
        <v>126.022</v>
      </c>
      <c r="AR146" s="42" t="n">
        <f aca="false">AR139+AR142</f>
        <v>742.256999999999</v>
      </c>
      <c r="AS146" s="42" t="n">
        <f aca="false">AS139+AS142</f>
        <v>94.212</v>
      </c>
      <c r="AT146" s="42" t="n">
        <f aca="false">AT139+AT142</f>
        <v>178.576</v>
      </c>
      <c r="AU146" s="42" t="n">
        <f aca="false">AU139+AU142</f>
        <v>160.774</v>
      </c>
      <c r="AV146" s="42" t="n">
        <f aca="false">AV139+AV142</f>
        <v>194.769</v>
      </c>
      <c r="AW146" s="42" t="n">
        <f aca="false">AW139+AW142</f>
        <v>628.331</v>
      </c>
      <c r="AX146" s="42" t="n">
        <f aca="false">AX139+AX142</f>
        <v>212.069</v>
      </c>
      <c r="AY146" s="42" t="n">
        <f aca="false">AY139+AY142</f>
        <v>247.106999999999</v>
      </c>
      <c r="AZ146" s="42" t="n">
        <f aca="false">AZ139+AZ142</f>
        <v>294.106999999999</v>
      </c>
      <c r="BA146" s="42" t="n">
        <f aca="false">BA139+BA142</f>
        <v>269.008</v>
      </c>
      <c r="BB146" s="42" t="n">
        <f aca="false">BB139+BB142</f>
        <v>1022.291</v>
      </c>
      <c r="BC146" s="42" t="n">
        <f aca="false">BC139+BC142</f>
        <v>331.3</v>
      </c>
      <c r="BD146" s="42" t="n">
        <f aca="false">BD139+BD142</f>
        <v>442.27</v>
      </c>
      <c r="BE146" s="42" t="n">
        <f aca="false">BE139+BE142</f>
        <v>271.637</v>
      </c>
      <c r="BF146" s="42" t="n">
        <f aca="false">BF139+BF142</f>
        <v>121.558</v>
      </c>
      <c r="BG146" s="42" t="n">
        <f aca="false">BG139+BG142</f>
        <v>1166.765</v>
      </c>
      <c r="BH146" s="42" t="n">
        <f aca="false">BH139+BH142</f>
        <v>132.768</v>
      </c>
      <c r="BI146" s="42" t="n">
        <f aca="false">BI139+BI142</f>
        <v>114.364</v>
      </c>
      <c r="BJ146" s="42" t="n">
        <f aca="false">BJ139+BJ142</f>
        <v>92.7739999999997</v>
      </c>
      <c r="BK146" s="42" t="n">
        <f aca="false">BK139+BK142</f>
        <v>69.2799999999996</v>
      </c>
      <c r="BL146" s="42" t="n">
        <f aca="false">BL139+BL142</f>
        <v>409.186</v>
      </c>
      <c r="BM146" s="42" t="n">
        <f aca="false">BM139+BM142</f>
        <v>110.352999999999</v>
      </c>
      <c r="BN146" s="42" t="n">
        <f aca="false">BN139+BN142</f>
        <v>156.565</v>
      </c>
      <c r="BO146" s="42" t="n">
        <f aca="false">BO139+BO142</f>
        <v>143.837</v>
      </c>
      <c r="BP146" s="42" t="n">
        <f aca="false">BP139+BP142</f>
        <v>168.449</v>
      </c>
      <c r="BQ146" s="42" t="n">
        <f aca="false">BQ139+BQ142</f>
        <v>579.203999999999</v>
      </c>
      <c r="BR146" s="42" t="n">
        <f aca="false">BR139+BR142</f>
        <v>156.802</v>
      </c>
      <c r="BS146" s="42" t="n">
        <f aca="false">BS139+BS142</f>
        <v>193.893</v>
      </c>
      <c r="BT146" s="42" t="n">
        <f aca="false">BT139+BT142</f>
        <v>205.233999999999</v>
      </c>
      <c r="BU146" s="42" t="n">
        <f aca="false">BU139+BU142</f>
        <v>166.528</v>
      </c>
      <c r="BV146" s="42" t="n">
        <f aca="false">BV139+BV142</f>
        <v>722.457</v>
      </c>
      <c r="BW146" s="42" t="n">
        <f aca="false">BW139+BW142</f>
        <v>166.673</v>
      </c>
      <c r="BX146" s="42" t="n">
        <f aca="false">BX139+BX142</f>
        <v>237.865</v>
      </c>
      <c r="BY146" s="32" t="n">
        <f aca="false">BY139+BY142</f>
        <v>261.823472221602</v>
      </c>
      <c r="BZ146" s="32" t="n">
        <f aca="false">BZ139+BZ142</f>
        <v>218.742527778396</v>
      </c>
      <c r="CA146" s="32" t="n">
        <f aca="false">CA139+CA142</f>
        <v>885.104</v>
      </c>
      <c r="CB146" s="32" t="n">
        <f aca="false">CB139+CB142</f>
        <v>1037.24974033846</v>
      </c>
      <c r="CC146" s="32" t="n">
        <f aca="false">CC139+CC142</f>
        <v>1120.65254086792</v>
      </c>
      <c r="CD146" s="32" t="n">
        <f aca="false">CD139+CD142</f>
        <v>1201.14262878083</v>
      </c>
      <c r="CE146" s="32" t="n">
        <f aca="false">CE139+CE142</f>
        <v>1273.66325913517</v>
      </c>
    </row>
    <row r="147" customFormat="false" ht="15" hidden="false" customHeight="false" outlineLevel="0" collapsed="false">
      <c r="B147" s="28" t="s">
        <v>268</v>
      </c>
      <c r="C147" s="37" t="n">
        <v>162.763</v>
      </c>
      <c r="D147" s="37" t="n">
        <v>199.253</v>
      </c>
      <c r="E147" s="37" t="n">
        <v>219.21</v>
      </c>
      <c r="F147" s="37" t="n">
        <v>226.231</v>
      </c>
      <c r="G147" s="37" t="n">
        <v>237.076</v>
      </c>
      <c r="H147" s="37" t="n">
        <v>263.092</v>
      </c>
      <c r="I147" s="37" t="n">
        <v>364.658</v>
      </c>
      <c r="J147" s="37" t="n">
        <v>65.303</v>
      </c>
      <c r="K147" s="37" t="n">
        <v>70.015</v>
      </c>
      <c r="L147" s="37" t="n">
        <v>65.983</v>
      </c>
      <c r="M147" s="37" t="n">
        <v>56.156</v>
      </c>
      <c r="N147" s="37" t="n">
        <v>257.457</v>
      </c>
      <c r="O147" s="37" t="n">
        <v>57.653</v>
      </c>
      <c r="P147" s="37" t="n">
        <v>75.534</v>
      </c>
      <c r="Q147" s="37" t="n">
        <v>72.152</v>
      </c>
      <c r="R147" s="37" t="n">
        <v>68.381</v>
      </c>
      <c r="S147" s="37" t="n">
        <v>273.72</v>
      </c>
      <c r="T147" s="37" t="n">
        <v>65.844</v>
      </c>
      <c r="U147" s="37" t="n">
        <v>85.993</v>
      </c>
      <c r="V147" s="37" t="n">
        <v>86.72</v>
      </c>
      <c r="W147" s="37" t="n">
        <v>74.525</v>
      </c>
      <c r="X147" s="37" t="n">
        <v>313.082</v>
      </c>
      <c r="Y147" s="37" t="n">
        <v>71.217</v>
      </c>
      <c r="Z147" s="37" t="n">
        <v>84.392</v>
      </c>
      <c r="AA147" s="37" t="n">
        <v>74.813</v>
      </c>
      <c r="AB147" s="37" t="n">
        <v>68.144</v>
      </c>
      <c r="AC147" s="37" t="n">
        <v>298.566</v>
      </c>
      <c r="AD147" s="37" t="n">
        <v>56.576</v>
      </c>
      <c r="AE147" s="37" t="n">
        <v>61.381</v>
      </c>
      <c r="AF147" s="37" t="n">
        <v>64.795</v>
      </c>
      <c r="AG147" s="37" t="n">
        <v>40.818</v>
      </c>
      <c r="AH147" s="37" t="n">
        <v>223.57</v>
      </c>
      <c r="AI147" s="37" t="n">
        <v>38.588</v>
      </c>
      <c r="AJ147" s="37" t="n">
        <v>54.717</v>
      </c>
      <c r="AK147" s="37" t="n">
        <v>63.552</v>
      </c>
      <c r="AL147" s="37" t="n">
        <v>58.911</v>
      </c>
      <c r="AM147" s="37" t="n">
        <v>215.768</v>
      </c>
      <c r="AN147" s="37" t="n">
        <v>45.622</v>
      </c>
      <c r="AO147" s="37" t="n">
        <v>51.74</v>
      </c>
      <c r="AP147" s="37" t="n">
        <v>41.011</v>
      </c>
      <c r="AQ147" s="37" t="n">
        <v>26.916</v>
      </c>
      <c r="AR147" s="37" t="n">
        <v>165.289</v>
      </c>
      <c r="AS147" s="37" t="n">
        <v>16.066</v>
      </c>
      <c r="AT147" s="37" t="n">
        <v>34.637</v>
      </c>
      <c r="AU147" s="37" t="n">
        <v>24.245</v>
      </c>
      <c r="AV147" s="37" t="n">
        <v>46.962</v>
      </c>
      <c r="AW147" s="37" t="n">
        <v>121.91</v>
      </c>
      <c r="AX147" s="37" t="n">
        <v>38.764</v>
      </c>
      <c r="AY147" s="37" t="n">
        <v>53.318</v>
      </c>
      <c r="AZ147" s="37" t="n">
        <v>47.054</v>
      </c>
      <c r="BA147" s="37" t="n">
        <v>38.91</v>
      </c>
      <c r="BB147" s="37" t="n">
        <v>178.046</v>
      </c>
      <c r="BC147" s="37" t="n">
        <v>60.952</v>
      </c>
      <c r="BD147" s="37" t="n">
        <v>94.085</v>
      </c>
      <c r="BE147" s="37" t="n">
        <v>45.839</v>
      </c>
      <c r="BF147" s="37" t="n">
        <v>25.365</v>
      </c>
      <c r="BG147" s="37" t="n">
        <v>226.241</v>
      </c>
      <c r="BH147" s="37" t="n">
        <v>17.877</v>
      </c>
      <c r="BI147" s="37" t="n">
        <v>17.048</v>
      </c>
      <c r="BJ147" s="37" t="n">
        <v>10.825</v>
      </c>
      <c r="BK147" s="37" t="n">
        <v>38.307</v>
      </c>
      <c r="BL147" s="37" t="n">
        <v>84.057</v>
      </c>
      <c r="BM147" s="37" t="n">
        <v>17.449</v>
      </c>
      <c r="BN147" s="37" t="n">
        <v>30.314</v>
      </c>
      <c r="BO147" s="37" t="n">
        <v>46.608</v>
      </c>
      <c r="BP147" s="37" t="n">
        <v>19.143</v>
      </c>
      <c r="BQ147" s="37" t="n">
        <v>113.514</v>
      </c>
      <c r="BR147" s="37" t="n">
        <v>21.5</v>
      </c>
      <c r="BS147" s="37" t="n">
        <v>41.422</v>
      </c>
      <c r="BT147" s="37" t="n">
        <v>42.247</v>
      </c>
      <c r="BU147" s="37" t="n">
        <v>30.207</v>
      </c>
      <c r="BV147" s="37" t="n">
        <v>135.376</v>
      </c>
      <c r="BW147" s="37" t="n">
        <v>19.44</v>
      </c>
      <c r="BX147" s="37" t="n">
        <v>51.079</v>
      </c>
      <c r="BY147" s="49" t="n">
        <f aca="false">BY146*BY148</f>
        <v>53.2023926958594</v>
      </c>
      <c r="BZ147" s="49" t="n">
        <f aca="false">BZ146*BZ148</f>
        <v>44.4483673041404</v>
      </c>
      <c r="CA147" s="49" t="n">
        <f aca="false">SUM(BW147,BX147,BY147,BZ147)</f>
        <v>168.16976</v>
      </c>
      <c r="CB147" s="49" t="n">
        <f aca="false">CB146*CB148</f>
        <v>207.449948067693</v>
      </c>
      <c r="CC147" s="49" t="n">
        <f aca="false">CC146*CC148</f>
        <v>224.130508173585</v>
      </c>
      <c r="CD147" s="49" t="n">
        <f aca="false">CD146*CD148</f>
        <v>240.228525756166</v>
      </c>
      <c r="CE147" s="49" t="n">
        <f aca="false">CE146*CE148</f>
        <v>254.732651827034</v>
      </c>
    </row>
    <row r="148" customFormat="false" ht="15" hidden="false" customHeight="false" outlineLevel="0" collapsed="false">
      <c r="B148" s="25" t="s">
        <v>269</v>
      </c>
      <c r="C148" s="26" t="n">
        <f aca="false">IF(AND(ISNUMBER(C147),ISNUMBER(C146)),IFERROR(C147/C146,""),"")</f>
        <v>0.378793450131257</v>
      </c>
      <c r="D148" s="26" t="n">
        <f aca="false">IF(AND(ISNUMBER(D147),ISNUMBER(D146)),IFERROR(D147/D146,""),"")</f>
        <v>0.380606822358142</v>
      </c>
      <c r="E148" s="26" t="n">
        <f aca="false">IF(AND(ISNUMBER(E147),ISNUMBER(E146)),IFERROR(E147/E146,""),"")</f>
        <v>0.379002294311594</v>
      </c>
      <c r="F148" s="26" t="n">
        <f aca="false">IF(AND(ISNUMBER(F147),ISNUMBER(F146)),IFERROR(F147/F146,""),"")</f>
        <v>0.385361998156921</v>
      </c>
      <c r="G148" s="26" t="n">
        <f aca="false">IF(AND(ISNUMBER(G147),ISNUMBER(G146)),IFERROR(G147/G146,""),"")</f>
        <v>0.379867393470938</v>
      </c>
      <c r="H148" s="26" t="n">
        <f aca="false">IF(AND(ISNUMBER(H147),ISNUMBER(H146)),IFERROR(H147/H146,""),"")</f>
        <v>0.378710933001681</v>
      </c>
      <c r="I148" s="26" t="n">
        <f aca="false">IF(AND(ISNUMBER(I147),ISNUMBER(I146)),IFERROR(I147/I146,""),"")</f>
        <v>0.38046161454497</v>
      </c>
      <c r="J148" s="26" t="n">
        <f aca="false">IF(AND(ISNUMBER(J147),ISNUMBER(J146)),IFERROR(J147/J146,""),"")</f>
        <v>0.387219382612098</v>
      </c>
      <c r="K148" s="26" t="n">
        <f aca="false">IF(AND(ISNUMBER(K147),ISNUMBER(K146)),IFERROR(K147/K146,""),"")</f>
        <v>0.384936801420662</v>
      </c>
      <c r="L148" s="26" t="n">
        <f aca="false">IF(AND(ISNUMBER(L147),ISNUMBER(L146)),IFERROR(L147/L146,""),"")</f>
        <v>0.379823854478471</v>
      </c>
      <c r="M148" s="26" t="n">
        <f aca="false">IF(AND(ISNUMBER(M147),ISNUMBER(M146)),IFERROR(M147/M146,""),"")</f>
        <v>0.376612924859834</v>
      </c>
      <c r="N148" s="26" t="n">
        <f aca="false">IF(AND(ISNUMBER(N147),ISNUMBER(N146)),IFERROR(N147/N146,""),"")</f>
        <v>0.38234617092466</v>
      </c>
      <c r="O148" s="26" t="n">
        <f aca="false">IF(AND(ISNUMBER(O147),ISNUMBER(O146)),IFERROR(O147/O146,""),"")</f>
        <v>0.382212940864492</v>
      </c>
      <c r="P148" s="26" t="n">
        <f aca="false">IF(AND(ISNUMBER(P147),ISNUMBER(P146)),IFERROR(P147/P146,""),"")</f>
        <v>0.389089785195488</v>
      </c>
      <c r="Q148" s="26" t="n">
        <f aca="false">IF(AND(ISNUMBER(Q147),ISNUMBER(Q146)),IFERROR(Q147/Q146,""),"")</f>
        <v>0.366006706132408</v>
      </c>
      <c r="R148" s="26" t="n">
        <f aca="false">IF(AND(ISNUMBER(R147),ISNUMBER(R146)),IFERROR(R147/R146,""),"")</f>
        <v>0.377112194476308</v>
      </c>
      <c r="S148" s="26" t="n">
        <f aca="false">IF(AND(ISNUMBER(S147),ISNUMBER(S146)),IFERROR(S147/S146,""),"")</f>
        <v>0.378363658731794</v>
      </c>
      <c r="T148" s="26" t="n">
        <f aca="false">IF(AND(ISNUMBER(T147),ISNUMBER(T146)),IFERROR(T147/T146,""),"")</f>
        <v>0.382103064066853</v>
      </c>
      <c r="U148" s="26" t="n">
        <f aca="false">IF(AND(ISNUMBER(U147),ISNUMBER(U146)),IFERROR(U147/U146,""),"")</f>
        <v>0.385271571363927</v>
      </c>
      <c r="V148" s="26" t="n">
        <f aca="false">IF(AND(ISNUMBER(V147),ISNUMBER(V146)),IFERROR(V147/V146,""),"")</f>
        <v>0.383458912589762</v>
      </c>
      <c r="W148" s="26" t="n">
        <f aca="false">IF(AND(ISNUMBER(W147),ISNUMBER(W146)),IFERROR(W147/W146,""),"")</f>
        <v>0.370572030948545</v>
      </c>
      <c r="X148" s="26" t="n">
        <f aca="false">IF(AND(ISNUMBER(X147),ISNUMBER(X146)),IFERROR(X147/X146,""),"")</f>
        <v>0.380516808239374</v>
      </c>
      <c r="Y148" s="26" t="n">
        <f aca="false">IF(AND(ISNUMBER(Y147),ISNUMBER(Y146)),IFERROR(Y147/Y146,""),"")</f>
        <v>0.374471553265327</v>
      </c>
      <c r="Z148" s="26" t="n">
        <f aca="false">IF(AND(ISNUMBER(Z147),ISNUMBER(Z146)),IFERROR(Z147/Z146,""),"")</f>
        <v>0.370983198670664</v>
      </c>
      <c r="AA148" s="26" t="n">
        <f aca="false">IF(AND(ISNUMBER(AA147),ISNUMBER(AA146)),IFERROR(AA147/AA146,""),"")</f>
        <v>0.367016449095128</v>
      </c>
      <c r="AB148" s="26" t="n">
        <f aca="false">IF(AND(ISNUMBER(AB147),ISNUMBER(AB146)),IFERROR(AB147/AB146,""),"")</f>
        <v>0.35781083451039</v>
      </c>
      <c r="AC148" s="26" t="n">
        <f aca="false">IF(AND(ISNUMBER(AC147),ISNUMBER(AC146)),IFERROR(AC147/AC146,""),"")</f>
        <v>0.36771476076113</v>
      </c>
      <c r="AD148" s="26" t="n">
        <f aca="false">IF(AND(ISNUMBER(AD147),ISNUMBER(AD146)),IFERROR(AD147/AD146,""),"")</f>
        <v>0.31667562242522</v>
      </c>
      <c r="AE148" s="26" t="n">
        <f aca="false">IF(AND(ISNUMBER(AE147),ISNUMBER(AE146)),IFERROR(AE147/AE146,""),"")</f>
        <v>0.355930925706864</v>
      </c>
      <c r="AF148" s="26" t="n">
        <f aca="false">IF(AND(ISNUMBER(AF147),ISNUMBER(AF146)),IFERROR(AF147/AF146,""),"")</f>
        <v>0.352183105864193</v>
      </c>
      <c r="AG148" s="26" t="n">
        <f aca="false">IF(AND(ISNUMBER(AG147),ISNUMBER(AG146)),IFERROR(AG147/AG146,""),"")</f>
        <v>0.211083185950542</v>
      </c>
      <c r="AH148" s="26" t="n">
        <f aca="false">IF(AND(ISNUMBER(AH147),ISNUMBER(AH146)),IFERROR(AH147/AH146,""),"")</f>
        <v>0.306906459216186</v>
      </c>
      <c r="AI148" s="26" t="n">
        <f aca="false">IF(AND(ISNUMBER(AI147),ISNUMBER(AI146)),IFERROR(AI147/AI146,""),"")</f>
        <v>0.213328910633828</v>
      </c>
      <c r="AJ148" s="26" t="n">
        <f aca="false">IF(AND(ISNUMBER(AJ147),ISNUMBER(AJ146)),IFERROR(AJ147/AJ146,""),"")</f>
        <v>0.255830372171311</v>
      </c>
      <c r="AK148" s="26" t="n">
        <f aca="false">IF(AND(ISNUMBER(AK147),ISNUMBER(AK146)),IFERROR(AK147/AK146,""),"")</f>
        <v>0.265411552452109</v>
      </c>
      <c r="AL148" s="26" t="n">
        <f aca="false">IF(AND(ISNUMBER(AL147),ISNUMBER(AL146)),IFERROR(AL147/AL146,""),"")</f>
        <v>0.239416242313897</v>
      </c>
      <c r="AM148" s="26" t="n">
        <f aca="false">IF(AND(ISNUMBER(AM147),ISNUMBER(AM146)),IFERROR(AM147/AM146,""),"")</f>
        <v>0.245114867773975</v>
      </c>
      <c r="AN148" s="26" t="n">
        <f aca="false">IF(AND(ISNUMBER(AN147),ISNUMBER(AN146)),IFERROR(AN147/AN146,""),"")</f>
        <v>0.219960464779904</v>
      </c>
      <c r="AO148" s="26" t="n">
        <f aca="false">IF(AND(ISNUMBER(AO147),ISNUMBER(AO146)),IFERROR(AO147/AO146,""),"")</f>
        <v>0.234202426217636</v>
      </c>
      <c r="AP148" s="26" t="n">
        <f aca="false">IF(AND(ISNUMBER(AP147),ISNUMBER(AP146)),IFERROR(AP147/AP146,""),"")</f>
        <v>0.218253904898752</v>
      </c>
      <c r="AQ148" s="26" t="n">
        <f aca="false">IF(AND(ISNUMBER(AQ147),ISNUMBER(AQ146)),IFERROR(AQ147/AQ146,""),"")</f>
        <v>0.213581755566488</v>
      </c>
      <c r="AR148" s="26" t="n">
        <f aca="false">IF(AND(ISNUMBER(AR147),ISNUMBER(AR146)),IFERROR(AR147/AR146,""),"")</f>
        <v>0.222684326318243</v>
      </c>
      <c r="AS148" s="26" t="n">
        <f aca="false">IF(AND(ISNUMBER(AS147),ISNUMBER(AS146)),IFERROR(AS147/AS146,""),"")</f>
        <v>0.170530293380886</v>
      </c>
      <c r="AT148" s="26" t="n">
        <f aca="false">IF(AND(ISNUMBER(AT147),ISNUMBER(AT146)),IFERROR(AT147/AT146,""),"")</f>
        <v>0.193962234566795</v>
      </c>
      <c r="AU148" s="26" t="n">
        <f aca="false">IF(AND(ISNUMBER(AU147),ISNUMBER(AU146)),IFERROR(AU147/AU146,""),"")</f>
        <v>0.150801746551059</v>
      </c>
      <c r="AV148" s="26" t="n">
        <f aca="false">IF(AND(ISNUMBER(AV147),ISNUMBER(AV146)),IFERROR(AV147/AV146,""),"")</f>
        <v>0.241116399427013</v>
      </c>
      <c r="AW148" s="26" t="n">
        <f aca="false">IF(AND(ISNUMBER(AW147),ISNUMBER(AW146)),IFERROR(AW147/AW146,""),"")</f>
        <v>0.194021940665032</v>
      </c>
      <c r="AX148" s="26" t="n">
        <f aca="false">IF(AND(ISNUMBER(AX147),ISNUMBER(AX146)),IFERROR(AX147/AX146,""),"")</f>
        <v>0.182789563774055</v>
      </c>
      <c r="AY148" s="26" t="n">
        <f aca="false">IF(AND(ISNUMBER(AY147),ISNUMBER(AY146)),IFERROR(AY147/AY146,""),"")</f>
        <v>0.21576887744985</v>
      </c>
      <c r="AZ148" s="26" t="n">
        <f aca="false">IF(AND(ISNUMBER(AZ147),ISNUMBER(AZ146)),IFERROR(AZ147/AZ146,""),"")</f>
        <v>0.159989391615977</v>
      </c>
      <c r="BA148" s="26" t="n">
        <f aca="false">IF(AND(ISNUMBER(BA147),ISNUMBER(BA146)),IFERROR(BA147/BA146,""),"")</f>
        <v>0.144642538511866</v>
      </c>
      <c r="BB148" s="26" t="n">
        <f aca="false">IF(AND(ISNUMBER(BB147),ISNUMBER(BB146)),IFERROR(BB147/BB146,""),"")</f>
        <v>0.174163716593416</v>
      </c>
      <c r="BC148" s="26" t="n">
        <f aca="false">IF(AND(ISNUMBER(BC147),ISNUMBER(BC146)),IFERROR(BC147/BC146,""),"")</f>
        <v>0.183978267431331</v>
      </c>
      <c r="BD148" s="26" t="n">
        <f aca="false">IF(AND(ISNUMBER(BD147),ISNUMBER(BD146)),IFERROR(BD147/BD146,""),"")</f>
        <v>0.212732041513103</v>
      </c>
      <c r="BE148" s="26" t="n">
        <f aca="false">IF(AND(ISNUMBER(BE147),ISNUMBER(BE146)),IFERROR(BE147/BE146,""),"")</f>
        <v>0.16875094335455</v>
      </c>
      <c r="BF148" s="26" t="n">
        <f aca="false">IF(AND(ISNUMBER(BF147),ISNUMBER(BF146)),IFERROR(BF147/BF146,""),"")</f>
        <v>0.208665822076704</v>
      </c>
      <c r="BG148" s="26" t="n">
        <f aca="false">IF(AND(ISNUMBER(BG147),ISNUMBER(BG146)),IFERROR(BG147/BG146,""),"")</f>
        <v>0.193904513762412</v>
      </c>
      <c r="BH148" s="26" t="n">
        <f aca="false">IF(AND(ISNUMBER(BH147),ISNUMBER(BH146)),IFERROR(BH147/BH146,""),"")</f>
        <v>0.134648409255242</v>
      </c>
      <c r="BI148" s="26" t="n">
        <f aca="false">IF(AND(ISNUMBER(BI147),ISNUMBER(BI146)),IFERROR(BI147/BI146,""),"")</f>
        <v>0.149067888496381</v>
      </c>
      <c r="BJ148" s="26" t="n">
        <f aca="false">IF(AND(ISNUMBER(BJ147),ISNUMBER(BJ146)),IFERROR(BJ147/BJ146,""),"")</f>
        <v>0.11668139780542</v>
      </c>
      <c r="BK148" s="26" t="n">
        <f aca="false">IF(AND(ISNUMBER(BK147),ISNUMBER(BK146)),IFERROR(BK147/BK146,""),"")</f>
        <v>0.552930138568132</v>
      </c>
      <c r="BL148" s="26" t="n">
        <f aca="false">IF(AND(ISNUMBER(BL147),ISNUMBER(BL146)),IFERROR(BL147/BL146,""),"")</f>
        <v>0.205424916786009</v>
      </c>
      <c r="BM148" s="26" t="n">
        <f aca="false">IF(AND(ISNUMBER(BM147),ISNUMBER(BM146)),IFERROR(BM147/BM146,""),"")</f>
        <v>0.158119851748481</v>
      </c>
      <c r="BN148" s="26" t="n">
        <f aca="false">IF(AND(ISNUMBER(BN147),ISNUMBER(BN146)),IFERROR(BN147/BN146,""),"")</f>
        <v>0.193619263564653</v>
      </c>
      <c r="BO148" s="26" t="n">
        <f aca="false">IF(AND(ISNUMBER(BO147),ISNUMBER(BO146)),IFERROR(BO147/BO146,""),"")</f>
        <v>0.324033454535343</v>
      </c>
      <c r="BP148" s="26" t="n">
        <f aca="false">IF(AND(ISNUMBER(BP147),ISNUMBER(BP146)),IFERROR(BP147/BP146,""),"")</f>
        <v>0.113642704913653</v>
      </c>
      <c r="BQ148" s="26" t="n">
        <f aca="false">IF(AND(ISNUMBER(BQ147),ISNUMBER(BQ146)),IFERROR(BQ147/BQ146,""),"")</f>
        <v>0.195982762549983</v>
      </c>
      <c r="BR148" s="26" t="n">
        <f aca="false">IF(AND(ISNUMBER(BR147),ISNUMBER(BR146)),IFERROR(BR147/BR146,""),"")</f>
        <v>0.137115598015332</v>
      </c>
      <c r="BS148" s="26" t="n">
        <f aca="false">IF(AND(ISNUMBER(BS147),ISNUMBER(BS146)),IFERROR(BS147/BS146,""),"")</f>
        <v>0.213633292589212</v>
      </c>
      <c r="BT148" s="26" t="n">
        <f aca="false">IF(AND(ISNUMBER(BT147),ISNUMBER(BT146)),IFERROR(BT147/BT146,""),"")</f>
        <v>0.20584795891519</v>
      </c>
      <c r="BU148" s="26" t="n">
        <f aca="false">IF(AND(ISNUMBER(BU147),ISNUMBER(BU146)),IFERROR(BU147/BU146,""),"")</f>
        <v>0.181392918908532</v>
      </c>
      <c r="BV148" s="26" t="n">
        <f aca="false">IF(AND(ISNUMBER(BV147),ISNUMBER(BV146)),IFERROR(BV147/BV146,""),"")</f>
        <v>0.187382778490623</v>
      </c>
      <c r="BW148" s="26" t="n">
        <f aca="false">IF(AND(ISNUMBER(BW147),ISNUMBER(BW146)),IFERROR(BW147/BW146,""),"")</f>
        <v>0.116635567848422</v>
      </c>
      <c r="BX148" s="26" t="n">
        <f aca="false">IF(AND(ISNUMBER(BX147),ISNUMBER(BX146)),IFERROR(BX147/BX146,""),"")</f>
        <v>0.2147394530511</v>
      </c>
      <c r="BY148" s="27" t="n">
        <f aca="false">(CHOOSE(MATCH($CF$2,{"Bull","Base","Bear"},0),$CO$13,$CP$13,$CQ$13)*SUM(BW146:BZ146)-BW147-BX147)/(BY146+BZ146)</f>
        <v>0.203199477283037</v>
      </c>
      <c r="BZ148" s="27" t="n">
        <f aca="false">(CHOOSE(MATCH($CF$2,{"Bull","Base","Bear"},0),$CO$13,$CP$13,$CQ$13)*SUM(BW146:BZ146)-BW147-BX147)/(BY146+BZ146)</f>
        <v>0.203199477283037</v>
      </c>
      <c r="CA148" s="27" t="n">
        <f aca="false">IF(AND(ISNUMBER(CA147),ISNUMBER(CA146)),IFERROR(CA147/CA146,""),"")</f>
        <v>0.19</v>
      </c>
      <c r="CB148" s="35" t="n">
        <v>0.2</v>
      </c>
      <c r="CC148" s="35" t="n">
        <v>0.2</v>
      </c>
      <c r="CD148" s="35" t="n">
        <v>0.2</v>
      </c>
      <c r="CE148" s="35" t="n">
        <v>0.2</v>
      </c>
      <c r="CF148" s="23" t="s">
        <v>270</v>
      </c>
    </row>
    <row r="149" customFormat="false" ht="15" hidden="false" customHeight="false" outlineLevel="0" collapsed="false">
      <c r="B149" s="51" t="s">
        <v>271</v>
      </c>
      <c r="C149" s="52" t="n">
        <f aca="false">C146-C147</f>
        <v>266.925000000001</v>
      </c>
      <c r="D149" s="52" t="n">
        <f aca="false">D146-D147</f>
        <v>324.260999999999</v>
      </c>
      <c r="E149" s="52" t="n">
        <f aca="false">E146-E147</f>
        <v>359.177000000001</v>
      </c>
      <c r="F149" s="52" t="n">
        <f aca="false">F146-F147</f>
        <v>360.83</v>
      </c>
      <c r="G149" s="52" t="n">
        <f aca="false">G146-G147</f>
        <v>387.026000000001</v>
      </c>
      <c r="H149" s="52" t="n">
        <f aca="false">H146-H147</f>
        <v>431.612</v>
      </c>
      <c r="I149" s="52" t="n">
        <f aca="false">I146-I147</f>
        <v>593.803999999998</v>
      </c>
      <c r="J149" s="52" t="n">
        <f aca="false">J146-J147</f>
        <v>103.343</v>
      </c>
      <c r="K149" s="52" t="n">
        <f aca="false">K146-K147</f>
        <v>111.872</v>
      </c>
      <c r="L149" s="52" t="n">
        <f aca="false">L146-L147</f>
        <v>107.737</v>
      </c>
      <c r="M149" s="52" t="n">
        <f aca="false">M146-M147</f>
        <v>92.9519999999997</v>
      </c>
      <c r="N149" s="52" t="n">
        <f aca="false">N146-N147</f>
        <v>415.903999999999</v>
      </c>
      <c r="O149" s="52" t="n">
        <f aca="false">O146-O147</f>
        <v>93.1870000000001</v>
      </c>
      <c r="P149" s="52" t="n">
        <f aca="false">P146-P147</f>
        <v>118.596</v>
      </c>
      <c r="Q149" s="52" t="n">
        <f aca="false">Q146-Q147</f>
        <v>124.981</v>
      </c>
      <c r="R149" s="52" t="n">
        <f aca="false">R146-R147</f>
        <v>112.947</v>
      </c>
      <c r="S149" s="52" t="n">
        <f aca="false">S146-S147</f>
        <v>449.710999999998</v>
      </c>
      <c r="T149" s="52" t="n">
        <f aca="false">T146-T147</f>
        <v>106.476</v>
      </c>
      <c r="U149" s="52" t="n">
        <f aca="false">U146-U147</f>
        <v>137.208</v>
      </c>
      <c r="V149" s="52" t="n">
        <f aca="false">V146-V147</f>
        <v>139.432</v>
      </c>
      <c r="W149" s="52" t="n">
        <f aca="false">W146-W147</f>
        <v>126.583</v>
      </c>
      <c r="X149" s="52" t="n">
        <f aca="false">X146-X147</f>
        <v>509.699</v>
      </c>
      <c r="Y149" s="52" t="n">
        <f aca="false">Y146-Y147</f>
        <v>118.963</v>
      </c>
      <c r="Z149" s="52" t="n">
        <f aca="false">Z146-Z147</f>
        <v>143.09</v>
      </c>
      <c r="AA149" s="52" t="n">
        <f aca="false">AA146-AA147</f>
        <v>129.028</v>
      </c>
      <c r="AB149" s="52" t="n">
        <f aca="false">AB146-AB147</f>
        <v>122.303</v>
      </c>
      <c r="AC149" s="52" t="n">
        <f aca="false">AC146-AC147</f>
        <v>513.384000000002</v>
      </c>
      <c r="AD149" s="52" t="n">
        <f aca="false">AD146-AD147</f>
        <v>122.08</v>
      </c>
      <c r="AE149" s="52" t="n">
        <f aca="false">AE146-AE147</f>
        <v>111.071</v>
      </c>
      <c r="AF149" s="52" t="n">
        <f aca="false">AF146-AF147</f>
        <v>119.186</v>
      </c>
      <c r="AG149" s="52" t="n">
        <f aca="false">AG146-AG147</f>
        <v>152.556</v>
      </c>
      <c r="AH149" s="52" t="n">
        <f aca="false">AH146-AH147</f>
        <v>504.892999999997</v>
      </c>
      <c r="AI149" s="52" t="n">
        <f aca="false">AI146-AI147</f>
        <v>142.297</v>
      </c>
      <c r="AJ149" s="52" t="n">
        <f aca="false">AJ146-AJ147</f>
        <v>159.163</v>
      </c>
      <c r="AK149" s="52" t="n">
        <f aca="false">AK146-AK147</f>
        <v>175.895</v>
      </c>
      <c r="AL149" s="52" t="n">
        <f aca="false">AL146-AL147</f>
        <v>187.15</v>
      </c>
      <c r="AM149" s="52" t="n">
        <f aca="false">AM146-AM147</f>
        <v>664.504999999999</v>
      </c>
      <c r="AN149" s="52" t="n">
        <f aca="false">AN146-AN147</f>
        <v>161.788</v>
      </c>
      <c r="AO149" s="52" t="n">
        <f aca="false">AO146-AO147</f>
        <v>169.18</v>
      </c>
      <c r="AP149" s="52" t="n">
        <f aca="false">AP146-AP147</f>
        <v>146.894</v>
      </c>
      <c r="AQ149" s="52" t="n">
        <f aca="false">AQ146-AQ147</f>
        <v>99.1060000000003</v>
      </c>
      <c r="AR149" s="52" t="n">
        <f aca="false">AR146-AR147</f>
        <v>576.967999999999</v>
      </c>
      <c r="AS149" s="52" t="n">
        <f aca="false">AS146-AS147</f>
        <v>78.1459999999999</v>
      </c>
      <c r="AT149" s="52" t="n">
        <f aca="false">AT146-AT147</f>
        <v>143.939</v>
      </c>
      <c r="AU149" s="52" t="n">
        <f aca="false">AU146-AU147</f>
        <v>136.529</v>
      </c>
      <c r="AV149" s="52" t="n">
        <f aca="false">AV146-AV147</f>
        <v>147.807</v>
      </c>
      <c r="AW149" s="52" t="n">
        <f aca="false">AW146-AW147</f>
        <v>506.421</v>
      </c>
      <c r="AX149" s="52" t="n">
        <f aca="false">AX146-AX147</f>
        <v>173.305</v>
      </c>
      <c r="AY149" s="52" t="n">
        <f aca="false">AY146-AY147</f>
        <v>193.788999999999</v>
      </c>
      <c r="AZ149" s="52" t="n">
        <f aca="false">AZ146-AZ147</f>
        <v>247.052999999999</v>
      </c>
      <c r="BA149" s="52" t="n">
        <f aca="false">BA146-BA147</f>
        <v>230.098</v>
      </c>
      <c r="BB149" s="52" t="n">
        <f aca="false">BB146-BB147</f>
        <v>844.245</v>
      </c>
      <c r="BC149" s="52" t="n">
        <f aca="false">BC146-BC147</f>
        <v>270.348</v>
      </c>
      <c r="BD149" s="52" t="n">
        <f aca="false">BD146-BD147</f>
        <v>348.185</v>
      </c>
      <c r="BE149" s="52" t="n">
        <f aca="false">BE146-BE147</f>
        <v>225.798</v>
      </c>
      <c r="BF149" s="52" t="n">
        <f aca="false">BF146-BF147</f>
        <v>96.193</v>
      </c>
      <c r="BG149" s="52" t="n">
        <f aca="false">BG146-BG147</f>
        <v>940.524</v>
      </c>
      <c r="BH149" s="52" t="n">
        <f aca="false">BH146-BH147</f>
        <v>114.891</v>
      </c>
      <c r="BI149" s="52" t="n">
        <f aca="false">BI146-BI147</f>
        <v>97.3159999999996</v>
      </c>
      <c r="BJ149" s="52" t="n">
        <f aca="false">BJ146-BJ147</f>
        <v>81.9489999999997</v>
      </c>
      <c r="BK149" s="52" t="n">
        <f aca="false">BK146-BK147</f>
        <v>30.9729999999996</v>
      </c>
      <c r="BL149" s="52" t="n">
        <f aca="false">BL146-BL147</f>
        <v>325.129</v>
      </c>
      <c r="BM149" s="52" t="n">
        <f aca="false">BM146-BM147</f>
        <v>92.9039999999994</v>
      </c>
      <c r="BN149" s="52" t="n">
        <f aca="false">BN146-BN147</f>
        <v>126.251</v>
      </c>
      <c r="BO149" s="52" t="n">
        <f aca="false">BO146-BO147</f>
        <v>97.2289999999997</v>
      </c>
      <c r="BP149" s="52" t="n">
        <f aca="false">BP146-BP147</f>
        <v>149.306</v>
      </c>
      <c r="BQ149" s="52" t="n">
        <f aca="false">BQ146-BQ147</f>
        <v>465.689999999999</v>
      </c>
      <c r="BR149" s="52" t="n">
        <f aca="false">BR146-BR147</f>
        <v>135.302</v>
      </c>
      <c r="BS149" s="52" t="n">
        <f aca="false">BS146-BS147</f>
        <v>152.471</v>
      </c>
      <c r="BT149" s="52" t="n">
        <f aca="false">BT146-BT147</f>
        <v>162.986999999999</v>
      </c>
      <c r="BU149" s="52" t="n">
        <f aca="false">BU146-BU147</f>
        <v>136.321</v>
      </c>
      <c r="BV149" s="52" t="n">
        <f aca="false">BV146-BV147</f>
        <v>587.081</v>
      </c>
      <c r="BW149" s="52" t="n">
        <f aca="false">BW146-BW147</f>
        <v>147.233</v>
      </c>
      <c r="BX149" s="52" t="n">
        <f aca="false">BX146-BX147</f>
        <v>186.786</v>
      </c>
      <c r="BY149" s="52" t="n">
        <f aca="false">BY146-BY147</f>
        <v>208.621079525743</v>
      </c>
      <c r="BZ149" s="52" t="n">
        <f aca="false">BZ146-BZ147</f>
        <v>174.294160474256</v>
      </c>
      <c r="CA149" s="52" t="n">
        <f aca="false">CA146-CA147</f>
        <v>716.93424</v>
      </c>
      <c r="CB149" s="52" t="n">
        <f aca="false">CB146-CB147</f>
        <v>829.79979227077</v>
      </c>
      <c r="CC149" s="52" t="n">
        <f aca="false">CC146-CC147</f>
        <v>896.522032694338</v>
      </c>
      <c r="CD149" s="52" t="n">
        <f aca="false">CD146-CD147</f>
        <v>960.914103024663</v>
      </c>
      <c r="CE149" s="52" t="n">
        <f aca="false">CE146-CE147</f>
        <v>1018.93060730814</v>
      </c>
      <c r="CF149" s="6"/>
      <c r="CH149" s="33" t="n">
        <f aca="false">IFERROR((CE149/BV149)^(1/5)-1,"n/m")</f>
        <v>0.116578642444899</v>
      </c>
      <c r="CI149" s="33" t="n">
        <f aca="false">IFERROR((BV149/AW149)^(1/5)-1,"n/m")</f>
        <v>0.0300000926412407</v>
      </c>
      <c r="CJ149" s="33" t="n">
        <f aca="false">IFERROR((BV149/X149)^(1/10)-1,"n/m")</f>
        <v>0.0142346051849738</v>
      </c>
      <c r="CK149" s="33" t="n">
        <f aca="false">IFERROR((BV149/C149)^(1/19)-1,"n/m")</f>
        <v>0.0423564335435469</v>
      </c>
    </row>
    <row r="150" customFormat="false" ht="15" hidden="false" customHeight="false" outlineLevel="0" collapsed="false">
      <c r="B150" s="46" t="s">
        <v>272</v>
      </c>
      <c r="C150" s="47" t="n">
        <f aca="false">IF(ISNUMBER(C151),ROUND(C149-C151,1),"")</f>
        <v>0</v>
      </c>
      <c r="D150" s="47" t="n">
        <f aca="false">IF(ISNUMBER(D151),ROUND(D149-D151,1),"")</f>
        <v>0</v>
      </c>
      <c r="E150" s="47" t="n">
        <f aca="false">IF(ISNUMBER(E151),ROUND(E149-E151,1),"")</f>
        <v>0</v>
      </c>
      <c r="F150" s="47" t="n">
        <f aca="false">IF(ISNUMBER(F151),ROUND(F149-F151,1),"")</f>
        <v>0</v>
      </c>
      <c r="G150" s="47" t="n">
        <f aca="false">IF(ISNUMBER(G151),ROUND(G149-G151,1),"")</f>
        <v>0</v>
      </c>
      <c r="H150" s="47" t="n">
        <f aca="false">IF(ISNUMBER(H151),ROUND(H149-H151,1),"")</f>
        <v>0</v>
      </c>
      <c r="I150" s="47" t="n">
        <f aca="false">IF(ISNUMBER(I151),ROUND(I149-I151,1),"")</f>
        <v>0</v>
      </c>
      <c r="J150" s="47" t="n">
        <f aca="false">IF(ISNUMBER(J151),ROUND(J149-J151,1),"")</f>
        <v>0</v>
      </c>
      <c r="K150" s="47" t="n">
        <f aca="false">IF(ISNUMBER(K151),ROUND(K149-K151,1),"")</f>
        <v>0</v>
      </c>
      <c r="L150" s="47" t="n">
        <f aca="false">IF(ISNUMBER(L151),ROUND(L149-L151,1),"")</f>
        <v>0</v>
      </c>
      <c r="M150" s="47" t="n">
        <f aca="false">IF(ISNUMBER(M151),ROUND(M149-M151,1),"")</f>
        <v>0</v>
      </c>
      <c r="N150" s="47" t="n">
        <f aca="false">IF(ISNUMBER(N151),ROUND(N149-N151,1),"")</f>
        <v>0</v>
      </c>
      <c r="O150" s="47" t="n">
        <f aca="false">IF(ISNUMBER(O151),ROUND(O149-O151,1),"")</f>
        <v>0</v>
      </c>
      <c r="P150" s="47" t="n">
        <f aca="false">IF(ISNUMBER(P151),ROUND(P149-P151,1),"")</f>
        <v>0</v>
      </c>
      <c r="Q150" s="47" t="n">
        <f aca="false">IF(ISNUMBER(Q151),ROUND(Q149-Q151,1),"")</f>
        <v>0</v>
      </c>
      <c r="R150" s="47" t="n">
        <f aca="false">IF(ISNUMBER(R151),ROUND(R149-R151,1),"")</f>
        <v>0</v>
      </c>
      <c r="S150" s="47" t="n">
        <f aca="false">IF(ISNUMBER(S151),ROUND(S149-S151,1),"")</f>
        <v>-0</v>
      </c>
      <c r="T150" s="47" t="n">
        <f aca="false">IF(ISNUMBER(T151),ROUND(T149-T151,1),"")</f>
        <v>0</v>
      </c>
      <c r="U150" s="47" t="n">
        <f aca="false">IF(ISNUMBER(U151),ROUND(U149-U151,1),"")</f>
        <v>0</v>
      </c>
      <c r="V150" s="47" t="n">
        <f aca="false">IF(ISNUMBER(V151),ROUND(V149-V151,1),"")</f>
        <v>0</v>
      </c>
      <c r="W150" s="47" t="n">
        <f aca="false">IF(ISNUMBER(W151),ROUND(W149-W151,1),"")</f>
        <v>0</v>
      </c>
      <c r="X150" s="47" t="n">
        <f aca="false">IF(ISNUMBER(X151),ROUND(X149-X151,1),"")</f>
        <v>0</v>
      </c>
      <c r="Y150" s="47" t="n">
        <f aca="false">IF(ISNUMBER(Y151),ROUND(Y149-Y151,1),"")</f>
        <v>0</v>
      </c>
      <c r="Z150" s="47" t="n">
        <f aca="false">IF(ISNUMBER(Z151),ROUND(Z149-Z151,1),"")</f>
        <v>0</v>
      </c>
      <c r="AA150" s="47" t="n">
        <f aca="false">IF(ISNUMBER(AA151),ROUND(AA149-AA151,1),"")</f>
        <v>0</v>
      </c>
      <c r="AB150" s="47" t="n">
        <f aca="false">IF(ISNUMBER(AB151),ROUND(AB149-AB151,1),"")</f>
        <v>0</v>
      </c>
      <c r="AC150" s="47" t="n">
        <f aca="false">IF(ISNUMBER(AC151),ROUND(AC149-AC151,1),"")</f>
        <v>0</v>
      </c>
      <c r="AD150" s="47" t="n">
        <f aca="false">IF(ISNUMBER(AD151),ROUND(AD149-AD151,1),"")</f>
        <v>0</v>
      </c>
      <c r="AE150" s="47" t="n">
        <f aca="false">IF(ISNUMBER(AE151),ROUND(AE149-AE151,1),"")</f>
        <v>0</v>
      </c>
      <c r="AF150" s="47" t="n">
        <f aca="false">IF(ISNUMBER(AF151),ROUND(AF149-AF151,1),"")</f>
        <v>0</v>
      </c>
      <c r="AG150" s="47" t="n">
        <f aca="false">IF(ISNUMBER(AG151),ROUND(AG149-AG151,1),"")</f>
        <v>0</v>
      </c>
      <c r="AH150" s="47" t="n">
        <f aca="false">IF(ISNUMBER(AH151),ROUND(AH149-AH151,1),"")</f>
        <v>-0</v>
      </c>
      <c r="AI150" s="47" t="n">
        <f aca="false">IF(ISNUMBER(AI151),ROUND(AI149-AI151,1),"")</f>
        <v>0</v>
      </c>
      <c r="AJ150" s="47" t="n">
        <f aca="false">IF(ISNUMBER(AJ151),ROUND(AJ149-AJ151,1),"")</f>
        <v>0</v>
      </c>
      <c r="AK150" s="47" t="n">
        <f aca="false">IF(ISNUMBER(AK151),ROUND(AK149-AK151,1),"")</f>
        <v>0</v>
      </c>
      <c r="AL150" s="47" t="n">
        <f aca="false">IF(ISNUMBER(AL151),ROUND(AL149-AL151,1),"")</f>
        <v>0</v>
      </c>
      <c r="AM150" s="47" t="n">
        <f aca="false">IF(ISNUMBER(AM151),ROUND(AM149-AM151,1),"")</f>
        <v>0</v>
      </c>
      <c r="AN150" s="47" t="n">
        <f aca="false">IF(ISNUMBER(AN151),ROUND(AN149-AN151,1),"")</f>
        <v>0</v>
      </c>
      <c r="AO150" s="47" t="n">
        <f aca="false">IF(ISNUMBER(AO151),ROUND(AO149-AO151,1),"")</f>
        <v>0</v>
      </c>
      <c r="AP150" s="47" t="n">
        <f aca="false">IF(ISNUMBER(AP151),ROUND(AP149-AP151,1),"")</f>
        <v>0</v>
      </c>
      <c r="AQ150" s="47" t="n">
        <f aca="false">IF(ISNUMBER(AQ151),ROUND(AQ149-AQ151,1),"")</f>
        <v>0</v>
      </c>
      <c r="AR150" s="47" t="n">
        <f aca="false">IF(ISNUMBER(AR151),ROUND(AR149-AR151,1),"")</f>
        <v>0</v>
      </c>
      <c r="AS150" s="47" t="n">
        <f aca="false">IF(ISNUMBER(AS151),ROUND(AS149-AS151,1),"")</f>
        <v>0</v>
      </c>
      <c r="AT150" s="47" t="n">
        <f aca="false">IF(ISNUMBER(AT151),ROUND(AT149-AT151,1),"")</f>
        <v>0</v>
      </c>
      <c r="AU150" s="47" t="n">
        <f aca="false">IF(ISNUMBER(AU151),ROUND(AU149-AU151,1),"")</f>
        <v>0</v>
      </c>
      <c r="AV150" s="47" t="n">
        <f aca="false">IF(ISNUMBER(AV151),ROUND(AV149-AV151,1),"")</f>
        <v>0</v>
      </c>
      <c r="AW150" s="47" t="n">
        <f aca="false">IF(ISNUMBER(AW151),ROUND(AW149-AW151,1),"")</f>
        <v>0</v>
      </c>
      <c r="AX150" s="47" t="n">
        <f aca="false">IF(ISNUMBER(AX151),ROUND(AX149-AX151,1),"")</f>
        <v>0</v>
      </c>
      <c r="AY150" s="47" t="n">
        <f aca="false">IF(ISNUMBER(AY151),ROUND(AY149-AY151,1),"")</f>
        <v>0</v>
      </c>
      <c r="AZ150" s="47" t="n">
        <f aca="false">IF(ISNUMBER(AZ151),ROUND(AZ149-AZ151,1),"")</f>
        <v>-0</v>
      </c>
      <c r="BA150" s="47" t="n">
        <f aca="false">IF(ISNUMBER(BA151),ROUND(BA149-BA151,1),"")</f>
        <v>0</v>
      </c>
      <c r="BB150" s="47" t="n">
        <f aca="false">IF(ISNUMBER(BB151),ROUND(BB149-BB151,1),"")</f>
        <v>0</v>
      </c>
      <c r="BC150" s="47" t="n">
        <f aca="false">IF(ISNUMBER(BC151),ROUND(BC149-BC151,1),"")</f>
        <v>0</v>
      </c>
      <c r="BD150" s="47" t="n">
        <f aca="false">IF(ISNUMBER(BD151),ROUND(BD149-BD151,1),"")</f>
        <v>0</v>
      </c>
      <c r="BE150" s="47" t="n">
        <f aca="false">IF(ISNUMBER(BE151),ROUND(BE149-BE151,1),"")</f>
        <v>0</v>
      </c>
      <c r="BF150" s="47" t="n">
        <f aca="false">IF(ISNUMBER(BF151),ROUND(BF149-BF151,1),"")</f>
        <v>0</v>
      </c>
      <c r="BG150" s="47" t="n">
        <f aca="false">IF(ISNUMBER(BG151),ROUND(BG149-BG151,1),"")</f>
        <v>0</v>
      </c>
      <c r="BH150" s="47" t="n">
        <f aca="false">IF(ISNUMBER(BH151),ROUND(BH149-BH151,1),"")</f>
        <v>0</v>
      </c>
      <c r="BI150" s="47" t="n">
        <f aca="false">IF(ISNUMBER(BI151),ROUND(BI149-BI151,1),"")</f>
        <v>-0</v>
      </c>
      <c r="BJ150" s="47" t="n">
        <f aca="false">IF(ISNUMBER(BJ151),ROUND(BJ149-BJ151,1),"")</f>
        <v>-0</v>
      </c>
      <c r="BK150" s="47" t="n">
        <f aca="false">IF(ISNUMBER(BK151),ROUND(BK149-BK151,1),"")</f>
        <v>-0</v>
      </c>
      <c r="BL150" s="47" t="n">
        <f aca="false">IF(ISNUMBER(BL151),ROUND(BL149-BL151,1),"")</f>
        <v>0</v>
      </c>
      <c r="BM150" s="47" t="n">
        <f aca="false">IF(ISNUMBER(BM151),ROUND(BM149-BM151,1),"")</f>
        <v>-0</v>
      </c>
      <c r="BN150" s="47" t="n">
        <f aca="false">IF(ISNUMBER(BN151),ROUND(BN149-BN151,1),"")</f>
        <v>0</v>
      </c>
      <c r="BO150" s="47" t="n">
        <f aca="false">IF(ISNUMBER(BO151),ROUND(BO149-BO151,1),"")</f>
        <v>0</v>
      </c>
      <c r="BP150" s="47" t="n">
        <f aca="false">IF(ISNUMBER(BP151),ROUND(BP149-BP151,1),"")</f>
        <v>0</v>
      </c>
      <c r="BQ150" s="47" t="n">
        <f aca="false">IF(ISNUMBER(BQ151),ROUND(BQ149-BQ151,1),"")</f>
        <v>0</v>
      </c>
      <c r="BR150" s="47" t="n">
        <f aca="false">IF(ISNUMBER(BR151),ROUND(BR149-BR151,1),"")</f>
        <v>0</v>
      </c>
      <c r="BS150" s="47" t="n">
        <f aca="false">IF(ISNUMBER(BS151),ROUND(BS149-BS151,1),"")</f>
        <v>0</v>
      </c>
      <c r="BT150" s="47" t="n">
        <f aca="false">IF(ISNUMBER(BT151),ROUND(BT149-BT151,1),"")</f>
        <v>-0</v>
      </c>
      <c r="BU150" s="47" t="n">
        <f aca="false">IF(ISNUMBER(BU151),ROUND(BU149-BU151,1),"")</f>
        <v>0</v>
      </c>
      <c r="BV150" s="47" t="n">
        <f aca="false">IF(ISNUMBER(BV151),ROUND(BV149-BV151,1),"")</f>
        <v>0</v>
      </c>
      <c r="BW150" s="47" t="n">
        <f aca="false">IF(ISNUMBER(BW151),ROUND(BW149-BW151,1),"")</f>
        <v>0</v>
      </c>
      <c r="BX150" s="47" t="n">
        <f aca="false">IF(ISNUMBER(BX151),ROUND(BX149-BX151,1),"")</f>
        <v>0</v>
      </c>
    </row>
    <row r="151" customFormat="false" ht="15" hidden="false" customHeight="false" outlineLevel="0" collapsed="false">
      <c r="B151" s="54" t="s">
        <v>273</v>
      </c>
      <c r="C151" s="37" t="n">
        <v>266.925</v>
      </c>
      <c r="D151" s="37" t="n">
        <v>324.261</v>
      </c>
      <c r="E151" s="37" t="n">
        <v>359.177</v>
      </c>
      <c r="F151" s="37" t="n">
        <v>360.83</v>
      </c>
      <c r="G151" s="37" t="n">
        <v>387.026</v>
      </c>
      <c r="H151" s="37" t="n">
        <v>431.612</v>
      </c>
      <c r="I151" s="37" t="n">
        <v>593.804</v>
      </c>
      <c r="J151" s="37" t="n">
        <v>103.343</v>
      </c>
      <c r="K151" s="37" t="n">
        <v>111.872</v>
      </c>
      <c r="L151" s="37" t="n">
        <v>107.737</v>
      </c>
      <c r="M151" s="37" t="n">
        <v>92.952</v>
      </c>
      <c r="N151" s="37" t="n">
        <v>415.904</v>
      </c>
      <c r="O151" s="37" t="n">
        <v>93.187</v>
      </c>
      <c r="P151" s="37" t="n">
        <v>118.596</v>
      </c>
      <c r="Q151" s="37" t="n">
        <v>124.981</v>
      </c>
      <c r="R151" s="37" t="n">
        <v>112.947</v>
      </c>
      <c r="S151" s="37" t="n">
        <v>449.711</v>
      </c>
      <c r="T151" s="37" t="n">
        <v>106.476</v>
      </c>
      <c r="U151" s="37" t="n">
        <v>137.208</v>
      </c>
      <c r="V151" s="37" t="n">
        <v>139.432</v>
      </c>
      <c r="W151" s="37" t="n">
        <v>126.583</v>
      </c>
      <c r="X151" s="37" t="n">
        <v>509.699</v>
      </c>
      <c r="Y151" s="37" t="n">
        <v>118.963</v>
      </c>
      <c r="Z151" s="37" t="n">
        <v>143.09</v>
      </c>
      <c r="AA151" s="37" t="n">
        <v>129.028</v>
      </c>
      <c r="AB151" s="37" t="n">
        <v>122.303</v>
      </c>
      <c r="AC151" s="37" t="n">
        <v>513.384</v>
      </c>
      <c r="AD151" s="37" t="n">
        <v>122.08</v>
      </c>
      <c r="AE151" s="37" t="n">
        <v>111.071</v>
      </c>
      <c r="AF151" s="37" t="n">
        <v>119.186</v>
      </c>
      <c r="AG151" s="37" t="n">
        <v>152.556</v>
      </c>
      <c r="AH151" s="37" t="n">
        <v>504.893</v>
      </c>
      <c r="AI151" s="37" t="n">
        <v>142.297</v>
      </c>
      <c r="AJ151" s="37" t="n">
        <v>159.163</v>
      </c>
      <c r="AK151" s="37" t="n">
        <v>175.895</v>
      </c>
      <c r="AL151" s="37" t="n">
        <v>187.15</v>
      </c>
      <c r="AM151" s="37" t="n">
        <v>664.505</v>
      </c>
      <c r="AN151" s="37" t="n">
        <v>161.788</v>
      </c>
      <c r="AO151" s="37" t="n">
        <v>169.18</v>
      </c>
      <c r="AP151" s="37" t="n">
        <v>146.894</v>
      </c>
      <c r="AQ151" s="37" t="n">
        <v>99.106</v>
      </c>
      <c r="AR151" s="37" t="n">
        <v>576.968</v>
      </c>
      <c r="AS151" s="37" t="n">
        <v>78.146</v>
      </c>
      <c r="AT151" s="37" t="n">
        <v>143.939</v>
      </c>
      <c r="AU151" s="37" t="n">
        <v>136.529</v>
      </c>
      <c r="AV151" s="37" t="n">
        <v>147.807</v>
      </c>
      <c r="AW151" s="37" t="n">
        <v>506.421</v>
      </c>
      <c r="AX151" s="37" t="n">
        <v>173.305</v>
      </c>
      <c r="AY151" s="37" t="n">
        <v>193.789</v>
      </c>
      <c r="AZ151" s="37" t="n">
        <v>247.053</v>
      </c>
      <c r="BA151" s="37" t="n">
        <v>230.098</v>
      </c>
      <c r="BB151" s="37" t="n">
        <v>844.245</v>
      </c>
      <c r="BC151" s="37" t="n">
        <v>270.348</v>
      </c>
      <c r="BD151" s="37" t="n">
        <v>348.185</v>
      </c>
      <c r="BE151" s="37" t="n">
        <v>225.798</v>
      </c>
      <c r="BF151" s="37" t="n">
        <v>96.193</v>
      </c>
      <c r="BG151" s="37" t="n">
        <v>940.524</v>
      </c>
      <c r="BH151" s="37" t="n">
        <v>114.891</v>
      </c>
      <c r="BI151" s="37" t="n">
        <v>97.316</v>
      </c>
      <c r="BJ151" s="37" t="n">
        <v>81.949</v>
      </c>
      <c r="BK151" s="37" t="n">
        <v>30.973</v>
      </c>
      <c r="BL151" s="37" t="n">
        <v>325.129</v>
      </c>
      <c r="BM151" s="37" t="n">
        <v>92.904</v>
      </c>
      <c r="BN151" s="37" t="n">
        <v>126.251</v>
      </c>
      <c r="BO151" s="37" t="n">
        <v>97.229</v>
      </c>
      <c r="BP151" s="37" t="n">
        <v>149.306</v>
      </c>
      <c r="BQ151" s="37" t="n">
        <v>465.69</v>
      </c>
      <c r="BR151" s="37" t="n">
        <v>135.302</v>
      </c>
      <c r="BS151" s="37" t="n">
        <v>152.471</v>
      </c>
      <c r="BT151" s="37" t="n">
        <v>162.987</v>
      </c>
      <c r="BU151" s="37" t="n">
        <v>136.321</v>
      </c>
      <c r="BV151" s="37" t="n">
        <v>587.081</v>
      </c>
      <c r="BW151" s="37" t="n">
        <v>147.233</v>
      </c>
      <c r="BX151" s="37" t="n">
        <v>186.786</v>
      </c>
      <c r="BY151" s="6"/>
      <c r="BZ151" s="6"/>
      <c r="CA151" s="6"/>
      <c r="CB151" s="6"/>
      <c r="CC151" s="6"/>
      <c r="CD151" s="6"/>
      <c r="CE151" s="6"/>
    </row>
    <row r="152" customFormat="false" ht="15" hidden="false" customHeight="false" outlineLevel="0" collapsed="false">
      <c r="B152" s="28" t="s">
        <v>274</v>
      </c>
      <c r="C152" s="37" t="n">
        <v>23.932</v>
      </c>
      <c r="D152" s="37" t="n">
        <v>27.366</v>
      </c>
      <c r="E152" s="37" t="n">
        <v>31.164</v>
      </c>
      <c r="F152" s="37" t="n">
        <v>30.514</v>
      </c>
      <c r="G152" s="37" t="n">
        <v>29.369</v>
      </c>
      <c r="H152" s="37" t="n">
        <v>32.498</v>
      </c>
      <c r="I152" s="37" t="n">
        <v>38.09</v>
      </c>
      <c r="J152" s="37" t="n">
        <v>13.807</v>
      </c>
      <c r="K152" s="37" t="n">
        <v>14.145</v>
      </c>
      <c r="L152" s="37" t="n">
        <v>14.1</v>
      </c>
      <c r="M152" s="37" t="n">
        <v>14.83</v>
      </c>
      <c r="N152" s="37" t="n">
        <v>56.882</v>
      </c>
      <c r="O152" s="37" t="n">
        <v>14.549</v>
      </c>
      <c r="P152" s="37" t="n">
        <v>14.8</v>
      </c>
      <c r="Q152" s="37" t="n">
        <v>14.093</v>
      </c>
      <c r="R152" s="37" t="n">
        <v>13.567</v>
      </c>
      <c r="S152" s="37" t="n">
        <v>57.009</v>
      </c>
      <c r="T152" s="37" t="n">
        <v>16.243</v>
      </c>
      <c r="U152" s="37" t="n">
        <v>16.439</v>
      </c>
      <c r="V152" s="37" t="n">
        <v>16.831</v>
      </c>
      <c r="W152" s="37" t="n">
        <v>16.896</v>
      </c>
      <c r="X152" s="37" t="n">
        <v>66.409</v>
      </c>
      <c r="Y152" s="37" t="n">
        <v>16.875</v>
      </c>
      <c r="Z152" s="37" t="n">
        <v>18.184</v>
      </c>
      <c r="AA152" s="37" t="n">
        <v>17.657</v>
      </c>
      <c r="AB152" s="37" t="n">
        <v>21.953</v>
      </c>
      <c r="AC152" s="37" t="n">
        <v>74.669</v>
      </c>
      <c r="AD152" s="37" t="n">
        <v>22.431</v>
      </c>
      <c r="AE152" s="37" t="n">
        <v>22.946</v>
      </c>
      <c r="AF152" s="37" t="n">
        <v>23.963</v>
      </c>
      <c r="AG152" s="37" t="n">
        <v>23.637</v>
      </c>
      <c r="AH152" s="37" t="n">
        <v>92.977</v>
      </c>
      <c r="AI152" s="37" t="n">
        <v>24.241</v>
      </c>
      <c r="AJ152" s="37" t="n">
        <v>24.238</v>
      </c>
      <c r="AK152" s="37" t="n">
        <v>23.923</v>
      </c>
      <c r="AL152" s="37" t="n">
        <v>24.327</v>
      </c>
      <c r="AM152" s="37" t="n">
        <v>96.729</v>
      </c>
      <c r="AN152" s="37" t="n">
        <v>24.56</v>
      </c>
      <c r="AO152" s="37" t="n">
        <v>25.082</v>
      </c>
      <c r="AP152" s="37" t="n">
        <v>25.48</v>
      </c>
      <c r="AQ152" s="37" t="n">
        <v>25.327</v>
      </c>
      <c r="AR152" s="37" t="n">
        <v>100.449</v>
      </c>
      <c r="AS152" s="37" t="n">
        <v>24.393</v>
      </c>
      <c r="AT152" s="37" t="n">
        <v>25.758</v>
      </c>
      <c r="AU152" s="37" t="n">
        <v>26.916</v>
      </c>
      <c r="AV152" s="37" t="n">
        <v>24.66</v>
      </c>
      <c r="AW152" s="37" t="n">
        <v>101.727</v>
      </c>
      <c r="AX152" s="37" t="n">
        <v>23.278</v>
      </c>
      <c r="AY152" s="37" t="n">
        <v>22.937</v>
      </c>
      <c r="AZ152" s="37" t="n">
        <v>22.406</v>
      </c>
      <c r="BA152" s="37" t="n">
        <v>22.638</v>
      </c>
      <c r="BB152" s="37" t="n">
        <v>91.259</v>
      </c>
      <c r="BC152" s="37" t="n">
        <v>22.486</v>
      </c>
      <c r="BD152" s="37" t="n">
        <v>23.262</v>
      </c>
      <c r="BE152" s="37" t="n">
        <v>22.975</v>
      </c>
      <c r="BF152" s="37" t="n">
        <v>24.053</v>
      </c>
      <c r="BG152" s="37" t="n">
        <v>92.776</v>
      </c>
      <c r="BH152" s="37" t="n">
        <v>24.38</v>
      </c>
      <c r="BI152" s="37" t="n">
        <v>25.975</v>
      </c>
      <c r="BJ152" s="37" t="n">
        <v>25.544</v>
      </c>
      <c r="BK152" s="37" t="n">
        <v>23.086</v>
      </c>
      <c r="BL152" s="37" t="n">
        <v>98.985</v>
      </c>
      <c r="BM152" s="37" t="n">
        <v>23.878</v>
      </c>
      <c r="BN152" s="37" t="n">
        <v>25.054</v>
      </c>
      <c r="BO152" s="37" t="n">
        <v>23.948</v>
      </c>
      <c r="BP152" s="37" t="n">
        <v>24.28</v>
      </c>
      <c r="BQ152" s="37" t="n">
        <v>97.16</v>
      </c>
      <c r="BR152" s="37" t="n">
        <v>25.642</v>
      </c>
      <c r="BS152" s="37" t="n">
        <v>24.866</v>
      </c>
      <c r="BT152" s="37" t="n">
        <v>25.829</v>
      </c>
      <c r="BU152" s="37" t="n">
        <v>26.481</v>
      </c>
      <c r="BV152" s="37" t="n">
        <v>102.818</v>
      </c>
      <c r="BW152" s="37" t="n">
        <v>24.852</v>
      </c>
      <c r="BX152" s="37" t="n">
        <v>22.569</v>
      </c>
      <c r="BY152" s="49" t="n">
        <f aca="false">BY133*BY120</f>
        <v>23.3097679735366</v>
      </c>
      <c r="BZ152" s="49" t="n">
        <f aca="false">BZ133*BZ120</f>
        <v>21.691216089801</v>
      </c>
      <c r="CA152" s="49" t="n">
        <f aca="false">SUM(BW152,BX152,BY152,BZ152)</f>
        <v>92.4219840633376</v>
      </c>
      <c r="CB152" s="49" t="n">
        <f aca="false">CB104*CB120+N(CB93)</f>
        <v>106.071186374676</v>
      </c>
      <c r="CC152" s="49" t="n">
        <f aca="false">CC104*CC120+N(CC93)</f>
        <v>113.793661272926</v>
      </c>
      <c r="CD152" s="49" t="n">
        <f aca="false">CD104*CD120+N(CD93)</f>
        <v>123.174919503953</v>
      </c>
      <c r="CE152" s="49" t="n">
        <f aca="false">CE104*CE120+N(CE93)</f>
        <v>133.605225437526</v>
      </c>
    </row>
    <row r="153" customFormat="false" ht="15" hidden="false" customHeight="false" outlineLevel="0" collapsed="false">
      <c r="B153" s="28" t="s">
        <v>275</v>
      </c>
      <c r="C153" s="37" t="n">
        <v>47.292</v>
      </c>
      <c r="D153" s="37" t="n">
        <v>38.002</v>
      </c>
      <c r="E153" s="37" t="n">
        <v>20.804</v>
      </c>
      <c r="F153" s="37" t="n">
        <v>21.267</v>
      </c>
      <c r="G153" s="37" t="n">
        <v>37.047</v>
      </c>
      <c r="H153" s="37" t="n">
        <v>38.601</v>
      </c>
      <c r="I153" s="37" t="n">
        <v>59.381</v>
      </c>
      <c r="J153" s="37" t="n">
        <v>5.115</v>
      </c>
      <c r="K153" s="37" t="n">
        <v>4.77</v>
      </c>
      <c r="L153" s="37" t="n">
        <v>0.971</v>
      </c>
      <c r="M153" s="37" t="n">
        <v>-1.762</v>
      </c>
      <c r="N153" s="37" t="n">
        <v>9.094</v>
      </c>
      <c r="O153" s="37" t="n">
        <v>4.793</v>
      </c>
      <c r="P153" s="37" t="n">
        <v>11.63</v>
      </c>
      <c r="Q153" s="37" t="n">
        <v>17.138</v>
      </c>
      <c r="R153" s="37" t="n">
        <v>14.3</v>
      </c>
      <c r="S153" s="37" t="n">
        <v>47.861</v>
      </c>
      <c r="T153" s="37" t="n">
        <v>15.336</v>
      </c>
      <c r="U153" s="37" t="n">
        <v>15.683</v>
      </c>
      <c r="V153" s="37" t="n">
        <v>12.493</v>
      </c>
      <c r="W153" s="37" t="n">
        <v>14.149</v>
      </c>
      <c r="X153" s="37" t="n">
        <v>57.661</v>
      </c>
      <c r="Y153" s="37" t="n">
        <v>15.179</v>
      </c>
      <c r="Z153" s="37" t="n">
        <v>10.606</v>
      </c>
      <c r="AA153" s="37" t="n">
        <v>4.841</v>
      </c>
      <c r="AB153" s="37" t="n">
        <v>6.939</v>
      </c>
      <c r="AC153" s="37" t="n">
        <v>37.565</v>
      </c>
      <c r="AD153" s="37" t="n">
        <v>12.318</v>
      </c>
      <c r="AE153" s="37" t="n">
        <v>4.524</v>
      </c>
      <c r="AF153" s="37" t="n">
        <v>7.667</v>
      </c>
      <c r="AG153" s="37" t="n">
        <v>17.296</v>
      </c>
      <c r="AH153" s="37" t="n">
        <v>41.805</v>
      </c>
      <c r="AI153" s="37" t="n">
        <v>18.134</v>
      </c>
      <c r="AJ153" s="37" t="n">
        <v>26.57</v>
      </c>
      <c r="AK153" s="37" t="n">
        <v>23.771</v>
      </c>
      <c r="AL153" s="37" t="n">
        <v>19.316</v>
      </c>
      <c r="AM153" s="37" t="n">
        <v>87.791</v>
      </c>
      <c r="AN153" s="37" t="n">
        <v>17.123</v>
      </c>
      <c r="AO153" s="37" t="n">
        <v>14.684</v>
      </c>
      <c r="AP153" s="37" t="n">
        <v>8.85</v>
      </c>
      <c r="AQ153" s="37" t="n">
        <v>-1.574</v>
      </c>
      <c r="AR153" s="37" t="n">
        <v>39.083</v>
      </c>
      <c r="AS153" s="37" t="n">
        <v>11.397</v>
      </c>
      <c r="AT153" s="37" t="n">
        <v>10.954</v>
      </c>
      <c r="AU153" s="37" t="n">
        <v>10.776</v>
      </c>
      <c r="AV153" s="37" t="n">
        <v>10.868</v>
      </c>
      <c r="AW153" s="37" t="n">
        <v>43.995</v>
      </c>
      <c r="AX153" s="37" t="n">
        <v>23.989</v>
      </c>
      <c r="AY153" s="37" t="n">
        <v>29.161</v>
      </c>
      <c r="AZ153" s="37" t="n">
        <v>40.812</v>
      </c>
      <c r="BA153" s="37" t="n">
        <v>36.015</v>
      </c>
      <c r="BB153" s="37" t="n">
        <v>129.977</v>
      </c>
      <c r="BC153" s="37" t="n">
        <v>24.606</v>
      </c>
      <c r="BD153" s="37" t="n">
        <v>27.929</v>
      </c>
      <c r="BE153" s="37" t="n">
        <v>25.811</v>
      </c>
      <c r="BF153" s="37" t="n">
        <v>12.331</v>
      </c>
      <c r="BG153" s="37" t="n">
        <v>90.677</v>
      </c>
      <c r="BH153" s="37" t="n">
        <v>15.607</v>
      </c>
      <c r="BI153" s="37" t="n">
        <v>6.035</v>
      </c>
      <c r="BJ153" s="37" t="n">
        <v>15.667</v>
      </c>
      <c r="BK153" s="37" t="n">
        <v>20.86</v>
      </c>
      <c r="BL153" s="37" t="n">
        <v>58.169</v>
      </c>
      <c r="BM153" s="37" t="n">
        <v>22.673</v>
      </c>
      <c r="BN153" s="37" t="n">
        <v>19.572</v>
      </c>
      <c r="BO153" s="37" t="n">
        <v>22.004</v>
      </c>
      <c r="BP153" s="37" t="n">
        <v>20.341</v>
      </c>
      <c r="BQ153" s="37" t="n">
        <v>84.59</v>
      </c>
      <c r="BR153" s="37" t="n">
        <v>23.146</v>
      </c>
      <c r="BS153" s="37" t="n">
        <v>20.882</v>
      </c>
      <c r="BT153" s="37" t="n">
        <v>18.746</v>
      </c>
      <c r="BU153" s="37" t="n">
        <v>17.296</v>
      </c>
      <c r="BV153" s="37" t="n">
        <v>80.07</v>
      </c>
      <c r="BW153" s="37" t="n">
        <v>28.295</v>
      </c>
      <c r="BX153" s="37" t="n">
        <v>24.71</v>
      </c>
      <c r="BY153" s="49" t="n">
        <f aca="false">BY133*BY121</f>
        <v>25.521040658695</v>
      </c>
      <c r="BZ153" s="49" t="n">
        <f aca="false">BZ133*BZ121</f>
        <v>23.7489454375021</v>
      </c>
      <c r="CA153" s="49" t="n">
        <f aca="false">SUM(BW153,BX153,BY153,BZ153)</f>
        <v>102.274986096197</v>
      </c>
      <c r="CB153" s="49" t="n">
        <f aca="false">CB133*CB121</f>
        <v>90.9181597497221</v>
      </c>
      <c r="CC153" s="49" t="n">
        <f aca="false">CC133*CC121</f>
        <v>96.5731382339369</v>
      </c>
      <c r="CD153" s="49" t="n">
        <f aca="false">CD133*CD121</f>
        <v>102.23350243196</v>
      </c>
      <c r="CE153" s="49" t="n">
        <f aca="false">CE133*CE121</f>
        <v>108.357107517879</v>
      </c>
    </row>
    <row r="154" customFormat="false" ht="15" hidden="false" customHeight="false" outlineLevel="0" collapsed="false">
      <c r="B154" s="28" t="s">
        <v>276</v>
      </c>
    </row>
    <row r="155" customFormat="false" ht="15" hidden="false" customHeight="false" outlineLevel="0" collapsed="false">
      <c r="B155" s="28" t="s">
        <v>277</v>
      </c>
      <c r="C155" s="56" t="n">
        <v>170.888</v>
      </c>
      <c r="D155" s="56" t="n">
        <v>170.493</v>
      </c>
      <c r="E155" s="56" t="n">
        <v>169.056</v>
      </c>
      <c r="F155" s="56" t="n">
        <v>167.695</v>
      </c>
      <c r="G155" s="56" t="n">
        <v>164.909</v>
      </c>
      <c r="H155" s="56" t="n">
        <v>164.114</v>
      </c>
      <c r="I155" s="56" t="n">
        <v>161.557</v>
      </c>
      <c r="J155" s="56" t="n">
        <v>160.637</v>
      </c>
      <c r="K155" s="56" t="n">
        <v>159.818</v>
      </c>
      <c r="L155" s="56" t="n">
        <v>156.924</v>
      </c>
      <c r="M155" s="56" t="n">
        <v>150.856</v>
      </c>
      <c r="N155" s="56" t="n">
        <v>156.915</v>
      </c>
      <c r="O155" s="56" t="n">
        <v>148.517</v>
      </c>
      <c r="P155" s="56" t="n">
        <v>147.826</v>
      </c>
      <c r="Q155" s="56" t="n">
        <v>146.646</v>
      </c>
      <c r="R155" s="56" t="n">
        <v>145.856</v>
      </c>
      <c r="S155" s="56" t="n">
        <v>147.202</v>
      </c>
      <c r="T155" s="56" t="n">
        <v>146.204</v>
      </c>
      <c r="U155" s="56" t="n">
        <v>145.515</v>
      </c>
      <c r="V155" s="56" t="n">
        <v>144.578</v>
      </c>
      <c r="W155" s="56" t="n">
        <v>143.484</v>
      </c>
      <c r="X155" s="56" t="n">
        <v>144.967</v>
      </c>
      <c r="Y155" s="56" t="n">
        <v>143.525</v>
      </c>
      <c r="Z155" s="56" t="n">
        <v>142.998</v>
      </c>
      <c r="AA155" s="56" t="n">
        <v>142.611</v>
      </c>
      <c r="AB155" s="56" t="n">
        <v>141.711</v>
      </c>
      <c r="AC155" s="56" t="n">
        <v>142.706</v>
      </c>
      <c r="AD155" s="56" t="n">
        <v>141.484</v>
      </c>
      <c r="AE155" s="56" t="n">
        <v>141.061</v>
      </c>
      <c r="AF155" s="56" t="n">
        <v>140.422</v>
      </c>
      <c r="AG155" s="56" t="n">
        <v>139.572</v>
      </c>
      <c r="AH155" s="56" t="n">
        <v>140.61</v>
      </c>
      <c r="AI155" s="56" t="n">
        <v>140.032</v>
      </c>
      <c r="AJ155" s="56" t="n">
        <v>139.464</v>
      </c>
      <c r="AK155" s="56" t="n">
        <v>138.797</v>
      </c>
      <c r="AL155" s="56" t="n">
        <v>137.797</v>
      </c>
      <c r="AM155" s="56" t="n">
        <v>139.01</v>
      </c>
      <c r="AN155" s="56" t="n">
        <v>137.854</v>
      </c>
      <c r="AO155" s="56" t="n">
        <v>137.185</v>
      </c>
      <c r="AP155" s="56" t="n">
        <v>136.38</v>
      </c>
      <c r="AQ155" s="56" t="n">
        <v>135.997</v>
      </c>
      <c r="AR155" s="56" t="n">
        <v>136.955</v>
      </c>
      <c r="AS155" s="56" t="n">
        <v>135.474</v>
      </c>
      <c r="AT155" s="56" t="n">
        <v>135.01</v>
      </c>
      <c r="AU155" s="56" t="n">
        <v>135.671</v>
      </c>
      <c r="AV155" s="56" t="n">
        <v>135.97</v>
      </c>
      <c r="AW155" s="56" t="n">
        <v>135.532</v>
      </c>
      <c r="AX155" s="56" t="n">
        <v>134.508</v>
      </c>
      <c r="AY155" s="56" t="n">
        <v>133.275</v>
      </c>
      <c r="AZ155" s="56" t="n">
        <v>131.845</v>
      </c>
      <c r="BA155" s="56" t="n">
        <v>130.348</v>
      </c>
      <c r="BB155" s="56" t="n">
        <v>132.482</v>
      </c>
      <c r="BC155" s="56" t="n">
        <v>130.499</v>
      </c>
      <c r="BD155" s="56" t="n">
        <v>128.405</v>
      </c>
      <c r="BE155" s="56" t="n">
        <v>124.98</v>
      </c>
      <c r="BF155" s="56" t="n">
        <v>119.212</v>
      </c>
      <c r="BG155" s="56" t="n">
        <v>125.743</v>
      </c>
      <c r="BH155" s="56" t="n">
        <v>118.636</v>
      </c>
      <c r="BI155" s="56" t="n">
        <v>118.5</v>
      </c>
      <c r="BJ155" s="56" t="n">
        <v>118.464</v>
      </c>
      <c r="BK155" s="56" t="n">
        <v>118.605</v>
      </c>
      <c r="BL155" s="56" t="n">
        <v>118.551</v>
      </c>
      <c r="BM155" s="56" t="n">
        <v>119.344</v>
      </c>
      <c r="BN155" s="56" t="n">
        <v>119.418</v>
      </c>
      <c r="BO155" s="56" t="n">
        <v>119.86</v>
      </c>
      <c r="BP155" s="56" t="n">
        <v>120.589</v>
      </c>
      <c r="BQ155" s="56" t="n">
        <v>119.805</v>
      </c>
      <c r="BR155" s="56" t="n">
        <v>120.969</v>
      </c>
      <c r="BS155" s="56" t="n">
        <v>120.244</v>
      </c>
      <c r="BT155" s="56" t="n">
        <v>119.887</v>
      </c>
      <c r="BU155" s="56" t="n">
        <v>119.885</v>
      </c>
      <c r="BV155" s="56" t="n">
        <v>120.242</v>
      </c>
      <c r="BW155" s="56" t="n">
        <v>119.803</v>
      </c>
      <c r="BX155" s="56" t="n">
        <v>118.565</v>
      </c>
      <c r="BY155" s="53" t="n">
        <f aca="false">$BX$155-CA358*0.25+CA359*0.25</f>
        <v>118.228490913879</v>
      </c>
      <c r="BZ155" s="53" t="n">
        <f aca="false">$BX$155-CA358*0.75+CA359*0.75</f>
        <v>117.555472741638</v>
      </c>
      <c r="CA155" s="53" t="n">
        <f aca="false">AVERAGE(BW155:BZ155)</f>
        <v>118.537990913879</v>
      </c>
      <c r="CB155" s="53" t="n">
        <f aca="false">AVERAGE(CB360,CB361)</f>
        <v>113.514733773367</v>
      </c>
      <c r="CC155" s="53" t="n">
        <f aca="false">AVERAGE(CC360,CC361)</f>
        <v>109.590655754014</v>
      </c>
      <c r="CD155" s="53" t="n">
        <f aca="false">AVERAGE(CD360,CD361)</f>
        <v>106.337347478512</v>
      </c>
      <c r="CE155" s="53" t="n">
        <f aca="false">AVERAGE(CE360,CE361)</f>
        <v>103.242311936871</v>
      </c>
      <c r="CF155" s="23" t="s">
        <v>278</v>
      </c>
    </row>
    <row r="156" customFormat="false" ht="15" hidden="false" customHeight="false" outlineLevel="0" collapsed="false">
      <c r="B156" s="28" t="s">
        <v>279</v>
      </c>
      <c r="C156" s="56" t="n">
        <v>174.787</v>
      </c>
      <c r="D156" s="56" t="n">
        <v>174.04</v>
      </c>
      <c r="E156" s="56" t="n">
        <v>172.733</v>
      </c>
      <c r="F156" s="56" t="n">
        <v>169.194</v>
      </c>
      <c r="G156" s="56" t="n">
        <v>165.972</v>
      </c>
      <c r="H156" s="56" t="n">
        <v>164.741</v>
      </c>
      <c r="I156" s="56" t="n">
        <v>161.946</v>
      </c>
      <c r="J156" s="56" t="n">
        <v>160.69</v>
      </c>
      <c r="K156" s="56" t="n">
        <v>159.917</v>
      </c>
      <c r="L156" s="56" t="n">
        <v>157.044</v>
      </c>
      <c r="M156" s="56" t="n">
        <v>151.13</v>
      </c>
      <c r="N156" s="56" t="n">
        <v>157.08</v>
      </c>
      <c r="O156" s="56" t="n">
        <v>149.008</v>
      </c>
      <c r="P156" s="56" t="n">
        <v>147.974</v>
      </c>
      <c r="Q156" s="56" t="n">
        <v>146.856</v>
      </c>
      <c r="R156" s="56" t="n">
        <v>146.65</v>
      </c>
      <c r="S156" s="56" t="n">
        <v>147.542</v>
      </c>
      <c r="T156" s="56" t="n">
        <v>146.383</v>
      </c>
      <c r="U156" s="56" t="n">
        <v>145.679</v>
      </c>
      <c r="V156" s="56" t="n">
        <v>144.782</v>
      </c>
      <c r="W156" s="56" t="n">
        <v>144.144</v>
      </c>
      <c r="X156" s="56" t="n">
        <v>145.349</v>
      </c>
      <c r="Y156" s="56" t="n">
        <v>143.658</v>
      </c>
      <c r="Z156" s="56" t="n">
        <v>143.216</v>
      </c>
      <c r="AA156" s="56" t="n">
        <v>142.883</v>
      </c>
      <c r="AB156" s="56" t="n">
        <v>142.164</v>
      </c>
      <c r="AC156" s="56" t="n">
        <v>142.991</v>
      </c>
      <c r="AD156" s="56" t="n">
        <v>141.858</v>
      </c>
      <c r="AE156" s="56" t="n">
        <v>141.587</v>
      </c>
      <c r="AF156" s="56" t="n">
        <v>141.022</v>
      </c>
      <c r="AG156" s="56" t="n">
        <v>140.724</v>
      </c>
      <c r="AH156" s="56" t="n">
        <v>141.382</v>
      </c>
      <c r="AI156" s="56" t="n">
        <v>141.27</v>
      </c>
      <c r="AJ156" s="56" t="n">
        <v>140.611</v>
      </c>
      <c r="AK156" s="56" t="n">
        <v>140.16</v>
      </c>
      <c r="AL156" s="56" t="n">
        <v>139.182</v>
      </c>
      <c r="AM156" s="56" t="n">
        <v>140.405</v>
      </c>
      <c r="AN156" s="56" t="n">
        <v>138.955</v>
      </c>
      <c r="AO156" s="56" t="n">
        <v>138.256</v>
      </c>
      <c r="AP156" s="56" t="n">
        <v>137.476</v>
      </c>
      <c r="AQ156" s="56" t="n">
        <v>136.621</v>
      </c>
      <c r="AR156" s="56" t="n">
        <v>137.735</v>
      </c>
      <c r="AS156" s="56" t="n">
        <v>135.969</v>
      </c>
      <c r="AT156" s="56" t="n">
        <v>135.61</v>
      </c>
      <c r="AU156" s="56" t="n">
        <v>137.128</v>
      </c>
      <c r="AV156" s="56" t="n">
        <v>137.176</v>
      </c>
      <c r="AW156" s="56" t="n">
        <v>136.173</v>
      </c>
      <c r="AX156" s="56" t="n">
        <v>135.745</v>
      </c>
      <c r="AY156" s="56" t="n">
        <v>134.856</v>
      </c>
      <c r="AZ156" s="56" t="n">
        <v>133.436</v>
      </c>
      <c r="BA156" s="56" t="n">
        <v>132.617</v>
      </c>
      <c r="BB156" s="56" t="n">
        <v>133.834</v>
      </c>
      <c r="BC156" s="56" t="n">
        <v>132.155</v>
      </c>
      <c r="BD156" s="56" t="n">
        <v>130.338</v>
      </c>
      <c r="BE156" s="56" t="n">
        <v>127.19</v>
      </c>
      <c r="BF156" s="56" t="n">
        <v>120.472</v>
      </c>
      <c r="BG156" s="56" t="n">
        <v>127.15</v>
      </c>
      <c r="BH156" s="56" t="n">
        <v>119.909</v>
      </c>
      <c r="BI156" s="56" t="n">
        <v>119.807</v>
      </c>
      <c r="BJ156" s="56" t="n">
        <v>119.751</v>
      </c>
      <c r="BK156" s="56" t="n">
        <v>119.613</v>
      </c>
      <c r="BL156" s="56" t="n">
        <v>119.677</v>
      </c>
      <c r="BM156" s="56" t="n">
        <v>119.604</v>
      </c>
      <c r="BN156" s="56" t="n">
        <v>119.92</v>
      </c>
      <c r="BO156" s="56" t="n">
        <v>121.179</v>
      </c>
      <c r="BP156" s="56" t="n">
        <v>122.291</v>
      </c>
      <c r="BQ156" s="56" t="n">
        <v>120.679</v>
      </c>
      <c r="BR156" s="56" t="n">
        <v>121.932</v>
      </c>
      <c r="BS156" s="56" t="n">
        <v>121.025</v>
      </c>
      <c r="BT156" s="56" t="n">
        <v>121.349</v>
      </c>
      <c r="BU156" s="56" t="n">
        <v>121.658</v>
      </c>
      <c r="BV156" s="56" t="n">
        <v>121.502</v>
      </c>
      <c r="BW156" s="56" t="n">
        <v>121.01</v>
      </c>
      <c r="BX156" s="56" t="n">
        <v>119.751</v>
      </c>
      <c r="BY156" s="53" t="n">
        <f aca="false">BY155+($BX$156-$BX$155)</f>
        <v>119.414490913879</v>
      </c>
      <c r="BZ156" s="53" t="n">
        <f aca="false">BZ155+($BX$156-$BX$155)</f>
        <v>118.741472741638</v>
      </c>
      <c r="CA156" s="53" t="n">
        <f aca="false">AVERAGE(BW156:BZ156)</f>
        <v>119.729240913879</v>
      </c>
      <c r="CB156" s="53" t="n">
        <f aca="false">CB155+CB335</f>
        <v>114.614733773367</v>
      </c>
      <c r="CC156" s="53" t="n">
        <f aca="false">CC155+CC335</f>
        <v>110.690655754014</v>
      </c>
      <c r="CD156" s="53" t="n">
        <f aca="false">CD155+CD335</f>
        <v>107.437347478512</v>
      </c>
      <c r="CE156" s="53" t="n">
        <f aca="false">CE155+CE335</f>
        <v>104.342311936871</v>
      </c>
    </row>
    <row r="157" customFormat="false" ht="15" hidden="false" customHeight="false" outlineLevel="0" collapsed="false">
      <c r="B157" s="28" t="s">
        <v>280</v>
      </c>
      <c r="C157" s="58" t="n">
        <f aca="false">IF(AND(ISNUMBER(C149),ISNUMBER(C155)),IFERROR(C149/C155,""),"")</f>
        <v>1.56198796872806</v>
      </c>
      <c r="D157" s="58" t="n">
        <f aca="false">IF(AND(ISNUMBER(D149),ISNUMBER(D155)),IFERROR(D149/D155,""),"")</f>
        <v>1.90190213087927</v>
      </c>
      <c r="E157" s="58" t="n">
        <f aca="false">IF(AND(ISNUMBER(E149),ISNUMBER(E155)),IFERROR(E149/E155,""),"")</f>
        <v>2.1246036816203</v>
      </c>
      <c r="F157" s="58" t="n">
        <f aca="false">IF(AND(ISNUMBER(F149),ISNUMBER(F155)),IFERROR(F149/F155,""),"")</f>
        <v>2.15170398640389</v>
      </c>
      <c r="G157" s="58" t="n">
        <f aca="false">IF(AND(ISNUMBER(G149),ISNUMBER(G155)),IFERROR(G149/G155,""),"")</f>
        <v>2.34690647569266</v>
      </c>
      <c r="H157" s="58" t="n">
        <f aca="false">IF(AND(ISNUMBER(H149),ISNUMBER(H155)),IFERROR(H149/H155,""),"")</f>
        <v>2.62995235019559</v>
      </c>
      <c r="I157" s="58" t="n">
        <f aca="false">IF(AND(ISNUMBER(I149),ISNUMBER(I155)),IFERROR(I149/I155,""),"")</f>
        <v>3.67550771554311</v>
      </c>
      <c r="J157" s="58" t="n">
        <f aca="false">IF(AND(ISNUMBER(J149),ISNUMBER(J155)),IFERROR(J149/J155,""),"")</f>
        <v>0.643332482553834</v>
      </c>
      <c r="K157" s="58" t="n">
        <f aca="false">IF(AND(ISNUMBER(K149),ISNUMBER(K155)),IFERROR(K149/K155,""),"")</f>
        <v>0.69999624572952</v>
      </c>
      <c r="L157" s="58" t="n">
        <f aca="false">IF(AND(ISNUMBER(L149),ISNUMBER(L155)),IFERROR(L149/L155,""),"")</f>
        <v>0.686555275165048</v>
      </c>
      <c r="M157" s="58" t="n">
        <f aca="false">IF(AND(ISNUMBER(M149),ISNUMBER(M155)),IFERROR(M149/M155,""),"")</f>
        <v>0.616163758816353</v>
      </c>
      <c r="N157" s="58" t="n">
        <f aca="false">IF(AND(ISNUMBER(N149),ISNUMBER(N155)),IFERROR(N149/N155,""),"")</f>
        <v>2.65050505050505</v>
      </c>
      <c r="O157" s="58" t="n">
        <f aca="false">IF(AND(ISNUMBER(O149),ISNUMBER(O155)),IFERROR(O149/O155,""),"")</f>
        <v>0.627450056222521</v>
      </c>
      <c r="P157" s="58" t="n">
        <f aca="false">IF(AND(ISNUMBER(P149),ISNUMBER(P155)),IFERROR(P149/P155,""),"")</f>
        <v>0.802267530745605</v>
      </c>
      <c r="Q157" s="58" t="n">
        <f aca="false">IF(AND(ISNUMBER(Q149),ISNUMBER(Q155)),IFERROR(Q149/Q155,""),"")</f>
        <v>0.85226327346126</v>
      </c>
      <c r="R157" s="58" t="n">
        <f aca="false">IF(AND(ISNUMBER(R149),ISNUMBER(R155)),IFERROR(R149/R155,""),"")</f>
        <v>0.774373354541468</v>
      </c>
      <c r="S157" s="58" t="n">
        <f aca="false">IF(AND(ISNUMBER(S149),ISNUMBER(S155)),IFERROR(S149/S155,""),"")</f>
        <v>3.05506039320117</v>
      </c>
      <c r="T157" s="58" t="n">
        <f aca="false">IF(AND(ISNUMBER(T149),ISNUMBER(T155)),IFERROR(T149/T155,""),"")</f>
        <v>0.728270088369673</v>
      </c>
      <c r="U157" s="58" t="n">
        <f aca="false">IF(AND(ISNUMBER(U149),ISNUMBER(U155)),IFERROR(U149/U155,""),"")</f>
        <v>0.942913101742092</v>
      </c>
      <c r="V157" s="58" t="n">
        <f aca="false">IF(AND(ISNUMBER(V149),ISNUMBER(V155)),IFERROR(V149/V155,""),"")</f>
        <v>0.96440675621464</v>
      </c>
      <c r="W157" s="58" t="n">
        <f aca="false">IF(AND(ISNUMBER(W149),ISNUMBER(W155)),IFERROR(W149/W155,""),"")</f>
        <v>0.882209863120627</v>
      </c>
      <c r="X157" s="58" t="n">
        <f aca="false">IF(AND(ISNUMBER(X149),ISNUMBER(X155)),IFERROR(X149/X155,""),"")</f>
        <v>3.5159657025392</v>
      </c>
      <c r="Y157" s="58" t="n">
        <f aca="false">IF(AND(ISNUMBER(Y149),ISNUMBER(Y155)),IFERROR(Y149/Y155,""),"")</f>
        <v>0.828866051210594</v>
      </c>
      <c r="Z157" s="58" t="n">
        <f aca="false">IF(AND(ISNUMBER(Z149),ISNUMBER(Z155)),IFERROR(Z149/Z155,""),"")</f>
        <v>1.00064336564148</v>
      </c>
      <c r="AA157" s="58" t="n">
        <f aca="false">IF(AND(ISNUMBER(AA149),ISNUMBER(AA155)),IFERROR(AA149/AA155,""),"")</f>
        <v>0.904754892680088</v>
      </c>
      <c r="AB157" s="58" t="n">
        <f aca="false">IF(AND(ISNUMBER(AB149),ISNUMBER(AB155)),IFERROR(AB149/AB155,""),"")</f>
        <v>0.863045211733737</v>
      </c>
      <c r="AC157" s="58" t="n">
        <f aca="false">IF(AND(ISNUMBER(AC149),ISNUMBER(AC155)),IFERROR(AC149/AC155,""),"")</f>
        <v>3.59749414880946</v>
      </c>
      <c r="AD157" s="58" t="n">
        <f aca="false">IF(AND(ISNUMBER(AD149),ISNUMBER(AD155)),IFERROR(AD149/AD155,""),"")</f>
        <v>0.862853750247376</v>
      </c>
      <c r="AE157" s="58" t="n">
        <f aca="false">IF(AND(ISNUMBER(AE149),ISNUMBER(AE155)),IFERROR(AE149/AE155,""),"")</f>
        <v>0.787396941748603</v>
      </c>
      <c r="AF157" s="58" t="n">
        <f aca="false">IF(AND(ISNUMBER(AF149),ISNUMBER(AF155)),IFERROR(AF149/AF155,""),"")</f>
        <v>0.848770135733717</v>
      </c>
      <c r="AG157" s="58" t="n">
        <f aca="false">IF(AND(ISNUMBER(AG149),ISNUMBER(AG155)),IFERROR(AG149/AG155,""),"")</f>
        <v>1.09302725475023</v>
      </c>
      <c r="AH157" s="58" t="n">
        <f aca="false">IF(AND(ISNUMBER(AH149),ISNUMBER(AH155)),IFERROR(AH149/AH155,""),"")</f>
        <v>3.59073323376714</v>
      </c>
      <c r="AI157" s="58" t="n">
        <f aca="false">IF(AND(ISNUMBER(AI149),ISNUMBER(AI155)),IFERROR(AI149/AI155,""),"")</f>
        <v>1.01617487431444</v>
      </c>
      <c r="AJ157" s="58" t="n">
        <f aca="false">IF(AND(ISNUMBER(AJ149),ISNUMBER(AJ155)),IFERROR(AJ149/AJ155,""),"")</f>
        <v>1.14124792061034</v>
      </c>
      <c r="AK157" s="58" t="n">
        <f aca="false">IF(AND(ISNUMBER(AK149),ISNUMBER(AK155)),IFERROR(AK149/AK155,""),"")</f>
        <v>1.26728243405837</v>
      </c>
      <c r="AL157" s="58" t="n">
        <f aca="false">IF(AND(ISNUMBER(AL149),ISNUMBER(AL155)),IFERROR(AL149/AL155,""),"")</f>
        <v>1.35815728934592</v>
      </c>
      <c r="AM157" s="58" t="n">
        <f aca="false">IF(AND(ISNUMBER(AM149),ISNUMBER(AM155)),IFERROR(AM149/AM155,""),"")</f>
        <v>4.780267606647</v>
      </c>
      <c r="AN157" s="58" t="n">
        <f aca="false">IF(AND(ISNUMBER(AN149),ISNUMBER(AN155)),IFERROR(AN149/AN155,""),"")</f>
        <v>1.17361846591321</v>
      </c>
      <c r="AO157" s="58" t="n">
        <f aca="false">IF(AND(ISNUMBER(AO149),ISNUMBER(AO155)),IFERROR(AO149/AO155,""),"")</f>
        <v>1.23322520683748</v>
      </c>
      <c r="AP157" s="58" t="n">
        <f aca="false">IF(AND(ISNUMBER(AP149),ISNUMBER(AP155)),IFERROR(AP149/AP155,""),"")</f>
        <v>1.07709341545681</v>
      </c>
      <c r="AQ157" s="58" t="n">
        <f aca="false">IF(AND(ISNUMBER(AQ149),ISNUMBER(AQ155)),IFERROR(AQ149/AQ155,""),"")</f>
        <v>0.728736663308751</v>
      </c>
      <c r="AR157" s="58" t="n">
        <f aca="false">IF(AND(ISNUMBER(AR149),ISNUMBER(AR155)),IFERROR(AR149/AR155,""),"")</f>
        <v>4.21282903143368</v>
      </c>
      <c r="AS157" s="58" t="n">
        <f aca="false">IF(AND(ISNUMBER(AS149),ISNUMBER(AS155)),IFERROR(AS149/AS155,""),"")</f>
        <v>0.576833931234037</v>
      </c>
      <c r="AT157" s="58" t="n">
        <f aca="false">IF(AND(ISNUMBER(AT149),ISNUMBER(AT155)),IFERROR(AT149/AT155,""),"")</f>
        <v>1.0661358417895</v>
      </c>
      <c r="AU157" s="58" t="n">
        <f aca="false">IF(AND(ISNUMBER(AU149),ISNUMBER(AU155)),IFERROR(AU149/AU155,""),"")</f>
        <v>1.00632412232533</v>
      </c>
      <c r="AV157" s="58" t="n">
        <f aca="false">IF(AND(ISNUMBER(AV149),ISNUMBER(AV155)),IFERROR(AV149/AV155,""),"")</f>
        <v>1.08705596822829</v>
      </c>
      <c r="AW157" s="58" t="n">
        <f aca="false">IF(AND(ISNUMBER(AW149),ISNUMBER(AW155)),IFERROR(AW149/AW155,""),"")</f>
        <v>3.73654192367854</v>
      </c>
      <c r="AX157" s="58" t="n">
        <f aca="false">IF(AND(ISNUMBER(AX149),ISNUMBER(AX155)),IFERROR(AX149/AX155,""),"")</f>
        <v>1.28843637553157</v>
      </c>
      <c r="AY157" s="58" t="n">
        <f aca="false">IF(AND(ISNUMBER(AY149),ISNUMBER(AY155)),IFERROR(AY149/AY155,""),"")</f>
        <v>1.4540536484712</v>
      </c>
      <c r="AZ157" s="58" t="n">
        <f aca="false">IF(AND(ISNUMBER(AZ149),ISNUMBER(AZ155)),IFERROR(AZ149/AZ155,""),"")</f>
        <v>1.87381394819674</v>
      </c>
      <c r="BA157" s="58" t="n">
        <f aca="false">IF(AND(ISNUMBER(BA149),ISNUMBER(BA155)),IFERROR(BA149/BA155,""),"")</f>
        <v>1.76525915242275</v>
      </c>
      <c r="BB157" s="58" t="n">
        <f aca="false">IF(AND(ISNUMBER(BB149),ISNUMBER(BB155)),IFERROR(BB149/BB155,""),"")</f>
        <v>6.37252607901451</v>
      </c>
      <c r="BC157" s="58" t="n">
        <f aca="false">IF(AND(ISNUMBER(BC149),ISNUMBER(BC155)),IFERROR(BC149/BC155,""),"")</f>
        <v>2.07164805860581</v>
      </c>
      <c r="BD157" s="58" t="n">
        <f aca="false">IF(AND(ISNUMBER(BD149),ISNUMBER(BD155)),IFERROR(BD149/BD155,""),"")</f>
        <v>2.71161559129318</v>
      </c>
      <c r="BE157" s="58" t="n">
        <f aca="false">IF(AND(ISNUMBER(BE149),ISNUMBER(BE155)),IFERROR(BE149/BE155,""),"")</f>
        <v>1.80667306769083</v>
      </c>
      <c r="BF157" s="58" t="n">
        <f aca="false">IF(AND(ISNUMBER(BF149),ISNUMBER(BF155)),IFERROR(BF149/BF155,""),"")</f>
        <v>0.806907022782941</v>
      </c>
      <c r="BG157" s="58" t="n">
        <f aca="false">IF(AND(ISNUMBER(BG149),ISNUMBER(BG155)),IFERROR(BG149/BG155,""),"")</f>
        <v>7.47973247019715</v>
      </c>
      <c r="BH157" s="58" t="n">
        <f aca="false">IF(AND(ISNUMBER(BH149),ISNUMBER(BH155)),IFERROR(BH149/BH155,""),"")</f>
        <v>0.968432853434037</v>
      </c>
      <c r="BI157" s="58" t="n">
        <f aca="false">IF(AND(ISNUMBER(BI149),ISNUMBER(BI155)),IFERROR(BI149/BI155,""),"")</f>
        <v>0.821232067510545</v>
      </c>
      <c r="BJ157" s="58" t="n">
        <f aca="false">IF(AND(ISNUMBER(BJ149),ISNUMBER(BJ155)),IFERROR(BJ149/BJ155,""),"")</f>
        <v>0.691762898433277</v>
      </c>
      <c r="BK157" s="58" t="n">
        <f aca="false">IF(AND(ISNUMBER(BK149),ISNUMBER(BK155)),IFERROR(BK149/BK155,""),"")</f>
        <v>0.261144133889799</v>
      </c>
      <c r="BL157" s="58" t="n">
        <f aca="false">IF(AND(ISNUMBER(BL149),ISNUMBER(BL155)),IFERROR(BL149/BL155,""),"")</f>
        <v>2.74252431443008</v>
      </c>
      <c r="BM157" s="58" t="n">
        <f aca="false">IF(AND(ISNUMBER(BM149),ISNUMBER(BM155)),IFERROR(BM149/BM155,""),"")</f>
        <v>0.778455557045175</v>
      </c>
      <c r="BN157" s="58" t="n">
        <f aca="false">IF(AND(ISNUMBER(BN149),ISNUMBER(BN155)),IFERROR(BN149/BN155,""),"")</f>
        <v>1.05721917968816</v>
      </c>
      <c r="BO157" s="58" t="n">
        <f aca="false">IF(AND(ISNUMBER(BO149),ISNUMBER(BO155)),IFERROR(BO149/BO155,""),"")</f>
        <v>0.81118805272818</v>
      </c>
      <c r="BP157" s="58" t="n">
        <f aca="false">IF(AND(ISNUMBER(BP149),ISNUMBER(BP155)),IFERROR(BP149/BP155,""),"")</f>
        <v>1.23813946545705</v>
      </c>
      <c r="BQ157" s="58" t="n">
        <f aca="false">IF(AND(ISNUMBER(BQ149),ISNUMBER(BQ155)),IFERROR(BQ149/BQ155,""),"")</f>
        <v>3.88706648303492</v>
      </c>
      <c r="BR157" s="58" t="n">
        <f aca="false">IF(AND(ISNUMBER(BR149),ISNUMBER(BR155)),IFERROR(BR149/BR155,""),"")</f>
        <v>1.11848490109036</v>
      </c>
      <c r="BS157" s="58" t="n">
        <f aca="false">IF(AND(ISNUMBER(BS149),ISNUMBER(BS155)),IFERROR(BS149/BS155,""),"")</f>
        <v>1.26801337280862</v>
      </c>
      <c r="BT157" s="58" t="n">
        <f aca="false">IF(AND(ISNUMBER(BT149),ISNUMBER(BT155)),IFERROR(BT149/BT155,""),"")</f>
        <v>1.35950520073068</v>
      </c>
      <c r="BU157" s="58" t="n">
        <f aca="false">IF(AND(ISNUMBER(BU149),ISNUMBER(BU155)),IFERROR(BU149/BU155,""),"")</f>
        <v>1.13709805230012</v>
      </c>
      <c r="BV157" s="58" t="n">
        <f aca="false">IF(AND(ISNUMBER(BV149),ISNUMBER(BV155)),IFERROR(BV149/BV155,""),"")</f>
        <v>4.88249530114269</v>
      </c>
      <c r="BW157" s="58" t="n">
        <f aca="false">IF(AND(ISNUMBER(BW149),ISNUMBER(BW155)),IFERROR(BW149/BW155,""),"")</f>
        <v>1.22895920803319</v>
      </c>
      <c r="BX157" s="58" t="n">
        <f aca="false">IF(AND(ISNUMBER(BX149),ISNUMBER(BX155)),IFERROR(BX149/BX155,""),"")</f>
        <v>1.57538902711593</v>
      </c>
      <c r="BY157" s="59" t="n">
        <f aca="false">IF(AND(ISNUMBER(BY149),ISNUMBER(BY155)),IFERROR(BY149/BY155,""),"")</f>
        <v>1.76455842338128</v>
      </c>
      <c r="BZ157" s="59" t="n">
        <f aca="false">IF(AND(ISNUMBER(BZ149),ISNUMBER(BZ155)),IFERROR(BZ149/BZ155,""),"")</f>
        <v>1.48265458348602</v>
      </c>
      <c r="CA157" s="59" t="n">
        <f aca="false">IF(AND(ISNUMBER(CA149),ISNUMBER(CA155)),IFERROR(CA149/CA155,""),"")</f>
        <v>6.04813895083534</v>
      </c>
      <c r="CB157" s="59" t="n">
        <f aca="false">IF(AND(ISNUMBER(CB149),ISNUMBER(CB155)),IFERROR(CB149/CB155,""),"")</f>
        <v>7.31006244464678</v>
      </c>
      <c r="CC157" s="59" t="n">
        <f aca="false">IF(AND(ISNUMBER(CC149),ISNUMBER(CC155)),IFERROR(CC149/CC155,""),"")</f>
        <v>8.18064301674276</v>
      </c>
      <c r="CD157" s="59" t="n">
        <f aca="false">IF(AND(ISNUMBER(CD149),ISNUMBER(CD155)),IFERROR(CD149/CD155,""),"")</f>
        <v>9.03646861436745</v>
      </c>
      <c r="CE157" s="59" t="n">
        <f aca="false">IF(AND(ISNUMBER(CE149),ISNUMBER(CE155)),IFERROR(CE149/CE155,""),"")</f>
        <v>9.86931218598802</v>
      </c>
    </row>
    <row r="158" customFormat="false" ht="15" hidden="false" customHeight="false" outlineLevel="0" collapsed="false">
      <c r="B158" s="18" t="s">
        <v>281</v>
      </c>
      <c r="C158" s="60" t="n">
        <f aca="false">IF(AND(ISNUMBER(C149),ISNUMBER(C156)),IFERROR(C149/C156,""),"")</f>
        <v>1.52714446726588</v>
      </c>
      <c r="D158" s="60" t="n">
        <f aca="false">IF(AND(ISNUMBER(D149),ISNUMBER(D156)),IFERROR(D149/D156,""),"")</f>
        <v>1.86314065732015</v>
      </c>
      <c r="E158" s="60" t="n">
        <f aca="false">IF(AND(ISNUMBER(E149),ISNUMBER(E156)),IFERROR(E149/E156,""),"")</f>
        <v>2.07937684171525</v>
      </c>
      <c r="F158" s="60" t="n">
        <f aca="false">IF(AND(ISNUMBER(F149),ISNUMBER(F156)),IFERROR(F149/F156,""),"")</f>
        <v>2.13264063737485</v>
      </c>
      <c r="G158" s="60" t="n">
        <f aca="false">IF(AND(ISNUMBER(G149),ISNUMBER(G156)),IFERROR(G149/G156,""),"")</f>
        <v>2.33187525606729</v>
      </c>
      <c r="H158" s="60" t="n">
        <f aca="false">IF(AND(ISNUMBER(H149),ISNUMBER(H156)),IFERROR(H149/H156,""),"")</f>
        <v>2.61994281933459</v>
      </c>
      <c r="I158" s="60" t="n">
        <f aca="false">IF(AND(ISNUMBER(I149),ISNUMBER(I156)),IFERROR(I149/I156,""),"")</f>
        <v>3.66667901646227</v>
      </c>
      <c r="J158" s="60" t="n">
        <f aca="false">IF(AND(ISNUMBER(J149),ISNUMBER(J156)),IFERROR(J149/J156,""),"")</f>
        <v>0.643120293733276</v>
      </c>
      <c r="K158" s="60" t="n">
        <f aca="false">IF(AND(ISNUMBER(K149),ISNUMBER(K156)),IFERROR(K149/K156,""),"")</f>
        <v>0.699562898253471</v>
      </c>
      <c r="L158" s="60" t="n">
        <f aca="false">IF(AND(ISNUMBER(L149),ISNUMBER(L156)),IFERROR(L149/L156,""),"")</f>
        <v>0.686030666564785</v>
      </c>
      <c r="M158" s="60" t="n">
        <f aca="false">IF(AND(ISNUMBER(M149),ISNUMBER(M156)),IFERROR(M149/M156,""),"")</f>
        <v>0.61504664858069</v>
      </c>
      <c r="N158" s="60" t="n">
        <f aca="false">IF(AND(ISNUMBER(N149),ISNUMBER(N156)),IFERROR(N149/N156,""),"")</f>
        <v>2.64772090654443</v>
      </c>
      <c r="O158" s="60" t="n">
        <f aca="false">IF(AND(ISNUMBER(O149),ISNUMBER(O156)),IFERROR(O149/O156,""),"")</f>
        <v>0.625382529797059</v>
      </c>
      <c r="P158" s="60" t="n">
        <f aca="false">IF(AND(ISNUMBER(P149),ISNUMBER(P156)),IFERROR(P149/P156,""),"")</f>
        <v>0.801465122251205</v>
      </c>
      <c r="Q158" s="60" t="n">
        <f aca="false">IF(AND(ISNUMBER(Q149),ISNUMBER(Q156)),IFERROR(Q149/Q156,""),"")</f>
        <v>0.851044560658059</v>
      </c>
      <c r="R158" s="60" t="n">
        <f aca="false">IF(AND(ISNUMBER(R149),ISNUMBER(R156)),IFERROR(R149/R156,""),"")</f>
        <v>0.770180702352542</v>
      </c>
      <c r="S158" s="60" t="n">
        <f aca="false">IF(AND(ISNUMBER(S149),ISNUMBER(S156)),IFERROR(S149/S156,""),"")</f>
        <v>3.04802022474955</v>
      </c>
      <c r="T158" s="60" t="n">
        <f aca="false">IF(AND(ISNUMBER(T149),ISNUMBER(T156)),IFERROR(T149/T156,""),"")</f>
        <v>0.727379545439017</v>
      </c>
      <c r="U158" s="60" t="n">
        <f aca="false">IF(AND(ISNUMBER(U149),ISNUMBER(U156)),IFERROR(U149/U156,""),"")</f>
        <v>0.941851605241665</v>
      </c>
      <c r="V158" s="60" t="n">
        <f aca="false">IF(AND(ISNUMBER(V149),ISNUMBER(V156)),IFERROR(V149/V156,""),"")</f>
        <v>0.963047892693845</v>
      </c>
      <c r="W158" s="60" t="n">
        <f aca="false">IF(AND(ISNUMBER(W149),ISNUMBER(W156)),IFERROR(W149/W156,""),"")</f>
        <v>0.878170440670441</v>
      </c>
      <c r="X158" s="60" t="n">
        <f aca="false">IF(AND(ISNUMBER(X149),ISNUMBER(X156)),IFERROR(X149/X156,""),"")</f>
        <v>3.50672519246778</v>
      </c>
      <c r="Y158" s="60" t="n">
        <f aca="false">IF(AND(ISNUMBER(Y149),ISNUMBER(Y156)),IFERROR(Y149/Y156,""),"")</f>
        <v>0.828098678806614</v>
      </c>
      <c r="Z158" s="60" t="n">
        <f aca="false">IF(AND(ISNUMBER(Z149),ISNUMBER(Z156)),IFERROR(Z149/Z156,""),"")</f>
        <v>0.9991202100324</v>
      </c>
      <c r="AA158" s="60" t="n">
        <f aca="false">IF(AND(ISNUMBER(AA149),ISNUMBER(AA156)),IFERROR(AA149/AA156,""),"")</f>
        <v>0.90303255110825</v>
      </c>
      <c r="AB158" s="60" t="n">
        <f aca="false">IF(AND(ISNUMBER(AB149),ISNUMBER(AB156)),IFERROR(AB149/AB156,""),"")</f>
        <v>0.860295152077879</v>
      </c>
      <c r="AC158" s="60" t="n">
        <f aca="false">IF(AND(ISNUMBER(AC149),ISNUMBER(AC156)),IFERROR(AC149/AC156,""),"")</f>
        <v>3.59032386653707</v>
      </c>
      <c r="AD158" s="60" t="n">
        <f aca="false">IF(AND(ISNUMBER(AD149),ISNUMBER(AD156)),IFERROR(AD149/AD156,""),"")</f>
        <v>0.860578888747901</v>
      </c>
      <c r="AE158" s="60" t="n">
        <f aca="false">IF(AND(ISNUMBER(AE149),ISNUMBER(AE156)),IFERROR(AE149/AE156,""),"")</f>
        <v>0.784471738224553</v>
      </c>
      <c r="AF158" s="60" t="n">
        <f aca="false">IF(AND(ISNUMBER(AF149),ISNUMBER(AF156)),IFERROR(AF149/AF156,""),"")</f>
        <v>0.84515891137553</v>
      </c>
      <c r="AG158" s="60" t="n">
        <f aca="false">IF(AND(ISNUMBER(AG149),ISNUMBER(AG156)),IFERROR(AG149/AG156,""),"")</f>
        <v>1.08407947471646</v>
      </c>
      <c r="AH158" s="60" t="n">
        <f aca="false">IF(AND(ISNUMBER(AH149),ISNUMBER(AH156)),IFERROR(AH149/AH156,""),"")</f>
        <v>3.57112645174066</v>
      </c>
      <c r="AI158" s="60" t="n">
        <f aca="false">IF(AND(ISNUMBER(AI149),ISNUMBER(AI156)),IFERROR(AI149/AI156,""),"")</f>
        <v>1.00726976711262</v>
      </c>
      <c r="AJ158" s="60" t="n">
        <f aca="false">IF(AND(ISNUMBER(AJ149),ISNUMBER(AJ156)),IFERROR(AJ149/AJ156,""),"")</f>
        <v>1.13193846854087</v>
      </c>
      <c r="AK158" s="60" t="n">
        <f aca="false">IF(AND(ISNUMBER(AK149),ISNUMBER(AK156)),IFERROR(AK149/AK156,""),"")</f>
        <v>1.25495861872146</v>
      </c>
      <c r="AL158" s="60" t="n">
        <f aca="false">IF(AND(ISNUMBER(AL149),ISNUMBER(AL156)),IFERROR(AL149/AL156,""),"")</f>
        <v>1.34464226695981</v>
      </c>
      <c r="AM158" s="60" t="n">
        <f aca="false">IF(AND(ISNUMBER(AM149),ISNUMBER(AM156)),IFERROR(AM149/AM156,""),"")</f>
        <v>4.73277304939282</v>
      </c>
      <c r="AN158" s="60" t="n">
        <f aca="false">IF(AND(ISNUMBER(AN149),ISNUMBER(AN156)),IFERROR(AN149/AN156,""),"")</f>
        <v>1.16431938397323</v>
      </c>
      <c r="AO158" s="60" t="n">
        <f aca="false">IF(AND(ISNUMBER(AO149),ISNUMBER(AO156)),IFERROR(AO149/AO156,""),"")</f>
        <v>1.22367202870038</v>
      </c>
      <c r="AP158" s="60" t="n">
        <f aca="false">IF(AND(ISNUMBER(AP149),ISNUMBER(AP156)),IFERROR(AP149/AP156,""),"")</f>
        <v>1.06850650295324</v>
      </c>
      <c r="AQ158" s="60" t="n">
        <f aca="false">IF(AND(ISNUMBER(AQ149),ISNUMBER(AQ156)),IFERROR(AQ149/AQ156,""),"")</f>
        <v>0.725408246170064</v>
      </c>
      <c r="AR158" s="60" t="n">
        <f aca="false">IF(AND(ISNUMBER(AR149),ISNUMBER(AR156)),IFERROR(AR149/AR156,""),"")</f>
        <v>4.18897157585218</v>
      </c>
      <c r="AS158" s="60" t="n">
        <f aca="false">IF(AND(ISNUMBER(AS149),ISNUMBER(AS156)),IFERROR(AS149/AS156,""),"")</f>
        <v>0.574733946708441</v>
      </c>
      <c r="AT158" s="60" t="n">
        <f aca="false">IF(AND(ISNUMBER(AT149),ISNUMBER(AT156)),IFERROR(AT149/AT156,""),"")</f>
        <v>1.06141877442666</v>
      </c>
      <c r="AU158" s="60" t="n">
        <f aca="false">IF(AND(ISNUMBER(AU149),ISNUMBER(AU156)),IFERROR(AU149/AU156,""),"")</f>
        <v>0.995631818447</v>
      </c>
      <c r="AV158" s="60" t="n">
        <f aca="false">IF(AND(ISNUMBER(AV149),ISNUMBER(AV156)),IFERROR(AV149/AV156,""),"")</f>
        <v>1.07749897941331</v>
      </c>
      <c r="AW158" s="60" t="n">
        <f aca="false">IF(AND(ISNUMBER(AW149),ISNUMBER(AW156)),IFERROR(AW149/AW156,""),"")</f>
        <v>3.7189530964288</v>
      </c>
      <c r="AX158" s="60" t="n">
        <f aca="false">IF(AND(ISNUMBER(AX149),ISNUMBER(AX156)),IFERROR(AX149/AX156,""),"")</f>
        <v>1.27669527422741</v>
      </c>
      <c r="AY158" s="60" t="n">
        <f aca="false">IF(AND(ISNUMBER(AY149),ISNUMBER(AY156)),IFERROR(AY149/AY156,""),"")</f>
        <v>1.43700688141425</v>
      </c>
      <c r="AZ158" s="60" t="n">
        <f aca="false">IF(AND(ISNUMBER(AZ149),ISNUMBER(AZ156)),IFERROR(AZ149/AZ156,""),"")</f>
        <v>1.85147186666266</v>
      </c>
      <c r="BA158" s="60" t="n">
        <f aca="false">IF(AND(ISNUMBER(BA149),ISNUMBER(BA156)),IFERROR(BA149/BA156,""),"")</f>
        <v>1.73505659153804</v>
      </c>
      <c r="BB158" s="60" t="n">
        <f aca="false">IF(AND(ISNUMBER(BB149),ISNUMBER(BB156)),IFERROR(BB149/BB156,""),"")</f>
        <v>6.30815039526578</v>
      </c>
      <c r="BC158" s="60" t="n">
        <f aca="false">IF(AND(ISNUMBER(BC149),ISNUMBER(BC156)),IFERROR(BC149/BC156,""),"")</f>
        <v>2.04568877454504</v>
      </c>
      <c r="BD158" s="60" t="n">
        <f aca="false">IF(AND(ISNUMBER(BD149),ISNUMBER(BD156)),IFERROR(BD149/BD156,""),"")</f>
        <v>2.67140051251362</v>
      </c>
      <c r="BE158" s="60" t="n">
        <f aca="false">IF(AND(ISNUMBER(BE149),ISNUMBER(BE156)),IFERROR(BE149/BE156,""),"")</f>
        <v>1.77528107555626</v>
      </c>
      <c r="BF158" s="60" t="n">
        <f aca="false">IF(AND(ISNUMBER(BF149),ISNUMBER(BF156)),IFERROR(BF149/BF156,""),"")</f>
        <v>0.798467693737964</v>
      </c>
      <c r="BG158" s="60" t="n">
        <f aca="false">IF(AND(ISNUMBER(BG149),ISNUMBER(BG156)),IFERROR(BG149/BG156,""),"")</f>
        <v>7.39696421549351</v>
      </c>
      <c r="BH158" s="60" t="n">
        <f aca="false">IF(AND(ISNUMBER(BH149),ISNUMBER(BH156)),IFERROR(BH149/BH156,""),"")</f>
        <v>0.958151598295377</v>
      </c>
      <c r="BI158" s="60" t="n">
        <f aca="false">IF(AND(ISNUMBER(BI149),ISNUMBER(BI156)),IFERROR(BI149/BI156,""),"")</f>
        <v>0.812273072524974</v>
      </c>
      <c r="BJ158" s="60" t="n">
        <f aca="false">IF(AND(ISNUMBER(BJ149),ISNUMBER(BJ156)),IFERROR(BJ149/BJ156,""),"")</f>
        <v>0.684328314586097</v>
      </c>
      <c r="BK158" s="60" t="n">
        <f aca="false">IF(AND(ISNUMBER(BK149),ISNUMBER(BK156)),IFERROR(BK149/BK156,""),"")</f>
        <v>0.258943425881799</v>
      </c>
      <c r="BL158" s="60" t="n">
        <f aca="false">IF(AND(ISNUMBER(BL149),ISNUMBER(BL156)),IFERROR(BL149/BL156,""),"")</f>
        <v>2.71672084026171</v>
      </c>
      <c r="BM158" s="60" t="n">
        <f aca="false">IF(AND(ISNUMBER(BM149),ISNUMBER(BM156)),IFERROR(BM149/BM156,""),"")</f>
        <v>0.776763318952538</v>
      </c>
      <c r="BN158" s="60" t="n">
        <f aca="false">IF(AND(ISNUMBER(BN149),ISNUMBER(BN156)),IFERROR(BN149/BN156,""),"")</f>
        <v>1.05279352901935</v>
      </c>
      <c r="BO158" s="60" t="n">
        <f aca="false">IF(AND(ISNUMBER(BO149),ISNUMBER(BO156)),IFERROR(BO149/BO156,""),"")</f>
        <v>0.802358494458608</v>
      </c>
      <c r="BP158" s="60" t="n">
        <f aca="false">IF(AND(ISNUMBER(BP149),ISNUMBER(BP156)),IFERROR(BP149/BP156,""),"")</f>
        <v>1.2209075075026</v>
      </c>
      <c r="BQ158" s="60" t="n">
        <f aca="false">IF(AND(ISNUMBER(BQ149),ISNUMBER(BQ156)),IFERROR(BQ149/BQ156,""),"")</f>
        <v>3.85891497277902</v>
      </c>
      <c r="BR158" s="60" t="n">
        <f aca="false">IF(AND(ISNUMBER(BR149),ISNUMBER(BR156)),IFERROR(BR149/BR156,""),"")</f>
        <v>1.10965128104189</v>
      </c>
      <c r="BS158" s="60" t="n">
        <f aca="false">IF(AND(ISNUMBER(BS149),ISNUMBER(BS156)),IFERROR(BS149/BS156,""),"")</f>
        <v>1.2598306135096</v>
      </c>
      <c r="BT158" s="60" t="n">
        <f aca="false">IF(AND(ISNUMBER(BT149),ISNUMBER(BT156)),IFERROR(BT149/BT156,""),"")</f>
        <v>1.34312602493634</v>
      </c>
      <c r="BU158" s="60" t="n">
        <f aca="false">IF(AND(ISNUMBER(BU149),ISNUMBER(BU156)),IFERROR(BU149/BU156,""),"")</f>
        <v>1.12052639366092</v>
      </c>
      <c r="BV158" s="60" t="n">
        <f aca="false">IF(AND(ISNUMBER(BV149),ISNUMBER(BV156)),IFERROR(BV149/BV156,""),"")</f>
        <v>4.83186284999424</v>
      </c>
      <c r="BW158" s="60" t="n">
        <f aca="false">IF(AND(ISNUMBER(BW149),ISNUMBER(BW156)),IFERROR(BW149/BW156,""),"")</f>
        <v>1.21670109908272</v>
      </c>
      <c r="BX158" s="60" t="n">
        <f aca="false">IF(AND(ISNUMBER(BX149),ISNUMBER(BX156)),IFERROR(BX149/BX156,""),"")</f>
        <v>1.559786557106</v>
      </c>
      <c r="BY158" s="61" t="n">
        <f aca="false">IF(AND(ISNUMBER(BY149),ISNUMBER(BY156)),IFERROR(BY149/BY156,""),"")</f>
        <v>1.7470331944571</v>
      </c>
      <c r="BZ158" s="61" t="n">
        <f aca="false">IF(AND(ISNUMBER(BZ149),ISNUMBER(BZ156)),IFERROR(BZ149/BZ156,""),"")</f>
        <v>1.46784570251618</v>
      </c>
      <c r="CA158" s="61" t="n">
        <f aca="false">IF(AND(ISNUMBER(CA149),ISNUMBER(CA156)),IFERROR(CA149/CA156,""),"")</f>
        <v>5.98796279444958</v>
      </c>
      <c r="CB158" s="61" t="n">
        <f aca="false">IF(AND(ISNUMBER(CB149),ISNUMBER(CB156)),IFERROR(CB149/CB156,""),"")</f>
        <v>7.23990507111912</v>
      </c>
      <c r="CC158" s="61" t="n">
        <f aca="false">IF(AND(ISNUMBER(CC149),ISNUMBER(CC156)),IFERROR(CC149/CC156,""),"")</f>
        <v>8.09934701883653</v>
      </c>
      <c r="CD158" s="61" t="n">
        <f aca="false">IF(AND(ISNUMBER(CD149),ISNUMBER(CD156)),IFERROR(CD149/CD156,""),"")</f>
        <v>8.94394850186381</v>
      </c>
      <c r="CE158" s="61" t="n">
        <f aca="false">IF(AND(ISNUMBER(CE149),ISNUMBER(CE156)),IFERROR(CE149/CE156,""),"")</f>
        <v>9.76526768857306</v>
      </c>
      <c r="CH158" s="33" t="n">
        <f aca="false">IFERROR((CE158/BV158)^(1/5)-1,"n/m")</f>
        <v>0.151102271303583</v>
      </c>
      <c r="CI158" s="33" t="n">
        <f aca="false">IFERROR((BV158/AW158)^(1/5)-1,"n/m")</f>
        <v>0.0537528918902983</v>
      </c>
      <c r="CJ158" s="33" t="n">
        <f aca="false">IFERROR((BV158/X158)^(1/10)-1,"n/m")</f>
        <v>0.0325742404139171</v>
      </c>
      <c r="CK158" s="33" t="n">
        <f aca="false">IFERROR((BV158/C158)^(1/19)-1,"n/m")</f>
        <v>0.0624980221696232</v>
      </c>
    </row>
    <row r="159" customFormat="false" ht="15" hidden="false" customHeight="false" outlineLevel="0" collapsed="false">
      <c r="B159" s="25" t="s">
        <v>282</v>
      </c>
      <c r="D159" s="26" t="n">
        <f aca="false">IF(AND(ISNUMBER(D158),ISNUMBER(C158)),IFERROR(D158/C158-1,""),"")</f>
        <v>0.220015982283475</v>
      </c>
      <c r="E159" s="26" t="n">
        <f aca="false">IF(AND(ISNUMBER(E158),ISNUMBER(D158)),IFERROR(E158/D158-1,""),"")</f>
        <v>0.116060042780733</v>
      </c>
      <c r="F159" s="26" t="n">
        <f aca="false">IF(AND(ISNUMBER(F158),ISNUMBER(E158)),IFERROR(F158/E158-1,""),"")</f>
        <v>0.0256152682818462</v>
      </c>
      <c r="G159" s="26" t="n">
        <f aca="false">IF(AND(ISNUMBER(G158),ISNUMBER(F158)),IFERROR(G158/F158-1,""),"")</f>
        <v>0.0934215616080978</v>
      </c>
      <c r="H159" s="26" t="n">
        <f aca="false">IF(AND(ISNUMBER(H158),ISNUMBER(G158)),IFERROR(H158/G158-1,""),"")</f>
        <v>0.123534722759193</v>
      </c>
      <c r="I159" s="26" t="n">
        <f aca="false">IF(AND(ISNUMBER(I158),ISNUMBER(H158)),IFERROR(I158/H158-1,""),"")</f>
        <v>0.399526352026845</v>
      </c>
      <c r="N159" s="26" t="n">
        <f aca="false">IF(AND(ISNUMBER(N158),ISNUMBER(I158)),IFERROR(N158/I158-1,""),"")</f>
        <v>-0.277896730350005</v>
      </c>
      <c r="O159" s="26" t="n">
        <f aca="false">IF(AND(ISNUMBER(O158),ISNUMBER(J158)),IFERROR(O158/J158-1,""),"")</f>
        <v>-0.0275807871545322</v>
      </c>
      <c r="P159" s="26" t="n">
        <f aca="false">IF(AND(ISNUMBER(P158),ISNUMBER(K158)),IFERROR(P158/K158-1,""),"")</f>
        <v>0.145665563814409</v>
      </c>
      <c r="Q159" s="26" t="n">
        <f aca="false">IF(AND(ISNUMBER(Q158),ISNUMBER(L158)),IFERROR(Q158/L158-1,""),"")</f>
        <v>0.240534282409796</v>
      </c>
      <c r="R159" s="26" t="n">
        <f aca="false">IF(AND(ISNUMBER(R158),ISNUMBER(M158)),IFERROR(R158/M158-1,""),"")</f>
        <v>0.252231361848481</v>
      </c>
      <c r="S159" s="26" t="n">
        <f aca="false">IF(AND(ISNUMBER(S158),ISNUMBER(N158)),IFERROR(S158/N158-1,""),"")</f>
        <v>0.151186372104284</v>
      </c>
      <c r="T159" s="26" t="n">
        <f aca="false">IF(AND(ISNUMBER(T158),ISNUMBER(O158)),IFERROR(T158/O158-1,""),"")</f>
        <v>0.163095402864959</v>
      </c>
      <c r="U159" s="26" t="n">
        <f aca="false">IF(AND(ISNUMBER(U158),ISNUMBER(P158)),IFERROR(U158/P158-1,""),"")</f>
        <v>0.175162310988822</v>
      </c>
      <c r="V159" s="26" t="n">
        <f aca="false">IF(AND(ISNUMBER(V158),ISNUMBER(Q158)),IFERROR(V158/Q158-1,""),"")</f>
        <v>0.131606894883602</v>
      </c>
      <c r="W159" s="26" t="n">
        <f aca="false">IF(AND(ISNUMBER(W158),ISNUMBER(R158)),IFERROR(W158/R158-1,""),"")</f>
        <v>0.140213508320893</v>
      </c>
      <c r="X159" s="26" t="n">
        <f aca="false">IF(AND(ISNUMBER(X158),ISNUMBER(S158)),IFERROR(X158/S158-1,""),"")</f>
        <v>0.15049275723094</v>
      </c>
      <c r="Y159" s="26" t="n">
        <f aca="false">IF(AND(ISNUMBER(Y158),ISNUMBER(T158)),IFERROR(Y158/T158-1,""),"")</f>
        <v>0.138468470826748</v>
      </c>
      <c r="Z159" s="26" t="n">
        <f aca="false">IF(AND(ISNUMBER(Z158),ISNUMBER(U158)),IFERROR(Z158/U158-1,""),"")</f>
        <v>0.060804275824365</v>
      </c>
      <c r="AA159" s="26" t="n">
        <f aca="false">IF(AND(ISNUMBER(AA158),ISNUMBER(V158)),IFERROR(AA158/V158-1,""),"")</f>
        <v>-0.0623181277285388</v>
      </c>
      <c r="AB159" s="26" t="n">
        <f aca="false">IF(AND(ISNUMBER(AB158),ISNUMBER(W158)),IFERROR(AB158/W158-1,""),"")</f>
        <v>-0.0203551472068623</v>
      </c>
      <c r="AC159" s="26" t="n">
        <f aca="false">IF(AND(ISNUMBER(AC158),ISNUMBER(X158)),IFERROR(AC158/X158-1,""),"")</f>
        <v>0.0238395281868262</v>
      </c>
      <c r="AD159" s="26" t="n">
        <f aca="false">IF(AND(ISNUMBER(AD158),ISNUMBER(Y158)),IFERROR(AD158/Y158-1,""),"")</f>
        <v>0.0392226322448621</v>
      </c>
      <c r="AE159" s="26" t="n">
        <f aca="false">IF(AND(ISNUMBER(AE158),ISNUMBER(Z158)),IFERROR(AE158/Z158-1,""),"")</f>
        <v>-0.214837483670645</v>
      </c>
      <c r="AF159" s="26" t="n">
        <f aca="false">IF(AND(ISNUMBER(AF158),ISNUMBER(AA158)),IFERROR(AF158/AA158-1,""),"")</f>
        <v>-0.0640880992182331</v>
      </c>
      <c r="AG159" s="26" t="n">
        <f aca="false">IF(AND(ISNUMBER(AG158),ISNUMBER(AB158)),IFERROR(AG158/AB158-1,""),"")</f>
        <v>0.26012505370753</v>
      </c>
      <c r="AH159" s="26" t="n">
        <f aca="false">IF(AND(ISNUMBER(AH158),ISNUMBER(AC158)),IFERROR(AH158/AC158-1,""),"")</f>
        <v>-0.00534698693210944</v>
      </c>
      <c r="AI159" s="26" t="n">
        <f aca="false">IF(AND(ISNUMBER(AI158),ISNUMBER(AD158)),IFERROR(AI158/AD158-1,""),"")</f>
        <v>0.170456050319975</v>
      </c>
      <c r="AJ159" s="26" t="n">
        <f aca="false">IF(AND(ISNUMBER(AJ158),ISNUMBER(AE158)),IFERROR(AJ158/AE158-1,""),"")</f>
        <v>0.44293084554291</v>
      </c>
      <c r="AK159" s="26" t="n">
        <f aca="false">IF(AND(ISNUMBER(AK158),ISNUMBER(AF158)),IFERROR(AK158/AF158-1,""),"")</f>
        <v>0.484878881154983</v>
      </c>
      <c r="AL159" s="26" t="n">
        <f aca="false">IF(AND(ISNUMBER(AL158),ISNUMBER(AG158)),IFERROR(AL158/AG158-1,""),"")</f>
        <v>0.240353957731277</v>
      </c>
      <c r="AM159" s="26" t="n">
        <f aca="false">IF(AND(ISNUMBER(AM158),ISNUMBER(AH158)),IFERROR(AM158/AH158-1,""),"")</f>
        <v>0.325288564644903</v>
      </c>
      <c r="AN159" s="26" t="n">
        <f aca="false">IF(AND(ISNUMBER(AN158),ISNUMBER(AI158)),IFERROR(AN158/AI158-1,""),"")</f>
        <v>0.155916142813257</v>
      </c>
      <c r="AO159" s="26" t="n">
        <f aca="false">IF(AND(ISNUMBER(AO158),ISNUMBER(AJ158)),IFERROR(AO158/AJ158-1,""),"")</f>
        <v>0.0810411190263378</v>
      </c>
      <c r="AP159" s="26" t="n">
        <f aca="false">IF(AND(ISNUMBER(AP158),ISNUMBER(AK158)),IFERROR(AP158/AK158-1,""),"")</f>
        <v>-0.14857232181741</v>
      </c>
      <c r="AQ159" s="26" t="n">
        <f aca="false">IF(AND(ISNUMBER(AQ158),ISNUMBER(AL158)),IFERROR(AQ158/AL158-1,""),"")</f>
        <v>-0.460519527018747</v>
      </c>
      <c r="AR159" s="26" t="n">
        <f aca="false">IF(AND(ISNUMBER(AR158),ISNUMBER(AM158)),IFERROR(AR158/AM158-1,""),"")</f>
        <v>-0.114901236096755</v>
      </c>
      <c r="AS159" s="26" t="n">
        <f aca="false">IF(AND(ISNUMBER(AS158),ISNUMBER(AN158)),IFERROR(AS158/AN158-1,""),"")</f>
        <v>-0.506377756292981</v>
      </c>
      <c r="AT159" s="26" t="n">
        <f aca="false">IF(AND(ISNUMBER(AT158),ISNUMBER(AO158)),IFERROR(AT158/AO158-1,""),"")</f>
        <v>-0.132595377248297</v>
      </c>
      <c r="AU159" s="26" t="n">
        <f aca="false">IF(AND(ISNUMBER(AU158),ISNUMBER(AP158)),IFERROR(AU158/AP158-1,""),"")</f>
        <v>-0.0682023780901897</v>
      </c>
      <c r="AV159" s="26" t="n">
        <f aca="false">IF(AND(ISNUMBER(AV158),ISNUMBER(AQ158)),IFERROR(AV158/AQ158-1,""),"")</f>
        <v>0.485369080241617</v>
      </c>
      <c r="AW159" s="26" t="n">
        <f aca="false">IF(AND(ISNUMBER(AW158),ISNUMBER(AR158)),IFERROR(AW158/AR158-1,""),"")</f>
        <v>-0.112203788188215</v>
      </c>
      <c r="AX159" s="26" t="n">
        <f aca="false">IF(AND(ISNUMBER(AX158),ISNUMBER(AS158)),IFERROR(AX158/AS158-1,""),"")</f>
        <v>1.22136743712317</v>
      </c>
      <c r="AY159" s="26" t="n">
        <f aca="false">IF(AND(ISNUMBER(AY158),ISNUMBER(AT158)),IFERROR(AY158/AT158-1,""),"")</f>
        <v>0.353854780070626</v>
      </c>
      <c r="AZ159" s="26" t="n">
        <f aca="false">IF(AND(ISNUMBER(AZ158),ISNUMBER(AU158)),IFERROR(AZ158/AU158-1,""),"")</f>
        <v>0.859594914865834</v>
      </c>
      <c r="BA159" s="26" t="n">
        <f aca="false">IF(AND(ISNUMBER(BA158),ISNUMBER(AV158)),IFERROR(BA158/AV158-1,""),"")</f>
        <v>0.610262863063465</v>
      </c>
      <c r="BB159" s="26" t="n">
        <f aca="false">IF(AND(ISNUMBER(BB158),ISNUMBER(AW158)),IFERROR(BB158/AW158-1,""),"")</f>
        <v>0.696216712526786</v>
      </c>
      <c r="BC159" s="26" t="n">
        <f aca="false">IF(AND(ISNUMBER(BC158),ISNUMBER(AX158)),IFERROR(BC158/AX158-1,""),"")</f>
        <v>0.602331281270688</v>
      </c>
      <c r="BD159" s="26" t="n">
        <f aca="false">IF(AND(ISNUMBER(BD158),ISNUMBER(AY158)),IFERROR(BD158/AY158-1,""),"")</f>
        <v>0.859003284580332</v>
      </c>
      <c r="BE159" s="26" t="n">
        <f aca="false">IF(AND(ISNUMBER(BE158),ISNUMBER(AZ158)),IFERROR(BE158/AZ158-1,""),"")</f>
        <v>-0.0411514711502162</v>
      </c>
      <c r="BF159" s="26" t="n">
        <f aca="false">IF(AND(ISNUMBER(BF158),ISNUMBER(BA158)),IFERROR(BF158/BA158-1,""),"")</f>
        <v>-0.539803083292999</v>
      </c>
      <c r="BG159" s="26" t="n">
        <f aca="false">IF(AND(ISNUMBER(BG158),ISNUMBER(BB158)),IFERROR(BG158/BB158-1,""),"")</f>
        <v>0.172604290006287</v>
      </c>
      <c r="BH159" s="26" t="n">
        <f aca="false">IF(AND(ISNUMBER(BH158),ISNUMBER(BC158)),IFERROR(BH158/BC158-1,""),"")</f>
        <v>-0.531623964398754</v>
      </c>
      <c r="BI159" s="26" t="n">
        <f aca="false">IF(AND(ISNUMBER(BI158),ISNUMBER(BD158)),IFERROR(BI158/BD158-1,""),"")</f>
        <v>-0.695937367414564</v>
      </c>
      <c r="BJ159" s="26" t="n">
        <f aca="false">IF(AND(ISNUMBER(BJ158),ISNUMBER(BE158)),IFERROR(BJ158/BE158-1,""),"")</f>
        <v>-0.614523962425684</v>
      </c>
      <c r="BK159" s="26" t="n">
        <f aca="false">IF(AND(ISNUMBER(BK158),ISNUMBER(BF158)),IFERROR(BK158/BF158-1,""),"")</f>
        <v>-0.675699558150467</v>
      </c>
      <c r="BL159" s="26" t="n">
        <f aca="false">IF(AND(ISNUMBER(BL158),ISNUMBER(BG158)),IFERROR(BL158/BG158-1,""),"")</f>
        <v>-0.632724890763791</v>
      </c>
      <c r="BM159" s="26" t="n">
        <f aca="false">IF(AND(ISNUMBER(BM158),ISNUMBER(BH158)),IFERROR(BM158/BH158-1,""),"")</f>
        <v>-0.189310626487022</v>
      </c>
      <c r="BN159" s="26" t="n">
        <f aca="false">IF(AND(ISNUMBER(BN158),ISNUMBER(BI158)),IFERROR(BN158/BI158-1,""),"")</f>
        <v>0.296107878778634</v>
      </c>
      <c r="BO159" s="26" t="n">
        <f aca="false">IF(AND(ISNUMBER(BO158),ISNUMBER(BJ158)),IFERROR(BO158/BJ158-1,""),"")</f>
        <v>0.172475955410233</v>
      </c>
      <c r="BP159" s="26" t="n">
        <f aca="false">IF(AND(ISNUMBER(BP158),ISNUMBER(BK158)),IFERROR(BP158/BK158-1,""),"")</f>
        <v>3.71495850240241</v>
      </c>
      <c r="BQ159" s="26" t="n">
        <f aca="false">IF(AND(ISNUMBER(BQ158),ISNUMBER(BL158)),IFERROR(BQ158/BL158-1,""),"")</f>
        <v>0.420431174079439</v>
      </c>
      <c r="BR159" s="26" t="n">
        <f aca="false">IF(AND(ISNUMBER(BR158),ISNUMBER(BM158)),IFERROR(BR158/BM158-1,""),"")</f>
        <v>0.428557778112192</v>
      </c>
      <c r="BS159" s="26" t="n">
        <f aca="false">IF(AND(ISNUMBER(BS158),ISNUMBER(BN158)),IFERROR(BS158/BN158-1,""),"")</f>
        <v>0.196654974392848</v>
      </c>
      <c r="BT159" s="26" t="n">
        <f aca="false">IF(AND(ISNUMBER(BT158),ISNUMBER(BO158)),IFERROR(BT158/BO158-1,""),"")</f>
        <v>0.673972462698996</v>
      </c>
      <c r="BU159" s="26" t="n">
        <f aca="false">IF(AND(ISNUMBER(BU158),ISNUMBER(BP158)),IFERROR(BU158/BP158-1,""),"")</f>
        <v>-0.0822184426132411</v>
      </c>
      <c r="BV159" s="26" t="n">
        <f aca="false">IF(AND(ISNUMBER(BV158),ISNUMBER(BQ158)),IFERROR(BV158/BQ158-1,""),"")</f>
        <v>0.252129908038514</v>
      </c>
      <c r="BW159" s="26" t="n">
        <f aca="false">IF(AND(ISNUMBER(BW158),ISNUMBER(BR158)),IFERROR(BW158/BR158-1,""),"")</f>
        <v>0.0964715851454889</v>
      </c>
      <c r="BX159" s="26" t="n">
        <f aca="false">IF(AND(ISNUMBER(BX158),ISNUMBER(BS158)),IFERROR(BX158/BS158-1,""),"")</f>
        <v>0.238092280327103</v>
      </c>
      <c r="BY159" s="27" t="n">
        <f aca="false">IFERROR(BY158/BT158-1,"")</f>
        <v>0.300721720837705</v>
      </c>
      <c r="BZ159" s="27" t="n">
        <f aca="false">IFERROR(BZ158/BU158-1,"")</f>
        <v>0.30996084592039</v>
      </c>
      <c r="CA159" s="27" t="n">
        <f aca="false">IFERROR(CA158/BV158-1,"")</f>
        <v>0.2392658857146</v>
      </c>
      <c r="CB159" s="27" t="n">
        <f aca="false">IFERROR(CB158/CA158-1,"")</f>
        <v>0.209076495570415</v>
      </c>
      <c r="CC159" s="27" t="n">
        <f aca="false">IFERROR(CC158/CB158-1,"")</f>
        <v>0.118709007821916</v>
      </c>
      <c r="CD159" s="27" t="n">
        <f aca="false">IFERROR(CD158/CC158-1,"")</f>
        <v>0.104280194571612</v>
      </c>
      <c r="CE159" s="27" t="n">
        <f aca="false">IFERROR(CE158/CD158-1,"")</f>
        <v>0.0918295970217287</v>
      </c>
    </row>
    <row r="160" customFormat="false" ht="15" hidden="false" customHeight="false" outlineLevel="0" collapsed="false">
      <c r="B160" s="54" t="s">
        <v>283</v>
      </c>
      <c r="C160" s="62" t="n">
        <v>1.53</v>
      </c>
      <c r="D160" s="62" t="n">
        <v>1.86</v>
      </c>
      <c r="E160" s="62" t="n">
        <v>2.08</v>
      </c>
      <c r="F160" s="62" t="n">
        <v>2.13</v>
      </c>
      <c r="G160" s="62" t="n">
        <v>2.33</v>
      </c>
      <c r="H160" s="62" t="n">
        <v>2.62</v>
      </c>
      <c r="I160" s="62" t="n">
        <v>3.67</v>
      </c>
      <c r="J160" s="62" t="n">
        <v>0.64</v>
      </c>
      <c r="K160" s="62" t="n">
        <v>0.7</v>
      </c>
      <c r="L160" s="62" t="n">
        <v>0.69</v>
      </c>
      <c r="M160" s="62" t="n">
        <v>0.62</v>
      </c>
      <c r="N160" s="62" t="n">
        <v>2.65</v>
      </c>
      <c r="O160" s="62" t="n">
        <v>0.63</v>
      </c>
      <c r="P160" s="62" t="n">
        <v>0.8</v>
      </c>
      <c r="Q160" s="62" t="n">
        <v>0.85</v>
      </c>
      <c r="R160" s="62" t="n">
        <v>0.77</v>
      </c>
      <c r="S160" s="62" t="n">
        <v>3.05</v>
      </c>
      <c r="T160" s="62" t="n">
        <v>0.73</v>
      </c>
      <c r="U160" s="62" t="n">
        <v>0.94</v>
      </c>
      <c r="V160" s="62" t="n">
        <v>0.96</v>
      </c>
      <c r="W160" s="62" t="n">
        <v>0.88</v>
      </c>
      <c r="X160" s="62" t="n">
        <v>3.51</v>
      </c>
      <c r="Y160" s="62" t="n">
        <v>0.83</v>
      </c>
      <c r="Z160" s="62" t="n">
        <v>1</v>
      </c>
      <c r="AA160" s="62" t="n">
        <v>0.9</v>
      </c>
      <c r="AB160" s="62" t="n">
        <v>0.86</v>
      </c>
      <c r="AC160" s="62" t="n">
        <v>3.59</v>
      </c>
      <c r="AD160" s="62" t="n">
        <v>0.86</v>
      </c>
      <c r="AE160" s="62" t="n">
        <v>0.78</v>
      </c>
      <c r="AF160" s="62" t="n">
        <v>0.85</v>
      </c>
      <c r="AG160" s="62" t="n">
        <v>1.08</v>
      </c>
      <c r="AH160" s="62" t="n">
        <v>3.57</v>
      </c>
      <c r="AI160" s="62" t="n">
        <v>1.01</v>
      </c>
      <c r="AJ160" s="62" t="n">
        <v>1.13</v>
      </c>
      <c r="AK160" s="62" t="n">
        <v>1.25</v>
      </c>
      <c r="AL160" s="62" t="n">
        <v>1.34</v>
      </c>
      <c r="AM160" s="62" t="n">
        <v>4.73</v>
      </c>
      <c r="AN160" s="62" t="n">
        <v>1.16</v>
      </c>
      <c r="AO160" s="62" t="n">
        <v>1.22</v>
      </c>
      <c r="AP160" s="62" t="n">
        <v>1.07</v>
      </c>
      <c r="AQ160" s="62" t="n">
        <v>0.73</v>
      </c>
      <c r="AR160" s="62" t="n">
        <v>4.19</v>
      </c>
      <c r="AS160" s="62" t="n">
        <v>0.57</v>
      </c>
      <c r="AT160" s="62" t="n">
        <v>1.06</v>
      </c>
      <c r="AU160" s="62" t="n">
        <v>1</v>
      </c>
      <c r="AV160" s="62" t="n">
        <v>1.08</v>
      </c>
      <c r="AW160" s="62" t="n">
        <v>3.72</v>
      </c>
      <c r="AX160" s="62" t="n">
        <v>1.28</v>
      </c>
      <c r="AY160" s="62" t="n">
        <v>1.44</v>
      </c>
      <c r="AZ160" s="62" t="n">
        <v>1.85</v>
      </c>
      <c r="BA160" s="62" t="n">
        <v>1.74</v>
      </c>
      <c r="BB160" s="62" t="n">
        <v>6.31</v>
      </c>
      <c r="BC160" s="62" t="n">
        <v>2.05</v>
      </c>
      <c r="BD160" s="62" t="n">
        <v>2.67</v>
      </c>
      <c r="BE160" s="62" t="n">
        <v>1.78</v>
      </c>
      <c r="BF160" s="62" t="n">
        <v>0.8</v>
      </c>
      <c r="BG160" s="62" t="n">
        <v>7.4</v>
      </c>
      <c r="BH160" s="62" t="n">
        <v>0.96</v>
      </c>
      <c r="BI160" s="62" t="n">
        <v>0.81</v>
      </c>
      <c r="BJ160" s="62" t="n">
        <v>0.68</v>
      </c>
      <c r="BK160" s="62" t="n">
        <v>0.26</v>
      </c>
      <c r="BL160" s="62" t="n">
        <v>2.72</v>
      </c>
      <c r="BM160" s="62" t="n">
        <v>0.78</v>
      </c>
      <c r="BN160" s="62" t="n">
        <v>1.05</v>
      </c>
      <c r="BO160" s="62" t="n">
        <v>0.8</v>
      </c>
      <c r="BP160" s="62" t="n">
        <v>1.22</v>
      </c>
      <c r="BQ160" s="62" t="n">
        <v>3.86</v>
      </c>
      <c r="BR160" s="62" t="n">
        <v>1.11</v>
      </c>
      <c r="BS160" s="62" t="n">
        <v>1.26</v>
      </c>
      <c r="BT160" s="62" t="n">
        <v>1.34</v>
      </c>
      <c r="BU160" s="62" t="n">
        <v>1.12</v>
      </c>
      <c r="BV160" s="62" t="n">
        <v>4.83</v>
      </c>
      <c r="BW160" s="62" t="n">
        <v>1.22</v>
      </c>
      <c r="BX160" s="62" t="n">
        <v>1.56</v>
      </c>
      <c r="BY160" s="6"/>
      <c r="BZ160" s="6"/>
      <c r="CA160" s="6"/>
      <c r="CB160" s="6"/>
      <c r="CC160" s="6"/>
      <c r="CD160" s="6"/>
      <c r="CE160" s="6"/>
    </row>
    <row r="161" customFormat="false" ht="15" hidden="false" customHeight="false" outlineLevel="0" collapsed="false">
      <c r="B161" s="28" t="s">
        <v>284</v>
      </c>
      <c r="D161" s="62" t="n">
        <v>0.76</v>
      </c>
      <c r="E161" s="62" t="n">
        <v>0.9</v>
      </c>
      <c r="F161" s="62" t="n">
        <v>0.97</v>
      </c>
      <c r="G161" s="62" t="n">
        <v>1.04</v>
      </c>
      <c r="H161" s="62" t="n">
        <v>1.2</v>
      </c>
      <c r="I161" s="62" t="n">
        <v>1.34</v>
      </c>
      <c r="N161" s="62" t="n">
        <v>1.4</v>
      </c>
      <c r="S161" s="62" t="n">
        <v>1.43</v>
      </c>
      <c r="X161" s="62" t="n">
        <v>1.57</v>
      </c>
      <c r="Y161" s="62" t="n">
        <v>0.43</v>
      </c>
      <c r="Z161" s="62" t="n">
        <v>0.43</v>
      </c>
      <c r="AA161" s="62" t="n">
        <v>0.43</v>
      </c>
      <c r="AB161" s="62" t="n">
        <v>0.45</v>
      </c>
      <c r="AC161" s="62" t="n">
        <v>1.74</v>
      </c>
      <c r="AD161" s="62" t="n">
        <v>0.45</v>
      </c>
      <c r="AE161" s="62" t="n">
        <v>0.45</v>
      </c>
      <c r="AF161" s="62" t="n">
        <v>0.45</v>
      </c>
      <c r="AG161" s="62" t="n">
        <v>0.46</v>
      </c>
      <c r="AH161" s="62" t="n">
        <v>1.81</v>
      </c>
      <c r="AI161" s="62" t="n">
        <v>0.46</v>
      </c>
      <c r="AJ161" s="62" t="n">
        <v>0.46</v>
      </c>
      <c r="AK161" s="62" t="n">
        <v>0.46</v>
      </c>
      <c r="AL161" s="62" t="n">
        <v>0.5</v>
      </c>
      <c r="AM161" s="62" t="n">
        <v>1.88</v>
      </c>
      <c r="AN161" s="62" t="n">
        <v>0.5</v>
      </c>
      <c r="AO161" s="62" t="n">
        <v>0.5</v>
      </c>
      <c r="AP161" s="62" t="n">
        <v>0.5</v>
      </c>
      <c r="AQ161" s="62" t="n">
        <v>0.51</v>
      </c>
      <c r="AR161" s="62" t="n">
        <v>2.01</v>
      </c>
      <c r="AS161" s="62" t="n">
        <v>0.51</v>
      </c>
      <c r="AT161" s="62" t="n">
        <v>0.51</v>
      </c>
      <c r="AU161" s="62" t="n">
        <v>0.51</v>
      </c>
      <c r="AV161" s="62" t="n">
        <v>0.51</v>
      </c>
      <c r="AW161" s="62" t="n">
        <v>2.04</v>
      </c>
      <c r="AX161" s="62" t="n">
        <v>0.51</v>
      </c>
      <c r="AY161" s="62" t="n">
        <v>0.51</v>
      </c>
      <c r="AZ161" s="62" t="n">
        <v>0.51</v>
      </c>
      <c r="BA161" s="62" t="n">
        <v>0.55</v>
      </c>
      <c r="BB161" s="62" t="n">
        <v>2.08</v>
      </c>
      <c r="BC161" s="62" t="n">
        <v>0.55</v>
      </c>
      <c r="BD161" s="62" t="n">
        <v>0.55</v>
      </c>
      <c r="BE161" s="62" t="n">
        <v>0.55</v>
      </c>
      <c r="BF161" s="62" t="n">
        <v>0.61</v>
      </c>
      <c r="BG161" s="62" t="n">
        <v>2.26</v>
      </c>
      <c r="BH161" s="62" t="n">
        <v>0.61</v>
      </c>
      <c r="BI161" s="62" t="n">
        <v>0.61</v>
      </c>
      <c r="BJ161" s="62" t="n">
        <v>0.61</v>
      </c>
      <c r="BK161" s="62" t="n">
        <v>0.61</v>
      </c>
      <c r="BL161" s="62" t="n">
        <v>2.44</v>
      </c>
      <c r="BM161" s="62" t="n">
        <v>0.61</v>
      </c>
      <c r="BN161" s="62" t="n">
        <v>0.61</v>
      </c>
      <c r="BO161" s="62" t="n">
        <v>0.62</v>
      </c>
      <c r="BP161" s="62" t="n">
        <v>0.62</v>
      </c>
      <c r="BQ161" s="62" t="n">
        <v>2.46</v>
      </c>
      <c r="BR161" s="62" t="n">
        <v>0.62</v>
      </c>
      <c r="BS161" s="62" t="n">
        <v>0.62</v>
      </c>
      <c r="BT161" s="62" t="n">
        <v>0.62</v>
      </c>
      <c r="BU161" s="62" t="n">
        <v>0.63</v>
      </c>
      <c r="BV161" s="62" t="n">
        <v>2.49</v>
      </c>
      <c r="BW161" s="62" t="n">
        <v>0.63</v>
      </c>
      <c r="BX161" s="62" t="n">
        <v>0.63</v>
      </c>
      <c r="BY161" s="59" t="n">
        <f aca="false">$BX$161</f>
        <v>0.63</v>
      </c>
      <c r="BZ161" s="59" t="n">
        <f aca="false">$BX$161</f>
        <v>0.63</v>
      </c>
      <c r="CA161" s="59" t="n">
        <f aca="false">SUM(BW161,BX161,BY161,BZ161)</f>
        <v>2.52</v>
      </c>
      <c r="CB161" s="59" t="n">
        <f aca="false">CA161*(1+CB162)</f>
        <v>2.5956</v>
      </c>
      <c r="CC161" s="59" t="n">
        <f aca="false">CB161*(1+CC162)</f>
        <v>2.673468</v>
      </c>
      <c r="CD161" s="59" t="n">
        <f aca="false">CC161*(1+CD162)</f>
        <v>2.75367204</v>
      </c>
      <c r="CE161" s="59" t="n">
        <f aca="false">CD161*(1+CE162)</f>
        <v>2.8362822012</v>
      </c>
      <c r="CF161" s="23" t="s">
        <v>285</v>
      </c>
    </row>
    <row r="162" customFormat="false" ht="15" hidden="false" customHeight="false" outlineLevel="0" collapsed="false">
      <c r="B162" s="25" t="s">
        <v>286</v>
      </c>
      <c r="D162" s="26" t="str">
        <f aca="false">IF(AND(ISNUMBER(D161),ISNUMBER(C161)),IFERROR(D161/C161-1,""),"")</f>
        <v/>
      </c>
      <c r="E162" s="26" t="n">
        <f aca="false">IF(AND(ISNUMBER(E161),ISNUMBER(D161)),IFERROR(E161/D161-1,""),"")</f>
        <v>0.184210526315789</v>
      </c>
      <c r="F162" s="26" t="n">
        <f aca="false">IF(AND(ISNUMBER(F161),ISNUMBER(E161)),IFERROR(F161/E161-1,""),"")</f>
        <v>0.0777777777777777</v>
      </c>
      <c r="G162" s="26" t="n">
        <f aca="false">IF(AND(ISNUMBER(G161),ISNUMBER(F161)),IFERROR(G161/F161-1,""),"")</f>
        <v>0.0721649484536082</v>
      </c>
      <c r="H162" s="26" t="n">
        <f aca="false">IF(AND(ISNUMBER(H161),ISNUMBER(G161)),IFERROR(H161/G161-1,""),"")</f>
        <v>0.153846153846154</v>
      </c>
      <c r="I162" s="26" t="n">
        <f aca="false">IF(AND(ISNUMBER(I161),ISNUMBER(H161)),IFERROR(I161/H161-1,""),"")</f>
        <v>0.116666666666667</v>
      </c>
      <c r="N162" s="26" t="n">
        <f aca="false">IF(AND(ISNUMBER(N161),ISNUMBER(I161)),IFERROR(N161/I161-1,""),"")</f>
        <v>0.044776119402985</v>
      </c>
      <c r="O162" s="26" t="str">
        <f aca="false">IF(AND(ISNUMBER(O161),ISNUMBER(J161)),IFERROR(O161/J161-1,""),"")</f>
        <v/>
      </c>
      <c r="P162" s="26" t="str">
        <f aca="false">IF(AND(ISNUMBER(P161),ISNUMBER(K161)),IFERROR(P161/K161-1,""),"")</f>
        <v/>
      </c>
      <c r="Q162" s="26" t="str">
        <f aca="false">IF(AND(ISNUMBER(Q161),ISNUMBER(L161)),IFERROR(Q161/L161-1,""),"")</f>
        <v/>
      </c>
      <c r="R162" s="26" t="str">
        <f aca="false">IF(AND(ISNUMBER(R161),ISNUMBER(M161)),IFERROR(R161/M161-1,""),"")</f>
        <v/>
      </c>
      <c r="S162" s="26" t="n">
        <f aca="false">IF(AND(ISNUMBER(S161),ISNUMBER(N161)),IFERROR(S161/N161-1,""),"")</f>
        <v>0.0214285714285714</v>
      </c>
      <c r="T162" s="26" t="str">
        <f aca="false">IF(AND(ISNUMBER(T161),ISNUMBER(O161)),IFERROR(T161/O161-1,""),"")</f>
        <v/>
      </c>
      <c r="U162" s="26" t="str">
        <f aca="false">IF(AND(ISNUMBER(U161),ISNUMBER(P161)),IFERROR(U161/P161-1,""),"")</f>
        <v/>
      </c>
      <c r="V162" s="26" t="str">
        <f aca="false">IF(AND(ISNUMBER(V161),ISNUMBER(Q161)),IFERROR(V161/Q161-1,""),"")</f>
        <v/>
      </c>
      <c r="W162" s="26" t="str">
        <f aca="false">IF(AND(ISNUMBER(W161),ISNUMBER(R161)),IFERROR(W161/R161-1,""),"")</f>
        <v/>
      </c>
      <c r="X162" s="26" t="n">
        <f aca="false">IF(AND(ISNUMBER(X161),ISNUMBER(S161)),IFERROR(X161/S161-1,""),"")</f>
        <v>0.0979020979020979</v>
      </c>
      <c r="Y162" s="26" t="str">
        <f aca="false">IF(AND(ISNUMBER(Y161),ISNUMBER(T161)),IFERROR(Y161/T161-1,""),"")</f>
        <v/>
      </c>
      <c r="Z162" s="26" t="str">
        <f aca="false">IF(AND(ISNUMBER(Z161),ISNUMBER(U161)),IFERROR(Z161/U161-1,""),"")</f>
        <v/>
      </c>
      <c r="AA162" s="26" t="str">
        <f aca="false">IF(AND(ISNUMBER(AA161),ISNUMBER(V161)),IFERROR(AA161/V161-1,""),"")</f>
        <v/>
      </c>
      <c r="AB162" s="26" t="str">
        <f aca="false">IF(AND(ISNUMBER(AB161),ISNUMBER(W161)),IFERROR(AB161/W161-1,""),"")</f>
        <v/>
      </c>
      <c r="AC162" s="26" t="n">
        <f aca="false">IF(AND(ISNUMBER(AC161),ISNUMBER(X161)),IFERROR(AC161/X161-1,""),"")</f>
        <v>0.10828025477707</v>
      </c>
      <c r="AD162" s="26" t="n">
        <f aca="false">IF(AND(ISNUMBER(AD161),ISNUMBER(Y161)),IFERROR(AD161/Y161-1,""),"")</f>
        <v>0.0465116279069768</v>
      </c>
      <c r="AE162" s="26" t="n">
        <f aca="false">IF(AND(ISNUMBER(AE161),ISNUMBER(Z161)),IFERROR(AE161/Z161-1,""),"")</f>
        <v>0.0465116279069768</v>
      </c>
      <c r="AF162" s="26" t="n">
        <f aca="false">IF(AND(ISNUMBER(AF161),ISNUMBER(AA161)),IFERROR(AF161/AA161-1,""),"")</f>
        <v>0.0465116279069768</v>
      </c>
      <c r="AG162" s="26" t="n">
        <f aca="false">IF(AND(ISNUMBER(AG161),ISNUMBER(AB161)),IFERROR(AG161/AB161-1,""),"")</f>
        <v>0.0222222222222221</v>
      </c>
      <c r="AH162" s="26" t="n">
        <f aca="false">IF(AND(ISNUMBER(AH161),ISNUMBER(AC161)),IFERROR(AH161/AC161-1,""),"")</f>
        <v>0.0402298850574714</v>
      </c>
      <c r="AI162" s="26" t="n">
        <f aca="false">IF(AND(ISNUMBER(AI161),ISNUMBER(AD161)),IFERROR(AI161/AD161-1,""),"")</f>
        <v>0.0222222222222221</v>
      </c>
      <c r="AJ162" s="26" t="n">
        <f aca="false">IF(AND(ISNUMBER(AJ161),ISNUMBER(AE161)),IFERROR(AJ161/AE161-1,""),"")</f>
        <v>0.0222222222222221</v>
      </c>
      <c r="AK162" s="26" t="n">
        <f aca="false">IF(AND(ISNUMBER(AK161),ISNUMBER(AF161)),IFERROR(AK161/AF161-1,""),"")</f>
        <v>0.0222222222222221</v>
      </c>
      <c r="AL162" s="26" t="n">
        <f aca="false">IF(AND(ISNUMBER(AL161),ISNUMBER(AG161)),IFERROR(AL161/AG161-1,""),"")</f>
        <v>0.0869565217391304</v>
      </c>
      <c r="AM162" s="26" t="n">
        <f aca="false">IF(AND(ISNUMBER(AM161),ISNUMBER(AH161)),IFERROR(AM161/AH161-1,""),"")</f>
        <v>0.0386740331491713</v>
      </c>
      <c r="AN162" s="26" t="n">
        <f aca="false">IF(AND(ISNUMBER(AN161),ISNUMBER(AI161)),IFERROR(AN161/AI161-1,""),"")</f>
        <v>0.0869565217391304</v>
      </c>
      <c r="AO162" s="26" t="n">
        <f aca="false">IF(AND(ISNUMBER(AO161),ISNUMBER(AJ161)),IFERROR(AO161/AJ161-1,""),"")</f>
        <v>0.0869565217391304</v>
      </c>
      <c r="AP162" s="26" t="n">
        <f aca="false">IF(AND(ISNUMBER(AP161),ISNUMBER(AK161)),IFERROR(AP161/AK161-1,""),"")</f>
        <v>0.0869565217391304</v>
      </c>
      <c r="AQ162" s="26" t="n">
        <f aca="false">IF(AND(ISNUMBER(AQ161),ISNUMBER(AL161)),IFERROR(AQ161/AL161-1,""),"")</f>
        <v>0.02</v>
      </c>
      <c r="AR162" s="26" t="n">
        <f aca="false">IF(AND(ISNUMBER(AR161),ISNUMBER(AM161)),IFERROR(AR161/AM161-1,""),"")</f>
        <v>0.0691489361702127</v>
      </c>
      <c r="AS162" s="26" t="n">
        <f aca="false">IF(AND(ISNUMBER(AS161),ISNUMBER(AN161)),IFERROR(AS161/AN161-1,""),"")</f>
        <v>0.02</v>
      </c>
      <c r="AT162" s="26" t="n">
        <f aca="false">IF(AND(ISNUMBER(AT161),ISNUMBER(AO161)),IFERROR(AT161/AO161-1,""),"")</f>
        <v>0.02</v>
      </c>
      <c r="AU162" s="26" t="n">
        <f aca="false">IF(AND(ISNUMBER(AU161),ISNUMBER(AP161)),IFERROR(AU161/AP161-1,""),"")</f>
        <v>0.02</v>
      </c>
      <c r="AV162" s="26" t="n">
        <f aca="false">IF(AND(ISNUMBER(AV161),ISNUMBER(AQ161)),IFERROR(AV161/AQ161-1,""),"")</f>
        <v>0</v>
      </c>
      <c r="AW162" s="26" t="n">
        <f aca="false">IF(AND(ISNUMBER(AW161),ISNUMBER(AR161)),IFERROR(AW161/AR161-1,""),"")</f>
        <v>0.0149253731343284</v>
      </c>
      <c r="AX162" s="26" t="n">
        <f aca="false">IF(AND(ISNUMBER(AX161),ISNUMBER(AS161)),IFERROR(AX161/AS161-1,""),"")</f>
        <v>0</v>
      </c>
      <c r="AY162" s="26" t="n">
        <f aca="false">IF(AND(ISNUMBER(AY161),ISNUMBER(AT161)),IFERROR(AY161/AT161-1,""),"")</f>
        <v>0</v>
      </c>
      <c r="AZ162" s="26" t="n">
        <f aca="false">IF(AND(ISNUMBER(AZ161),ISNUMBER(AU161)),IFERROR(AZ161/AU161-1,""),"")</f>
        <v>0</v>
      </c>
      <c r="BA162" s="26" t="n">
        <f aca="false">IF(AND(ISNUMBER(BA161),ISNUMBER(AV161)),IFERROR(BA161/AV161-1,""),"")</f>
        <v>0.0784313725490198</v>
      </c>
      <c r="BB162" s="26" t="n">
        <f aca="false">IF(AND(ISNUMBER(BB161),ISNUMBER(AW161)),IFERROR(BB161/AW161-1,""),"")</f>
        <v>0.0196078431372548</v>
      </c>
      <c r="BC162" s="26" t="n">
        <f aca="false">IF(AND(ISNUMBER(BC161),ISNUMBER(AX161)),IFERROR(BC161/AX161-1,""),"")</f>
        <v>0.0784313725490198</v>
      </c>
      <c r="BD162" s="26" t="n">
        <f aca="false">IF(AND(ISNUMBER(BD161),ISNUMBER(AY161)),IFERROR(BD161/AY161-1,""),"")</f>
        <v>0.0784313725490198</v>
      </c>
      <c r="BE162" s="26" t="n">
        <f aca="false">IF(AND(ISNUMBER(BE161),ISNUMBER(AZ161)),IFERROR(BE161/AZ161-1,""),"")</f>
        <v>0.0784313725490198</v>
      </c>
      <c r="BF162" s="26" t="n">
        <f aca="false">IF(AND(ISNUMBER(BF161),ISNUMBER(BA161)),IFERROR(BF161/BA161-1,""),"")</f>
        <v>0.109090909090909</v>
      </c>
      <c r="BG162" s="26" t="n">
        <f aca="false">IF(AND(ISNUMBER(BG161),ISNUMBER(BB161)),IFERROR(BG161/BB161-1,""),"")</f>
        <v>0.0865384615384615</v>
      </c>
      <c r="BH162" s="26" t="n">
        <f aca="false">IF(AND(ISNUMBER(BH161),ISNUMBER(BC161)),IFERROR(BH161/BC161-1,""),"")</f>
        <v>0.109090909090909</v>
      </c>
      <c r="BI162" s="26" t="n">
        <f aca="false">IF(AND(ISNUMBER(BI161),ISNUMBER(BD161)),IFERROR(BI161/BD161-1,""),"")</f>
        <v>0.109090909090909</v>
      </c>
      <c r="BJ162" s="26" t="n">
        <f aca="false">IF(AND(ISNUMBER(BJ161),ISNUMBER(BE161)),IFERROR(BJ161/BE161-1,""),"")</f>
        <v>0.109090909090909</v>
      </c>
      <c r="BK162" s="26" t="n">
        <f aca="false">IF(AND(ISNUMBER(BK161),ISNUMBER(BF161)),IFERROR(BK161/BF161-1,""),"")</f>
        <v>0</v>
      </c>
      <c r="BL162" s="26" t="n">
        <f aca="false">IF(AND(ISNUMBER(BL161),ISNUMBER(BG161)),IFERROR(BL161/BG161-1,""),"")</f>
        <v>0.0796460176991152</v>
      </c>
      <c r="BM162" s="26" t="n">
        <f aca="false">IF(AND(ISNUMBER(BM161),ISNUMBER(BH161)),IFERROR(BM161/BH161-1,""),"")</f>
        <v>0</v>
      </c>
      <c r="BN162" s="26" t="n">
        <f aca="false">IF(AND(ISNUMBER(BN161),ISNUMBER(BI161)),IFERROR(BN161/BI161-1,""),"")</f>
        <v>0</v>
      </c>
      <c r="BO162" s="26" t="n">
        <f aca="false">IF(AND(ISNUMBER(BO161),ISNUMBER(BJ161)),IFERROR(BO161/BJ161-1,""),"")</f>
        <v>0.0163934426229508</v>
      </c>
      <c r="BP162" s="26" t="n">
        <f aca="false">IF(AND(ISNUMBER(BP161),ISNUMBER(BK161)),IFERROR(BP161/BK161-1,""),"")</f>
        <v>0.0163934426229508</v>
      </c>
      <c r="BQ162" s="26" t="n">
        <f aca="false">IF(AND(ISNUMBER(BQ161),ISNUMBER(BL161)),IFERROR(BQ161/BL161-1,""),"")</f>
        <v>0.00819672131147531</v>
      </c>
      <c r="BR162" s="26" t="n">
        <f aca="false">IF(AND(ISNUMBER(BR161),ISNUMBER(BM161)),IFERROR(BR161/BM161-1,""),"")</f>
        <v>0.0163934426229508</v>
      </c>
      <c r="BS162" s="26" t="n">
        <f aca="false">IF(AND(ISNUMBER(BS161),ISNUMBER(BN161)),IFERROR(BS161/BN161-1,""),"")</f>
        <v>0.0163934426229508</v>
      </c>
      <c r="BT162" s="26" t="n">
        <f aca="false">IF(AND(ISNUMBER(BT161),ISNUMBER(BO161)),IFERROR(BT161/BO161-1,""),"")</f>
        <v>0</v>
      </c>
      <c r="BU162" s="26" t="n">
        <f aca="false">IF(AND(ISNUMBER(BU161),ISNUMBER(BP161)),IFERROR(BU161/BP161-1,""),"")</f>
        <v>0.0161290322580645</v>
      </c>
      <c r="BV162" s="26" t="n">
        <f aca="false">IF(AND(ISNUMBER(BV161),ISNUMBER(BQ161)),IFERROR(BV161/BQ161-1,""),"")</f>
        <v>0.0121951219512195</v>
      </c>
      <c r="BW162" s="26" t="n">
        <f aca="false">IF(AND(ISNUMBER(BW161),ISNUMBER(BR161)),IFERROR(BW161/BR161-1,""),"")</f>
        <v>0.0161290322580645</v>
      </c>
      <c r="BX162" s="26" t="n">
        <f aca="false">IF(AND(ISNUMBER(BX161),ISNUMBER(BS161)),IFERROR(BX161/BS161-1,""),"")</f>
        <v>0.0161290322580645</v>
      </c>
      <c r="BY162" s="6"/>
      <c r="BZ162" s="6"/>
      <c r="CA162" s="27" t="n">
        <f aca="false">IFERROR(CA161/BV161-1,"")</f>
        <v>0.0120481927710843</v>
      </c>
      <c r="CB162" s="35" t="n">
        <v>0.03</v>
      </c>
      <c r="CC162" s="35" t="n">
        <v>0.03</v>
      </c>
      <c r="CD162" s="35" t="n">
        <v>0.03</v>
      </c>
      <c r="CE162" s="35" t="n">
        <v>0.03</v>
      </c>
    </row>
    <row r="164" customFormat="false" ht="15" hidden="false" customHeight="false" outlineLevel="0" collapsed="false">
      <c r="B164" s="8" t="s">
        <v>287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10"/>
    </row>
    <row r="165" customFormat="false" ht="15" hidden="false" customHeight="false" outlineLevel="0" collapsed="false">
      <c r="B165" s="28" t="s">
        <v>288</v>
      </c>
      <c r="C165" s="43" t="n">
        <f aca="false">C135</f>
        <v>1082.544</v>
      </c>
      <c r="D165" s="43" t="n">
        <f aca="false">D135</f>
        <v>1243.778</v>
      </c>
      <c r="E165" s="43" t="n">
        <f aca="false">E135</f>
        <v>1374.963</v>
      </c>
      <c r="F165" s="43" t="n">
        <f aca="false">F135</f>
        <v>1381.959</v>
      </c>
      <c r="G165" s="43" t="n">
        <f aca="false">G135</f>
        <v>1467.978</v>
      </c>
      <c r="H165" s="43" t="n">
        <f aca="false">H135</f>
        <v>1632.658</v>
      </c>
      <c r="I165" s="43" t="n">
        <f aca="false">I135</f>
        <v>1717.571</v>
      </c>
      <c r="J165" s="43" t="n">
        <f aca="false">J135</f>
        <v>455.722</v>
      </c>
      <c r="K165" s="43" t="n">
        <f aca="false">K135</f>
        <v>472.602</v>
      </c>
      <c r="L165" s="43" t="n">
        <f aca="false">L135</f>
        <v>463.306</v>
      </c>
      <c r="M165" s="43" t="n">
        <f aca="false">M135</f>
        <v>444.465</v>
      </c>
      <c r="N165" s="43" t="n">
        <f aca="false">N135</f>
        <v>1836.095</v>
      </c>
      <c r="O165" s="43" t="n">
        <f aca="false">O135</f>
        <v>457.235</v>
      </c>
      <c r="P165" s="43" t="n">
        <f aca="false">P135</f>
        <v>521.037</v>
      </c>
      <c r="Q165" s="43" t="n">
        <f aca="false">Q135</f>
        <v>527.564</v>
      </c>
      <c r="R165" s="43" t="n">
        <f aca="false">R135</f>
        <v>501.816</v>
      </c>
      <c r="S165" s="43" t="n">
        <f aca="false">S135</f>
        <v>2007.652</v>
      </c>
      <c r="T165" s="43" t="n">
        <f aca="false">T135</f>
        <v>525.11</v>
      </c>
      <c r="U165" s="43" t="n">
        <f aca="false">U135</f>
        <v>584.018000000001</v>
      </c>
      <c r="V165" s="43" t="n">
        <f aca="false">V135</f>
        <v>588.575</v>
      </c>
      <c r="W165" s="43" t="n">
        <f aca="false">W135</f>
        <v>570.777</v>
      </c>
      <c r="X165" s="43" t="n">
        <f aca="false">X135</f>
        <v>2268.48</v>
      </c>
      <c r="Y165" s="43" t="n">
        <f aca="false">Y135</f>
        <v>563.335000000001</v>
      </c>
      <c r="Z165" s="43" t="n">
        <f aca="false">Z135</f>
        <v>594.215</v>
      </c>
      <c r="AA165" s="43" t="n">
        <f aca="false">AA135</f>
        <v>558.462</v>
      </c>
      <c r="AB165" s="43" t="n">
        <f aca="false">AB135</f>
        <v>561.516</v>
      </c>
      <c r="AC165" s="43" t="n">
        <f aca="false">AC135</f>
        <v>2277.528</v>
      </c>
      <c r="AD165" s="43" t="n">
        <f aca="false">AD135</f>
        <v>568.566</v>
      </c>
      <c r="AE165" s="43" t="n">
        <f aca="false">AE135</f>
        <v>573.789</v>
      </c>
      <c r="AF165" s="43" t="n">
        <f aca="false">AF135</f>
        <v>593.846</v>
      </c>
      <c r="AG165" s="43" t="n">
        <f aca="false">AG135</f>
        <v>631.849</v>
      </c>
      <c r="AH165" s="43" t="n">
        <f aca="false">AH135</f>
        <v>2368.05</v>
      </c>
      <c r="AI165" s="43" t="n">
        <f aca="false">AI135</f>
        <v>625.925</v>
      </c>
      <c r="AJ165" s="43" t="n">
        <f aca="false">AJ135</f>
        <v>671.483</v>
      </c>
      <c r="AK165" s="43" t="n">
        <f aca="false">AK135</f>
        <v>694.044</v>
      </c>
      <c r="AL165" s="43" t="n">
        <f aca="false">AL135</f>
        <v>713.783</v>
      </c>
      <c r="AM165" s="43" t="n">
        <f aca="false">AM135</f>
        <v>2705.235</v>
      </c>
      <c r="AN165" s="43" t="n">
        <f aca="false">AN135</f>
        <v>678.8</v>
      </c>
      <c r="AO165" s="43" t="n">
        <f aca="false">AO135</f>
        <v>695.216</v>
      </c>
      <c r="AP165" s="43" t="n">
        <f aca="false">AP135</f>
        <v>633.431</v>
      </c>
      <c r="AQ165" s="43" t="n">
        <f aca="false">AQ135</f>
        <v>578.863</v>
      </c>
      <c r="AR165" s="43" t="n">
        <f aca="false">AR135</f>
        <v>2586.31</v>
      </c>
      <c r="AS165" s="43" t="n">
        <f aca="false">AS135</f>
        <v>567.953</v>
      </c>
      <c r="AT165" s="43" t="n">
        <f aca="false">AT135</f>
        <v>614.453</v>
      </c>
      <c r="AU165" s="43" t="n">
        <f aca="false">AU135</f>
        <v>589.273</v>
      </c>
      <c r="AV165" s="43" t="n">
        <f aca="false">AV135</f>
        <v>636.068</v>
      </c>
      <c r="AW165" s="43" t="n">
        <f aca="false">AW135</f>
        <v>2395.623</v>
      </c>
      <c r="AX165" s="43" t="n">
        <f aca="false">AX135</f>
        <v>697.733</v>
      </c>
      <c r="AY165" s="43" t="n">
        <f aca="false">AY135</f>
        <v>744.374</v>
      </c>
      <c r="AZ165" s="43" t="n">
        <f aca="false">AZ135</f>
        <v>839.039999999999</v>
      </c>
      <c r="BA165" s="43" t="n">
        <f aca="false">BA135</f>
        <v>850.734</v>
      </c>
      <c r="BB165" s="43" t="n">
        <f aca="false">BB135</f>
        <v>3131.881</v>
      </c>
      <c r="BC165" s="43" t="n">
        <f aca="false">BC135</f>
        <v>900.462</v>
      </c>
      <c r="BD165" s="43" t="n">
        <f aca="false">BD135</f>
        <v>1024.973</v>
      </c>
      <c r="BE165" s="43" t="n">
        <f aca="false">BE135</f>
        <v>880.737</v>
      </c>
      <c r="BF165" s="43" t="n">
        <f aca="false">BF135</f>
        <v>761.518</v>
      </c>
      <c r="BG165" s="43" t="n">
        <f aca="false">BG135</f>
        <v>3567.69</v>
      </c>
      <c r="BH165" s="43" t="n">
        <f aca="false">BH135</f>
        <v>678.323</v>
      </c>
      <c r="BI165" s="43" t="n">
        <f aca="false">BI135</f>
        <v>656.747</v>
      </c>
      <c r="BJ165" s="43" t="n">
        <f aca="false">BJ135</f>
        <v>626.616</v>
      </c>
      <c r="BK165" s="43" t="n">
        <f aca="false">BK135</f>
        <v>609.303</v>
      </c>
      <c r="BL165" s="43" t="n">
        <f aca="false">BL135</f>
        <v>2570.988</v>
      </c>
      <c r="BM165" s="43" t="n">
        <f aca="false">BM135</f>
        <v>647.506999999999</v>
      </c>
      <c r="BN165" s="43" t="n">
        <f aca="false">BN135</f>
        <v>676.526</v>
      </c>
      <c r="BO165" s="43" t="n">
        <f aca="false">BO135</f>
        <v>723.812</v>
      </c>
      <c r="BP165" s="43" t="n">
        <f aca="false">BP135</f>
        <v>672.861</v>
      </c>
      <c r="BQ165" s="43" t="n">
        <f aca="false">BQ135</f>
        <v>2720.706</v>
      </c>
      <c r="BR165" s="43" t="n">
        <f aca="false">BR135</f>
        <v>657.422</v>
      </c>
      <c r="BS165" s="43" t="n">
        <f aca="false">BS135</f>
        <v>679.55</v>
      </c>
      <c r="BT165" s="43" t="n">
        <f aca="false">BT135</f>
        <v>691.656999999999</v>
      </c>
      <c r="BU165" s="43" t="n">
        <f aca="false">BU135</f>
        <v>642.523</v>
      </c>
      <c r="BV165" s="43" t="n">
        <f aca="false">BV135</f>
        <v>2671.152</v>
      </c>
      <c r="BW165" s="43" t="n">
        <f aca="false">BW135</f>
        <v>646.631</v>
      </c>
      <c r="BX165" s="43" t="n">
        <f aca="false">BX135</f>
        <v>725.928</v>
      </c>
      <c r="BY165" s="49" t="n">
        <f aca="false">BY135</f>
        <v>749.754674353913</v>
      </c>
      <c r="BZ165" s="49" t="n">
        <f aca="false">BZ135</f>
        <v>697.694231629097</v>
      </c>
      <c r="CA165" s="49" t="n">
        <f aca="false">CA135</f>
        <v>2820.00790598301</v>
      </c>
      <c r="CB165" s="49" t="n">
        <f aca="false">CB135</f>
        <v>2979.0850344659</v>
      </c>
      <c r="CC165" s="49" t="n">
        <f aca="false">CC135</f>
        <v>3164.37982946533</v>
      </c>
      <c r="CD165" s="49" t="n">
        <f aca="false">CD135</f>
        <v>3349.85109635388</v>
      </c>
      <c r="CE165" s="49" t="n">
        <f aca="false">CE135</f>
        <v>3550.50122300251</v>
      </c>
    </row>
    <row r="166" customFormat="false" ht="15" hidden="false" customHeight="false" outlineLevel="0" collapsed="false">
      <c r="B166" s="28" t="s">
        <v>289</v>
      </c>
      <c r="C166" s="43" t="n">
        <f aca="false">N(C134)</f>
        <v>0</v>
      </c>
      <c r="D166" s="43" t="n">
        <f aca="false">N(D134)</f>
        <v>0</v>
      </c>
      <c r="E166" s="43" t="n">
        <f aca="false">N(E134)</f>
        <v>0</v>
      </c>
      <c r="F166" s="43" t="n">
        <f aca="false">N(F134)</f>
        <v>0</v>
      </c>
      <c r="G166" s="43" t="n">
        <f aca="false">N(G134)</f>
        <v>0</v>
      </c>
      <c r="H166" s="43" t="n">
        <f aca="false">N(H134)</f>
        <v>0</v>
      </c>
      <c r="I166" s="43" t="n">
        <f aca="false">N(I134)</f>
        <v>0</v>
      </c>
      <c r="J166" s="43" t="n">
        <f aca="false">N(J134)</f>
        <v>0</v>
      </c>
      <c r="K166" s="43" t="n">
        <f aca="false">N(K134)</f>
        <v>0</v>
      </c>
      <c r="L166" s="43" t="n">
        <f aca="false">N(L134)</f>
        <v>0</v>
      </c>
      <c r="M166" s="43" t="n">
        <f aca="false">N(M134)</f>
        <v>0</v>
      </c>
      <c r="N166" s="43" t="n">
        <f aca="false">N(N134)</f>
        <v>0</v>
      </c>
      <c r="O166" s="43" t="n">
        <f aca="false">N(O134)</f>
        <v>0</v>
      </c>
      <c r="P166" s="43" t="n">
        <f aca="false">N(P134)</f>
        <v>0</v>
      </c>
      <c r="Q166" s="43" t="n">
        <f aca="false">N(Q134)</f>
        <v>0</v>
      </c>
      <c r="R166" s="43" t="n">
        <f aca="false">N(R134)</f>
        <v>0</v>
      </c>
      <c r="S166" s="43" t="n">
        <f aca="false">N(S134)</f>
        <v>0</v>
      </c>
      <c r="T166" s="43" t="n">
        <f aca="false">N(T134)</f>
        <v>0</v>
      </c>
      <c r="U166" s="43" t="n">
        <f aca="false">N(U134)</f>
        <v>0</v>
      </c>
      <c r="V166" s="43" t="n">
        <f aca="false">N(V134)</f>
        <v>0</v>
      </c>
      <c r="W166" s="43" t="n">
        <f aca="false">N(W134)</f>
        <v>0</v>
      </c>
      <c r="X166" s="43" t="n">
        <f aca="false">N(X134)</f>
        <v>0</v>
      </c>
      <c r="Y166" s="43" t="n">
        <f aca="false">N(Y134)</f>
        <v>0</v>
      </c>
      <c r="Z166" s="43" t="n">
        <f aca="false">N(Z134)</f>
        <v>0</v>
      </c>
      <c r="AA166" s="43" t="n">
        <f aca="false">N(AA134)</f>
        <v>0</v>
      </c>
      <c r="AB166" s="43" t="n">
        <f aca="false">N(AB134)</f>
        <v>0</v>
      </c>
      <c r="AC166" s="43" t="n">
        <f aca="false">N(AC134)</f>
        <v>0</v>
      </c>
      <c r="AD166" s="43" t="n">
        <f aca="false">N(AD134)</f>
        <v>0</v>
      </c>
      <c r="AE166" s="43" t="n">
        <f aca="false">N(AE134)</f>
        <v>0</v>
      </c>
      <c r="AF166" s="43" t="n">
        <f aca="false">N(AF134)</f>
        <v>0</v>
      </c>
      <c r="AG166" s="43" t="n">
        <f aca="false">N(AG134)</f>
        <v>0</v>
      </c>
      <c r="AH166" s="43" t="n">
        <f aca="false">N(AH134)</f>
        <v>0</v>
      </c>
      <c r="AI166" s="43" t="n">
        <f aca="false">N(AI134)</f>
        <v>0</v>
      </c>
      <c r="AJ166" s="43" t="n">
        <f aca="false">N(AJ134)</f>
        <v>0</v>
      </c>
      <c r="AK166" s="43" t="n">
        <f aca="false">N(AK134)</f>
        <v>0</v>
      </c>
      <c r="AL166" s="43" t="n">
        <f aca="false">N(AL134)</f>
        <v>0</v>
      </c>
      <c r="AM166" s="43" t="n">
        <f aca="false">N(AM134)</f>
        <v>0</v>
      </c>
      <c r="AN166" s="43" t="n">
        <f aca="false">N(AN134)</f>
        <v>0</v>
      </c>
      <c r="AO166" s="43" t="n">
        <f aca="false">N(AO134)</f>
        <v>0</v>
      </c>
      <c r="AP166" s="43" t="n">
        <f aca="false">N(AP134)</f>
        <v>0</v>
      </c>
      <c r="AQ166" s="43" t="n">
        <f aca="false">N(AQ134)</f>
        <v>0</v>
      </c>
      <c r="AR166" s="43" t="n">
        <f aca="false">N(AR134)</f>
        <v>0</v>
      </c>
      <c r="AS166" s="43" t="n">
        <f aca="false">N(AS134)</f>
        <v>0</v>
      </c>
      <c r="AT166" s="43" t="n">
        <f aca="false">N(AT134)</f>
        <v>0</v>
      </c>
      <c r="AU166" s="43" t="n">
        <f aca="false">N(AU134)</f>
        <v>0</v>
      </c>
      <c r="AV166" s="43" t="n">
        <f aca="false">N(AV134)</f>
        <v>4.51</v>
      </c>
      <c r="AW166" s="43" t="n">
        <f aca="false">N(AW134)</f>
        <v>16.634</v>
      </c>
      <c r="AX166" s="43" t="n">
        <f aca="false">N(AX134)</f>
        <v>4.647</v>
      </c>
      <c r="AY166" s="43" t="n">
        <f aca="false">N(AY134)</f>
        <v>4.802</v>
      </c>
      <c r="AZ166" s="43" t="n">
        <f aca="false">N(AZ134)</f>
        <v>5.152</v>
      </c>
      <c r="BA166" s="43" t="n">
        <f aca="false">N(BA134)</f>
        <v>5.607</v>
      </c>
      <c r="BB166" s="43" t="n">
        <f aca="false">N(BB134)</f>
        <v>20.208</v>
      </c>
      <c r="BC166" s="43" t="n">
        <f aca="false">N(BC134)</f>
        <v>5.734</v>
      </c>
      <c r="BD166" s="43" t="n">
        <f aca="false">N(BD134)</f>
        <v>6.64</v>
      </c>
      <c r="BE166" s="43" t="n">
        <f aca="false">N(BE134)</f>
        <v>6.457</v>
      </c>
      <c r="BF166" s="43" t="n">
        <f aca="false">N(BF134)</f>
        <v>6.656</v>
      </c>
      <c r="BG166" s="43" t="n">
        <f aca="false">N(BG134)</f>
        <v>25.487</v>
      </c>
      <c r="BH166" s="43" t="n">
        <f aca="false">N(BH134)</f>
        <v>7.317</v>
      </c>
      <c r="BI166" s="43" t="n">
        <f aca="false">N(BI134)</f>
        <v>8.749</v>
      </c>
      <c r="BJ166" s="43" t="n">
        <f aca="false">N(BJ134)</f>
        <v>8.233</v>
      </c>
      <c r="BK166" s="43" t="n">
        <f aca="false">N(BK134)</f>
        <v>9.32</v>
      </c>
      <c r="BL166" s="43" t="n">
        <f aca="false">N(BL134)</f>
        <v>33.62</v>
      </c>
      <c r="BM166" s="43" t="n">
        <f aca="false">N(BM134)</f>
        <v>10.222</v>
      </c>
      <c r="BN166" s="43" t="n">
        <f aca="false">N(BN134)</f>
        <v>10.883</v>
      </c>
      <c r="BO166" s="43" t="n">
        <f aca="false">N(BO134)</f>
        <v>11.441</v>
      </c>
      <c r="BP166" s="43" t="n">
        <f aca="false">N(BP134)</f>
        <v>11.762</v>
      </c>
      <c r="BQ166" s="43" t="n">
        <f aca="false">N(BQ134)</f>
        <v>44.308</v>
      </c>
      <c r="BR166" s="43" t="n">
        <f aca="false">N(BR134)</f>
        <v>15.666</v>
      </c>
      <c r="BS166" s="43" t="n">
        <f aca="false">N(BS134)</f>
        <v>13.681</v>
      </c>
      <c r="BT166" s="43" t="n">
        <f aca="false">N(BT134)</f>
        <v>14.42</v>
      </c>
      <c r="BU166" s="43" t="n">
        <f aca="false">N(BU134)</f>
        <v>14.491</v>
      </c>
      <c r="BV166" s="43" t="n">
        <f aca="false">N(BV134)</f>
        <v>58.258</v>
      </c>
      <c r="BW166" s="43" t="n">
        <f aca="false">N(BW134)</f>
        <v>13.862</v>
      </c>
      <c r="BX166" s="43" t="n">
        <f aca="false">N(BX134)</f>
        <v>12.038</v>
      </c>
      <c r="BY166" s="49" t="n">
        <f aca="false">N(BY134)</f>
        <v>12.4331156393918</v>
      </c>
      <c r="BZ166" s="49" t="n">
        <f aca="false">N(BZ134)</f>
        <v>11.5698019092129</v>
      </c>
      <c r="CA166" s="49" t="n">
        <f aca="false">N(CA134)</f>
        <v>49.9029175486046</v>
      </c>
      <c r="CB166" s="49" t="n">
        <f aca="false">N(CB134)</f>
        <v>51.5202905248426</v>
      </c>
      <c r="CC166" s="49" t="n">
        <f aca="false">N(CC134)</f>
        <v>54.7247783325643</v>
      </c>
      <c r="CD166" s="49" t="n">
        <f aca="false">N(CD134)</f>
        <v>57.9323180447771</v>
      </c>
      <c r="CE166" s="49" t="n">
        <f aca="false">N(CE134)</f>
        <v>61.4023609267982</v>
      </c>
    </row>
    <row r="167" customFormat="false" ht="15" hidden="false" customHeight="false" outlineLevel="0" collapsed="false">
      <c r="B167" s="51" t="s">
        <v>290</v>
      </c>
      <c r="C167" s="52" t="n">
        <f aca="false">C165+C166</f>
        <v>1082.544</v>
      </c>
      <c r="D167" s="52" t="n">
        <f aca="false">D165+D166</f>
        <v>1243.778</v>
      </c>
      <c r="E167" s="52" t="n">
        <f aca="false">E165+E166</f>
        <v>1374.963</v>
      </c>
      <c r="F167" s="52" t="n">
        <f aca="false">F165+F166</f>
        <v>1381.959</v>
      </c>
      <c r="G167" s="52" t="n">
        <f aca="false">G165+G166</f>
        <v>1467.978</v>
      </c>
      <c r="H167" s="52" t="n">
        <f aca="false">H165+H166</f>
        <v>1632.658</v>
      </c>
      <c r="I167" s="52" t="n">
        <f aca="false">I165+I166</f>
        <v>1717.571</v>
      </c>
      <c r="J167" s="52" t="n">
        <f aca="false">J165+J166</f>
        <v>455.722</v>
      </c>
      <c r="K167" s="52" t="n">
        <f aca="false">K165+K166</f>
        <v>472.602</v>
      </c>
      <c r="L167" s="52" t="n">
        <f aca="false">L165+L166</f>
        <v>463.306</v>
      </c>
      <c r="M167" s="52" t="n">
        <f aca="false">M165+M166</f>
        <v>444.465</v>
      </c>
      <c r="N167" s="52" t="n">
        <f aca="false">N165+N166</f>
        <v>1836.095</v>
      </c>
      <c r="O167" s="52" t="n">
        <f aca="false">O165+O166</f>
        <v>457.235</v>
      </c>
      <c r="P167" s="52" t="n">
        <f aca="false">P165+P166</f>
        <v>521.037</v>
      </c>
      <c r="Q167" s="52" t="n">
        <f aca="false">Q165+Q166</f>
        <v>527.564</v>
      </c>
      <c r="R167" s="52" t="n">
        <f aca="false">R165+R166</f>
        <v>501.816</v>
      </c>
      <c r="S167" s="52" t="n">
        <f aca="false">S165+S166</f>
        <v>2007.652</v>
      </c>
      <c r="T167" s="52" t="n">
        <f aca="false">T165+T166</f>
        <v>525.11</v>
      </c>
      <c r="U167" s="52" t="n">
        <f aca="false">U165+U166</f>
        <v>584.018000000001</v>
      </c>
      <c r="V167" s="52" t="n">
        <f aca="false">V165+V166</f>
        <v>588.575</v>
      </c>
      <c r="W167" s="52" t="n">
        <f aca="false">W165+W166</f>
        <v>570.777</v>
      </c>
      <c r="X167" s="52" t="n">
        <f aca="false">X165+X166</f>
        <v>2268.48</v>
      </c>
      <c r="Y167" s="52" t="n">
        <f aca="false">Y165+Y166</f>
        <v>563.335000000001</v>
      </c>
      <c r="Z167" s="52" t="n">
        <f aca="false">Z165+Z166</f>
        <v>594.215</v>
      </c>
      <c r="AA167" s="52" t="n">
        <f aca="false">AA165+AA166</f>
        <v>558.462</v>
      </c>
      <c r="AB167" s="52" t="n">
        <f aca="false">AB165+AB166</f>
        <v>561.516</v>
      </c>
      <c r="AC167" s="52" t="n">
        <f aca="false">AC165+AC166</f>
        <v>2277.528</v>
      </c>
      <c r="AD167" s="52" t="n">
        <f aca="false">AD165+AD166</f>
        <v>568.566</v>
      </c>
      <c r="AE167" s="52" t="n">
        <f aca="false">AE165+AE166</f>
        <v>573.789</v>
      </c>
      <c r="AF167" s="52" t="n">
        <f aca="false">AF165+AF166</f>
        <v>593.846</v>
      </c>
      <c r="AG167" s="52" t="n">
        <f aca="false">AG165+AG166</f>
        <v>631.849</v>
      </c>
      <c r="AH167" s="52" t="n">
        <f aca="false">AH165+AH166</f>
        <v>2368.05</v>
      </c>
      <c r="AI167" s="52" t="n">
        <f aca="false">AI165+AI166</f>
        <v>625.925</v>
      </c>
      <c r="AJ167" s="52" t="n">
        <f aca="false">AJ165+AJ166</f>
        <v>671.483</v>
      </c>
      <c r="AK167" s="52" t="n">
        <f aca="false">AK165+AK166</f>
        <v>694.044</v>
      </c>
      <c r="AL167" s="52" t="n">
        <f aca="false">AL165+AL166</f>
        <v>713.783</v>
      </c>
      <c r="AM167" s="52" t="n">
        <f aca="false">AM165+AM166</f>
        <v>2705.235</v>
      </c>
      <c r="AN167" s="52" t="n">
        <f aca="false">AN165+AN166</f>
        <v>678.8</v>
      </c>
      <c r="AO167" s="52" t="n">
        <f aca="false">AO165+AO166</f>
        <v>695.216</v>
      </c>
      <c r="AP167" s="52" t="n">
        <f aca="false">AP165+AP166</f>
        <v>633.431</v>
      </c>
      <c r="AQ167" s="52" t="n">
        <f aca="false">AQ165+AQ166</f>
        <v>578.863</v>
      </c>
      <c r="AR167" s="52" t="n">
        <f aca="false">AR165+AR166</f>
        <v>2586.31</v>
      </c>
      <c r="AS167" s="52" t="n">
        <f aca="false">AS165+AS166</f>
        <v>567.953</v>
      </c>
      <c r="AT167" s="52" t="n">
        <f aca="false">AT165+AT166</f>
        <v>614.453</v>
      </c>
      <c r="AU167" s="52" t="n">
        <f aca="false">AU165+AU166</f>
        <v>589.273</v>
      </c>
      <c r="AV167" s="52" t="n">
        <f aca="false">AV165+AV166</f>
        <v>640.578</v>
      </c>
      <c r="AW167" s="52" t="n">
        <f aca="false">AW165+AW166</f>
        <v>2412.257</v>
      </c>
      <c r="AX167" s="52" t="n">
        <f aca="false">AX165+AX166</f>
        <v>702.38</v>
      </c>
      <c r="AY167" s="52" t="n">
        <f aca="false">AY165+AY166</f>
        <v>749.176</v>
      </c>
      <c r="AZ167" s="52" t="n">
        <f aca="false">AZ165+AZ166</f>
        <v>844.191999999999</v>
      </c>
      <c r="BA167" s="52" t="n">
        <f aca="false">BA165+BA166</f>
        <v>856.341</v>
      </c>
      <c r="BB167" s="52" t="n">
        <f aca="false">BB165+BB166</f>
        <v>3152.089</v>
      </c>
      <c r="BC167" s="52" t="n">
        <f aca="false">BC165+BC166</f>
        <v>906.196</v>
      </c>
      <c r="BD167" s="52" t="n">
        <f aca="false">BD165+BD166</f>
        <v>1031.613</v>
      </c>
      <c r="BE167" s="52" t="n">
        <f aca="false">BE165+BE166</f>
        <v>887.194</v>
      </c>
      <c r="BF167" s="52" t="n">
        <f aca="false">BF165+BF166</f>
        <v>768.174</v>
      </c>
      <c r="BG167" s="52" t="n">
        <f aca="false">BG165+BG166</f>
        <v>3593.177</v>
      </c>
      <c r="BH167" s="52" t="n">
        <f aca="false">BH165+BH166</f>
        <v>685.64</v>
      </c>
      <c r="BI167" s="52" t="n">
        <f aca="false">BI165+BI166</f>
        <v>665.496</v>
      </c>
      <c r="BJ167" s="52" t="n">
        <f aca="false">BJ165+BJ166</f>
        <v>634.849</v>
      </c>
      <c r="BK167" s="52" t="n">
        <f aca="false">BK165+BK166</f>
        <v>618.623</v>
      </c>
      <c r="BL167" s="52" t="n">
        <f aca="false">BL165+BL166</f>
        <v>2604.608</v>
      </c>
      <c r="BM167" s="52" t="n">
        <f aca="false">BM165+BM166</f>
        <v>657.728999999999</v>
      </c>
      <c r="BN167" s="52" t="n">
        <f aca="false">BN165+BN166</f>
        <v>687.409</v>
      </c>
      <c r="BO167" s="52" t="n">
        <f aca="false">BO165+BO166</f>
        <v>735.253</v>
      </c>
      <c r="BP167" s="52" t="n">
        <f aca="false">BP165+BP166</f>
        <v>684.623</v>
      </c>
      <c r="BQ167" s="52" t="n">
        <f aca="false">BQ165+BQ166</f>
        <v>2765.014</v>
      </c>
      <c r="BR167" s="52" t="n">
        <f aca="false">BR165+BR166</f>
        <v>673.088</v>
      </c>
      <c r="BS167" s="52" t="n">
        <f aca="false">BS165+BS166</f>
        <v>693.231</v>
      </c>
      <c r="BT167" s="52" t="n">
        <f aca="false">BT165+BT166</f>
        <v>706.076999999999</v>
      </c>
      <c r="BU167" s="52" t="n">
        <f aca="false">BU165+BU166</f>
        <v>657.014</v>
      </c>
      <c r="BV167" s="52" t="n">
        <f aca="false">BV165+BV166</f>
        <v>2729.41</v>
      </c>
      <c r="BW167" s="52" t="n">
        <f aca="false">BW165+BW166</f>
        <v>660.493</v>
      </c>
      <c r="BX167" s="52" t="n">
        <f aca="false">BX165+BX166</f>
        <v>737.966</v>
      </c>
      <c r="BY167" s="52" t="n">
        <f aca="false">BY165+BY166</f>
        <v>762.187789993304</v>
      </c>
      <c r="BZ167" s="52" t="n">
        <f aca="false">BZ165+BZ166</f>
        <v>709.26403353831</v>
      </c>
      <c r="CA167" s="52" t="n">
        <f aca="false">CA165+CA166</f>
        <v>2869.91082353162</v>
      </c>
      <c r="CB167" s="52" t="n">
        <f aca="false">CB165+CB166</f>
        <v>3030.60532499074</v>
      </c>
      <c r="CC167" s="52" t="n">
        <f aca="false">CC165+CC166</f>
        <v>3219.1046077979</v>
      </c>
      <c r="CD167" s="52" t="n">
        <f aca="false">CD165+CD166</f>
        <v>3407.78341439865</v>
      </c>
      <c r="CE167" s="52" t="n">
        <f aca="false">CE165+CE166</f>
        <v>3611.90358392931</v>
      </c>
      <c r="CF167" s="6"/>
    </row>
    <row r="168" customFormat="false" ht="15" hidden="false" customHeight="false" outlineLevel="0" collapsed="false">
      <c r="B168" s="25" t="s">
        <v>160</v>
      </c>
      <c r="C168" s="26" t="n">
        <f aca="false">IF(AND(ISNUMBER(C167),ISNUMBER(C125)),IFERROR(C167/C125,""),"")</f>
        <v>0.165117749718816</v>
      </c>
      <c r="D168" s="26" t="n">
        <f aca="false">IF(AND(ISNUMBER(D167),ISNUMBER(D125)),IFERROR(D167/D125,""),"")</f>
        <v>0.170002745952385</v>
      </c>
      <c r="E168" s="26" t="n">
        <f aca="false">IF(AND(ISNUMBER(E167),ISNUMBER(E125)),IFERROR(E167/E125,""),"")</f>
        <v>0.160277988961853</v>
      </c>
      <c r="F168" s="26" t="n">
        <f aca="false">IF(AND(ISNUMBER(F167),ISNUMBER(F125)),IFERROR(F167/F125,""),"")</f>
        <v>0.182384126883994</v>
      </c>
      <c r="G168" s="26" t="n">
        <f aca="false">IF(AND(ISNUMBER(G167),ISNUMBER(G125)),IFERROR(G167/G125,""),"")</f>
        <v>0.158284421312433</v>
      </c>
      <c r="H168" s="26" t="n">
        <f aca="false">IF(AND(ISNUMBER(H167),ISNUMBER(H125)),IFERROR(H167/H125,""),"")</f>
        <v>0.157953110315773</v>
      </c>
      <c r="I168" s="26" t="n">
        <f aca="false">IF(AND(ISNUMBER(I167),ISNUMBER(I125)),IFERROR(I167/I125,""),"")</f>
        <v>0.151206436629339</v>
      </c>
      <c r="J168" s="26" t="n">
        <f aca="false">IF(AND(ISNUMBER(J167),ISNUMBER(J125)),IFERROR(J167/J125,""),"")</f>
        <v>0.152198184063078</v>
      </c>
      <c r="K168" s="26" t="n">
        <f aca="false">IF(AND(ISNUMBER(K167),ISNUMBER(K125)),IFERROR(K167/K125,""),"")</f>
        <v>0.143723949004064</v>
      </c>
      <c r="L168" s="26" t="n">
        <f aca="false">IF(AND(ISNUMBER(L167),ISNUMBER(L125)),IFERROR(L167/L125,""),"")</f>
        <v>0.139690321452423</v>
      </c>
      <c r="M168" s="26" t="n">
        <f aca="false">IF(AND(ISNUMBER(M167),ISNUMBER(M125)),IFERROR(M167/M125,""),"")</f>
        <v>0.140971022702404</v>
      </c>
      <c r="N168" s="26" t="n">
        <f aca="false">IF(AND(ISNUMBER(N167),ISNUMBER(N125)),IFERROR(N167/N125,""),"")</f>
        <v>0.143984006996194</v>
      </c>
      <c r="O168" s="26" t="n">
        <f aca="false">IF(AND(ISNUMBER(O167),ISNUMBER(O125)),IFERROR(O167/O125,""),"")</f>
        <v>0.145496462307304</v>
      </c>
      <c r="P168" s="26" t="n">
        <f aca="false">IF(AND(ISNUMBER(P167),ISNUMBER(P125)),IFERROR(P167/P125,""),"")</f>
        <v>0.148743704534334</v>
      </c>
      <c r="Q168" s="26" t="n">
        <f aca="false">IF(AND(ISNUMBER(Q167),ISNUMBER(Q125)),IFERROR(Q167/Q125,""),"")</f>
        <v>0.152151405016263</v>
      </c>
      <c r="R168" s="26" t="n">
        <f aca="false">IF(AND(ISNUMBER(R167),ISNUMBER(R125)),IFERROR(R167/R125,""),"")</f>
        <v>0.149474473088006</v>
      </c>
      <c r="S168" s="26" t="n">
        <f aca="false">IF(AND(ISNUMBER(S167),ISNUMBER(S125)),IFERROR(S167/S125,""),"")</f>
        <v>0.149045435334509</v>
      </c>
      <c r="T168" s="26" t="n">
        <f aca="false">IF(AND(ISNUMBER(T167),ISNUMBER(T125)),IFERROR(T167/T125,""),"")</f>
        <v>0.159081338669268</v>
      </c>
      <c r="U168" s="26" t="n">
        <f aca="false">IF(AND(ISNUMBER(U167),ISNUMBER(U125)),IFERROR(U167/U125,""),"")</f>
        <v>0.164740057228481</v>
      </c>
      <c r="V168" s="26" t="n">
        <f aca="false">IF(AND(ISNUMBER(V167),ISNUMBER(V125)),IFERROR(V167/V125,""),"")</f>
        <v>0.172135551244673</v>
      </c>
      <c r="W168" s="26" t="n">
        <f aca="false">IF(AND(ISNUMBER(W167),ISNUMBER(W125)),IFERROR(W167/W125,""),"")</f>
        <v>0.177764911691691</v>
      </c>
      <c r="X168" s="26" t="n">
        <f aca="false">IF(AND(ISNUMBER(X167),ISNUMBER(X125)),IFERROR(X167/X125,""),"")</f>
        <v>0.168333768177758</v>
      </c>
      <c r="Y168" s="26" t="n">
        <f aca="false">IF(AND(ISNUMBER(Y167),ISNUMBER(Y125)),IFERROR(Y167/Y125,""),"")</f>
        <v>0.183261368216652</v>
      </c>
      <c r="Z168" s="26" t="n">
        <f aca="false">IF(AND(ISNUMBER(Z167),ISNUMBER(Z125)),IFERROR(Z167/Z125,""),"")</f>
        <v>0.180079285010551</v>
      </c>
      <c r="AA168" s="26" t="n">
        <f aca="false">IF(AND(ISNUMBER(AA167),ISNUMBER(AA125)),IFERROR(AA167/AA125,""),"")</f>
        <v>0.166419230968659</v>
      </c>
      <c r="AB168" s="26" t="n">
        <f aca="false">IF(AND(ISNUMBER(AB167),ISNUMBER(AB125)),IFERROR(AB167/AB125,""),"")</f>
        <v>0.164427558034832</v>
      </c>
      <c r="AC168" s="26" t="n">
        <f aca="false">IF(AND(ISNUMBER(AC167),ISNUMBER(AC125)),IFERROR(AC167/AC125,""),"")</f>
        <v>0.173269662175101</v>
      </c>
      <c r="AD168" s="26" t="n">
        <f aca="false">IF(AND(ISNUMBER(AD167),ISNUMBER(AD125)),IFERROR(AD167/AD125,""),"")</f>
        <v>0.166484682112661</v>
      </c>
      <c r="AE168" s="26" t="n">
        <f aca="false">IF(AND(ISNUMBER(AE167),ISNUMBER(AE125)),IFERROR(AE167/AE125,""),"")</f>
        <v>0.154659357447861</v>
      </c>
      <c r="AF168" s="26" t="n">
        <f aca="false">IF(AND(ISNUMBER(AF167),ISNUMBER(AF125)),IFERROR(AF167/AF125,""),"")</f>
        <v>0.156917344153749</v>
      </c>
      <c r="AG168" s="26" t="n">
        <f aca="false">IF(AND(ISNUMBER(AG167),ISNUMBER(AG125)),IFERROR(AG167/AG125,""),"")</f>
        <v>0.159566451318329</v>
      </c>
      <c r="AH168" s="26" t="n">
        <f aca="false">IF(AND(ISNUMBER(AH167),ISNUMBER(AH125)),IFERROR(AH167/AH125,""),"")</f>
        <v>0.159256808286559</v>
      </c>
      <c r="AI168" s="26" t="n">
        <f aca="false">IF(AND(ISNUMBER(AI167),ISNUMBER(AI125)),IFERROR(AI167/AI125,""),"")</f>
        <v>0.159458052794073</v>
      </c>
      <c r="AJ168" s="26" t="n">
        <f aca="false">IF(AND(ISNUMBER(AJ167),ISNUMBER(AJ125)),IFERROR(AJ167/AJ125,""),"")</f>
        <v>0.157033954570552</v>
      </c>
      <c r="AK168" s="26" t="n">
        <f aca="false">IF(AND(ISNUMBER(AK167),ISNUMBER(AK125)),IFERROR(AK167/AK125,""),"")</f>
        <v>0.161710198280482</v>
      </c>
      <c r="AL168" s="26" t="n">
        <f aca="false">IF(AND(ISNUMBER(AL167),ISNUMBER(AL125)),IFERROR(AL167/AL125,""),"")</f>
        <v>0.172498518575087</v>
      </c>
      <c r="AM168" s="26" t="n">
        <f aca="false">IF(AND(ISNUMBER(AM167),ISNUMBER(AM125)),IFERROR(AM167/AM125,""),"")</f>
        <v>0.162660514845256</v>
      </c>
      <c r="AN168" s="26" t="n">
        <f aca="false">IF(AND(ISNUMBER(AN167),ISNUMBER(AN125)),IFERROR(AN167/AN125,""),"")</f>
        <v>0.180954945204347</v>
      </c>
      <c r="AO168" s="26" t="n">
        <f aca="false">IF(AND(ISNUMBER(AO167),ISNUMBER(AO125)),IFERROR(AO167/AO125,""),"")</f>
        <v>0.17785736944976</v>
      </c>
      <c r="AP168" s="26" t="n">
        <f aca="false">IF(AND(ISNUMBER(AP167),ISNUMBER(AP125)),IFERROR(AP167/AP125,""),"")</f>
        <v>0.164265901685938</v>
      </c>
      <c r="AQ168" s="26" t="n">
        <f aca="false">IF(AND(ISNUMBER(AQ167),ISNUMBER(AQ125)),IFERROR(AQ167/AQ125,""),"")</f>
        <v>0.15260038288299</v>
      </c>
      <c r="AR168" s="26" t="n">
        <f aca="false">IF(AND(ISNUMBER(AR167),ISNUMBER(AR125)),IFERROR(AR167/AR125,""),"")</f>
        <v>0.168934886738359</v>
      </c>
      <c r="AS168" s="26" t="n">
        <f aca="false">IF(AND(ISNUMBER(AS167),ISNUMBER(AS125)),IFERROR(AS167/AS125,""),"")</f>
        <v>0.149264600757738</v>
      </c>
      <c r="AT168" s="26" t="n">
        <f aca="false">IF(AND(ISNUMBER(AT167),ISNUMBER(AT125)),IFERROR(AT167/AT125,""),"")</f>
        <v>0.169371301868933</v>
      </c>
      <c r="AU168" s="26" t="n">
        <f aca="false">IF(AND(ISNUMBER(AU167),ISNUMBER(AU125)),IFERROR(AU167/AU125,""),"")</f>
        <v>0.13947950198826</v>
      </c>
      <c r="AV168" s="26" t="n">
        <f aca="false">IF(AND(ISNUMBER(AV167),ISNUMBER(AV125)),IFERROR(AV167/AV125,""),"")</f>
        <v>0.140803331917778</v>
      </c>
      <c r="AW168" s="26" t="n">
        <f aca="false">IF(AND(ISNUMBER(AW167),ISNUMBER(AW125)),IFERROR(AW167/AW125,""),"")</f>
        <v>0.148839465849116</v>
      </c>
      <c r="AX168" s="26" t="n">
        <f aca="false">IF(AND(ISNUMBER(AX167),ISNUMBER(AX125)),IFERROR(AX167/AX125,""),"")</f>
        <v>0.146211314255239</v>
      </c>
      <c r="AY168" s="26" t="n">
        <f aca="false">IF(AND(ISNUMBER(AY167),ISNUMBER(AY125)),IFERROR(AY167/AY125,""),"")</f>
        <v>0.135408115276267</v>
      </c>
      <c r="AZ168" s="26" t="n">
        <f aca="false">IF(AND(ISNUMBER(AZ167),ISNUMBER(AZ125)),IFERROR(AZ167/AZ125,""),"")</f>
        <v>0.134775400143206</v>
      </c>
      <c r="BA168" s="26" t="n">
        <f aca="false">IF(AND(ISNUMBER(BA167),ISNUMBER(BA125)),IFERROR(BA167/BA125,""),"")</f>
        <v>0.131707323825472</v>
      </c>
      <c r="BB168" s="26" t="n">
        <f aca="false">IF(AND(ISNUMBER(BB167),ISNUMBER(BB125)),IFERROR(BB167/BB125,""),"")</f>
        <v>0.136441441047578</v>
      </c>
      <c r="BC168" s="26" t="n">
        <f aca="false">IF(AND(ISNUMBER(BC167),ISNUMBER(BC125)),IFERROR(BC167/BC125,""),"")</f>
        <v>0.132952207857067</v>
      </c>
      <c r="BD168" s="26" t="n">
        <f aca="false">IF(AND(ISNUMBER(BD167),ISNUMBER(BD125)),IFERROR(BD167/BD125,""),"")</f>
        <v>0.151741824453278</v>
      </c>
      <c r="BE168" s="26" t="n">
        <f aca="false">IF(AND(ISNUMBER(BE167),ISNUMBER(BE125)),IFERROR(BE167/BE125,""),"")</f>
        <v>0.147487704841726</v>
      </c>
      <c r="BF168" s="26" t="n">
        <f aca="false">IF(AND(ISNUMBER(BF167),ISNUMBER(BF125)),IFERROR(BF167/BF125,""),"")</f>
        <v>0.15160867139376</v>
      </c>
      <c r="BG168" s="26" t="n">
        <f aca="false">IF(AND(ISNUMBER(BG167),ISNUMBER(BG125)),IFERROR(BG167/BG125,""),"")</f>
        <v>0.145492633102701</v>
      </c>
      <c r="BH168" s="26" t="n">
        <f aca="false">IF(AND(ISNUMBER(BH167),ISNUMBER(BH125)),IFERROR(BH167/BH125,""),"")</f>
        <v>0.148674991922666</v>
      </c>
      <c r="BI168" s="26" t="n">
        <f aca="false">IF(AND(ISNUMBER(BI167),ISNUMBER(BI125)),IFERROR(BI167/BI125,""),"")</f>
        <v>0.150501508868674</v>
      </c>
      <c r="BJ168" s="26" t="n">
        <f aca="false">IF(AND(ISNUMBER(BJ167),ISNUMBER(BJ125)),IFERROR(BJ167/BJ125,""),"")</f>
        <v>0.14624386378348</v>
      </c>
      <c r="BK168" s="26" t="n">
        <f aca="false">IF(AND(ISNUMBER(BK167),ISNUMBER(BK125)),IFERROR(BK167/BK125,""),"")</f>
        <v>0.146527607205025</v>
      </c>
      <c r="BL168" s="26" t="n">
        <f aca="false">IF(AND(ISNUMBER(BL167),ISNUMBER(BL125)),IFERROR(BL167/BL125,""),"")</f>
        <v>0.148019005886587</v>
      </c>
      <c r="BM168" s="26" t="n">
        <f aca="false">IF(AND(ISNUMBER(BM167),ISNUMBER(BM125)),IFERROR(BM167/BM125,""),"")</f>
        <v>0.149066781557329</v>
      </c>
      <c r="BN168" s="26" t="n">
        <f aca="false">IF(AND(ISNUMBER(BN167),ISNUMBER(BN125)),IFERROR(BN167/BN125,""),"")</f>
        <v>0.153324925925893</v>
      </c>
      <c r="BO168" s="26" t="n">
        <f aca="false">IF(AND(ISNUMBER(BO167),ISNUMBER(BO125)),IFERROR(BO167/BO125,""),"")</f>
        <v>0.158301362796393</v>
      </c>
      <c r="BP168" s="26" t="n">
        <f aca="false">IF(AND(ISNUMBER(BP167),ISNUMBER(BP125)),IFERROR(BP167/BP125,""),"")</f>
        <v>0.163603173116261</v>
      </c>
      <c r="BQ168" s="26" t="n">
        <f aca="false">IF(AND(ISNUMBER(BQ167),ISNUMBER(BQ125)),IFERROR(BQ167/BQ125,""),"")</f>
        <v>0.155995535334474</v>
      </c>
      <c r="BR168" s="26" t="n">
        <f aca="false">IF(AND(ISNUMBER(BR167),ISNUMBER(BR125)),IFERROR(BR167/BR125,""),"")</f>
        <v>0.166328452037937</v>
      </c>
      <c r="BS168" s="26" t="n">
        <f aca="false">IF(AND(ISNUMBER(BS167),ISNUMBER(BS125)),IFERROR(BS167/BS125,""),"")</f>
        <v>0.167587040676236</v>
      </c>
      <c r="BT168" s="26" t="n">
        <f aca="false">IF(AND(ISNUMBER(BT167),ISNUMBER(BT125)),IFERROR(BT167/BT125,""),"")</f>
        <v>0.170680030148572</v>
      </c>
      <c r="BU168" s="26" t="n">
        <f aca="false">IF(AND(ISNUMBER(BU167),ISNUMBER(BU125)),IFERROR(BU167/BU125,""),"")</f>
        <v>0.167921149793208</v>
      </c>
      <c r="BV168" s="26" t="n">
        <f aca="false">IF(AND(ISNUMBER(BV167),ISNUMBER(BV125)),IFERROR(BV167/BV125,""),"")</f>
        <v>0.168142047043994</v>
      </c>
      <c r="BW168" s="26" t="n">
        <f aca="false">IF(AND(ISNUMBER(BW167),ISNUMBER(BW125)),IFERROR(BW167/BW125,""),"")</f>
        <v>0.164591044856457</v>
      </c>
      <c r="BX168" s="26" t="n">
        <f aca="false">IF(AND(ISNUMBER(BX167),ISNUMBER(BX125)),IFERROR(BX167/BX125,""),"")</f>
        <v>0.149564520202071</v>
      </c>
      <c r="BY168" s="27" t="n">
        <f aca="false">IF(AND(ISNUMBER(BY167),ISNUMBER(BY125)),IFERROR(BY167/BY125,""),"")</f>
        <v>0.149329362543009</v>
      </c>
      <c r="BZ168" s="27" t="n">
        <f aca="false">IF(AND(ISNUMBER(BZ167),ISNUMBER(BZ125)),IFERROR(BZ167/BZ125,""),"")</f>
        <v>0.149438024088905</v>
      </c>
      <c r="CA168" s="27" t="n">
        <f aca="false">IF(AND(ISNUMBER(CA167),ISNUMBER(CA125)),IFERROR(CA167/CA125,""),"")</f>
        <v>0.152676657294935</v>
      </c>
      <c r="CB168" s="27" t="n">
        <f aca="false">IF(AND(ISNUMBER(CB167),ISNUMBER(CB125)),IFERROR(CB167/CB125,""),"")</f>
        <v>0.153518078722691</v>
      </c>
      <c r="CC168" s="27" t="n">
        <f aca="false">IF(AND(ISNUMBER(CC167),ISNUMBER(CC125)),IFERROR(CC167/CC125,""),"")</f>
        <v>0.15796558234236</v>
      </c>
      <c r="CD168" s="27" t="n">
        <f aca="false">IF(AND(ISNUMBER(CD167),ISNUMBER(CD125)),IFERROR(CD167/CD125,""),"")</f>
        <v>0.161905223893896</v>
      </c>
      <c r="CE168" s="27" t="n">
        <f aca="false">IF(AND(ISNUMBER(CE167),ISNUMBER(CE125)),IFERROR(CE167/CE125,""),"")</f>
        <v>0.161710048124241</v>
      </c>
    </row>
    <row r="169" customFormat="false" ht="15" hidden="false" customHeight="false" outlineLevel="0" collapsed="false">
      <c r="B169" s="54" t="s">
        <v>291</v>
      </c>
      <c r="AV169" s="37" t="n">
        <v>636.068</v>
      </c>
      <c r="AW169" s="37" t="n">
        <v>2395.623</v>
      </c>
      <c r="AX169" s="37" t="n">
        <v>697.733</v>
      </c>
      <c r="AY169" s="37" t="n">
        <v>744.374</v>
      </c>
      <c r="AZ169" s="37" t="n">
        <v>839.04</v>
      </c>
      <c r="BA169" s="37" t="n">
        <v>850.734</v>
      </c>
      <c r="BB169" s="37" t="n">
        <v>3131.881</v>
      </c>
      <c r="BC169" s="37" t="n">
        <v>900.462</v>
      </c>
      <c r="BD169" s="37" t="n">
        <v>1024.973</v>
      </c>
      <c r="BE169" s="37" t="n">
        <v>880.737</v>
      </c>
      <c r="BF169" s="37" t="n">
        <v>761.518</v>
      </c>
      <c r="BG169" s="37" t="n">
        <v>3567.69</v>
      </c>
      <c r="BH169" s="37" t="n">
        <v>678.323</v>
      </c>
      <c r="BI169" s="37" t="n">
        <v>656.747</v>
      </c>
      <c r="BJ169" s="37" t="n">
        <v>626.616</v>
      </c>
      <c r="BK169" s="37" t="n">
        <v>609.303</v>
      </c>
      <c r="BL169" s="37" t="n">
        <v>2570.988</v>
      </c>
      <c r="BM169" s="37" t="n">
        <v>647.507</v>
      </c>
      <c r="BN169" s="37" t="n">
        <v>676.526</v>
      </c>
      <c r="BO169" s="37" t="n">
        <v>723.812</v>
      </c>
      <c r="BP169" s="37" t="n">
        <v>672.861</v>
      </c>
      <c r="BQ169" s="37" t="n">
        <v>2720.706</v>
      </c>
      <c r="BR169" s="37" t="n">
        <v>657.422</v>
      </c>
      <c r="BS169" s="37" t="n">
        <v>679.55</v>
      </c>
      <c r="BT169" s="37" t="n">
        <v>691.657</v>
      </c>
      <c r="BU169" s="37" t="n">
        <v>642.523</v>
      </c>
      <c r="BV169" s="37" t="n">
        <v>2671.152</v>
      </c>
      <c r="BW169" s="37" t="n">
        <v>646.631</v>
      </c>
      <c r="BX169" s="37" t="n">
        <v>725.928</v>
      </c>
      <c r="BY169" s="6"/>
      <c r="BZ169" s="6"/>
      <c r="CA169" s="6"/>
      <c r="CB169" s="6"/>
      <c r="CC169" s="6"/>
      <c r="CD169" s="6"/>
      <c r="CE169" s="6"/>
    </row>
    <row r="170" customFormat="false" ht="15" hidden="false" customHeight="false" outlineLevel="0" collapsed="false">
      <c r="B170" s="54" t="s">
        <v>292</v>
      </c>
      <c r="C170" s="37" t="n">
        <v>1082.544</v>
      </c>
      <c r="D170" s="37" t="n">
        <v>1243.778</v>
      </c>
      <c r="E170" s="37" t="n">
        <v>1374.963</v>
      </c>
      <c r="F170" s="37" t="n">
        <v>1381.959</v>
      </c>
      <c r="G170" s="37" t="n">
        <v>1467.978</v>
      </c>
      <c r="H170" s="37" t="n">
        <v>1632.658</v>
      </c>
      <c r="I170" s="37" t="n">
        <v>1717.571</v>
      </c>
      <c r="J170" s="37" t="n">
        <v>455.722</v>
      </c>
      <c r="K170" s="37" t="n">
        <v>472.602</v>
      </c>
      <c r="L170" s="37" t="n">
        <v>463.306</v>
      </c>
      <c r="M170" s="37" t="n">
        <v>444.465</v>
      </c>
      <c r="N170" s="37" t="n">
        <v>1836.095</v>
      </c>
      <c r="O170" s="37" t="n">
        <v>457.235</v>
      </c>
      <c r="P170" s="37" t="n">
        <v>521.037</v>
      </c>
      <c r="Q170" s="37" t="n">
        <v>527.564</v>
      </c>
      <c r="R170" s="37" t="n">
        <v>501.816</v>
      </c>
      <c r="S170" s="37" t="n">
        <v>2007.652</v>
      </c>
      <c r="T170" s="37" t="n">
        <v>525.11</v>
      </c>
      <c r="U170" s="37" t="n">
        <v>584.018</v>
      </c>
      <c r="V170" s="37" t="n">
        <v>588.575</v>
      </c>
      <c r="W170" s="37" t="n">
        <v>570.777</v>
      </c>
      <c r="X170" s="37" t="n">
        <v>2268.48</v>
      </c>
      <c r="Y170" s="37" t="n">
        <v>563.335</v>
      </c>
      <c r="Z170" s="37" t="n">
        <v>594.215</v>
      </c>
      <c r="AA170" s="37" t="n">
        <v>558.462</v>
      </c>
      <c r="AB170" s="37" t="n">
        <v>561.516</v>
      </c>
      <c r="AC170" s="37" t="n">
        <v>2277.528</v>
      </c>
      <c r="AD170" s="37" t="n">
        <v>568.566</v>
      </c>
      <c r="AE170" s="37" t="n">
        <v>573.789</v>
      </c>
      <c r="AF170" s="37" t="n">
        <v>593.846</v>
      </c>
      <c r="AG170" s="37" t="n">
        <v>631.849</v>
      </c>
      <c r="AH170" s="37" t="n">
        <v>2368.05</v>
      </c>
      <c r="AI170" s="37" t="n">
        <v>625.925</v>
      </c>
      <c r="AJ170" s="37" t="n">
        <v>671.483</v>
      </c>
      <c r="AK170" s="37" t="n">
        <v>694.044</v>
      </c>
      <c r="AL170" s="37" t="n">
        <v>713.783</v>
      </c>
      <c r="AM170" s="37" t="n">
        <v>2705.235</v>
      </c>
      <c r="AN170" s="37" t="n">
        <v>678.8</v>
      </c>
      <c r="AO170" s="37" t="n">
        <v>695.216</v>
      </c>
      <c r="AP170" s="37" t="n">
        <v>633.431</v>
      </c>
      <c r="AQ170" s="37" t="n">
        <v>578.863</v>
      </c>
      <c r="AR170" s="37" t="n">
        <v>2586.31</v>
      </c>
      <c r="AS170" s="37" t="n">
        <v>567.953</v>
      </c>
      <c r="AT170" s="37" t="n">
        <v>614.453</v>
      </c>
      <c r="AU170" s="37" t="n">
        <v>589.273</v>
      </c>
      <c r="AV170" s="37" t="n">
        <v>640.578</v>
      </c>
      <c r="AW170" s="37" t="n">
        <v>2412.257</v>
      </c>
      <c r="AX170" s="37" t="n">
        <v>702.38</v>
      </c>
      <c r="AY170" s="37" t="n">
        <v>749.176</v>
      </c>
      <c r="AZ170" s="37" t="n">
        <v>844.192</v>
      </c>
      <c r="BA170" s="37" t="n">
        <v>856.341</v>
      </c>
      <c r="BB170" s="37" t="n">
        <v>3152.089</v>
      </c>
      <c r="BC170" s="37" t="n">
        <v>906.196</v>
      </c>
      <c r="BD170" s="37" t="n">
        <v>1031.613</v>
      </c>
      <c r="BE170" s="37" t="n">
        <v>887.194</v>
      </c>
      <c r="BF170" s="37" t="n">
        <v>768.174</v>
      </c>
      <c r="BG170" s="37" t="n">
        <v>3593.177</v>
      </c>
      <c r="BH170" s="37" t="n">
        <v>685.64</v>
      </c>
      <c r="BI170" s="37" t="n">
        <v>665.496</v>
      </c>
      <c r="BJ170" s="37" t="n">
        <v>634.849</v>
      </c>
      <c r="BK170" s="37" t="n">
        <v>618.623</v>
      </c>
      <c r="BL170" s="37" t="n">
        <v>2604.608</v>
      </c>
      <c r="BM170" s="37" t="n">
        <v>657.729</v>
      </c>
      <c r="BN170" s="37" t="n">
        <v>687.409</v>
      </c>
      <c r="BO170" s="37" t="n">
        <v>735.253</v>
      </c>
      <c r="BP170" s="37" t="n">
        <v>684.623</v>
      </c>
      <c r="BQ170" s="37" t="n">
        <v>2765.014</v>
      </c>
      <c r="BR170" s="37" t="n">
        <v>673.088</v>
      </c>
      <c r="BS170" s="37" t="n">
        <v>693.231</v>
      </c>
      <c r="BT170" s="37" t="n">
        <v>706.077</v>
      </c>
      <c r="BU170" s="37" t="n">
        <v>657.014</v>
      </c>
      <c r="BV170" s="37" t="n">
        <v>2729.41</v>
      </c>
      <c r="BW170" s="37" t="n">
        <v>660.493</v>
      </c>
      <c r="BX170" s="37" t="n">
        <v>737.966</v>
      </c>
      <c r="BY170" s="6"/>
      <c r="BZ170" s="6"/>
      <c r="CA170" s="6"/>
      <c r="CB170" s="6"/>
      <c r="CC170" s="6"/>
      <c r="CD170" s="6"/>
      <c r="CE170" s="6"/>
    </row>
    <row r="171" customFormat="false" ht="15" hidden="false" customHeight="false" outlineLevel="0" collapsed="false">
      <c r="B171" s="46" t="s">
        <v>293</v>
      </c>
      <c r="C171" s="47" t="n">
        <f aca="false">IF(ISNUMBER(C170),ROUND(C167-C170,1),"")</f>
        <v>0</v>
      </c>
      <c r="D171" s="47" t="n">
        <f aca="false">IF(ISNUMBER(D170),ROUND(D167-D170,1),"")</f>
        <v>0</v>
      </c>
      <c r="E171" s="47" t="n">
        <f aca="false">IF(ISNUMBER(E170),ROUND(E167-E170,1),"")</f>
        <v>0</v>
      </c>
      <c r="F171" s="47" t="n">
        <f aca="false">IF(ISNUMBER(F170),ROUND(F167-F170,1),"")</f>
        <v>0</v>
      </c>
      <c r="G171" s="47" t="n">
        <f aca="false">IF(ISNUMBER(G170),ROUND(G167-G170,1),"")</f>
        <v>0</v>
      </c>
      <c r="H171" s="47" t="n">
        <f aca="false">IF(ISNUMBER(H170),ROUND(H167-H170,1),"")</f>
        <v>0</v>
      </c>
      <c r="I171" s="47" t="n">
        <f aca="false">IF(ISNUMBER(I170),ROUND(I167-I170,1),"")</f>
        <v>0</v>
      </c>
      <c r="J171" s="47" t="n">
        <f aca="false">IF(ISNUMBER(J170),ROUND(J167-J170,1),"")</f>
        <v>0</v>
      </c>
      <c r="K171" s="47" t="n">
        <f aca="false">IF(ISNUMBER(K170),ROUND(K167-K170,1),"")</f>
        <v>0</v>
      </c>
      <c r="L171" s="47" t="n">
        <f aca="false">IF(ISNUMBER(L170),ROUND(L167-L170,1),"")</f>
        <v>0</v>
      </c>
      <c r="M171" s="47" t="n">
        <f aca="false">IF(ISNUMBER(M170),ROUND(M167-M170,1),"")</f>
        <v>0</v>
      </c>
      <c r="N171" s="47" t="n">
        <f aca="false">IF(ISNUMBER(N170),ROUND(N167-N170,1),"")</f>
        <v>0</v>
      </c>
      <c r="O171" s="47" t="n">
        <f aca="false">IF(ISNUMBER(O170),ROUND(O167-O170,1),"")</f>
        <v>0</v>
      </c>
      <c r="P171" s="47" t="n">
        <f aca="false">IF(ISNUMBER(P170),ROUND(P167-P170,1),"")</f>
        <v>0</v>
      </c>
      <c r="Q171" s="47" t="n">
        <f aca="false">IF(ISNUMBER(Q170),ROUND(Q167-Q170,1),"")</f>
        <v>0</v>
      </c>
      <c r="R171" s="47" t="n">
        <f aca="false">IF(ISNUMBER(R170),ROUND(R167-R170,1),"")</f>
        <v>0</v>
      </c>
      <c r="S171" s="47" t="n">
        <f aca="false">IF(ISNUMBER(S170),ROUND(S167-S170,1),"")</f>
        <v>0</v>
      </c>
      <c r="T171" s="47" t="n">
        <f aca="false">IF(ISNUMBER(T170),ROUND(T167-T170,1),"")</f>
        <v>0</v>
      </c>
      <c r="U171" s="47" t="n">
        <f aca="false">IF(ISNUMBER(U170),ROUND(U167-U170,1),"")</f>
        <v>0</v>
      </c>
      <c r="V171" s="47" t="n">
        <f aca="false">IF(ISNUMBER(V170),ROUND(V167-V170,1),"")</f>
        <v>0</v>
      </c>
      <c r="W171" s="47" t="n">
        <f aca="false">IF(ISNUMBER(W170),ROUND(W167-W170,1),"")</f>
        <v>0</v>
      </c>
      <c r="X171" s="47" t="n">
        <f aca="false">IF(ISNUMBER(X170),ROUND(X167-X170,1),"")</f>
        <v>0</v>
      </c>
      <c r="Y171" s="47" t="n">
        <f aca="false">IF(ISNUMBER(Y170),ROUND(Y167-Y170,1),"")</f>
        <v>0</v>
      </c>
      <c r="Z171" s="47" t="n">
        <f aca="false">IF(ISNUMBER(Z170),ROUND(Z167-Z170,1),"")</f>
        <v>0</v>
      </c>
      <c r="AA171" s="47" t="n">
        <f aca="false">IF(ISNUMBER(AA170),ROUND(AA167-AA170,1),"")</f>
        <v>0</v>
      </c>
      <c r="AB171" s="47" t="n">
        <f aca="false">IF(ISNUMBER(AB170),ROUND(AB167-AB170,1),"")</f>
        <v>0</v>
      </c>
      <c r="AC171" s="47" t="n">
        <f aca="false">IF(ISNUMBER(AC170),ROUND(AC167-AC170,1),"")</f>
        <v>0</v>
      </c>
      <c r="AD171" s="47" t="n">
        <f aca="false">IF(ISNUMBER(AD170),ROUND(AD167-AD170,1),"")</f>
        <v>0</v>
      </c>
      <c r="AE171" s="47" t="n">
        <f aca="false">IF(ISNUMBER(AE170),ROUND(AE167-AE170,1),"")</f>
        <v>0</v>
      </c>
      <c r="AF171" s="47" t="n">
        <f aca="false">IF(ISNUMBER(AF170),ROUND(AF167-AF170,1),"")</f>
        <v>0</v>
      </c>
      <c r="AG171" s="47" t="n">
        <f aca="false">IF(ISNUMBER(AG170),ROUND(AG167-AG170,1),"")</f>
        <v>0</v>
      </c>
      <c r="AH171" s="47" t="n">
        <f aca="false">IF(ISNUMBER(AH170),ROUND(AH167-AH170,1),"")</f>
        <v>0</v>
      </c>
      <c r="AI171" s="47" t="n">
        <f aca="false">IF(ISNUMBER(AI170),ROUND(AI167-AI170,1),"")</f>
        <v>0</v>
      </c>
      <c r="AJ171" s="47" t="n">
        <f aca="false">IF(ISNUMBER(AJ170),ROUND(AJ167-AJ170,1),"")</f>
        <v>0</v>
      </c>
      <c r="AK171" s="47" t="n">
        <f aca="false">IF(ISNUMBER(AK170),ROUND(AK167-AK170,1),"")</f>
        <v>0</v>
      </c>
      <c r="AL171" s="47" t="n">
        <f aca="false">IF(ISNUMBER(AL170),ROUND(AL167-AL170,1),"")</f>
        <v>0</v>
      </c>
      <c r="AM171" s="47" t="n">
        <f aca="false">IF(ISNUMBER(AM170),ROUND(AM167-AM170,1),"")</f>
        <v>0</v>
      </c>
      <c r="AN171" s="47" t="n">
        <f aca="false">IF(ISNUMBER(AN170),ROUND(AN167-AN170,1),"")</f>
        <v>0</v>
      </c>
      <c r="AO171" s="47" t="n">
        <f aca="false">IF(ISNUMBER(AO170),ROUND(AO167-AO170,1),"")</f>
        <v>0</v>
      </c>
      <c r="AP171" s="47" t="n">
        <f aca="false">IF(ISNUMBER(AP170),ROUND(AP167-AP170,1),"")</f>
        <v>0</v>
      </c>
      <c r="AQ171" s="47" t="n">
        <f aca="false">IF(ISNUMBER(AQ170),ROUND(AQ167-AQ170,1),"")</f>
        <v>0</v>
      </c>
      <c r="AR171" s="47" t="n">
        <f aca="false">IF(ISNUMBER(AR170),ROUND(AR167-AR170,1),"")</f>
        <v>0</v>
      </c>
      <c r="AS171" s="47" t="n">
        <f aca="false">IF(ISNUMBER(AS170),ROUND(AS167-AS170,1),"")</f>
        <v>0</v>
      </c>
      <c r="AT171" s="47" t="n">
        <f aca="false">IF(ISNUMBER(AT170),ROUND(AT167-AT170,1),"")</f>
        <v>0</v>
      </c>
      <c r="AU171" s="47" t="n">
        <f aca="false">IF(ISNUMBER(AU170),ROUND(AU167-AU170,1),"")</f>
        <v>0</v>
      </c>
      <c r="AV171" s="47" t="n">
        <f aca="false">IF(ISNUMBER(AV170),ROUND(AV167-AV170,1),"")</f>
        <v>0</v>
      </c>
      <c r="AW171" s="47" t="n">
        <f aca="false">IF(ISNUMBER(AW170),ROUND(AW167-AW170,1),"")</f>
        <v>0</v>
      </c>
      <c r="AX171" s="47" t="n">
        <f aca="false">IF(ISNUMBER(AX170),ROUND(AX167-AX170,1),"")</f>
        <v>0</v>
      </c>
      <c r="AY171" s="47" t="n">
        <f aca="false">IF(ISNUMBER(AY170),ROUND(AY167-AY170,1),"")</f>
        <v>0</v>
      </c>
      <c r="AZ171" s="47" t="n">
        <f aca="false">IF(ISNUMBER(AZ170),ROUND(AZ167-AZ170,1),"")</f>
        <v>0</v>
      </c>
      <c r="BA171" s="47" t="n">
        <f aca="false">IF(ISNUMBER(BA170),ROUND(BA167-BA170,1),"")</f>
        <v>0</v>
      </c>
      <c r="BB171" s="47" t="n">
        <f aca="false">IF(ISNUMBER(BB170),ROUND(BB167-BB170,1),"")</f>
        <v>0</v>
      </c>
      <c r="BC171" s="47" t="n">
        <f aca="false">IF(ISNUMBER(BC170),ROUND(BC167-BC170,1),"")</f>
        <v>0</v>
      </c>
      <c r="BD171" s="47" t="n">
        <f aca="false">IF(ISNUMBER(BD170),ROUND(BD167-BD170,1),"")</f>
        <v>0</v>
      </c>
      <c r="BE171" s="47" t="n">
        <f aca="false">IF(ISNUMBER(BE170),ROUND(BE167-BE170,1),"")</f>
        <v>0</v>
      </c>
      <c r="BF171" s="47" t="n">
        <f aca="false">IF(ISNUMBER(BF170),ROUND(BF167-BF170,1),"")</f>
        <v>0</v>
      </c>
      <c r="BG171" s="47" t="n">
        <f aca="false">IF(ISNUMBER(BG170),ROUND(BG167-BG170,1),"")</f>
        <v>0</v>
      </c>
      <c r="BH171" s="47" t="n">
        <f aca="false">IF(ISNUMBER(BH170),ROUND(BH167-BH170,1),"")</f>
        <v>0</v>
      </c>
      <c r="BI171" s="47" t="n">
        <f aca="false">IF(ISNUMBER(BI170),ROUND(BI167-BI170,1),"")</f>
        <v>0</v>
      </c>
      <c r="BJ171" s="47" t="n">
        <f aca="false">IF(ISNUMBER(BJ170),ROUND(BJ167-BJ170,1),"")</f>
        <v>0</v>
      </c>
      <c r="BK171" s="47" t="n">
        <f aca="false">IF(ISNUMBER(BK170),ROUND(BK167-BK170,1),"")</f>
        <v>0</v>
      </c>
      <c r="BL171" s="47" t="n">
        <f aca="false">IF(ISNUMBER(BL170),ROUND(BL167-BL170,1),"")</f>
        <v>0</v>
      </c>
      <c r="BM171" s="47" t="n">
        <f aca="false">IF(ISNUMBER(BM170),ROUND(BM167-BM170,1),"")</f>
        <v>0</v>
      </c>
      <c r="BN171" s="47" t="n">
        <f aca="false">IF(ISNUMBER(BN170),ROUND(BN167-BN170,1),"")</f>
        <v>0</v>
      </c>
      <c r="BO171" s="47" t="n">
        <f aca="false">IF(ISNUMBER(BO170),ROUND(BO167-BO170,1),"")</f>
        <v>0</v>
      </c>
      <c r="BP171" s="47" t="n">
        <f aca="false">IF(ISNUMBER(BP170),ROUND(BP167-BP170,1),"")</f>
        <v>0</v>
      </c>
      <c r="BQ171" s="47" t="n">
        <f aca="false">IF(ISNUMBER(BQ170),ROUND(BQ167-BQ170,1),"")</f>
        <v>0</v>
      </c>
      <c r="BR171" s="47" t="n">
        <f aca="false">IF(ISNUMBER(BR170),ROUND(BR167-BR170,1),"")</f>
        <v>0</v>
      </c>
      <c r="BS171" s="47" t="n">
        <f aca="false">IF(ISNUMBER(BS170),ROUND(BS167-BS170,1),"")</f>
        <v>0</v>
      </c>
      <c r="BT171" s="47" t="n">
        <f aca="false">IF(ISNUMBER(BT170),ROUND(BT167-BT170,1),"")</f>
        <v>0</v>
      </c>
      <c r="BU171" s="47" t="n">
        <f aca="false">IF(ISNUMBER(BU170),ROUND(BU167-BU170,1),"")</f>
        <v>0</v>
      </c>
      <c r="BV171" s="47" t="n">
        <f aca="false">IF(ISNUMBER(BV170),ROUND(BV167-BV170,1),"")</f>
        <v>0</v>
      </c>
      <c r="BW171" s="47" t="n">
        <f aca="false">IF(ISNUMBER(BW170),ROUND(BW167-BW170,1),"")</f>
        <v>0</v>
      </c>
      <c r="BX171" s="47" t="n">
        <f aca="false">IF(ISNUMBER(BX170),ROUND(BX167-BX170,1),"")</f>
        <v>0</v>
      </c>
    </row>
    <row r="172" customFormat="false" ht="15" hidden="false" customHeight="false" outlineLevel="0" collapsed="false">
      <c r="B172" s="46" t="s">
        <v>294</v>
      </c>
      <c r="C172" s="47" t="str">
        <f aca="false">IF(ISNUMBER(C169),ROUND(C165-C169,1),"")</f>
        <v/>
      </c>
      <c r="D172" s="47" t="str">
        <f aca="false">IF(ISNUMBER(D169),ROUND(D165-D169,1),"")</f>
        <v/>
      </c>
      <c r="E172" s="47" t="str">
        <f aca="false">IF(ISNUMBER(E169),ROUND(E165-E169,1),"")</f>
        <v/>
      </c>
      <c r="F172" s="47" t="str">
        <f aca="false">IF(ISNUMBER(F169),ROUND(F165-F169,1),"")</f>
        <v/>
      </c>
      <c r="G172" s="47" t="str">
        <f aca="false">IF(ISNUMBER(G169),ROUND(G165-G169,1),"")</f>
        <v/>
      </c>
      <c r="H172" s="47" t="str">
        <f aca="false">IF(ISNUMBER(H169),ROUND(H165-H169,1),"")</f>
        <v/>
      </c>
      <c r="I172" s="47" t="str">
        <f aca="false">IF(ISNUMBER(I169),ROUND(I165-I169,1),"")</f>
        <v/>
      </c>
      <c r="J172" s="47" t="str">
        <f aca="false">IF(ISNUMBER(J169),ROUND(J165-J169,1),"")</f>
        <v/>
      </c>
      <c r="K172" s="47" t="str">
        <f aca="false">IF(ISNUMBER(K169),ROUND(K165-K169,1),"")</f>
        <v/>
      </c>
      <c r="L172" s="47" t="str">
        <f aca="false">IF(ISNUMBER(L169),ROUND(L165-L169,1),"")</f>
        <v/>
      </c>
      <c r="M172" s="47" t="str">
        <f aca="false">IF(ISNUMBER(M169),ROUND(M165-M169,1),"")</f>
        <v/>
      </c>
      <c r="N172" s="47" t="str">
        <f aca="false">IF(ISNUMBER(N169),ROUND(N165-N169,1),"")</f>
        <v/>
      </c>
      <c r="O172" s="47" t="str">
        <f aca="false">IF(ISNUMBER(O169),ROUND(O165-O169,1),"")</f>
        <v/>
      </c>
      <c r="P172" s="47" t="str">
        <f aca="false">IF(ISNUMBER(P169),ROUND(P165-P169,1),"")</f>
        <v/>
      </c>
      <c r="Q172" s="47" t="str">
        <f aca="false">IF(ISNUMBER(Q169),ROUND(Q165-Q169,1),"")</f>
        <v/>
      </c>
      <c r="R172" s="47" t="str">
        <f aca="false">IF(ISNUMBER(R169),ROUND(R165-R169,1),"")</f>
        <v/>
      </c>
      <c r="S172" s="47" t="str">
        <f aca="false">IF(ISNUMBER(S169),ROUND(S165-S169,1),"")</f>
        <v/>
      </c>
      <c r="T172" s="47" t="str">
        <f aca="false">IF(ISNUMBER(T169),ROUND(T165-T169,1),"")</f>
        <v/>
      </c>
      <c r="U172" s="47" t="str">
        <f aca="false">IF(ISNUMBER(U169),ROUND(U165-U169,1),"")</f>
        <v/>
      </c>
      <c r="V172" s="47" t="str">
        <f aca="false">IF(ISNUMBER(V169),ROUND(V165-V169,1),"")</f>
        <v/>
      </c>
      <c r="W172" s="47" t="str">
        <f aca="false">IF(ISNUMBER(W169),ROUND(W165-W169,1),"")</f>
        <v/>
      </c>
      <c r="X172" s="47" t="str">
        <f aca="false">IF(ISNUMBER(X169),ROUND(X165-X169,1),"")</f>
        <v/>
      </c>
      <c r="Y172" s="47" t="str">
        <f aca="false">IF(ISNUMBER(Y169),ROUND(Y165-Y169,1),"")</f>
        <v/>
      </c>
      <c r="Z172" s="47" t="str">
        <f aca="false">IF(ISNUMBER(Z169),ROUND(Z165-Z169,1),"")</f>
        <v/>
      </c>
      <c r="AA172" s="47" t="str">
        <f aca="false">IF(ISNUMBER(AA169),ROUND(AA165-AA169,1),"")</f>
        <v/>
      </c>
      <c r="AB172" s="47" t="str">
        <f aca="false">IF(ISNUMBER(AB169),ROUND(AB165-AB169,1),"")</f>
        <v/>
      </c>
      <c r="AC172" s="47" t="str">
        <f aca="false">IF(ISNUMBER(AC169),ROUND(AC165-AC169,1),"")</f>
        <v/>
      </c>
      <c r="AD172" s="47" t="str">
        <f aca="false">IF(ISNUMBER(AD169),ROUND(AD165-AD169,1),"")</f>
        <v/>
      </c>
      <c r="AE172" s="47" t="str">
        <f aca="false">IF(ISNUMBER(AE169),ROUND(AE165-AE169,1),"")</f>
        <v/>
      </c>
      <c r="AF172" s="47" t="str">
        <f aca="false">IF(ISNUMBER(AF169),ROUND(AF165-AF169,1),"")</f>
        <v/>
      </c>
      <c r="AG172" s="47" t="str">
        <f aca="false">IF(ISNUMBER(AG169),ROUND(AG165-AG169,1),"")</f>
        <v/>
      </c>
      <c r="AH172" s="47" t="str">
        <f aca="false">IF(ISNUMBER(AH169),ROUND(AH165-AH169,1),"")</f>
        <v/>
      </c>
      <c r="AI172" s="47" t="str">
        <f aca="false">IF(ISNUMBER(AI169),ROUND(AI165-AI169,1),"")</f>
        <v/>
      </c>
      <c r="AJ172" s="47" t="str">
        <f aca="false">IF(ISNUMBER(AJ169),ROUND(AJ165-AJ169,1),"")</f>
        <v/>
      </c>
      <c r="AK172" s="47" t="str">
        <f aca="false">IF(ISNUMBER(AK169),ROUND(AK165-AK169,1),"")</f>
        <v/>
      </c>
      <c r="AL172" s="47" t="str">
        <f aca="false">IF(ISNUMBER(AL169),ROUND(AL165-AL169,1),"")</f>
        <v/>
      </c>
      <c r="AM172" s="47" t="str">
        <f aca="false">IF(ISNUMBER(AM169),ROUND(AM165-AM169,1),"")</f>
        <v/>
      </c>
      <c r="AN172" s="47" t="str">
        <f aca="false">IF(ISNUMBER(AN169),ROUND(AN165-AN169,1),"")</f>
        <v/>
      </c>
      <c r="AO172" s="47" t="str">
        <f aca="false">IF(ISNUMBER(AO169),ROUND(AO165-AO169,1),"")</f>
        <v/>
      </c>
      <c r="AP172" s="47" t="str">
        <f aca="false">IF(ISNUMBER(AP169),ROUND(AP165-AP169,1),"")</f>
        <v/>
      </c>
      <c r="AQ172" s="47" t="str">
        <f aca="false">IF(ISNUMBER(AQ169),ROUND(AQ165-AQ169,1),"")</f>
        <v/>
      </c>
      <c r="AR172" s="47" t="str">
        <f aca="false">IF(ISNUMBER(AR169),ROUND(AR165-AR169,1),"")</f>
        <v/>
      </c>
      <c r="AS172" s="47" t="str">
        <f aca="false">IF(ISNUMBER(AS169),ROUND(AS165-AS169,1),"")</f>
        <v/>
      </c>
      <c r="AT172" s="47" t="str">
        <f aca="false">IF(ISNUMBER(AT169),ROUND(AT165-AT169,1),"")</f>
        <v/>
      </c>
      <c r="AU172" s="47" t="str">
        <f aca="false">IF(ISNUMBER(AU169),ROUND(AU165-AU169,1),"")</f>
        <v/>
      </c>
      <c r="AV172" s="47" t="n">
        <f aca="false">IF(ISNUMBER(AV169),ROUND(AV165-AV169,1),"")</f>
        <v>0</v>
      </c>
      <c r="AW172" s="47" t="n">
        <f aca="false">IF(ISNUMBER(AW169),ROUND(AW165-AW169,1),"")</f>
        <v>0</v>
      </c>
      <c r="AX172" s="47" t="n">
        <f aca="false">IF(ISNUMBER(AX169),ROUND(AX165-AX169,1),"")</f>
        <v>0</v>
      </c>
      <c r="AY172" s="47" t="n">
        <f aca="false">IF(ISNUMBER(AY169),ROUND(AY165-AY169,1),"")</f>
        <v>0</v>
      </c>
      <c r="AZ172" s="47" t="n">
        <f aca="false">IF(ISNUMBER(AZ169),ROUND(AZ165-AZ169,1),"")</f>
        <v>0</v>
      </c>
      <c r="BA172" s="47" t="n">
        <f aca="false">IF(ISNUMBER(BA169),ROUND(BA165-BA169,1),"")</f>
        <v>0</v>
      </c>
      <c r="BB172" s="47" t="n">
        <f aca="false">IF(ISNUMBER(BB169),ROUND(BB165-BB169,1),"")</f>
        <v>0</v>
      </c>
      <c r="BC172" s="47" t="n">
        <f aca="false">IF(ISNUMBER(BC169),ROUND(BC165-BC169,1),"")</f>
        <v>0</v>
      </c>
      <c r="BD172" s="47" t="n">
        <f aca="false">IF(ISNUMBER(BD169),ROUND(BD165-BD169,1),"")</f>
        <v>0</v>
      </c>
      <c r="BE172" s="47" t="n">
        <f aca="false">IF(ISNUMBER(BE169),ROUND(BE165-BE169,1),"")</f>
        <v>0</v>
      </c>
      <c r="BF172" s="47" t="n">
        <f aca="false">IF(ISNUMBER(BF169),ROUND(BF165-BF169,1),"")</f>
        <v>0</v>
      </c>
      <c r="BG172" s="47" t="n">
        <f aca="false">IF(ISNUMBER(BG169),ROUND(BG165-BG169,1),"")</f>
        <v>0</v>
      </c>
      <c r="BH172" s="47" t="n">
        <f aca="false">IF(ISNUMBER(BH169),ROUND(BH165-BH169,1),"")</f>
        <v>0</v>
      </c>
      <c r="BI172" s="47" t="n">
        <f aca="false">IF(ISNUMBER(BI169),ROUND(BI165-BI169,1),"")</f>
        <v>0</v>
      </c>
      <c r="BJ172" s="47" t="n">
        <f aca="false">IF(ISNUMBER(BJ169),ROUND(BJ165-BJ169,1),"")</f>
        <v>0</v>
      </c>
      <c r="BK172" s="47" t="n">
        <f aca="false">IF(ISNUMBER(BK169),ROUND(BK165-BK169,1),"")</f>
        <v>0</v>
      </c>
      <c r="BL172" s="47" t="n">
        <f aca="false">IF(ISNUMBER(BL169),ROUND(BL165-BL169,1),"")</f>
        <v>0</v>
      </c>
      <c r="BM172" s="47" t="n">
        <f aca="false">IF(ISNUMBER(BM169),ROUND(BM165-BM169,1),"")</f>
        <v>0</v>
      </c>
      <c r="BN172" s="47" t="n">
        <f aca="false">IF(ISNUMBER(BN169),ROUND(BN165-BN169,1),"")</f>
        <v>0</v>
      </c>
      <c r="BO172" s="47" t="n">
        <f aca="false">IF(ISNUMBER(BO169),ROUND(BO165-BO169,1),"")</f>
        <v>0</v>
      </c>
      <c r="BP172" s="47" t="n">
        <f aca="false">IF(ISNUMBER(BP169),ROUND(BP165-BP169,1),"")</f>
        <v>0</v>
      </c>
      <c r="BQ172" s="47" t="n">
        <f aca="false">IF(ISNUMBER(BQ169),ROUND(BQ165-BQ169,1),"")</f>
        <v>0</v>
      </c>
      <c r="BR172" s="47" t="n">
        <f aca="false">IF(ISNUMBER(BR169),ROUND(BR165-BR169,1),"")</f>
        <v>0</v>
      </c>
      <c r="BS172" s="47" t="n">
        <f aca="false">IF(ISNUMBER(BS169),ROUND(BS165-BS169,1),"")</f>
        <v>0</v>
      </c>
      <c r="BT172" s="47" t="n">
        <f aca="false">IF(ISNUMBER(BT169),ROUND(BT165-BT169,1),"")</f>
        <v>0</v>
      </c>
      <c r="BU172" s="47" t="n">
        <f aca="false">IF(ISNUMBER(BU169),ROUND(BU165-BU169,1),"")</f>
        <v>0</v>
      </c>
      <c r="BV172" s="47" t="n">
        <f aca="false">IF(ISNUMBER(BV169),ROUND(BV165-BV169,1),"")</f>
        <v>0</v>
      </c>
      <c r="BW172" s="47" t="n">
        <f aca="false">IF(ISNUMBER(BW169),ROUND(BW165-BW169,1),"")</f>
        <v>0</v>
      </c>
      <c r="BX172" s="47" t="n">
        <f aca="false">IF(ISNUMBER(BX169),ROUND(BX165-BX169,1),"")</f>
        <v>0</v>
      </c>
    </row>
    <row r="174" customFormat="false" ht="15" hidden="false" customHeight="false" outlineLevel="0" collapsed="false">
      <c r="B174" s="8" t="s">
        <v>295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</row>
    <row r="175" customFormat="false" ht="15" hidden="false" customHeight="false" outlineLevel="0" collapsed="false">
      <c r="B175" s="28" t="s">
        <v>296</v>
      </c>
      <c r="C175" s="43" t="n">
        <f aca="false">C139</f>
        <v>417.845000000001</v>
      </c>
      <c r="D175" s="43" t="n">
        <f aca="false">D139</f>
        <v>509.683999999999</v>
      </c>
      <c r="E175" s="43" t="n">
        <f aca="false">E139</f>
        <v>571.586000000001</v>
      </c>
      <c r="F175" s="43" t="n">
        <f aca="false">F139</f>
        <v>584.811</v>
      </c>
      <c r="G175" s="43" t="n">
        <f aca="false">G139</f>
        <v>622.860000000001</v>
      </c>
      <c r="H175" s="43" t="n">
        <f aca="false">H139</f>
        <v>692.73</v>
      </c>
      <c r="I175" s="43" t="n">
        <f aca="false">I139</f>
        <v>675.319999999998</v>
      </c>
      <c r="J175" s="43" t="n">
        <f aca="false">J139</f>
        <v>168.706</v>
      </c>
      <c r="K175" s="43" t="n">
        <f aca="false">K139</f>
        <v>182.476</v>
      </c>
      <c r="L175" s="43" t="n">
        <f aca="false">L139</f>
        <v>176.355</v>
      </c>
      <c r="M175" s="43" t="n">
        <f aca="false">M139</f>
        <v>155.113</v>
      </c>
      <c r="N175" s="43" t="n">
        <f aca="false">N139</f>
        <v>682.649999999999</v>
      </c>
      <c r="O175" s="43" t="n">
        <f aca="false">O139</f>
        <v>156.971</v>
      </c>
      <c r="P175" s="43" t="n">
        <f aca="false">P139</f>
        <v>200.382</v>
      </c>
      <c r="Q175" s="43" t="n">
        <f aca="false">Q139</f>
        <v>203.337</v>
      </c>
      <c r="R175" s="43" t="n">
        <f aca="false">R139</f>
        <v>187.728</v>
      </c>
      <c r="S175" s="43" t="n">
        <f aca="false">S139</f>
        <v>748.417999999998</v>
      </c>
      <c r="T175" s="43" t="n">
        <f aca="false">T139</f>
        <v>181.925</v>
      </c>
      <c r="U175" s="43" t="n">
        <f aca="false">U139</f>
        <v>229.095</v>
      </c>
      <c r="V175" s="43" t="n">
        <f aca="false">V139</f>
        <v>232.711</v>
      </c>
      <c r="W175" s="43" t="n">
        <f aca="false">W139</f>
        <v>214.579</v>
      </c>
      <c r="X175" s="43" t="n">
        <f aca="false">X139</f>
        <v>858.31</v>
      </c>
      <c r="Y175" s="43" t="n">
        <f aca="false">Y139</f>
        <v>198.952</v>
      </c>
      <c r="Z175" s="43" t="n">
        <f aca="false">Z139</f>
        <v>233.747</v>
      </c>
      <c r="AA175" s="43" t="n">
        <f aca="false">AA139</f>
        <v>211.267</v>
      </c>
      <c r="AB175" s="43" t="n">
        <f aca="false">AB139</f>
        <v>193.565</v>
      </c>
      <c r="AC175" s="43" t="n">
        <f aca="false">AC139</f>
        <v>837.531000000002</v>
      </c>
      <c r="AD175" s="43" t="n">
        <f aca="false">AD139</f>
        <v>187.958</v>
      </c>
      <c r="AE175" s="43" t="n">
        <f aca="false">AE139</f>
        <v>181.82</v>
      </c>
      <c r="AF175" s="43" t="n">
        <f aca="false">AF139</f>
        <v>194.465</v>
      </c>
      <c r="AG175" s="43" t="n">
        <f aca="false">AG139</f>
        <v>210.876</v>
      </c>
      <c r="AH175" s="43" t="n">
        <f aca="false">AH139</f>
        <v>775.118999999997</v>
      </c>
      <c r="AI175" s="43" t="n">
        <f aca="false">AI139</f>
        <v>191.585</v>
      </c>
      <c r="AJ175" s="43" t="n">
        <f aca="false">AJ139</f>
        <v>219.008</v>
      </c>
      <c r="AK175" s="43" t="n">
        <f aca="false">AK139</f>
        <v>245.973</v>
      </c>
      <c r="AL175" s="43" t="n">
        <f aca="false">AL139</f>
        <v>255.517</v>
      </c>
      <c r="AM175" s="43" t="n">
        <f aca="false">AM139</f>
        <v>912.082999999999</v>
      </c>
      <c r="AN175" s="43" t="n">
        <f aca="false">AN139</f>
        <v>224.55</v>
      </c>
      <c r="AO175" s="43" t="n">
        <f aca="false">AO139</f>
        <v>227.535</v>
      </c>
      <c r="AP175" s="43" t="n">
        <f aca="false">AP139</f>
        <v>201.085</v>
      </c>
      <c r="AQ175" s="43" t="n">
        <f aca="false">AQ139</f>
        <v>136.806</v>
      </c>
      <c r="AR175" s="43" t="n">
        <f aca="false">AR139</f>
        <v>789.975999999999</v>
      </c>
      <c r="AS175" s="43" t="n">
        <f aca="false">AS139</f>
        <v>109.44</v>
      </c>
      <c r="AT175" s="43" t="n">
        <f aca="false">AT139</f>
        <v>188.787</v>
      </c>
      <c r="AU175" s="43" t="n">
        <f aca="false">AU139</f>
        <v>168.239</v>
      </c>
      <c r="AV175" s="43" t="n">
        <f aca="false">AV139</f>
        <v>206.802</v>
      </c>
      <c r="AW175" s="43" t="n">
        <f aca="false">AW139</f>
        <v>673.268</v>
      </c>
      <c r="AX175" s="43" t="n">
        <f aca="false">AX139</f>
        <v>223.329</v>
      </c>
      <c r="AY175" s="43" t="n">
        <f aca="false">AY139</f>
        <v>260.604</v>
      </c>
      <c r="AZ175" s="43" t="n">
        <f aca="false">AZ139</f>
        <v>310.768999999999</v>
      </c>
      <c r="BA175" s="43" t="n">
        <f aca="false">BA139</f>
        <v>287.406</v>
      </c>
      <c r="BB175" s="43" t="n">
        <f aca="false">BB139</f>
        <v>1082.108</v>
      </c>
      <c r="BC175" s="43" t="n">
        <f aca="false">BC139</f>
        <v>345.474</v>
      </c>
      <c r="BD175" s="43" t="n">
        <f aca="false">BD139</f>
        <v>469.665</v>
      </c>
      <c r="BE175" s="43" t="n">
        <f aca="false">BE139</f>
        <v>287.609</v>
      </c>
      <c r="BF175" s="43" t="n">
        <f aca="false">BF139</f>
        <v>164.034</v>
      </c>
      <c r="BG175" s="43" t="n">
        <f aca="false">BG139</f>
        <v>1266.782</v>
      </c>
      <c r="BH175" s="43" t="n">
        <f aca="false">BH139</f>
        <v>161.033</v>
      </c>
      <c r="BI175" s="43" t="n">
        <f aca="false">BI139</f>
        <v>132.623</v>
      </c>
      <c r="BJ175" s="43" t="n">
        <f aca="false">BJ139</f>
        <v>113.522</v>
      </c>
      <c r="BK175" s="43" t="n">
        <f aca="false">BK139</f>
        <v>107.429</v>
      </c>
      <c r="BL175" s="43" t="n">
        <f aca="false">BL139</f>
        <v>514.607</v>
      </c>
      <c r="BM175" s="43" t="n">
        <f aca="false">BM139</f>
        <v>127.132999999999</v>
      </c>
      <c r="BN175" s="43" t="n">
        <f aca="false">BN139</f>
        <v>178.09</v>
      </c>
      <c r="BO175" s="43" t="n">
        <f aca="false">BO139</f>
        <v>180.119</v>
      </c>
      <c r="BP175" s="43" t="n">
        <f aca="false">BP139</f>
        <v>183.799</v>
      </c>
      <c r="BQ175" s="43" t="n">
        <f aca="false">BQ139</f>
        <v>669.140999999999</v>
      </c>
      <c r="BR175" s="43" t="n">
        <f aca="false">BR139</f>
        <v>176.853</v>
      </c>
      <c r="BS175" s="43" t="n">
        <f aca="false">BS139</f>
        <v>215.919</v>
      </c>
      <c r="BT175" s="43" t="n">
        <f aca="false">BT139</f>
        <v>220.835999999999</v>
      </c>
      <c r="BU175" s="43" t="n">
        <f aca="false">BU139</f>
        <v>181.353</v>
      </c>
      <c r="BV175" s="43" t="n">
        <f aca="false">BV139</f>
        <v>794.961</v>
      </c>
      <c r="BW175" s="43" t="n">
        <f aca="false">BW139</f>
        <v>175.686</v>
      </c>
      <c r="BX175" s="43" t="n">
        <f aca="false">BX139</f>
        <v>255.743</v>
      </c>
      <c r="BY175" s="49" t="n">
        <f aca="false">BY139</f>
        <v>279.701472221602</v>
      </c>
      <c r="BZ175" s="49" t="n">
        <f aca="false">BZ139</f>
        <v>236.620527778396</v>
      </c>
      <c r="CA175" s="49" t="n">
        <f aca="false">CA139</f>
        <v>947.751</v>
      </c>
      <c r="CB175" s="49" t="n">
        <f aca="false">CB139</f>
        <v>1097.9566283493</v>
      </c>
      <c r="CC175" s="49" t="n">
        <f aca="false">CC139</f>
        <v>1194.14915759875</v>
      </c>
      <c r="CD175" s="49" t="n">
        <f aca="false">CD139</f>
        <v>1283.45430512775</v>
      </c>
      <c r="CE175" s="49" t="n">
        <f aca="false">CE139</f>
        <v>1361.71108281689</v>
      </c>
    </row>
    <row r="176" customFormat="false" ht="15" hidden="false" customHeight="false" outlineLevel="0" collapsed="false">
      <c r="B176" s="28" t="s">
        <v>297</v>
      </c>
      <c r="BF176" s="37" t="n">
        <v>36.684</v>
      </c>
      <c r="BG176" s="37" t="n">
        <v>36.684</v>
      </c>
      <c r="BH176" s="37" t="n">
        <v>3.722</v>
      </c>
      <c r="BI176" s="37" t="n">
        <v>14.132</v>
      </c>
      <c r="BJ176" s="37" t="n">
        <v>-0.139</v>
      </c>
      <c r="BK176" s="37" t="n">
        <v>-0.239</v>
      </c>
      <c r="BL176" s="37" t="n">
        <v>17.476</v>
      </c>
      <c r="BM176" s="37" t="n">
        <v>12.943</v>
      </c>
      <c r="BN176" s="37" t="n">
        <v>15.189</v>
      </c>
      <c r="BO176" s="37" t="n">
        <v>4.429</v>
      </c>
      <c r="BP176" s="37" t="n">
        <v>13.183</v>
      </c>
      <c r="BQ176" s="37" t="n">
        <v>45.746</v>
      </c>
      <c r="BR176" s="37" t="n">
        <v>6.259</v>
      </c>
      <c r="BS176" s="37" t="n">
        <v>3.881</v>
      </c>
      <c r="BT176" s="37" t="n">
        <v>9.93</v>
      </c>
      <c r="BU176" s="37" t="n">
        <v>16.594</v>
      </c>
      <c r="BV176" s="37" t="n">
        <v>36.664</v>
      </c>
      <c r="BW176" s="37" t="n">
        <v>20.235</v>
      </c>
      <c r="BX176" s="37" t="n">
        <v>7.49</v>
      </c>
      <c r="BY176" s="49" t="n">
        <f aca="false">BT176</f>
        <v>9.93</v>
      </c>
      <c r="BZ176" s="49" t="n">
        <f aca="false">BU176</f>
        <v>16.594</v>
      </c>
      <c r="CA176" s="49" t="n">
        <f aca="false">SUM(BW176,BX176,BY176,BZ176)</f>
        <v>54.249</v>
      </c>
      <c r="CB176" s="48" t="n">
        <v>0</v>
      </c>
      <c r="CC176" s="48" t="n">
        <v>0</v>
      </c>
      <c r="CD176" s="48" t="n">
        <v>0</v>
      </c>
      <c r="CE176" s="48" t="n">
        <v>0</v>
      </c>
    </row>
    <row r="177" customFormat="false" ht="15" hidden="false" customHeight="false" outlineLevel="0" collapsed="false">
      <c r="B177" s="28" t="s">
        <v>298</v>
      </c>
      <c r="BJ177" s="37" t="n">
        <v>24.602</v>
      </c>
      <c r="BK177" s="37" t="n">
        <v>-2.617</v>
      </c>
      <c r="BL177" s="37" t="n">
        <v>21.985</v>
      </c>
      <c r="BO177" s="37" t="n">
        <v>57.036</v>
      </c>
      <c r="BP177" s="37" t="n">
        <v>-12.574</v>
      </c>
      <c r="BQ177" s="37" t="n">
        <v>44.462</v>
      </c>
      <c r="BR177" s="37" t="n">
        <v>2.354</v>
      </c>
      <c r="BS177" s="37" t="n">
        <v>0.429</v>
      </c>
      <c r="BT177" s="37" t="n">
        <v>-0.176</v>
      </c>
      <c r="BU177" s="37" t="n">
        <v>-0.499</v>
      </c>
      <c r="BV177" s="37" t="n">
        <v>2.108</v>
      </c>
      <c r="BY177" s="48" t="n">
        <v>0</v>
      </c>
      <c r="BZ177" s="48" t="n">
        <v>0</v>
      </c>
      <c r="CA177" s="49" t="n">
        <f aca="false">SUM(BW177,BX177,BY177,BZ177)</f>
        <v>0</v>
      </c>
      <c r="CB177" s="48" t="n">
        <v>0</v>
      </c>
      <c r="CC177" s="48" t="n">
        <v>0</v>
      </c>
      <c r="CD177" s="48" t="n">
        <v>0</v>
      </c>
      <c r="CE177" s="48" t="n">
        <v>0</v>
      </c>
    </row>
    <row r="178" customFormat="false" ht="15" hidden="false" customHeight="false" outlineLevel="0" collapsed="false">
      <c r="B178" s="28" t="s">
        <v>299</v>
      </c>
      <c r="AP178" s="37" t="n">
        <v>-5.8</v>
      </c>
      <c r="AR178" s="37" t="n">
        <v>-5.8</v>
      </c>
      <c r="BD178" s="37" t="n">
        <v>-25.296</v>
      </c>
      <c r="BG178" s="37" t="n">
        <v>-25.296</v>
      </c>
      <c r="BY178" s="48" t="n">
        <v>0</v>
      </c>
      <c r="BZ178" s="48" t="n">
        <v>0</v>
      </c>
      <c r="CA178" s="49" t="n">
        <f aca="false">SUM(BW178,BX178,BY178,BZ178)</f>
        <v>0</v>
      </c>
      <c r="CB178" s="48" t="n">
        <v>0</v>
      </c>
      <c r="CC178" s="48" t="n">
        <v>0</v>
      </c>
      <c r="CD178" s="48" t="n">
        <v>0</v>
      </c>
      <c r="CE178" s="48" t="n">
        <v>0</v>
      </c>
    </row>
    <row r="179" customFormat="false" ht="15" hidden="false" customHeight="false" outlineLevel="0" collapsed="false">
      <c r="B179" s="28" t="s">
        <v>300</v>
      </c>
      <c r="BK179" s="56" t="n">
        <v>-1.42</v>
      </c>
      <c r="BL179" s="56" t="n">
        <v>-1.42</v>
      </c>
      <c r="BY179" s="57" t="n">
        <v>0</v>
      </c>
      <c r="BZ179" s="57" t="n">
        <v>0</v>
      </c>
      <c r="CA179" s="53" t="n">
        <f aca="false">SUM(BW179,BX179,BY179,BZ179)</f>
        <v>0</v>
      </c>
      <c r="CB179" s="57" t="n">
        <v>0</v>
      </c>
      <c r="CC179" s="57" t="n">
        <v>0</v>
      </c>
      <c r="CD179" s="57" t="n">
        <v>0</v>
      </c>
      <c r="CE179" s="57" t="n">
        <v>0</v>
      </c>
    </row>
    <row r="180" customFormat="false" ht="15" hidden="false" customHeight="false" outlineLevel="0" collapsed="false">
      <c r="B180" s="28" t="s">
        <v>301</v>
      </c>
      <c r="C180" s="43" t="n">
        <f aca="false">N(C176)+N(C177)+N(C178)+N(C179)</f>
        <v>0</v>
      </c>
      <c r="D180" s="43" t="n">
        <f aca="false">N(D176)+N(D177)+N(D178)+N(D179)</f>
        <v>0</v>
      </c>
      <c r="E180" s="43" t="n">
        <f aca="false">N(E176)+N(E177)+N(E178)+N(E179)</f>
        <v>0</v>
      </c>
      <c r="F180" s="43" t="n">
        <f aca="false">N(F176)+N(F177)+N(F178)+N(F179)</f>
        <v>0</v>
      </c>
      <c r="G180" s="43" t="n">
        <f aca="false">N(G176)+N(G177)+N(G178)+N(G179)</f>
        <v>0</v>
      </c>
      <c r="H180" s="43" t="n">
        <f aca="false">N(H176)+N(H177)+N(H178)+N(H179)</f>
        <v>0</v>
      </c>
      <c r="I180" s="43" t="n">
        <f aca="false">N(I176)+N(I177)+N(I178)+N(I179)</f>
        <v>0</v>
      </c>
      <c r="J180" s="43" t="n">
        <f aca="false">N(J176)+N(J177)+N(J178)+N(J179)</f>
        <v>0</v>
      </c>
      <c r="K180" s="43" t="n">
        <f aca="false">N(K176)+N(K177)+N(K178)+N(K179)</f>
        <v>0</v>
      </c>
      <c r="L180" s="43" t="n">
        <f aca="false">N(L176)+N(L177)+N(L178)+N(L179)</f>
        <v>0</v>
      </c>
      <c r="M180" s="43" t="n">
        <f aca="false">N(M176)+N(M177)+N(M178)+N(M179)</f>
        <v>0</v>
      </c>
      <c r="N180" s="43" t="n">
        <f aca="false">N(N176)+N(N177)+N(N178)+N(N179)</f>
        <v>0</v>
      </c>
      <c r="O180" s="43" t="n">
        <f aca="false">N(O176)+N(O177)+N(O178)+N(O179)</f>
        <v>0</v>
      </c>
      <c r="P180" s="43" t="n">
        <f aca="false">N(P176)+N(P177)+N(P178)+N(P179)</f>
        <v>0</v>
      </c>
      <c r="Q180" s="43" t="n">
        <f aca="false">N(Q176)+N(Q177)+N(Q178)+N(Q179)</f>
        <v>0</v>
      </c>
      <c r="R180" s="43" t="n">
        <f aca="false">N(R176)+N(R177)+N(R178)+N(R179)</f>
        <v>0</v>
      </c>
      <c r="S180" s="43" t="n">
        <f aca="false">N(S176)+N(S177)+N(S178)+N(S179)</f>
        <v>0</v>
      </c>
      <c r="T180" s="43" t="n">
        <f aca="false">N(T176)+N(T177)+N(T178)+N(T179)</f>
        <v>0</v>
      </c>
      <c r="U180" s="43" t="n">
        <f aca="false">N(U176)+N(U177)+N(U178)+N(U179)</f>
        <v>0</v>
      </c>
      <c r="V180" s="43" t="n">
        <f aca="false">N(V176)+N(V177)+N(V178)+N(V179)</f>
        <v>0</v>
      </c>
      <c r="W180" s="43" t="n">
        <f aca="false">N(W176)+N(W177)+N(W178)+N(W179)</f>
        <v>0</v>
      </c>
      <c r="X180" s="43" t="n">
        <f aca="false">N(X176)+N(X177)+N(X178)+N(X179)</f>
        <v>0</v>
      </c>
      <c r="Y180" s="43" t="n">
        <f aca="false">N(Y176)+N(Y177)+N(Y178)+N(Y179)</f>
        <v>0</v>
      </c>
      <c r="Z180" s="43" t="n">
        <f aca="false">N(Z176)+N(Z177)+N(Z178)+N(Z179)</f>
        <v>0</v>
      </c>
      <c r="AA180" s="43" t="n">
        <f aca="false">N(AA176)+N(AA177)+N(AA178)+N(AA179)</f>
        <v>0</v>
      </c>
      <c r="AB180" s="43" t="n">
        <f aca="false">N(AB176)+N(AB177)+N(AB178)+N(AB179)</f>
        <v>0</v>
      </c>
      <c r="AC180" s="43" t="n">
        <f aca="false">N(AC176)+N(AC177)+N(AC178)+N(AC179)</f>
        <v>0</v>
      </c>
      <c r="AD180" s="43" t="n">
        <f aca="false">N(AD176)+N(AD177)+N(AD178)+N(AD179)</f>
        <v>0</v>
      </c>
      <c r="AE180" s="43" t="n">
        <f aca="false">N(AE176)+N(AE177)+N(AE178)+N(AE179)</f>
        <v>0</v>
      </c>
      <c r="AF180" s="43" t="n">
        <f aca="false">N(AF176)+N(AF177)+N(AF178)+N(AF179)</f>
        <v>0</v>
      </c>
      <c r="AG180" s="43" t="n">
        <f aca="false">N(AG176)+N(AG177)+N(AG178)+N(AG179)</f>
        <v>0</v>
      </c>
      <c r="AH180" s="43" t="n">
        <f aca="false">N(AH176)+N(AH177)+N(AH178)+N(AH179)</f>
        <v>0</v>
      </c>
      <c r="AI180" s="43" t="n">
        <f aca="false">N(AI176)+N(AI177)+N(AI178)+N(AI179)</f>
        <v>0</v>
      </c>
      <c r="AJ180" s="43" t="n">
        <f aca="false">N(AJ176)+N(AJ177)+N(AJ178)+N(AJ179)</f>
        <v>0</v>
      </c>
      <c r="AK180" s="43" t="n">
        <f aca="false">N(AK176)+N(AK177)+N(AK178)+N(AK179)</f>
        <v>0</v>
      </c>
      <c r="AL180" s="43" t="n">
        <f aca="false">N(AL176)+N(AL177)+N(AL178)+N(AL179)</f>
        <v>0</v>
      </c>
      <c r="AM180" s="43" t="n">
        <f aca="false">N(AM176)+N(AM177)+N(AM178)+N(AM179)</f>
        <v>0</v>
      </c>
      <c r="AN180" s="43" t="n">
        <f aca="false">N(AN176)+N(AN177)+N(AN178)+N(AN179)</f>
        <v>0</v>
      </c>
      <c r="AO180" s="43" t="n">
        <f aca="false">N(AO176)+N(AO177)+N(AO178)+N(AO179)</f>
        <v>0</v>
      </c>
      <c r="AP180" s="43" t="n">
        <f aca="false">N(AP176)+N(AP177)+N(AP178)+N(AP179)</f>
        <v>-5.8</v>
      </c>
      <c r="AQ180" s="43" t="n">
        <f aca="false">N(AQ176)+N(AQ177)+N(AQ178)+N(AQ179)</f>
        <v>0</v>
      </c>
      <c r="AR180" s="43" t="n">
        <f aca="false">N(AR176)+N(AR177)+N(AR178)+N(AR179)</f>
        <v>-5.8</v>
      </c>
      <c r="AS180" s="43" t="n">
        <f aca="false">N(AS176)+N(AS177)+N(AS178)+N(AS179)</f>
        <v>0</v>
      </c>
      <c r="AT180" s="43" t="n">
        <f aca="false">N(AT176)+N(AT177)+N(AT178)+N(AT179)</f>
        <v>0</v>
      </c>
      <c r="AU180" s="43" t="n">
        <f aca="false">N(AU176)+N(AU177)+N(AU178)+N(AU179)</f>
        <v>0</v>
      </c>
      <c r="AV180" s="43" t="n">
        <f aca="false">N(AV176)+N(AV177)+N(AV178)+N(AV179)</f>
        <v>0</v>
      </c>
      <c r="AW180" s="43" t="n">
        <f aca="false">N(AW176)+N(AW177)+N(AW178)+N(AW179)</f>
        <v>0</v>
      </c>
      <c r="AX180" s="43" t="n">
        <f aca="false">N(AX176)+N(AX177)+N(AX178)+N(AX179)</f>
        <v>0</v>
      </c>
      <c r="AY180" s="43" t="n">
        <f aca="false">N(AY176)+N(AY177)+N(AY178)+N(AY179)</f>
        <v>0</v>
      </c>
      <c r="AZ180" s="43" t="n">
        <f aca="false">N(AZ176)+N(AZ177)+N(AZ178)+N(AZ179)</f>
        <v>0</v>
      </c>
      <c r="BA180" s="43" t="n">
        <f aca="false">N(BA176)+N(BA177)+N(BA178)+N(BA179)</f>
        <v>0</v>
      </c>
      <c r="BB180" s="43" t="n">
        <f aca="false">N(BB176)+N(BB177)+N(BB178)+N(BB179)</f>
        <v>0</v>
      </c>
      <c r="BC180" s="43" t="n">
        <f aca="false">N(BC176)+N(BC177)+N(BC178)+N(BC179)</f>
        <v>0</v>
      </c>
      <c r="BD180" s="43" t="n">
        <f aca="false">N(BD176)+N(BD177)+N(BD178)+N(BD179)</f>
        <v>-25.296</v>
      </c>
      <c r="BE180" s="43" t="n">
        <f aca="false">N(BE176)+N(BE177)+N(BE178)+N(BE179)</f>
        <v>0</v>
      </c>
      <c r="BF180" s="43" t="n">
        <f aca="false">N(BF176)+N(BF177)+N(BF178)+N(BF179)</f>
        <v>36.684</v>
      </c>
      <c r="BG180" s="43" t="n">
        <f aca="false">N(BG176)+N(BG177)+N(BG178)+N(BG179)</f>
        <v>11.388</v>
      </c>
      <c r="BH180" s="43" t="n">
        <f aca="false">N(BH176)+N(BH177)+N(BH178)+N(BH179)</f>
        <v>3.722</v>
      </c>
      <c r="BI180" s="43" t="n">
        <f aca="false">N(BI176)+N(BI177)+N(BI178)+N(BI179)</f>
        <v>14.132</v>
      </c>
      <c r="BJ180" s="43" t="n">
        <f aca="false">N(BJ176)+N(BJ177)+N(BJ178)+N(BJ179)</f>
        <v>24.463</v>
      </c>
      <c r="BK180" s="43" t="n">
        <f aca="false">N(BK176)+N(BK177)+N(BK178)+N(BK179)</f>
        <v>-4.276</v>
      </c>
      <c r="BL180" s="43" t="n">
        <f aca="false">N(BL176)+N(BL177)+N(BL178)+N(BL179)</f>
        <v>38.041</v>
      </c>
      <c r="BM180" s="43" t="n">
        <f aca="false">N(BM176)+N(BM177)+N(BM178)+N(BM179)</f>
        <v>12.943</v>
      </c>
      <c r="BN180" s="43" t="n">
        <f aca="false">N(BN176)+N(BN177)+N(BN178)+N(BN179)</f>
        <v>15.189</v>
      </c>
      <c r="BO180" s="43" t="n">
        <f aca="false">N(BO176)+N(BO177)+N(BO178)+N(BO179)</f>
        <v>61.465</v>
      </c>
      <c r="BP180" s="43" t="n">
        <f aca="false">N(BP176)+N(BP177)+N(BP178)+N(BP179)</f>
        <v>0.609</v>
      </c>
      <c r="BQ180" s="43" t="n">
        <f aca="false">N(BQ176)+N(BQ177)+N(BQ178)+N(BQ179)</f>
        <v>90.208</v>
      </c>
      <c r="BR180" s="43" t="n">
        <f aca="false">N(BR176)+N(BR177)+N(BR178)+N(BR179)</f>
        <v>8.613</v>
      </c>
      <c r="BS180" s="43" t="n">
        <f aca="false">N(BS176)+N(BS177)+N(BS178)+N(BS179)</f>
        <v>4.31</v>
      </c>
      <c r="BT180" s="43" t="n">
        <f aca="false">N(BT176)+N(BT177)+N(BT178)+N(BT179)</f>
        <v>9.754</v>
      </c>
      <c r="BU180" s="43" t="n">
        <f aca="false">N(BU176)+N(BU177)+N(BU178)+N(BU179)</f>
        <v>16.095</v>
      </c>
      <c r="BV180" s="43" t="n">
        <f aca="false">N(BV176)+N(BV177)+N(BV178)+N(BV179)</f>
        <v>38.772</v>
      </c>
      <c r="BW180" s="43" t="n">
        <f aca="false">N(BW176)+N(BW177)+N(BW178)+N(BW179)</f>
        <v>20.235</v>
      </c>
      <c r="BX180" s="43" t="n">
        <f aca="false">N(BX176)+N(BX177)+N(BX178)+N(BX179)</f>
        <v>7.49</v>
      </c>
      <c r="BY180" s="49" t="n">
        <f aca="false">N(BY176)+N(BY177)+N(BY178)+N(BY179)</f>
        <v>9.93</v>
      </c>
      <c r="BZ180" s="49" t="n">
        <f aca="false">N(BZ176)+N(BZ177)+N(BZ178)+N(BZ179)</f>
        <v>16.594</v>
      </c>
      <c r="CA180" s="49" t="n">
        <f aca="false">N(CA176)+N(CA177)+N(CA178)+N(CA179)</f>
        <v>54.249</v>
      </c>
      <c r="CB180" s="49" t="n">
        <f aca="false">N(CB176)+N(CB177)+N(CB178)+N(CB179)</f>
        <v>0</v>
      </c>
      <c r="CC180" s="49" t="n">
        <f aca="false">N(CC176)+N(CC177)+N(CC178)+N(CC179)</f>
        <v>0</v>
      </c>
      <c r="CD180" s="49" t="n">
        <f aca="false">N(CD176)+N(CD177)+N(CD178)+N(CD179)</f>
        <v>0</v>
      </c>
      <c r="CE180" s="49" t="n">
        <f aca="false">N(CE176)+N(CE177)+N(CE178)+N(CE179)</f>
        <v>0</v>
      </c>
    </row>
    <row r="181" customFormat="false" ht="15" hidden="false" customHeight="false" outlineLevel="0" collapsed="false">
      <c r="B181" s="51" t="s">
        <v>302</v>
      </c>
      <c r="C181" s="52" t="n">
        <f aca="false">C175+C180</f>
        <v>417.845000000001</v>
      </c>
      <c r="D181" s="52" t="n">
        <f aca="false">D175+D180</f>
        <v>509.683999999999</v>
      </c>
      <c r="E181" s="52" t="n">
        <f aca="false">E175+E180</f>
        <v>571.586000000001</v>
      </c>
      <c r="F181" s="52" t="n">
        <f aca="false">F175+F180</f>
        <v>584.811</v>
      </c>
      <c r="G181" s="52" t="n">
        <f aca="false">G175+G180</f>
        <v>622.860000000001</v>
      </c>
      <c r="H181" s="52" t="n">
        <f aca="false">H175+H180</f>
        <v>692.73</v>
      </c>
      <c r="I181" s="52" t="n">
        <f aca="false">I175+I180</f>
        <v>675.319999999998</v>
      </c>
      <c r="J181" s="52" t="n">
        <f aca="false">J175+J180</f>
        <v>168.706</v>
      </c>
      <c r="K181" s="52" t="n">
        <f aca="false">K175+K180</f>
        <v>182.476</v>
      </c>
      <c r="L181" s="52" t="n">
        <f aca="false">L175+L180</f>
        <v>176.355</v>
      </c>
      <c r="M181" s="52" t="n">
        <f aca="false">M175+M180</f>
        <v>155.113</v>
      </c>
      <c r="N181" s="52" t="n">
        <f aca="false">N175+N180</f>
        <v>682.649999999999</v>
      </c>
      <c r="O181" s="52" t="n">
        <f aca="false">O175+O180</f>
        <v>156.971</v>
      </c>
      <c r="P181" s="52" t="n">
        <f aca="false">P175+P180</f>
        <v>200.382</v>
      </c>
      <c r="Q181" s="52" t="n">
        <f aca="false">Q175+Q180</f>
        <v>203.337</v>
      </c>
      <c r="R181" s="52" t="n">
        <f aca="false">R175+R180</f>
        <v>187.728</v>
      </c>
      <c r="S181" s="52" t="n">
        <f aca="false">S175+S180</f>
        <v>748.417999999998</v>
      </c>
      <c r="T181" s="52" t="n">
        <f aca="false">T175+T180</f>
        <v>181.925</v>
      </c>
      <c r="U181" s="52" t="n">
        <f aca="false">U175+U180</f>
        <v>229.095</v>
      </c>
      <c r="V181" s="52" t="n">
        <f aca="false">V175+V180</f>
        <v>232.711</v>
      </c>
      <c r="W181" s="52" t="n">
        <f aca="false">W175+W180</f>
        <v>214.579</v>
      </c>
      <c r="X181" s="52" t="n">
        <f aca="false">X175+X180</f>
        <v>858.31</v>
      </c>
      <c r="Y181" s="52" t="n">
        <f aca="false">Y175+Y180</f>
        <v>198.952</v>
      </c>
      <c r="Z181" s="52" t="n">
        <f aca="false">Z175+Z180</f>
        <v>233.747</v>
      </c>
      <c r="AA181" s="52" t="n">
        <f aca="false">AA175+AA180</f>
        <v>211.267</v>
      </c>
      <c r="AB181" s="52" t="n">
        <f aca="false">AB175+AB180</f>
        <v>193.565</v>
      </c>
      <c r="AC181" s="52" t="n">
        <f aca="false">AC175+AC180</f>
        <v>837.531000000002</v>
      </c>
      <c r="AD181" s="52" t="n">
        <f aca="false">AD175+AD180</f>
        <v>187.958</v>
      </c>
      <c r="AE181" s="52" t="n">
        <f aca="false">AE175+AE180</f>
        <v>181.82</v>
      </c>
      <c r="AF181" s="52" t="n">
        <f aca="false">AF175+AF180</f>
        <v>194.465</v>
      </c>
      <c r="AG181" s="52" t="n">
        <f aca="false">AG175+AG180</f>
        <v>210.876</v>
      </c>
      <c r="AH181" s="52" t="n">
        <f aca="false">AH175+AH180</f>
        <v>775.118999999997</v>
      </c>
      <c r="AI181" s="52" t="n">
        <f aca="false">AI175+AI180</f>
        <v>191.585</v>
      </c>
      <c r="AJ181" s="52" t="n">
        <f aca="false">AJ175+AJ180</f>
        <v>219.008</v>
      </c>
      <c r="AK181" s="52" t="n">
        <f aca="false">AK175+AK180</f>
        <v>245.973</v>
      </c>
      <c r="AL181" s="52" t="n">
        <f aca="false">AL175+AL180</f>
        <v>255.517</v>
      </c>
      <c r="AM181" s="52" t="n">
        <f aca="false">AM175+AM180</f>
        <v>912.082999999999</v>
      </c>
      <c r="AN181" s="52" t="n">
        <f aca="false">AN175+AN180</f>
        <v>224.55</v>
      </c>
      <c r="AO181" s="52" t="n">
        <f aca="false">AO175+AO180</f>
        <v>227.535</v>
      </c>
      <c r="AP181" s="52" t="n">
        <f aca="false">AP175+AP180</f>
        <v>195.285</v>
      </c>
      <c r="AQ181" s="52" t="n">
        <f aca="false">AQ175+AQ180</f>
        <v>136.806</v>
      </c>
      <c r="AR181" s="52" t="n">
        <f aca="false">AR175+AR180</f>
        <v>784.176</v>
      </c>
      <c r="AS181" s="52" t="n">
        <f aca="false">AS175+AS180</f>
        <v>109.44</v>
      </c>
      <c r="AT181" s="52" t="n">
        <f aca="false">AT175+AT180</f>
        <v>188.787</v>
      </c>
      <c r="AU181" s="52" t="n">
        <f aca="false">AU175+AU180</f>
        <v>168.239</v>
      </c>
      <c r="AV181" s="52" t="n">
        <f aca="false">AV175+AV180</f>
        <v>206.802</v>
      </c>
      <c r="AW181" s="52" t="n">
        <f aca="false">AW175+AW180</f>
        <v>673.268</v>
      </c>
      <c r="AX181" s="52" t="n">
        <f aca="false">AX175+AX180</f>
        <v>223.329</v>
      </c>
      <c r="AY181" s="52" t="n">
        <f aca="false">AY175+AY180</f>
        <v>260.604</v>
      </c>
      <c r="AZ181" s="52" t="n">
        <f aca="false">AZ175+AZ180</f>
        <v>310.768999999999</v>
      </c>
      <c r="BA181" s="52" t="n">
        <f aca="false">BA175+BA180</f>
        <v>287.406</v>
      </c>
      <c r="BB181" s="52" t="n">
        <f aca="false">BB175+BB180</f>
        <v>1082.108</v>
      </c>
      <c r="BC181" s="52" t="n">
        <f aca="false">BC175+BC180</f>
        <v>345.474</v>
      </c>
      <c r="BD181" s="52" t="n">
        <f aca="false">BD175+BD180</f>
        <v>444.369</v>
      </c>
      <c r="BE181" s="52" t="n">
        <f aca="false">BE175+BE180</f>
        <v>287.609</v>
      </c>
      <c r="BF181" s="52" t="n">
        <f aca="false">BF175+BF180</f>
        <v>200.718</v>
      </c>
      <c r="BG181" s="52" t="n">
        <f aca="false">BG175+BG180</f>
        <v>1278.17</v>
      </c>
      <c r="BH181" s="52" t="n">
        <f aca="false">BH175+BH180</f>
        <v>164.755</v>
      </c>
      <c r="BI181" s="52" t="n">
        <f aca="false">BI175+BI180</f>
        <v>146.755</v>
      </c>
      <c r="BJ181" s="52" t="n">
        <f aca="false">BJ175+BJ180</f>
        <v>137.985</v>
      </c>
      <c r="BK181" s="52" t="n">
        <f aca="false">BK175+BK180</f>
        <v>103.153</v>
      </c>
      <c r="BL181" s="52" t="n">
        <f aca="false">BL175+BL180</f>
        <v>552.648</v>
      </c>
      <c r="BM181" s="52" t="n">
        <f aca="false">BM175+BM180</f>
        <v>140.075999999999</v>
      </c>
      <c r="BN181" s="52" t="n">
        <f aca="false">BN175+BN180</f>
        <v>193.279</v>
      </c>
      <c r="BO181" s="52" t="n">
        <f aca="false">BO175+BO180</f>
        <v>241.584</v>
      </c>
      <c r="BP181" s="52" t="n">
        <f aca="false">BP175+BP180</f>
        <v>184.408</v>
      </c>
      <c r="BQ181" s="52" t="n">
        <f aca="false">BQ175+BQ180</f>
        <v>759.348999999999</v>
      </c>
      <c r="BR181" s="52" t="n">
        <f aca="false">BR175+BR180</f>
        <v>185.466</v>
      </c>
      <c r="BS181" s="52" t="n">
        <f aca="false">BS175+BS180</f>
        <v>220.229</v>
      </c>
      <c r="BT181" s="52" t="n">
        <f aca="false">BT175+BT180</f>
        <v>230.589999999999</v>
      </c>
      <c r="BU181" s="52" t="n">
        <f aca="false">BU175+BU180</f>
        <v>197.448</v>
      </c>
      <c r="BV181" s="52" t="n">
        <f aca="false">BV175+BV180</f>
        <v>833.733</v>
      </c>
      <c r="BW181" s="52" t="n">
        <f aca="false">BW175+BW180</f>
        <v>195.921</v>
      </c>
      <c r="BX181" s="52" t="n">
        <f aca="false">BX175+BX180</f>
        <v>263.233</v>
      </c>
      <c r="BY181" s="52" t="n">
        <f aca="false">BY175+BY180</f>
        <v>289.631472221602</v>
      </c>
      <c r="BZ181" s="52" t="n">
        <f aca="false">BZ175+BZ180</f>
        <v>253.214527778396</v>
      </c>
      <c r="CA181" s="52" t="n">
        <f aca="false">CA175+CA180</f>
        <v>1002</v>
      </c>
      <c r="CB181" s="52" t="n">
        <f aca="false">CB175+CB180</f>
        <v>1097.9566283493</v>
      </c>
      <c r="CC181" s="52" t="n">
        <f aca="false">CC175+CC180</f>
        <v>1194.14915759875</v>
      </c>
      <c r="CD181" s="52" t="n">
        <f aca="false">CD175+CD180</f>
        <v>1283.45430512775</v>
      </c>
      <c r="CE181" s="52" t="n">
        <f aca="false">CE175+CE180</f>
        <v>1361.71108281689</v>
      </c>
      <c r="CF181" s="6"/>
      <c r="CH181" s="33" t="n">
        <f aca="false">IFERROR((CE181/BV181)^(1/5)-1,"n/m")</f>
        <v>0.103091647329946</v>
      </c>
      <c r="CI181" s="33" t="n">
        <f aca="false">IFERROR((BV181/AW181)^(1/5)-1,"n/m")</f>
        <v>0.0436810634211506</v>
      </c>
      <c r="CJ181" s="33" t="n">
        <f aca="false">IFERROR((BV181/X181)^(1/10)-1,"n/m")</f>
        <v>-0.0029009971895837</v>
      </c>
      <c r="CK181" s="33" t="n">
        <f aca="false">IFERROR((BV181/C181)^(1/19)-1,"n/m")</f>
        <v>0.037027071574403</v>
      </c>
    </row>
    <row r="182" customFormat="false" ht="15" hidden="false" customHeight="false" outlineLevel="0" collapsed="false">
      <c r="B182" s="25" t="s">
        <v>303</v>
      </c>
      <c r="C182" s="26" t="n">
        <f aca="false">IF(AND(ISNUMBER(C181),ISNUMBER(C133)),IFERROR(C181/C133,""),"")</f>
        <v>0.385984311030314</v>
      </c>
      <c r="D182" s="26" t="n">
        <f aca="false">IF(AND(ISNUMBER(D181),ISNUMBER(D133)),IFERROR(D181/D133,""),"")</f>
        <v>0.409786955549945</v>
      </c>
      <c r="E182" s="26" t="n">
        <f aca="false">IF(AND(ISNUMBER(E181),ISNUMBER(E133)),IFERROR(E181/E133,""),"")</f>
        <v>0.41571009547166</v>
      </c>
      <c r="F182" s="26" t="n">
        <f aca="false">IF(AND(ISNUMBER(F181),ISNUMBER(F133)),IFERROR(F181/F133,""),"")</f>
        <v>0.423175361931866</v>
      </c>
      <c r="G182" s="26" t="n">
        <f aca="false">IF(AND(ISNUMBER(G181),ISNUMBER(G133)),IFERROR(G181/G133,""),"")</f>
        <v>0.424297911821567</v>
      </c>
      <c r="H182" s="26" t="n">
        <f aca="false">IF(AND(ISNUMBER(H181),ISNUMBER(H133)),IFERROR(H181/H133,""),"")</f>
        <v>0.424295841505079</v>
      </c>
      <c r="I182" s="26" t="n">
        <f aca="false">IF(AND(ISNUMBER(I181),ISNUMBER(I133)),IFERROR(I181/I133,""),"")</f>
        <v>0.393183163898319</v>
      </c>
      <c r="J182" s="26" t="n">
        <f aca="false">IF(AND(ISNUMBER(J181),ISNUMBER(J133)),IFERROR(J181/J133,""),"")</f>
        <v>0.370194987294886</v>
      </c>
      <c r="K182" s="26" t="n">
        <f aca="false">IF(AND(ISNUMBER(K181),ISNUMBER(K133)),IFERROR(K181/K133,""),"")</f>
        <v>0.38610924202606</v>
      </c>
      <c r="L182" s="26" t="n">
        <f aca="false">IF(AND(ISNUMBER(L181),ISNUMBER(L133)),IFERROR(L181/L133,""),"")</f>
        <v>0.380644757460512</v>
      </c>
      <c r="M182" s="26" t="n">
        <f aca="false">IF(AND(ISNUMBER(M181),ISNUMBER(M133)),IFERROR(M181/M133,""),"")</f>
        <v>0.348988109299945</v>
      </c>
      <c r="N182" s="26" t="n">
        <f aca="false">IF(AND(ISNUMBER(N181),ISNUMBER(N133)),IFERROR(N181/N133,""),"")</f>
        <v>0.371794487757986</v>
      </c>
      <c r="O182" s="26" t="n">
        <f aca="false">IF(AND(ISNUMBER(O181),ISNUMBER(O133)),IFERROR(O181/O133,""),"")</f>
        <v>0.343304865113126</v>
      </c>
      <c r="P182" s="26" t="n">
        <f aca="false">IF(AND(ISNUMBER(P181),ISNUMBER(P133)),IFERROR(P181/P133,""),"")</f>
        <v>0.384583052643094</v>
      </c>
      <c r="Q182" s="26" t="n">
        <f aca="false">IF(AND(ISNUMBER(Q181),ISNUMBER(Q133)),IFERROR(Q181/Q133,""),"")</f>
        <v>0.385426223169132</v>
      </c>
      <c r="R182" s="26" t="n">
        <f aca="false">IF(AND(ISNUMBER(R181),ISNUMBER(R133)),IFERROR(R181/R133,""),"")</f>
        <v>0.374097278683821</v>
      </c>
      <c r="S182" s="26" t="n">
        <f aca="false">IF(AND(ISNUMBER(S181),ISNUMBER(S133)),IFERROR(S181/S133,""),"")</f>
        <v>0.372782733262537</v>
      </c>
      <c r="T182" s="26" t="n">
        <f aca="false">IF(AND(ISNUMBER(T181),ISNUMBER(T133)),IFERROR(T181/T133,""),"")</f>
        <v>0.346451219744434</v>
      </c>
      <c r="U182" s="26" t="n">
        <f aca="false">IF(AND(ISNUMBER(U181),ISNUMBER(U133)),IFERROR(U181/U133,""),"")</f>
        <v>0.392273868271184</v>
      </c>
      <c r="V182" s="26" t="n">
        <f aca="false">IF(AND(ISNUMBER(V181),ISNUMBER(V133)),IFERROR(V181/V133,""),"")</f>
        <v>0.395380367837574</v>
      </c>
      <c r="W182" s="26" t="n">
        <f aca="false">IF(AND(ISNUMBER(W181),ISNUMBER(W133)),IFERROR(W181/W133,""),"")</f>
        <v>0.375941917771739</v>
      </c>
      <c r="X182" s="26" t="n">
        <f aca="false">IF(AND(ISNUMBER(X181),ISNUMBER(X133)),IFERROR(X181/X133,""),"")</f>
        <v>0.378363485682042</v>
      </c>
      <c r="Y182" s="26" t="n">
        <f aca="false">IF(AND(ISNUMBER(Y181),ISNUMBER(Y133)),IFERROR(Y181/Y133,""),"")</f>
        <v>0.353168185892942</v>
      </c>
      <c r="Z182" s="26" t="n">
        <f aca="false">IF(AND(ISNUMBER(Z181),ISNUMBER(Z133)),IFERROR(Z181/Z133,""),"")</f>
        <v>0.393371086223</v>
      </c>
      <c r="AA182" s="26" t="n">
        <f aca="false">IF(AND(ISNUMBER(AA181),ISNUMBER(AA133)),IFERROR(AA181/AA133,""),"")</f>
        <v>0.378301477987759</v>
      </c>
      <c r="AB182" s="26" t="n">
        <f aca="false">IF(AND(ISNUMBER(AB181),ISNUMBER(AB133)),IFERROR(AB181/AB133,""),"")</f>
        <v>0.344718583263878</v>
      </c>
      <c r="AC182" s="26" t="n">
        <f aca="false">IF(AND(ISNUMBER(AC181),ISNUMBER(AC133)),IFERROR(AC181/AC133,""),"")</f>
        <v>0.36773686207151</v>
      </c>
      <c r="AD182" s="26" t="n">
        <f aca="false">IF(AND(ISNUMBER(AD181),ISNUMBER(AD133)),IFERROR(AD181/AD133,""),"")</f>
        <v>0.33058255330076</v>
      </c>
      <c r="AE182" s="26" t="n">
        <f aca="false">IF(AND(ISNUMBER(AE181),ISNUMBER(AE133)),IFERROR(AE181/AE133,""),"")</f>
        <v>0.316876064197815</v>
      </c>
      <c r="AF182" s="26" t="n">
        <f aca="false">IF(AND(ISNUMBER(AF181),ISNUMBER(AF133)),IFERROR(AF181/AF133,""),"")</f>
        <v>0.327467053747941</v>
      </c>
      <c r="AG182" s="26" t="n">
        <f aca="false">IF(AND(ISNUMBER(AG181),ISNUMBER(AG133)),IFERROR(AG181/AG133,""),"")</f>
        <v>0.333744296501221</v>
      </c>
      <c r="AH182" s="26" t="n">
        <f aca="false">IF(AND(ISNUMBER(AH181),ISNUMBER(AH133)),IFERROR(AH181/AH133,""),"")</f>
        <v>0.32732374738709</v>
      </c>
      <c r="AI182" s="26" t="n">
        <f aca="false">IF(AND(ISNUMBER(AI181),ISNUMBER(AI133)),IFERROR(AI181/AI133,""),"")</f>
        <v>0.306082997164197</v>
      </c>
      <c r="AJ182" s="26" t="n">
        <f aca="false">IF(AND(ISNUMBER(AJ181),ISNUMBER(AJ133)),IFERROR(AJ181/AJ133,""),"")</f>
        <v>0.32615568823038</v>
      </c>
      <c r="AK182" s="26" t="n">
        <f aca="false">IF(AND(ISNUMBER(AK181),ISNUMBER(AK133)),IFERROR(AK181/AK133,""),"")</f>
        <v>0.354405484378512</v>
      </c>
      <c r="AL182" s="26" t="n">
        <f aca="false">IF(AND(ISNUMBER(AL181),ISNUMBER(AL133)),IFERROR(AL181/AL133,""),"")</f>
        <v>0.357975743328155</v>
      </c>
      <c r="AM182" s="26" t="n">
        <f aca="false">IF(AND(ISNUMBER(AM181),ISNUMBER(AM133)),IFERROR(AM181/AM133,""),"")</f>
        <v>0.337154812798148</v>
      </c>
      <c r="AN182" s="26" t="n">
        <f aca="false">IF(AND(ISNUMBER(AN181),ISNUMBER(AN133)),IFERROR(AN181/AN133,""),"")</f>
        <v>0.330804360636417</v>
      </c>
      <c r="AO182" s="26" t="n">
        <f aca="false">IF(AND(ISNUMBER(AO181),ISNUMBER(AO133)),IFERROR(AO181/AO133,""),"")</f>
        <v>0.327286771305608</v>
      </c>
      <c r="AP182" s="26" t="n">
        <f aca="false">IF(AND(ISNUMBER(AP181),ISNUMBER(AP133)),IFERROR(AP181/AP133,""),"")</f>
        <v>0.308297194169531</v>
      </c>
      <c r="AQ182" s="26" t="n">
        <f aca="false">IF(AND(ISNUMBER(AQ181),ISNUMBER(AQ133)),IFERROR(AQ181/AQ133,""),"")</f>
        <v>0.236335713286218</v>
      </c>
      <c r="AR182" s="26" t="n">
        <f aca="false">IF(AND(ISNUMBER(AR181),ISNUMBER(AR133)),IFERROR(AR181/AR133,""),"")</f>
        <v>0.303202632321725</v>
      </c>
      <c r="AS182" s="26" t="n">
        <f aca="false">IF(AND(ISNUMBER(AS181),ISNUMBER(AS133)),IFERROR(AS181/AS133,""),"")</f>
        <v>0.192692000922611</v>
      </c>
      <c r="AT182" s="26" t="n">
        <f aca="false">IF(AND(ISNUMBER(AT181),ISNUMBER(AT133)),IFERROR(AT181/AT133,""),"")</f>
        <v>0.307244004016581</v>
      </c>
      <c r="AU182" s="26" t="n">
        <f aca="false">IF(AND(ISNUMBER(AU181),ISNUMBER(AU133)),IFERROR(AU181/AU133,""),"")</f>
        <v>0.285502644784336</v>
      </c>
      <c r="AV182" s="26" t="n">
        <f aca="false">IF(AND(ISNUMBER(AV181),ISNUMBER(AV133)),IFERROR(AV181/AV133,""),"")</f>
        <v>0.322836563228834</v>
      </c>
      <c r="AW182" s="26" t="n">
        <f aca="false">IF(AND(ISNUMBER(AW181),ISNUMBER(AW133)),IFERROR(AW181/AW133,""),"")</f>
        <v>0.279102931404075</v>
      </c>
      <c r="AX182" s="26" t="n">
        <f aca="false">IF(AND(ISNUMBER(AX181),ISNUMBER(AX133)),IFERROR(AX181/AX133,""),"")</f>
        <v>0.317960363336086</v>
      </c>
      <c r="AY182" s="26" t="n">
        <f aca="false">IF(AND(ISNUMBER(AY181),ISNUMBER(AY133)),IFERROR(AY181/AY133,""),"")</f>
        <v>0.347854175787798</v>
      </c>
      <c r="AZ182" s="26" t="n">
        <f aca="false">IF(AND(ISNUMBER(AZ181),ISNUMBER(AZ133)),IFERROR(AZ181/AZ133,""),"")</f>
        <v>0.368125971343011</v>
      </c>
      <c r="BA182" s="26" t="n">
        <f aca="false">IF(AND(ISNUMBER(BA181),ISNUMBER(BA133)),IFERROR(BA181/BA133,""),"")</f>
        <v>0.335620973420635</v>
      </c>
      <c r="BB182" s="26" t="n">
        <f aca="false">IF(AND(ISNUMBER(BB181),ISNUMBER(BB133)),IFERROR(BB181/BB133,""),"")</f>
        <v>0.343298682238985</v>
      </c>
      <c r="BC182" s="26" t="n">
        <f aca="false">IF(AND(ISNUMBER(BC181),ISNUMBER(BC133)),IFERROR(BC181/BC133,""),"")</f>
        <v>0.381235406026952</v>
      </c>
      <c r="BD182" s="26" t="n">
        <f aca="false">IF(AND(ISNUMBER(BD181),ISNUMBER(BD133)),IFERROR(BD181/BD133,""),"")</f>
        <v>0.430751648147125</v>
      </c>
      <c r="BE182" s="26" t="n">
        <f aca="false">IF(AND(ISNUMBER(BE181),ISNUMBER(BE133)),IFERROR(BE181/BE133,""),"")</f>
        <v>0.324178251881776</v>
      </c>
      <c r="BF182" s="26" t="n">
        <f aca="false">IF(AND(ISNUMBER(BF181),ISNUMBER(BF133)),IFERROR(BF181/BF133,""),"")</f>
        <v>0.261292363448906</v>
      </c>
      <c r="BG182" s="26" t="n">
        <f aca="false">IF(AND(ISNUMBER(BG181),ISNUMBER(BG133)),IFERROR(BG181/BG133,""),"")</f>
        <v>0.355721413111572</v>
      </c>
      <c r="BH182" s="26" t="n">
        <f aca="false">IF(AND(ISNUMBER(BH181),ISNUMBER(BH133)),IFERROR(BH181/BH133,""),"")</f>
        <v>0.240293740155184</v>
      </c>
      <c r="BI182" s="26" t="n">
        <f aca="false">IF(AND(ISNUMBER(BI181),ISNUMBER(BI133)),IFERROR(BI181/BI133,""),"")</f>
        <v>0.220519732650534</v>
      </c>
      <c r="BJ182" s="26" t="n">
        <f aca="false">IF(AND(ISNUMBER(BJ181),ISNUMBER(BJ133)),IFERROR(BJ181/BJ133,""),"")</f>
        <v>0.217350897615023</v>
      </c>
      <c r="BK182" s="26" t="n">
        <f aca="false">IF(AND(ISNUMBER(BK181),ISNUMBER(BK133)),IFERROR(BK181/BK133,""),"")</f>
        <v>0.166746144259104</v>
      </c>
      <c r="BL182" s="26" t="n">
        <f aca="false">IF(AND(ISNUMBER(BL181),ISNUMBER(BL133)),IFERROR(BL181/BL133,""),"")</f>
        <v>0.212180873283043</v>
      </c>
      <c r="BM182" s="26" t="n">
        <f aca="false">IF(AND(ISNUMBER(BM181),ISNUMBER(BM133)),IFERROR(BM181/BM133,""),"")</f>
        <v>0.212969171193606</v>
      </c>
      <c r="BN182" s="26" t="n">
        <f aca="false">IF(AND(ISNUMBER(BN181),ISNUMBER(BN133)),IFERROR(BN181/BN133,""),"")</f>
        <v>0.281170307633447</v>
      </c>
      <c r="BO182" s="26" t="n">
        <f aca="false">IF(AND(ISNUMBER(BO181),ISNUMBER(BO133)),IFERROR(BO181/BO133,""),"")</f>
        <v>0.328572613780562</v>
      </c>
      <c r="BP182" s="26" t="n">
        <f aca="false">IF(AND(ISNUMBER(BP181),ISNUMBER(BP133)),IFERROR(BP181/BP133,""),"")</f>
        <v>0.269357003781643</v>
      </c>
      <c r="BQ182" s="26" t="n">
        <f aca="false">IF(AND(ISNUMBER(BQ181),ISNUMBER(BQ133)),IFERROR(BQ181/BQ133,""),"")</f>
        <v>0.274627542573021</v>
      </c>
      <c r="BR182" s="26" t="n">
        <f aca="false">IF(AND(ISNUMBER(BR181),ISNUMBER(BR133)),IFERROR(BR181/BR133,""),"")</f>
        <v>0.275544951031663</v>
      </c>
      <c r="BS182" s="26" t="n">
        <f aca="false">IF(AND(ISNUMBER(BS181),ISNUMBER(BS133)),IFERROR(BS181/BS133,""),"")</f>
        <v>0.317684869834153</v>
      </c>
      <c r="BT182" s="26" t="n">
        <f aca="false">IF(AND(ISNUMBER(BT181),ISNUMBER(BT133)),IFERROR(BT181/BT133,""),"")</f>
        <v>0.326579112476401</v>
      </c>
      <c r="BU182" s="26" t="n">
        <f aca="false">IF(AND(ISNUMBER(BU181),ISNUMBER(BU133)),IFERROR(BU181/BU133,""),"")</f>
        <v>0.300523276520744</v>
      </c>
      <c r="BV182" s="26" t="n">
        <f aca="false">IF(AND(ISNUMBER(BV181),ISNUMBER(BV133)),IFERROR(BV181/BV133,""),"")</f>
        <v>0.305462719049172</v>
      </c>
      <c r="BW182" s="26" t="n">
        <f aca="false">IF(AND(ISNUMBER(BW181),ISNUMBER(BW133)),IFERROR(BW181/BW133,""),"")</f>
        <v>0.296628427553358</v>
      </c>
      <c r="BX182" s="26" t="n">
        <f aca="false">IF(AND(ISNUMBER(BX181),ISNUMBER(BX133)),IFERROR(BX181/BX133,""),"")</f>
        <v>0.356700715209102</v>
      </c>
      <c r="BY182" s="27" t="n">
        <f aca="false">IF(AND(ISNUMBER(BY181),ISNUMBER(BY133)),IFERROR(BY181/BY133,""),"")</f>
        <v>0.380000146977094</v>
      </c>
      <c r="BZ182" s="27" t="n">
        <f aca="false">IF(AND(ISNUMBER(BZ181),ISNUMBER(BZ133)),IFERROR(BZ181/BZ133,""),"")</f>
        <v>0.357010246967104</v>
      </c>
      <c r="CA182" s="27" t="n">
        <f aca="false">IF(AND(ISNUMBER(CA181),ISNUMBER(CA133)),IFERROR(CA181/CA133,""),"")</f>
        <v>0.349139768310631</v>
      </c>
      <c r="CB182" s="27" t="n">
        <f aca="false">IF(AND(ISNUMBER(CB181),ISNUMBER(CB133)),IFERROR(CB181/CB133,""),"")</f>
        <v>0.362289546347529</v>
      </c>
      <c r="CC182" s="27" t="n">
        <f aca="false">IF(AND(ISNUMBER(CC181),ISNUMBER(CC133)),IFERROR(CC181/CC133,""),"")</f>
        <v>0.370956928428504</v>
      </c>
      <c r="CD182" s="27" t="n">
        <f aca="false">IF(AND(ISNUMBER(CD181),ISNUMBER(CD133)),IFERROR(CD181/CD133,""),"")</f>
        <v>0.376624376920453</v>
      </c>
      <c r="CE182" s="27" t="n">
        <f aca="false">IF(AND(ISNUMBER(CE181),ISNUMBER(CE133)),IFERROR(CE181/CE133,""),"")</f>
        <v>0.377006487348014</v>
      </c>
    </row>
    <row r="183" customFormat="false" ht="15" hidden="false" customHeight="false" outlineLevel="0" collapsed="false">
      <c r="B183" s="54" t="s">
        <v>304</v>
      </c>
      <c r="BD183" s="37" t="n">
        <v>444.369</v>
      </c>
      <c r="BF183" s="37" t="n">
        <v>200.718</v>
      </c>
      <c r="BG183" s="37" t="n">
        <v>1278.17</v>
      </c>
      <c r="BH183" s="37" t="n">
        <v>164.755</v>
      </c>
      <c r="BI183" s="37" t="n">
        <v>146.755</v>
      </c>
      <c r="BJ183" s="37" t="n">
        <v>137.985</v>
      </c>
      <c r="BK183" s="37" t="n">
        <v>103.153</v>
      </c>
      <c r="BL183" s="37" t="n">
        <v>552.648</v>
      </c>
      <c r="BM183" s="37" t="n">
        <v>140.076</v>
      </c>
      <c r="BN183" s="37" t="n">
        <v>193.279</v>
      </c>
      <c r="BO183" s="37" t="n">
        <v>241.584</v>
      </c>
      <c r="BP183" s="37" t="n">
        <v>184.408</v>
      </c>
      <c r="BQ183" s="37" t="n">
        <v>759.349</v>
      </c>
      <c r="BR183" s="37" t="n">
        <v>185.466</v>
      </c>
      <c r="BS183" s="37" t="n">
        <v>220.229</v>
      </c>
      <c r="BT183" s="37" t="n">
        <v>230.59</v>
      </c>
      <c r="BU183" s="37" t="n">
        <v>197.448</v>
      </c>
      <c r="BV183" s="37" t="n">
        <v>833.733</v>
      </c>
      <c r="BW183" s="37" t="n">
        <v>195.921</v>
      </c>
      <c r="BX183" s="37" t="n">
        <v>263.233</v>
      </c>
      <c r="BY183" s="6"/>
      <c r="BZ183" s="6"/>
      <c r="CA183" s="6"/>
      <c r="CB183" s="6"/>
      <c r="CC183" s="6"/>
      <c r="CD183" s="6"/>
      <c r="CE183" s="6"/>
    </row>
    <row r="184" customFormat="false" ht="15" hidden="false" customHeight="false" outlineLevel="0" collapsed="false">
      <c r="B184" s="46" t="s">
        <v>305</v>
      </c>
      <c r="C184" s="47" t="str">
        <f aca="false">IF(ISNUMBER(C183),ROUND(C181-C183,1),"")</f>
        <v/>
      </c>
      <c r="D184" s="47" t="str">
        <f aca="false">IF(ISNUMBER(D183),ROUND(D181-D183,1),"")</f>
        <v/>
      </c>
      <c r="E184" s="47" t="str">
        <f aca="false">IF(ISNUMBER(E183),ROUND(E181-E183,1),"")</f>
        <v/>
      </c>
      <c r="F184" s="47" t="str">
        <f aca="false">IF(ISNUMBER(F183),ROUND(F181-F183,1),"")</f>
        <v/>
      </c>
      <c r="G184" s="47" t="str">
        <f aca="false">IF(ISNUMBER(G183),ROUND(G181-G183,1),"")</f>
        <v/>
      </c>
      <c r="H184" s="47" t="str">
        <f aca="false">IF(ISNUMBER(H183),ROUND(H181-H183,1),"")</f>
        <v/>
      </c>
      <c r="I184" s="47" t="str">
        <f aca="false">IF(ISNUMBER(I183),ROUND(I181-I183,1),"")</f>
        <v/>
      </c>
      <c r="J184" s="47" t="str">
        <f aca="false">IF(ISNUMBER(J183),ROUND(J181-J183,1),"")</f>
        <v/>
      </c>
      <c r="K184" s="47" t="str">
        <f aca="false">IF(ISNUMBER(K183),ROUND(K181-K183,1),"")</f>
        <v/>
      </c>
      <c r="L184" s="47" t="str">
        <f aca="false">IF(ISNUMBER(L183),ROUND(L181-L183,1),"")</f>
        <v/>
      </c>
      <c r="M184" s="47" t="str">
        <f aca="false">IF(ISNUMBER(M183),ROUND(M181-M183,1),"")</f>
        <v/>
      </c>
      <c r="N184" s="47" t="str">
        <f aca="false">IF(ISNUMBER(N183),ROUND(N181-N183,1),"")</f>
        <v/>
      </c>
      <c r="O184" s="47" t="str">
        <f aca="false">IF(ISNUMBER(O183),ROUND(O181-O183,1),"")</f>
        <v/>
      </c>
      <c r="P184" s="47" t="str">
        <f aca="false">IF(ISNUMBER(P183),ROUND(P181-P183,1),"")</f>
        <v/>
      </c>
      <c r="Q184" s="47" t="str">
        <f aca="false">IF(ISNUMBER(Q183),ROUND(Q181-Q183,1),"")</f>
        <v/>
      </c>
      <c r="R184" s="47" t="str">
        <f aca="false">IF(ISNUMBER(R183),ROUND(R181-R183,1),"")</f>
        <v/>
      </c>
      <c r="S184" s="47" t="str">
        <f aca="false">IF(ISNUMBER(S183),ROUND(S181-S183,1),"")</f>
        <v/>
      </c>
      <c r="T184" s="47" t="str">
        <f aca="false">IF(ISNUMBER(T183),ROUND(T181-T183,1),"")</f>
        <v/>
      </c>
      <c r="U184" s="47" t="str">
        <f aca="false">IF(ISNUMBER(U183),ROUND(U181-U183,1),"")</f>
        <v/>
      </c>
      <c r="V184" s="47" t="str">
        <f aca="false">IF(ISNUMBER(V183),ROUND(V181-V183,1),"")</f>
        <v/>
      </c>
      <c r="W184" s="47" t="str">
        <f aca="false">IF(ISNUMBER(W183),ROUND(W181-W183,1),"")</f>
        <v/>
      </c>
      <c r="X184" s="47" t="str">
        <f aca="false">IF(ISNUMBER(X183),ROUND(X181-X183,1),"")</f>
        <v/>
      </c>
      <c r="Y184" s="47" t="str">
        <f aca="false">IF(ISNUMBER(Y183),ROUND(Y181-Y183,1),"")</f>
        <v/>
      </c>
      <c r="Z184" s="47" t="str">
        <f aca="false">IF(ISNUMBER(Z183),ROUND(Z181-Z183,1),"")</f>
        <v/>
      </c>
      <c r="AA184" s="47" t="str">
        <f aca="false">IF(ISNUMBER(AA183),ROUND(AA181-AA183,1),"")</f>
        <v/>
      </c>
      <c r="AB184" s="47" t="str">
        <f aca="false">IF(ISNUMBER(AB183),ROUND(AB181-AB183,1),"")</f>
        <v/>
      </c>
      <c r="AC184" s="47" t="str">
        <f aca="false">IF(ISNUMBER(AC183),ROUND(AC181-AC183,1),"")</f>
        <v/>
      </c>
      <c r="AD184" s="47" t="str">
        <f aca="false">IF(ISNUMBER(AD183),ROUND(AD181-AD183,1),"")</f>
        <v/>
      </c>
      <c r="AE184" s="47" t="str">
        <f aca="false">IF(ISNUMBER(AE183),ROUND(AE181-AE183,1),"")</f>
        <v/>
      </c>
      <c r="AF184" s="47" t="str">
        <f aca="false">IF(ISNUMBER(AF183),ROUND(AF181-AF183,1),"")</f>
        <v/>
      </c>
      <c r="AG184" s="47" t="str">
        <f aca="false">IF(ISNUMBER(AG183),ROUND(AG181-AG183,1),"")</f>
        <v/>
      </c>
      <c r="AH184" s="47" t="str">
        <f aca="false">IF(ISNUMBER(AH183),ROUND(AH181-AH183,1),"")</f>
        <v/>
      </c>
      <c r="AI184" s="47" t="str">
        <f aca="false">IF(ISNUMBER(AI183),ROUND(AI181-AI183,1),"")</f>
        <v/>
      </c>
      <c r="AJ184" s="47" t="str">
        <f aca="false">IF(ISNUMBER(AJ183),ROUND(AJ181-AJ183,1),"")</f>
        <v/>
      </c>
      <c r="AK184" s="47" t="str">
        <f aca="false">IF(ISNUMBER(AK183),ROUND(AK181-AK183,1),"")</f>
        <v/>
      </c>
      <c r="AL184" s="47" t="str">
        <f aca="false">IF(ISNUMBER(AL183),ROUND(AL181-AL183,1),"")</f>
        <v/>
      </c>
      <c r="AM184" s="47" t="str">
        <f aca="false">IF(ISNUMBER(AM183),ROUND(AM181-AM183,1),"")</f>
        <v/>
      </c>
      <c r="AN184" s="47" t="str">
        <f aca="false">IF(ISNUMBER(AN183),ROUND(AN181-AN183,1),"")</f>
        <v/>
      </c>
      <c r="AO184" s="47" t="str">
        <f aca="false">IF(ISNUMBER(AO183),ROUND(AO181-AO183,1),"")</f>
        <v/>
      </c>
      <c r="AP184" s="47" t="str">
        <f aca="false">IF(ISNUMBER(AP183),ROUND(AP181-AP183,1),"")</f>
        <v/>
      </c>
      <c r="AQ184" s="47" t="str">
        <f aca="false">IF(ISNUMBER(AQ183),ROUND(AQ181-AQ183,1),"")</f>
        <v/>
      </c>
      <c r="AR184" s="47" t="str">
        <f aca="false">IF(ISNUMBER(AR183),ROUND(AR181-AR183,1),"")</f>
        <v/>
      </c>
      <c r="AS184" s="47" t="str">
        <f aca="false">IF(ISNUMBER(AS183),ROUND(AS181-AS183,1),"")</f>
        <v/>
      </c>
      <c r="AT184" s="47" t="str">
        <f aca="false">IF(ISNUMBER(AT183),ROUND(AT181-AT183,1),"")</f>
        <v/>
      </c>
      <c r="AU184" s="47" t="str">
        <f aca="false">IF(ISNUMBER(AU183),ROUND(AU181-AU183,1),"")</f>
        <v/>
      </c>
      <c r="AV184" s="47" t="str">
        <f aca="false">IF(ISNUMBER(AV183),ROUND(AV181-AV183,1),"")</f>
        <v/>
      </c>
      <c r="AW184" s="47" t="str">
        <f aca="false">IF(ISNUMBER(AW183),ROUND(AW181-AW183,1),"")</f>
        <v/>
      </c>
      <c r="AX184" s="47" t="str">
        <f aca="false">IF(ISNUMBER(AX183),ROUND(AX181-AX183,1),"")</f>
        <v/>
      </c>
      <c r="AY184" s="47" t="str">
        <f aca="false">IF(ISNUMBER(AY183),ROUND(AY181-AY183,1),"")</f>
        <v/>
      </c>
      <c r="AZ184" s="47" t="str">
        <f aca="false">IF(ISNUMBER(AZ183),ROUND(AZ181-AZ183,1),"")</f>
        <v/>
      </c>
      <c r="BA184" s="47" t="str">
        <f aca="false">IF(ISNUMBER(BA183),ROUND(BA181-BA183,1),"")</f>
        <v/>
      </c>
      <c r="BB184" s="47" t="str">
        <f aca="false">IF(ISNUMBER(BB183),ROUND(BB181-BB183,1),"")</f>
        <v/>
      </c>
      <c r="BC184" s="47" t="str">
        <f aca="false">IF(ISNUMBER(BC183),ROUND(BC181-BC183,1),"")</f>
        <v/>
      </c>
      <c r="BD184" s="47" t="n">
        <f aca="false">IF(ISNUMBER(BD183),ROUND(BD181-BD183,1),"")</f>
        <v>0</v>
      </c>
      <c r="BE184" s="47" t="str">
        <f aca="false">IF(ISNUMBER(BE183),ROUND(BE181-BE183,1),"")</f>
        <v/>
      </c>
      <c r="BF184" s="47" t="n">
        <f aca="false">IF(ISNUMBER(BF183),ROUND(BF181-BF183,1),"")</f>
        <v>0</v>
      </c>
      <c r="BG184" s="47" t="n">
        <f aca="false">IF(ISNUMBER(BG183),ROUND(BG181-BG183,1),"")</f>
        <v>0</v>
      </c>
      <c r="BH184" s="47" t="n">
        <f aca="false">IF(ISNUMBER(BH183),ROUND(BH181-BH183,1),"")</f>
        <v>0</v>
      </c>
      <c r="BI184" s="47" t="n">
        <f aca="false">IF(ISNUMBER(BI183),ROUND(BI181-BI183,1),"")</f>
        <v>0</v>
      </c>
      <c r="BJ184" s="47" t="n">
        <f aca="false">IF(ISNUMBER(BJ183),ROUND(BJ181-BJ183,1),"")</f>
        <v>0</v>
      </c>
      <c r="BK184" s="47" t="n">
        <f aca="false">IF(ISNUMBER(BK183),ROUND(BK181-BK183,1),"")</f>
        <v>-0</v>
      </c>
      <c r="BL184" s="47" t="n">
        <f aca="false">IF(ISNUMBER(BL183),ROUND(BL181-BL183,1),"")</f>
        <v>0</v>
      </c>
      <c r="BM184" s="47" t="n">
        <f aca="false">IF(ISNUMBER(BM183),ROUND(BM181-BM183,1),"")</f>
        <v>-0</v>
      </c>
      <c r="BN184" s="47" t="n">
        <f aca="false">IF(ISNUMBER(BN183),ROUND(BN181-BN183,1),"")</f>
        <v>0</v>
      </c>
      <c r="BO184" s="47" t="n">
        <f aca="false">IF(ISNUMBER(BO183),ROUND(BO181-BO183,1),"")</f>
        <v>0</v>
      </c>
      <c r="BP184" s="47" t="n">
        <f aca="false">IF(ISNUMBER(BP183),ROUND(BP181-BP183,1),"")</f>
        <v>0</v>
      </c>
      <c r="BQ184" s="47" t="n">
        <f aca="false">IF(ISNUMBER(BQ183),ROUND(BQ181-BQ183,1),"")</f>
        <v>0</v>
      </c>
      <c r="BR184" s="47" t="n">
        <f aca="false">IF(ISNUMBER(BR183),ROUND(BR181-BR183,1),"")</f>
        <v>0</v>
      </c>
      <c r="BS184" s="47" t="n">
        <f aca="false">IF(ISNUMBER(BS183),ROUND(BS181-BS183,1),"")</f>
        <v>0</v>
      </c>
      <c r="BT184" s="47" t="n">
        <f aca="false">IF(ISNUMBER(BT183),ROUND(BT181-BT183,1),"")</f>
        <v>0</v>
      </c>
      <c r="BU184" s="47" t="n">
        <f aca="false">IF(ISNUMBER(BU183),ROUND(BU181-BU183,1),"")</f>
        <v>0</v>
      </c>
      <c r="BV184" s="47" t="n">
        <f aca="false">IF(ISNUMBER(BV183),ROUND(BV181-BV183,1),"")</f>
        <v>0</v>
      </c>
      <c r="BW184" s="47" t="n">
        <f aca="false">IF(ISNUMBER(BW183),ROUND(BW181-BW183,1),"")</f>
        <v>0</v>
      </c>
      <c r="BX184" s="47" t="n">
        <f aca="false">IF(ISNUMBER(BX183),ROUND(BX181-BX183,1),"")</f>
        <v>0</v>
      </c>
    </row>
    <row r="186" customFormat="false" ht="15" hidden="false" customHeight="false" outlineLevel="0" collapsed="false">
      <c r="B186" s="8" t="s">
        <v>306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</row>
    <row r="187" customFormat="false" ht="15" hidden="false" customHeight="false" outlineLevel="0" collapsed="false">
      <c r="B187" s="28" t="s">
        <v>307</v>
      </c>
      <c r="C187" s="43" t="n">
        <f aca="false">C149</f>
        <v>266.925000000001</v>
      </c>
      <c r="D187" s="43" t="n">
        <f aca="false">D149</f>
        <v>324.260999999999</v>
      </c>
      <c r="E187" s="43" t="n">
        <f aca="false">E149</f>
        <v>359.177000000001</v>
      </c>
      <c r="F187" s="43" t="n">
        <f aca="false">F149</f>
        <v>360.83</v>
      </c>
      <c r="G187" s="43" t="n">
        <f aca="false">G149</f>
        <v>387.026000000001</v>
      </c>
      <c r="H187" s="43" t="n">
        <f aca="false">H149</f>
        <v>431.612</v>
      </c>
      <c r="I187" s="43" t="n">
        <f aca="false">I149</f>
        <v>593.803999999998</v>
      </c>
      <c r="J187" s="43" t="n">
        <f aca="false">J149</f>
        <v>103.343</v>
      </c>
      <c r="K187" s="43" t="n">
        <f aca="false">K149</f>
        <v>111.872</v>
      </c>
      <c r="L187" s="43" t="n">
        <f aca="false">L149</f>
        <v>107.737</v>
      </c>
      <c r="M187" s="43" t="n">
        <f aca="false">M149</f>
        <v>92.9519999999997</v>
      </c>
      <c r="N187" s="43" t="n">
        <f aca="false">N149</f>
        <v>415.903999999999</v>
      </c>
      <c r="O187" s="43" t="n">
        <f aca="false">O149</f>
        <v>93.1870000000001</v>
      </c>
      <c r="P187" s="43" t="n">
        <f aca="false">P149</f>
        <v>118.596</v>
      </c>
      <c r="Q187" s="43" t="n">
        <f aca="false">Q149</f>
        <v>124.981</v>
      </c>
      <c r="R187" s="43" t="n">
        <f aca="false">R149</f>
        <v>112.947</v>
      </c>
      <c r="S187" s="43" t="n">
        <f aca="false">S149</f>
        <v>449.710999999998</v>
      </c>
      <c r="T187" s="43" t="n">
        <f aca="false">T149</f>
        <v>106.476</v>
      </c>
      <c r="U187" s="43" t="n">
        <f aca="false">U149</f>
        <v>137.208</v>
      </c>
      <c r="V187" s="43" t="n">
        <f aca="false">V149</f>
        <v>139.432</v>
      </c>
      <c r="W187" s="43" t="n">
        <f aca="false">W149</f>
        <v>126.583</v>
      </c>
      <c r="X187" s="43" t="n">
        <f aca="false">X149</f>
        <v>509.699</v>
      </c>
      <c r="Y187" s="43" t="n">
        <f aca="false">Y149</f>
        <v>118.963</v>
      </c>
      <c r="Z187" s="43" t="n">
        <f aca="false">Z149</f>
        <v>143.09</v>
      </c>
      <c r="AA187" s="43" t="n">
        <f aca="false">AA149</f>
        <v>129.028</v>
      </c>
      <c r="AB187" s="43" t="n">
        <f aca="false">AB149</f>
        <v>122.303</v>
      </c>
      <c r="AC187" s="43" t="n">
        <f aca="false">AC149</f>
        <v>513.384000000002</v>
      </c>
      <c r="AD187" s="43" t="n">
        <f aca="false">AD149</f>
        <v>122.08</v>
      </c>
      <c r="AE187" s="43" t="n">
        <f aca="false">AE149</f>
        <v>111.071</v>
      </c>
      <c r="AF187" s="43" t="n">
        <f aca="false">AF149</f>
        <v>119.186</v>
      </c>
      <c r="AG187" s="43" t="n">
        <f aca="false">AG149</f>
        <v>152.556</v>
      </c>
      <c r="AH187" s="43" t="n">
        <f aca="false">AH149</f>
        <v>504.892999999997</v>
      </c>
      <c r="AI187" s="43" t="n">
        <f aca="false">AI149</f>
        <v>142.297</v>
      </c>
      <c r="AJ187" s="43" t="n">
        <f aca="false">AJ149</f>
        <v>159.163</v>
      </c>
      <c r="AK187" s="43" t="n">
        <f aca="false">AK149</f>
        <v>175.895</v>
      </c>
      <c r="AL187" s="43" t="n">
        <f aca="false">AL149</f>
        <v>187.15</v>
      </c>
      <c r="AM187" s="43" t="n">
        <f aca="false">AM149</f>
        <v>664.504999999999</v>
      </c>
      <c r="AN187" s="43" t="n">
        <f aca="false">AN149</f>
        <v>161.788</v>
      </c>
      <c r="AO187" s="43" t="n">
        <f aca="false">AO149</f>
        <v>169.18</v>
      </c>
      <c r="AP187" s="43" t="n">
        <f aca="false">AP149</f>
        <v>146.894</v>
      </c>
      <c r="AQ187" s="43" t="n">
        <f aca="false">AQ149</f>
        <v>99.1060000000003</v>
      </c>
      <c r="AR187" s="43" t="n">
        <f aca="false">AR149</f>
        <v>576.967999999999</v>
      </c>
      <c r="AS187" s="43" t="n">
        <f aca="false">AS149</f>
        <v>78.1459999999999</v>
      </c>
      <c r="AT187" s="43" t="n">
        <f aca="false">AT149</f>
        <v>143.939</v>
      </c>
      <c r="AU187" s="43" t="n">
        <f aca="false">AU149</f>
        <v>136.529</v>
      </c>
      <c r="AV187" s="43" t="n">
        <f aca="false">AV149</f>
        <v>147.807</v>
      </c>
      <c r="AW187" s="43" t="n">
        <f aca="false">AW149</f>
        <v>506.421</v>
      </c>
      <c r="AX187" s="43" t="n">
        <f aca="false">AX149</f>
        <v>173.305</v>
      </c>
      <c r="AY187" s="43" t="n">
        <f aca="false">AY149</f>
        <v>193.788999999999</v>
      </c>
      <c r="AZ187" s="43" t="n">
        <f aca="false">AZ149</f>
        <v>247.052999999999</v>
      </c>
      <c r="BA187" s="43" t="n">
        <f aca="false">BA149</f>
        <v>230.098</v>
      </c>
      <c r="BB187" s="43" t="n">
        <f aca="false">BB149</f>
        <v>844.245</v>
      </c>
      <c r="BC187" s="43" t="n">
        <f aca="false">BC149</f>
        <v>270.348</v>
      </c>
      <c r="BD187" s="43" t="n">
        <f aca="false">BD149</f>
        <v>348.185</v>
      </c>
      <c r="BE187" s="43" t="n">
        <f aca="false">BE149</f>
        <v>225.798</v>
      </c>
      <c r="BF187" s="43" t="n">
        <f aca="false">BF149</f>
        <v>96.193</v>
      </c>
      <c r="BG187" s="43" t="n">
        <f aca="false">BG149</f>
        <v>940.524</v>
      </c>
      <c r="BH187" s="43" t="n">
        <f aca="false">BH149</f>
        <v>114.891</v>
      </c>
      <c r="BI187" s="43" t="n">
        <f aca="false">BI149</f>
        <v>97.3159999999996</v>
      </c>
      <c r="BJ187" s="43" t="n">
        <f aca="false">BJ149</f>
        <v>81.9489999999997</v>
      </c>
      <c r="BK187" s="43" t="n">
        <f aca="false">BK149</f>
        <v>30.9729999999996</v>
      </c>
      <c r="BL187" s="43" t="n">
        <f aca="false">BL149</f>
        <v>325.129</v>
      </c>
      <c r="BM187" s="43" t="n">
        <f aca="false">BM149</f>
        <v>92.9039999999994</v>
      </c>
      <c r="BN187" s="43" t="n">
        <f aca="false">BN149</f>
        <v>126.251</v>
      </c>
      <c r="BO187" s="43" t="n">
        <f aca="false">BO149</f>
        <v>97.2289999999997</v>
      </c>
      <c r="BP187" s="43" t="n">
        <f aca="false">BP149</f>
        <v>149.306</v>
      </c>
      <c r="BQ187" s="43" t="n">
        <f aca="false">BQ149</f>
        <v>465.689999999999</v>
      </c>
      <c r="BR187" s="43" t="n">
        <f aca="false">BR149</f>
        <v>135.302</v>
      </c>
      <c r="BS187" s="43" t="n">
        <f aca="false">BS149</f>
        <v>152.471</v>
      </c>
      <c r="BT187" s="43" t="n">
        <f aca="false">BT149</f>
        <v>162.986999999999</v>
      </c>
      <c r="BU187" s="43" t="n">
        <f aca="false">BU149</f>
        <v>136.321</v>
      </c>
      <c r="BV187" s="43" t="n">
        <f aca="false">BV149</f>
        <v>587.081</v>
      </c>
      <c r="BW187" s="43" t="n">
        <f aca="false">BW149</f>
        <v>147.233</v>
      </c>
      <c r="BX187" s="43" t="n">
        <f aca="false">BX149</f>
        <v>186.786</v>
      </c>
      <c r="BY187" s="49" t="n">
        <f aca="false">BY149</f>
        <v>208.621079525743</v>
      </c>
      <c r="BZ187" s="49" t="n">
        <f aca="false">BZ149</f>
        <v>174.294160474256</v>
      </c>
      <c r="CA187" s="49" t="n">
        <f aca="false">CA149</f>
        <v>716.93424</v>
      </c>
      <c r="CB187" s="49" t="n">
        <f aca="false">CB149</f>
        <v>829.79979227077</v>
      </c>
      <c r="CC187" s="49" t="n">
        <f aca="false">CC149</f>
        <v>896.522032694338</v>
      </c>
      <c r="CD187" s="49" t="n">
        <f aca="false">CD149</f>
        <v>960.914103024663</v>
      </c>
      <c r="CE187" s="49" t="n">
        <f aca="false">CE149</f>
        <v>1018.93060730814</v>
      </c>
    </row>
    <row r="188" customFormat="false" ht="15" hidden="false" customHeight="false" outlineLevel="0" collapsed="false">
      <c r="B188" s="28" t="s">
        <v>308</v>
      </c>
      <c r="C188" s="43" t="n">
        <f aca="false">-C142</f>
        <v>-11.843</v>
      </c>
      <c r="D188" s="43" t="n">
        <f aca="false">-D142</f>
        <v>-13.83</v>
      </c>
      <c r="E188" s="43" t="n">
        <f aca="false">-E142</f>
        <v>-6.801</v>
      </c>
      <c r="F188" s="43" t="n">
        <f aca="false">-F142</f>
        <v>-2.25</v>
      </c>
      <c r="G188" s="43" t="n">
        <f aca="false">-G142</f>
        <v>-1.242</v>
      </c>
      <c r="H188" s="43" t="n">
        <f aca="false">-H142</f>
        <v>-1.974</v>
      </c>
      <c r="I188" s="43" t="n">
        <f aca="false">-I142</f>
        <v>-283.142</v>
      </c>
      <c r="J188" s="43" t="n">
        <f aca="false">-J142</f>
        <v>0.06</v>
      </c>
      <c r="K188" s="43" t="n">
        <f aca="false">-K142</f>
        <v>0.589</v>
      </c>
      <c r="L188" s="43" t="n">
        <f aca="false">-L142</f>
        <v>2.635</v>
      </c>
      <c r="M188" s="43" t="n">
        <f aca="false">-M142</f>
        <v>6.005</v>
      </c>
      <c r="N188" s="43" t="n">
        <f aca="false">-N142</f>
        <v>9.289</v>
      </c>
      <c r="O188" s="43" t="n">
        <f aca="false">-O142</f>
        <v>6.131</v>
      </c>
      <c r="P188" s="43" t="n">
        <f aca="false">-P142</f>
        <v>6.252</v>
      </c>
      <c r="Q188" s="43" t="n">
        <f aca="false">-Q142</f>
        <v>6.204</v>
      </c>
      <c r="R188" s="43" t="n">
        <f aca="false">-R142</f>
        <v>6.4</v>
      </c>
      <c r="S188" s="43" t="n">
        <f aca="false">-S142</f>
        <v>24.987</v>
      </c>
      <c r="T188" s="43" t="n">
        <f aca="false">-T142</f>
        <v>9.605</v>
      </c>
      <c r="U188" s="43" t="n">
        <f aca="false">-U142</f>
        <v>5.894</v>
      </c>
      <c r="V188" s="43" t="n">
        <f aca="false">-V142</f>
        <v>6.559</v>
      </c>
      <c r="W188" s="43" t="n">
        <f aca="false">-W142</f>
        <v>13.471</v>
      </c>
      <c r="X188" s="43" t="n">
        <f aca="false">-X142</f>
        <v>35.529</v>
      </c>
      <c r="Y188" s="43" t="n">
        <f aca="false">-Y142</f>
        <v>8.772</v>
      </c>
      <c r="Z188" s="43" t="n">
        <f aca="false">-Z142</f>
        <v>6.265</v>
      </c>
      <c r="AA188" s="43" t="n">
        <f aca="false">-AA142</f>
        <v>7.426</v>
      </c>
      <c r="AB188" s="43" t="n">
        <f aca="false">-AB142</f>
        <v>3.118</v>
      </c>
      <c r="AC188" s="43" t="n">
        <f aca="false">-AC142</f>
        <v>25.581</v>
      </c>
      <c r="AD188" s="43" t="n">
        <f aca="false">-AD142</f>
        <v>9.302</v>
      </c>
      <c r="AE188" s="43" t="n">
        <f aca="false">-AE142</f>
        <v>9.368</v>
      </c>
      <c r="AF188" s="43" t="n">
        <f aca="false">-AF142</f>
        <v>10.484</v>
      </c>
      <c r="AG188" s="43" t="n">
        <f aca="false">-AG142</f>
        <v>17.502</v>
      </c>
      <c r="AH188" s="43" t="n">
        <f aca="false">-AH142</f>
        <v>46.656</v>
      </c>
      <c r="AI188" s="43" t="n">
        <f aca="false">-AI142</f>
        <v>10.7</v>
      </c>
      <c r="AJ188" s="43" t="n">
        <f aca="false">-AJ142</f>
        <v>5.128</v>
      </c>
      <c r="AK188" s="43" t="n">
        <f aca="false">-AK142</f>
        <v>6.526</v>
      </c>
      <c r="AL188" s="43" t="n">
        <f aca="false">-AL142</f>
        <v>9.456</v>
      </c>
      <c r="AM188" s="43" t="n">
        <f aca="false">-AM142</f>
        <v>31.81</v>
      </c>
      <c r="AN188" s="43" t="n">
        <f aca="false">-AN142</f>
        <v>17.14</v>
      </c>
      <c r="AO188" s="43" t="n">
        <f aca="false">-AO142</f>
        <v>6.615</v>
      </c>
      <c r="AP188" s="43" t="n">
        <f aca="false">-AP142</f>
        <v>13.18</v>
      </c>
      <c r="AQ188" s="43" t="n">
        <f aca="false">-AQ142</f>
        <v>10.784</v>
      </c>
      <c r="AR188" s="43" t="n">
        <f aca="false">-AR142</f>
        <v>47.719</v>
      </c>
      <c r="AS188" s="43" t="n">
        <f aca="false">-AS142</f>
        <v>15.228</v>
      </c>
      <c r="AT188" s="43" t="n">
        <f aca="false">-AT142</f>
        <v>10.211</v>
      </c>
      <c r="AU188" s="43" t="n">
        <f aca="false">-AU142</f>
        <v>7.465</v>
      </c>
      <c r="AV188" s="43" t="n">
        <f aca="false">-AV142</f>
        <v>12.033</v>
      </c>
      <c r="AW188" s="43" t="n">
        <f aca="false">-AW142</f>
        <v>44.937</v>
      </c>
      <c r="AX188" s="43" t="n">
        <f aca="false">-AX142</f>
        <v>11.26</v>
      </c>
      <c r="AY188" s="43" t="n">
        <f aca="false">-AY142</f>
        <v>13.497</v>
      </c>
      <c r="AZ188" s="43" t="n">
        <f aca="false">-AZ142</f>
        <v>16.662</v>
      </c>
      <c r="BA188" s="43" t="n">
        <f aca="false">-BA142</f>
        <v>18.398</v>
      </c>
      <c r="BB188" s="43" t="n">
        <f aca="false">-BB142</f>
        <v>59.817</v>
      </c>
      <c r="BC188" s="43" t="n">
        <f aca="false">-BC142</f>
        <v>14.174</v>
      </c>
      <c r="BD188" s="43" t="n">
        <f aca="false">-BD142</f>
        <v>27.395</v>
      </c>
      <c r="BE188" s="43" t="n">
        <f aca="false">-BE142</f>
        <v>15.972</v>
      </c>
      <c r="BF188" s="43" t="n">
        <f aca="false">-BF142</f>
        <v>42.476</v>
      </c>
      <c r="BG188" s="43" t="n">
        <f aca="false">-BG142</f>
        <v>100.017</v>
      </c>
      <c r="BH188" s="43" t="n">
        <f aca="false">-BH142</f>
        <v>28.265</v>
      </c>
      <c r="BI188" s="43" t="n">
        <f aca="false">-BI142</f>
        <v>18.259</v>
      </c>
      <c r="BJ188" s="43" t="n">
        <f aca="false">-BJ142</f>
        <v>20.748</v>
      </c>
      <c r="BK188" s="43" t="n">
        <f aca="false">-BK142</f>
        <v>38.149</v>
      </c>
      <c r="BL188" s="43" t="n">
        <f aca="false">-BL142</f>
        <v>105.421</v>
      </c>
      <c r="BM188" s="43" t="n">
        <f aca="false">-BM142</f>
        <v>16.78</v>
      </c>
      <c r="BN188" s="43" t="n">
        <f aca="false">-BN142</f>
        <v>21.525</v>
      </c>
      <c r="BO188" s="43" t="n">
        <f aca="false">-BO142</f>
        <v>36.282</v>
      </c>
      <c r="BP188" s="43" t="n">
        <f aca="false">-BP142</f>
        <v>15.35</v>
      </c>
      <c r="BQ188" s="43" t="n">
        <f aca="false">-BQ142</f>
        <v>89.937</v>
      </c>
      <c r="BR188" s="43" t="n">
        <f aca="false">-BR142</f>
        <v>20.051</v>
      </c>
      <c r="BS188" s="43" t="n">
        <f aca="false">-BS142</f>
        <v>22.026</v>
      </c>
      <c r="BT188" s="43" t="n">
        <f aca="false">-BT142</f>
        <v>15.602</v>
      </c>
      <c r="BU188" s="43" t="n">
        <f aca="false">-BU142</f>
        <v>14.825</v>
      </c>
      <c r="BV188" s="43" t="n">
        <f aca="false">-BV142</f>
        <v>72.504</v>
      </c>
      <c r="BW188" s="43" t="n">
        <f aca="false">-BW142</f>
        <v>9.013</v>
      </c>
      <c r="BX188" s="43" t="n">
        <f aca="false">-BX142</f>
        <v>17.878</v>
      </c>
      <c r="BY188" s="49" t="n">
        <f aca="false">-BY142</f>
        <v>17.878</v>
      </c>
      <c r="BZ188" s="49" t="n">
        <f aca="false">-BZ142</f>
        <v>17.878</v>
      </c>
      <c r="CA188" s="49" t="n">
        <f aca="false">-CA142</f>
        <v>62.647</v>
      </c>
      <c r="CB188" s="49" t="n">
        <f aca="false">-CB142</f>
        <v>60.7068880108366</v>
      </c>
      <c r="CC188" s="49" t="n">
        <f aca="false">-CC142</f>
        <v>73.4966167308311</v>
      </c>
      <c r="CD188" s="49" t="n">
        <f aca="false">-CD142</f>
        <v>82.3116763469164</v>
      </c>
      <c r="CE188" s="49" t="n">
        <f aca="false">-CE142</f>
        <v>88.0478236817175</v>
      </c>
    </row>
    <row r="189" customFormat="false" ht="15" hidden="false" customHeight="false" outlineLevel="0" collapsed="false">
      <c r="B189" s="28" t="s">
        <v>309</v>
      </c>
      <c r="C189" s="43" t="n">
        <f aca="false">C147</f>
        <v>162.763</v>
      </c>
      <c r="D189" s="43" t="n">
        <f aca="false">D147</f>
        <v>199.253</v>
      </c>
      <c r="E189" s="43" t="n">
        <f aca="false">E147</f>
        <v>219.21</v>
      </c>
      <c r="F189" s="43" t="n">
        <f aca="false">F147</f>
        <v>226.231</v>
      </c>
      <c r="G189" s="43" t="n">
        <f aca="false">G147</f>
        <v>237.076</v>
      </c>
      <c r="H189" s="43" t="n">
        <f aca="false">H147</f>
        <v>263.092</v>
      </c>
      <c r="I189" s="43" t="n">
        <f aca="false">I147</f>
        <v>364.658</v>
      </c>
      <c r="J189" s="43" t="n">
        <f aca="false">J147</f>
        <v>65.303</v>
      </c>
      <c r="K189" s="43" t="n">
        <f aca="false">K147</f>
        <v>70.015</v>
      </c>
      <c r="L189" s="43" t="n">
        <f aca="false">L147</f>
        <v>65.983</v>
      </c>
      <c r="M189" s="43" t="n">
        <f aca="false">M147</f>
        <v>56.156</v>
      </c>
      <c r="N189" s="43" t="n">
        <f aca="false">N147</f>
        <v>257.457</v>
      </c>
      <c r="O189" s="43" t="n">
        <f aca="false">O147</f>
        <v>57.653</v>
      </c>
      <c r="P189" s="43" t="n">
        <f aca="false">P147</f>
        <v>75.534</v>
      </c>
      <c r="Q189" s="43" t="n">
        <f aca="false">Q147</f>
        <v>72.152</v>
      </c>
      <c r="R189" s="43" t="n">
        <f aca="false">R147</f>
        <v>68.381</v>
      </c>
      <c r="S189" s="43" t="n">
        <f aca="false">S147</f>
        <v>273.72</v>
      </c>
      <c r="T189" s="43" t="n">
        <f aca="false">T147</f>
        <v>65.844</v>
      </c>
      <c r="U189" s="43" t="n">
        <f aca="false">U147</f>
        <v>85.993</v>
      </c>
      <c r="V189" s="43" t="n">
        <f aca="false">V147</f>
        <v>86.72</v>
      </c>
      <c r="W189" s="43" t="n">
        <f aca="false">W147</f>
        <v>74.525</v>
      </c>
      <c r="X189" s="43" t="n">
        <f aca="false">X147</f>
        <v>313.082</v>
      </c>
      <c r="Y189" s="43" t="n">
        <f aca="false">Y147</f>
        <v>71.217</v>
      </c>
      <c r="Z189" s="43" t="n">
        <f aca="false">Z147</f>
        <v>84.392</v>
      </c>
      <c r="AA189" s="43" t="n">
        <f aca="false">AA147</f>
        <v>74.813</v>
      </c>
      <c r="AB189" s="43" t="n">
        <f aca="false">AB147</f>
        <v>68.144</v>
      </c>
      <c r="AC189" s="43" t="n">
        <f aca="false">AC147</f>
        <v>298.566</v>
      </c>
      <c r="AD189" s="43" t="n">
        <f aca="false">AD147</f>
        <v>56.576</v>
      </c>
      <c r="AE189" s="43" t="n">
        <f aca="false">AE147</f>
        <v>61.381</v>
      </c>
      <c r="AF189" s="43" t="n">
        <f aca="false">AF147</f>
        <v>64.795</v>
      </c>
      <c r="AG189" s="43" t="n">
        <f aca="false">AG147</f>
        <v>40.818</v>
      </c>
      <c r="AH189" s="43" t="n">
        <f aca="false">AH147</f>
        <v>223.57</v>
      </c>
      <c r="AI189" s="43" t="n">
        <f aca="false">AI147</f>
        <v>38.588</v>
      </c>
      <c r="AJ189" s="43" t="n">
        <f aca="false">AJ147</f>
        <v>54.717</v>
      </c>
      <c r="AK189" s="43" t="n">
        <f aca="false">AK147</f>
        <v>63.552</v>
      </c>
      <c r="AL189" s="43" t="n">
        <f aca="false">AL147</f>
        <v>58.911</v>
      </c>
      <c r="AM189" s="43" t="n">
        <f aca="false">AM147</f>
        <v>215.768</v>
      </c>
      <c r="AN189" s="43" t="n">
        <f aca="false">AN147</f>
        <v>45.622</v>
      </c>
      <c r="AO189" s="43" t="n">
        <f aca="false">AO147</f>
        <v>51.74</v>
      </c>
      <c r="AP189" s="43" t="n">
        <f aca="false">AP147</f>
        <v>41.011</v>
      </c>
      <c r="AQ189" s="43" t="n">
        <f aca="false">AQ147</f>
        <v>26.916</v>
      </c>
      <c r="AR189" s="43" t="n">
        <f aca="false">AR147</f>
        <v>165.289</v>
      </c>
      <c r="AS189" s="43" t="n">
        <f aca="false">AS147</f>
        <v>16.066</v>
      </c>
      <c r="AT189" s="43" t="n">
        <f aca="false">AT147</f>
        <v>34.637</v>
      </c>
      <c r="AU189" s="43" t="n">
        <f aca="false">AU147</f>
        <v>24.245</v>
      </c>
      <c r="AV189" s="43" t="n">
        <f aca="false">AV147</f>
        <v>46.962</v>
      </c>
      <c r="AW189" s="43" t="n">
        <f aca="false">AW147</f>
        <v>121.91</v>
      </c>
      <c r="AX189" s="43" t="n">
        <f aca="false">AX147</f>
        <v>38.764</v>
      </c>
      <c r="AY189" s="43" t="n">
        <f aca="false">AY147</f>
        <v>53.318</v>
      </c>
      <c r="AZ189" s="43" t="n">
        <f aca="false">AZ147</f>
        <v>47.054</v>
      </c>
      <c r="BA189" s="43" t="n">
        <f aca="false">BA147</f>
        <v>38.91</v>
      </c>
      <c r="BB189" s="43" t="n">
        <f aca="false">BB147</f>
        <v>178.046</v>
      </c>
      <c r="BC189" s="43" t="n">
        <f aca="false">BC147</f>
        <v>60.952</v>
      </c>
      <c r="BD189" s="43" t="n">
        <f aca="false">BD147</f>
        <v>94.085</v>
      </c>
      <c r="BE189" s="43" t="n">
        <f aca="false">BE147</f>
        <v>45.839</v>
      </c>
      <c r="BF189" s="43" t="n">
        <f aca="false">BF147</f>
        <v>25.365</v>
      </c>
      <c r="BG189" s="43" t="n">
        <f aca="false">BG147</f>
        <v>226.241</v>
      </c>
      <c r="BH189" s="43" t="n">
        <f aca="false">BH147</f>
        <v>17.877</v>
      </c>
      <c r="BI189" s="43" t="n">
        <f aca="false">BI147</f>
        <v>17.048</v>
      </c>
      <c r="BJ189" s="43" t="n">
        <f aca="false">BJ147</f>
        <v>10.825</v>
      </c>
      <c r="BK189" s="43" t="n">
        <f aca="false">BK147</f>
        <v>38.307</v>
      </c>
      <c r="BL189" s="43" t="n">
        <f aca="false">BL147</f>
        <v>84.057</v>
      </c>
      <c r="BM189" s="43" t="n">
        <f aca="false">BM147</f>
        <v>17.449</v>
      </c>
      <c r="BN189" s="43" t="n">
        <f aca="false">BN147</f>
        <v>30.314</v>
      </c>
      <c r="BO189" s="43" t="n">
        <f aca="false">BO147</f>
        <v>46.608</v>
      </c>
      <c r="BP189" s="43" t="n">
        <f aca="false">BP147</f>
        <v>19.143</v>
      </c>
      <c r="BQ189" s="43" t="n">
        <f aca="false">BQ147</f>
        <v>113.514</v>
      </c>
      <c r="BR189" s="43" t="n">
        <f aca="false">BR147</f>
        <v>21.5</v>
      </c>
      <c r="BS189" s="43" t="n">
        <f aca="false">BS147</f>
        <v>41.422</v>
      </c>
      <c r="BT189" s="43" t="n">
        <f aca="false">BT147</f>
        <v>42.247</v>
      </c>
      <c r="BU189" s="43" t="n">
        <f aca="false">BU147</f>
        <v>30.207</v>
      </c>
      <c r="BV189" s="43" t="n">
        <f aca="false">BV147</f>
        <v>135.376</v>
      </c>
      <c r="BW189" s="43" t="n">
        <f aca="false">BW147</f>
        <v>19.44</v>
      </c>
      <c r="BX189" s="43" t="n">
        <f aca="false">BX147</f>
        <v>51.079</v>
      </c>
      <c r="BY189" s="49" t="n">
        <f aca="false">BY147</f>
        <v>53.2023926958594</v>
      </c>
      <c r="BZ189" s="49" t="n">
        <f aca="false">BZ147</f>
        <v>44.4483673041404</v>
      </c>
      <c r="CA189" s="49" t="n">
        <f aca="false">CA147</f>
        <v>168.16976</v>
      </c>
      <c r="CB189" s="49" t="n">
        <f aca="false">CB147</f>
        <v>207.449948067693</v>
      </c>
      <c r="CC189" s="49" t="n">
        <f aca="false">CC147</f>
        <v>224.130508173585</v>
      </c>
      <c r="CD189" s="49" t="n">
        <f aca="false">CD147</f>
        <v>240.228525756166</v>
      </c>
      <c r="CE189" s="49" t="n">
        <f aca="false">CE147</f>
        <v>254.732651827034</v>
      </c>
    </row>
    <row r="190" customFormat="false" ht="15" hidden="false" customHeight="false" outlineLevel="0" collapsed="false">
      <c r="B190" s="28" t="s">
        <v>310</v>
      </c>
      <c r="C190" s="43" t="n">
        <f aca="false">C152</f>
        <v>23.932</v>
      </c>
      <c r="D190" s="43" t="n">
        <f aca="false">D152</f>
        <v>27.366</v>
      </c>
      <c r="E190" s="43" t="n">
        <f aca="false">E152</f>
        <v>31.164</v>
      </c>
      <c r="F190" s="43" t="n">
        <f aca="false">F152</f>
        <v>30.514</v>
      </c>
      <c r="G190" s="43" t="n">
        <f aca="false">G152</f>
        <v>29.369</v>
      </c>
      <c r="H190" s="43" t="n">
        <f aca="false">H152</f>
        <v>32.498</v>
      </c>
      <c r="I190" s="43" t="n">
        <f aca="false">I152</f>
        <v>38.09</v>
      </c>
      <c r="J190" s="43" t="n">
        <f aca="false">J152</f>
        <v>13.807</v>
      </c>
      <c r="K190" s="43" t="n">
        <f aca="false">K152</f>
        <v>14.145</v>
      </c>
      <c r="L190" s="43" t="n">
        <f aca="false">L152</f>
        <v>14.1</v>
      </c>
      <c r="M190" s="43" t="n">
        <f aca="false">M152</f>
        <v>14.83</v>
      </c>
      <c r="N190" s="43" t="n">
        <f aca="false">N152</f>
        <v>56.882</v>
      </c>
      <c r="O190" s="43" t="n">
        <f aca="false">O152</f>
        <v>14.549</v>
      </c>
      <c r="P190" s="43" t="n">
        <f aca="false">P152</f>
        <v>14.8</v>
      </c>
      <c r="Q190" s="43" t="n">
        <f aca="false">Q152</f>
        <v>14.093</v>
      </c>
      <c r="R190" s="43" t="n">
        <f aca="false">R152</f>
        <v>13.567</v>
      </c>
      <c r="S190" s="43" t="n">
        <f aca="false">S152</f>
        <v>57.009</v>
      </c>
      <c r="T190" s="43" t="n">
        <f aca="false">T152</f>
        <v>16.243</v>
      </c>
      <c r="U190" s="43" t="n">
        <f aca="false">U152</f>
        <v>16.439</v>
      </c>
      <c r="V190" s="43" t="n">
        <f aca="false">V152</f>
        <v>16.831</v>
      </c>
      <c r="W190" s="43" t="n">
        <f aca="false">W152</f>
        <v>16.896</v>
      </c>
      <c r="X190" s="43" t="n">
        <f aca="false">X152</f>
        <v>66.409</v>
      </c>
      <c r="Y190" s="43" t="n">
        <f aca="false">Y152</f>
        <v>16.875</v>
      </c>
      <c r="Z190" s="43" t="n">
        <f aca="false">Z152</f>
        <v>18.184</v>
      </c>
      <c r="AA190" s="43" t="n">
        <f aca="false">AA152</f>
        <v>17.657</v>
      </c>
      <c r="AB190" s="43" t="n">
        <f aca="false">AB152</f>
        <v>21.953</v>
      </c>
      <c r="AC190" s="43" t="n">
        <f aca="false">AC152</f>
        <v>74.669</v>
      </c>
      <c r="AD190" s="43" t="n">
        <f aca="false">AD152</f>
        <v>22.431</v>
      </c>
      <c r="AE190" s="43" t="n">
        <f aca="false">AE152</f>
        <v>22.946</v>
      </c>
      <c r="AF190" s="43" t="n">
        <f aca="false">AF152</f>
        <v>23.963</v>
      </c>
      <c r="AG190" s="43" t="n">
        <f aca="false">AG152</f>
        <v>23.637</v>
      </c>
      <c r="AH190" s="43" t="n">
        <f aca="false">AH152</f>
        <v>92.977</v>
      </c>
      <c r="AI190" s="43" t="n">
        <f aca="false">AI152</f>
        <v>24.241</v>
      </c>
      <c r="AJ190" s="43" t="n">
        <f aca="false">AJ152</f>
        <v>24.238</v>
      </c>
      <c r="AK190" s="43" t="n">
        <f aca="false">AK152</f>
        <v>23.923</v>
      </c>
      <c r="AL190" s="43" t="n">
        <f aca="false">AL152</f>
        <v>24.327</v>
      </c>
      <c r="AM190" s="43" t="n">
        <f aca="false">AM152</f>
        <v>96.729</v>
      </c>
      <c r="AN190" s="43" t="n">
        <f aca="false">AN152</f>
        <v>24.56</v>
      </c>
      <c r="AO190" s="43" t="n">
        <f aca="false">AO152</f>
        <v>25.082</v>
      </c>
      <c r="AP190" s="43" t="n">
        <f aca="false">AP152</f>
        <v>25.48</v>
      </c>
      <c r="AQ190" s="43" t="n">
        <f aca="false">AQ152</f>
        <v>25.327</v>
      </c>
      <c r="AR190" s="43" t="n">
        <f aca="false">AR152</f>
        <v>100.449</v>
      </c>
      <c r="AS190" s="43" t="n">
        <f aca="false">AS152</f>
        <v>24.393</v>
      </c>
      <c r="AT190" s="43" t="n">
        <f aca="false">AT152</f>
        <v>25.758</v>
      </c>
      <c r="AU190" s="43" t="n">
        <f aca="false">AU152</f>
        <v>26.916</v>
      </c>
      <c r="AV190" s="43" t="n">
        <f aca="false">AV152</f>
        <v>24.66</v>
      </c>
      <c r="AW190" s="43" t="n">
        <f aca="false">AW152</f>
        <v>101.727</v>
      </c>
      <c r="AX190" s="43" t="n">
        <f aca="false">AX152</f>
        <v>23.278</v>
      </c>
      <c r="AY190" s="43" t="n">
        <f aca="false">AY152</f>
        <v>22.937</v>
      </c>
      <c r="AZ190" s="43" t="n">
        <f aca="false">AZ152</f>
        <v>22.406</v>
      </c>
      <c r="BA190" s="43" t="n">
        <f aca="false">BA152</f>
        <v>22.638</v>
      </c>
      <c r="BB190" s="43" t="n">
        <f aca="false">BB152</f>
        <v>91.259</v>
      </c>
      <c r="BC190" s="43" t="n">
        <f aca="false">BC152</f>
        <v>22.486</v>
      </c>
      <c r="BD190" s="43" t="n">
        <f aca="false">BD152</f>
        <v>23.262</v>
      </c>
      <c r="BE190" s="43" t="n">
        <f aca="false">BE152</f>
        <v>22.975</v>
      </c>
      <c r="BF190" s="43" t="n">
        <f aca="false">BF152</f>
        <v>24.053</v>
      </c>
      <c r="BG190" s="43" t="n">
        <f aca="false">BG152</f>
        <v>92.776</v>
      </c>
      <c r="BH190" s="43" t="n">
        <f aca="false">BH152</f>
        <v>24.38</v>
      </c>
      <c r="BI190" s="43" t="n">
        <f aca="false">BI152</f>
        <v>25.975</v>
      </c>
      <c r="BJ190" s="43" t="n">
        <f aca="false">BJ152</f>
        <v>25.544</v>
      </c>
      <c r="BK190" s="43" t="n">
        <f aca="false">BK152</f>
        <v>23.086</v>
      </c>
      <c r="BL190" s="43" t="n">
        <f aca="false">BL152</f>
        <v>98.985</v>
      </c>
      <c r="BM190" s="43" t="n">
        <f aca="false">BM152</f>
        <v>23.878</v>
      </c>
      <c r="BN190" s="43" t="n">
        <f aca="false">BN152</f>
        <v>25.054</v>
      </c>
      <c r="BO190" s="43" t="n">
        <f aca="false">BO152</f>
        <v>23.948</v>
      </c>
      <c r="BP190" s="43" t="n">
        <f aca="false">BP152</f>
        <v>24.28</v>
      </c>
      <c r="BQ190" s="43" t="n">
        <f aca="false">BQ152</f>
        <v>97.16</v>
      </c>
      <c r="BR190" s="43" t="n">
        <f aca="false">BR152</f>
        <v>25.642</v>
      </c>
      <c r="BS190" s="43" t="n">
        <f aca="false">BS152</f>
        <v>24.866</v>
      </c>
      <c r="BT190" s="43" t="n">
        <f aca="false">BT152</f>
        <v>25.829</v>
      </c>
      <c r="BU190" s="43" t="n">
        <f aca="false">BU152</f>
        <v>26.481</v>
      </c>
      <c r="BV190" s="43" t="n">
        <f aca="false">BV152</f>
        <v>102.818</v>
      </c>
      <c r="BW190" s="43" t="n">
        <f aca="false">BW152</f>
        <v>24.852</v>
      </c>
      <c r="BX190" s="43" t="n">
        <f aca="false">BX152</f>
        <v>22.569</v>
      </c>
      <c r="BY190" s="49" t="n">
        <f aca="false">BY152</f>
        <v>23.3097679735366</v>
      </c>
      <c r="BZ190" s="49" t="n">
        <f aca="false">BZ152</f>
        <v>21.691216089801</v>
      </c>
      <c r="CA190" s="49" t="n">
        <f aca="false">CA152</f>
        <v>92.4219840633376</v>
      </c>
      <c r="CB190" s="49" t="n">
        <f aca="false">CB152</f>
        <v>106.071186374676</v>
      </c>
      <c r="CC190" s="49" t="n">
        <f aca="false">CC152</f>
        <v>113.793661272926</v>
      </c>
      <c r="CD190" s="49" t="n">
        <f aca="false">CD152</f>
        <v>123.174919503953</v>
      </c>
      <c r="CE190" s="49" t="n">
        <f aca="false">CE152</f>
        <v>133.605225437526</v>
      </c>
    </row>
    <row r="191" customFormat="false" ht="15" hidden="false" customHeight="false" outlineLevel="0" collapsed="false">
      <c r="B191" s="51" t="s">
        <v>311</v>
      </c>
      <c r="C191" s="52" t="n">
        <f aca="false">C187+C188+C189+C190</f>
        <v>441.777000000001</v>
      </c>
      <c r="D191" s="52" t="n">
        <f aca="false">D187+D188+D189+D190</f>
        <v>537.049999999999</v>
      </c>
      <c r="E191" s="52" t="n">
        <f aca="false">E187+E188+E189+E190</f>
        <v>602.750000000001</v>
      </c>
      <c r="F191" s="52" t="n">
        <f aca="false">F187+F188+F189+F190</f>
        <v>615.325</v>
      </c>
      <c r="G191" s="52" t="n">
        <f aca="false">G187+G188+G189+G190</f>
        <v>652.229000000001</v>
      </c>
      <c r="H191" s="52" t="n">
        <f aca="false">H187+H188+H189+H190</f>
        <v>725.228</v>
      </c>
      <c r="I191" s="52" t="n">
        <f aca="false">I187+I188+I189+I190</f>
        <v>713.409999999998</v>
      </c>
      <c r="J191" s="52" t="n">
        <f aca="false">J187+J188+J189+J190</f>
        <v>182.513</v>
      </c>
      <c r="K191" s="52" t="n">
        <f aca="false">K187+K188+K189+K190</f>
        <v>196.621</v>
      </c>
      <c r="L191" s="52" t="n">
        <f aca="false">L187+L188+L189+L190</f>
        <v>190.455</v>
      </c>
      <c r="M191" s="52" t="n">
        <f aca="false">M187+M188+M189+M190</f>
        <v>169.943</v>
      </c>
      <c r="N191" s="52" t="n">
        <f aca="false">N187+N188+N189+N190</f>
        <v>739.531999999999</v>
      </c>
      <c r="O191" s="52" t="n">
        <f aca="false">O187+O188+O189+O190</f>
        <v>171.52</v>
      </c>
      <c r="P191" s="52" t="n">
        <f aca="false">P187+P188+P189+P190</f>
        <v>215.182</v>
      </c>
      <c r="Q191" s="52" t="n">
        <f aca="false">Q187+Q188+Q189+Q190</f>
        <v>217.43</v>
      </c>
      <c r="R191" s="52" t="n">
        <f aca="false">R187+R188+R189+R190</f>
        <v>201.295</v>
      </c>
      <c r="S191" s="52" t="n">
        <f aca="false">S187+S188+S189+S190</f>
        <v>805.426999999998</v>
      </c>
      <c r="T191" s="52" t="n">
        <f aca="false">T187+T188+T189+T190</f>
        <v>198.168</v>
      </c>
      <c r="U191" s="52" t="n">
        <f aca="false">U187+U188+U189+U190</f>
        <v>245.534</v>
      </c>
      <c r="V191" s="52" t="n">
        <f aca="false">V187+V188+V189+V190</f>
        <v>249.542</v>
      </c>
      <c r="W191" s="52" t="n">
        <f aca="false">W187+W188+W189+W190</f>
        <v>231.475</v>
      </c>
      <c r="X191" s="52" t="n">
        <f aca="false">X187+X188+X189+X190</f>
        <v>924.719</v>
      </c>
      <c r="Y191" s="52" t="n">
        <f aca="false">Y187+Y188+Y189+Y190</f>
        <v>215.827</v>
      </c>
      <c r="Z191" s="52" t="n">
        <f aca="false">Z187+Z188+Z189+Z190</f>
        <v>251.931</v>
      </c>
      <c r="AA191" s="52" t="n">
        <f aca="false">AA187+AA188+AA189+AA190</f>
        <v>228.924</v>
      </c>
      <c r="AB191" s="52" t="n">
        <f aca="false">AB187+AB188+AB189+AB190</f>
        <v>215.518</v>
      </c>
      <c r="AC191" s="52" t="n">
        <f aca="false">AC187+AC188+AC189+AC190</f>
        <v>912.200000000002</v>
      </c>
      <c r="AD191" s="52" t="n">
        <f aca="false">AD187+AD188+AD189+AD190</f>
        <v>210.389</v>
      </c>
      <c r="AE191" s="52" t="n">
        <f aca="false">AE187+AE188+AE189+AE190</f>
        <v>204.766</v>
      </c>
      <c r="AF191" s="52" t="n">
        <f aca="false">AF187+AF188+AF189+AF190</f>
        <v>218.428</v>
      </c>
      <c r="AG191" s="52" t="n">
        <f aca="false">AG187+AG188+AG189+AG190</f>
        <v>234.513</v>
      </c>
      <c r="AH191" s="52" t="n">
        <f aca="false">AH187+AH188+AH189+AH190</f>
        <v>868.095999999997</v>
      </c>
      <c r="AI191" s="52" t="n">
        <f aca="false">AI187+AI188+AI189+AI190</f>
        <v>215.826</v>
      </c>
      <c r="AJ191" s="52" t="n">
        <f aca="false">AJ187+AJ188+AJ189+AJ190</f>
        <v>243.246</v>
      </c>
      <c r="AK191" s="52" t="n">
        <f aca="false">AK187+AK188+AK189+AK190</f>
        <v>269.896</v>
      </c>
      <c r="AL191" s="52" t="n">
        <f aca="false">AL187+AL188+AL189+AL190</f>
        <v>279.844</v>
      </c>
      <c r="AM191" s="52" t="n">
        <f aca="false">AM187+AM188+AM189+AM190</f>
        <v>1008.812</v>
      </c>
      <c r="AN191" s="52" t="n">
        <f aca="false">AN187+AN188+AN189+AN190</f>
        <v>249.11</v>
      </c>
      <c r="AO191" s="52" t="n">
        <f aca="false">AO187+AO188+AO189+AO190</f>
        <v>252.617</v>
      </c>
      <c r="AP191" s="52" t="n">
        <f aca="false">AP187+AP188+AP189+AP190</f>
        <v>226.565</v>
      </c>
      <c r="AQ191" s="52" t="n">
        <f aca="false">AQ187+AQ188+AQ189+AQ190</f>
        <v>162.133</v>
      </c>
      <c r="AR191" s="52" t="n">
        <f aca="false">AR187+AR188+AR189+AR190</f>
        <v>890.424999999999</v>
      </c>
      <c r="AS191" s="52" t="n">
        <f aca="false">AS187+AS188+AS189+AS190</f>
        <v>133.833</v>
      </c>
      <c r="AT191" s="52" t="n">
        <f aca="false">AT187+AT188+AT189+AT190</f>
        <v>214.545</v>
      </c>
      <c r="AU191" s="52" t="n">
        <f aca="false">AU187+AU188+AU189+AU190</f>
        <v>195.155</v>
      </c>
      <c r="AV191" s="52" t="n">
        <f aca="false">AV187+AV188+AV189+AV190</f>
        <v>231.462</v>
      </c>
      <c r="AW191" s="52" t="n">
        <f aca="false">AW187+AW188+AW189+AW190</f>
        <v>774.995</v>
      </c>
      <c r="AX191" s="52" t="n">
        <f aca="false">AX187+AX188+AX189+AX190</f>
        <v>246.607</v>
      </c>
      <c r="AY191" s="52" t="n">
        <f aca="false">AY187+AY188+AY189+AY190</f>
        <v>283.541</v>
      </c>
      <c r="AZ191" s="52" t="n">
        <f aca="false">AZ187+AZ188+AZ189+AZ190</f>
        <v>333.174999999999</v>
      </c>
      <c r="BA191" s="52" t="n">
        <f aca="false">BA187+BA188+BA189+BA190</f>
        <v>310.044</v>
      </c>
      <c r="BB191" s="52" t="n">
        <f aca="false">BB187+BB188+BB189+BB190</f>
        <v>1173.367</v>
      </c>
      <c r="BC191" s="52" t="n">
        <f aca="false">BC187+BC188+BC189+BC190</f>
        <v>367.96</v>
      </c>
      <c r="BD191" s="52" t="n">
        <f aca="false">BD187+BD188+BD189+BD190</f>
        <v>492.927</v>
      </c>
      <c r="BE191" s="52" t="n">
        <f aca="false">BE187+BE188+BE189+BE190</f>
        <v>310.584</v>
      </c>
      <c r="BF191" s="52" t="n">
        <f aca="false">BF187+BF188+BF189+BF190</f>
        <v>188.087</v>
      </c>
      <c r="BG191" s="52" t="n">
        <f aca="false">BG187+BG188+BG189+BG190</f>
        <v>1359.558</v>
      </c>
      <c r="BH191" s="52" t="n">
        <f aca="false">BH187+BH188+BH189+BH190</f>
        <v>185.413</v>
      </c>
      <c r="BI191" s="52" t="n">
        <f aca="false">BI187+BI188+BI189+BI190</f>
        <v>158.598</v>
      </c>
      <c r="BJ191" s="52" t="n">
        <f aca="false">BJ187+BJ188+BJ189+BJ190</f>
        <v>139.066</v>
      </c>
      <c r="BK191" s="52" t="n">
        <f aca="false">BK187+BK188+BK189+BK190</f>
        <v>130.515</v>
      </c>
      <c r="BL191" s="52" t="n">
        <f aca="false">BL187+BL188+BL189+BL190</f>
        <v>613.592</v>
      </c>
      <c r="BM191" s="52" t="n">
        <f aca="false">BM187+BM188+BM189+BM190</f>
        <v>151.010999999999</v>
      </c>
      <c r="BN191" s="52" t="n">
        <f aca="false">BN187+BN188+BN189+BN190</f>
        <v>203.144</v>
      </c>
      <c r="BO191" s="52" t="n">
        <f aca="false">BO187+BO188+BO189+BO190</f>
        <v>204.067</v>
      </c>
      <c r="BP191" s="52" t="n">
        <f aca="false">BP187+BP188+BP189+BP190</f>
        <v>208.079</v>
      </c>
      <c r="BQ191" s="52" t="n">
        <f aca="false">BQ187+BQ188+BQ189+BQ190</f>
        <v>766.300999999999</v>
      </c>
      <c r="BR191" s="52" t="n">
        <f aca="false">BR187+BR188+BR189+BR190</f>
        <v>202.495</v>
      </c>
      <c r="BS191" s="52" t="n">
        <f aca="false">BS187+BS188+BS189+BS190</f>
        <v>240.785</v>
      </c>
      <c r="BT191" s="52" t="n">
        <f aca="false">BT187+BT188+BT189+BT190</f>
        <v>246.664999999999</v>
      </c>
      <c r="BU191" s="52" t="n">
        <f aca="false">BU187+BU188+BU189+BU190</f>
        <v>207.834</v>
      </c>
      <c r="BV191" s="52" t="n">
        <f aca="false">BV187+BV188+BV189+BV190</f>
        <v>897.779</v>
      </c>
      <c r="BW191" s="52" t="n">
        <f aca="false">BW187+BW188+BW189+BW190</f>
        <v>200.538</v>
      </c>
      <c r="BX191" s="52" t="n">
        <f aca="false">BX187+BX188+BX189+BX190</f>
        <v>278.312</v>
      </c>
      <c r="BY191" s="52" t="n">
        <f aca="false">BY187+BY188+BY189+BY190</f>
        <v>303.011240195139</v>
      </c>
      <c r="BZ191" s="52" t="n">
        <f aca="false">BZ187+BZ188+BZ189+BZ190</f>
        <v>258.311743868197</v>
      </c>
      <c r="CA191" s="52" t="n">
        <f aca="false">CA187+CA188+CA189+CA190</f>
        <v>1040.17298406334</v>
      </c>
      <c r="CB191" s="52" t="n">
        <f aca="false">CB187+CB188+CB189+CB190</f>
        <v>1204.02781472398</v>
      </c>
      <c r="CC191" s="52" t="n">
        <f aca="false">CC187+CC188+CC189+CC190</f>
        <v>1307.94281887168</v>
      </c>
      <c r="CD191" s="52" t="n">
        <f aca="false">CD187+CD188+CD189+CD190</f>
        <v>1406.6292246317</v>
      </c>
      <c r="CE191" s="52" t="n">
        <f aca="false">CE187+CE188+CE189+CE190</f>
        <v>1495.31630825442</v>
      </c>
      <c r="CF191" s="6"/>
      <c r="CH191" s="33" t="n">
        <f aca="false">IFERROR((CE191/BV191)^(1/5)-1,"n/m")</f>
        <v>0.107420925246124</v>
      </c>
      <c r="CI191" s="33" t="n">
        <f aca="false">IFERROR((BV191/AW191)^(1/5)-1,"n/m")</f>
        <v>0.0298503202839671</v>
      </c>
      <c r="CJ191" s="33" t="n">
        <f aca="false">IFERROR((BV191/X191)^(1/10)-1,"n/m")</f>
        <v>-0.00295223077209883</v>
      </c>
      <c r="CK191" s="33" t="n">
        <f aca="false">IFERROR((BV191/C191)^(1/19)-1,"n/m")</f>
        <v>0.0380272503466288</v>
      </c>
    </row>
    <row r="192" customFormat="false" ht="15" hidden="false" customHeight="false" outlineLevel="0" collapsed="false">
      <c r="B192" s="28" t="s">
        <v>312</v>
      </c>
      <c r="C192" s="43" t="n">
        <f aca="false">C180</f>
        <v>0</v>
      </c>
      <c r="D192" s="43" t="n">
        <f aca="false">D180</f>
        <v>0</v>
      </c>
      <c r="E192" s="43" t="n">
        <f aca="false">E180</f>
        <v>0</v>
      </c>
      <c r="F192" s="43" t="n">
        <f aca="false">F180</f>
        <v>0</v>
      </c>
      <c r="G192" s="43" t="n">
        <f aca="false">G180</f>
        <v>0</v>
      </c>
      <c r="H192" s="43" t="n">
        <f aca="false">H180</f>
        <v>0</v>
      </c>
      <c r="I192" s="43" t="n">
        <f aca="false">I180</f>
        <v>0</v>
      </c>
      <c r="J192" s="43" t="n">
        <f aca="false">J180</f>
        <v>0</v>
      </c>
      <c r="K192" s="43" t="n">
        <f aca="false">K180</f>
        <v>0</v>
      </c>
      <c r="L192" s="43" t="n">
        <f aca="false">L180</f>
        <v>0</v>
      </c>
      <c r="M192" s="43" t="n">
        <f aca="false">M180</f>
        <v>0</v>
      </c>
      <c r="N192" s="43" t="n">
        <f aca="false">N180</f>
        <v>0</v>
      </c>
      <c r="O192" s="43" t="n">
        <f aca="false">O180</f>
        <v>0</v>
      </c>
      <c r="P192" s="43" t="n">
        <f aca="false">P180</f>
        <v>0</v>
      </c>
      <c r="Q192" s="43" t="n">
        <f aca="false">Q180</f>
        <v>0</v>
      </c>
      <c r="R192" s="43" t="n">
        <f aca="false">R180</f>
        <v>0</v>
      </c>
      <c r="S192" s="43" t="n">
        <f aca="false">S180</f>
        <v>0</v>
      </c>
      <c r="T192" s="43" t="n">
        <f aca="false">T180</f>
        <v>0</v>
      </c>
      <c r="U192" s="43" t="n">
        <f aca="false">U180</f>
        <v>0</v>
      </c>
      <c r="V192" s="43" t="n">
        <f aca="false">V180</f>
        <v>0</v>
      </c>
      <c r="W192" s="43" t="n">
        <f aca="false">W180</f>
        <v>0</v>
      </c>
      <c r="X192" s="43" t="n">
        <f aca="false">X180</f>
        <v>0</v>
      </c>
      <c r="Y192" s="43" t="n">
        <f aca="false">Y180</f>
        <v>0</v>
      </c>
      <c r="Z192" s="43" t="n">
        <f aca="false">Z180</f>
        <v>0</v>
      </c>
      <c r="AA192" s="43" t="n">
        <f aca="false">AA180</f>
        <v>0</v>
      </c>
      <c r="AB192" s="43" t="n">
        <f aca="false">AB180</f>
        <v>0</v>
      </c>
      <c r="AC192" s="43" t="n">
        <f aca="false">AC180</f>
        <v>0</v>
      </c>
      <c r="AD192" s="43" t="n">
        <f aca="false">AD180</f>
        <v>0</v>
      </c>
      <c r="AE192" s="43" t="n">
        <f aca="false">AE180</f>
        <v>0</v>
      </c>
      <c r="AF192" s="43" t="n">
        <f aca="false">AF180</f>
        <v>0</v>
      </c>
      <c r="AG192" s="43" t="n">
        <f aca="false">AG180</f>
        <v>0</v>
      </c>
      <c r="AH192" s="43" t="n">
        <f aca="false">AH180</f>
        <v>0</v>
      </c>
      <c r="AI192" s="43" t="n">
        <f aca="false">AI180</f>
        <v>0</v>
      </c>
      <c r="AJ192" s="43" t="n">
        <f aca="false">AJ180</f>
        <v>0</v>
      </c>
      <c r="AK192" s="43" t="n">
        <f aca="false">AK180</f>
        <v>0</v>
      </c>
      <c r="AL192" s="43" t="n">
        <f aca="false">AL180</f>
        <v>0</v>
      </c>
      <c r="AM192" s="43" t="n">
        <f aca="false">AM180</f>
        <v>0</v>
      </c>
      <c r="AN192" s="43" t="n">
        <f aca="false">AN180</f>
        <v>0</v>
      </c>
      <c r="AO192" s="43" t="n">
        <f aca="false">AO180</f>
        <v>0</v>
      </c>
      <c r="AP192" s="43" t="n">
        <f aca="false">AP180</f>
        <v>-5.8</v>
      </c>
      <c r="AQ192" s="43" t="n">
        <f aca="false">AQ180</f>
        <v>0</v>
      </c>
      <c r="AR192" s="43" t="n">
        <f aca="false">AR180</f>
        <v>-5.8</v>
      </c>
      <c r="AS192" s="43" t="n">
        <f aca="false">AS180</f>
        <v>0</v>
      </c>
      <c r="AT192" s="43" t="n">
        <f aca="false">AT180</f>
        <v>0</v>
      </c>
      <c r="AU192" s="43" t="n">
        <f aca="false">AU180</f>
        <v>0</v>
      </c>
      <c r="AV192" s="43" t="n">
        <f aca="false">AV180</f>
        <v>0</v>
      </c>
      <c r="AW192" s="43" t="n">
        <f aca="false">AW180</f>
        <v>0</v>
      </c>
      <c r="AX192" s="43" t="n">
        <f aca="false">AX180</f>
        <v>0</v>
      </c>
      <c r="AY192" s="43" t="n">
        <f aca="false">AY180</f>
        <v>0</v>
      </c>
      <c r="AZ192" s="43" t="n">
        <f aca="false">AZ180</f>
        <v>0</v>
      </c>
      <c r="BA192" s="43" t="n">
        <f aca="false">BA180</f>
        <v>0</v>
      </c>
      <c r="BB192" s="43" t="n">
        <f aca="false">BB180</f>
        <v>0</v>
      </c>
      <c r="BC192" s="43" t="n">
        <f aca="false">BC180</f>
        <v>0</v>
      </c>
      <c r="BD192" s="43" t="n">
        <f aca="false">BD180</f>
        <v>-25.296</v>
      </c>
      <c r="BE192" s="43" t="n">
        <f aca="false">BE180</f>
        <v>0</v>
      </c>
      <c r="BF192" s="43" t="n">
        <f aca="false">BF180</f>
        <v>36.684</v>
      </c>
      <c r="BG192" s="43" t="n">
        <f aca="false">BG180</f>
        <v>11.388</v>
      </c>
      <c r="BH192" s="43" t="n">
        <f aca="false">BH180</f>
        <v>3.722</v>
      </c>
      <c r="BI192" s="43" t="n">
        <f aca="false">BI180</f>
        <v>14.132</v>
      </c>
      <c r="BJ192" s="43" t="n">
        <f aca="false">BJ180</f>
        <v>24.463</v>
      </c>
      <c r="BK192" s="43" t="n">
        <f aca="false">BK180</f>
        <v>-4.276</v>
      </c>
      <c r="BL192" s="43" t="n">
        <f aca="false">BL180</f>
        <v>38.041</v>
      </c>
      <c r="BM192" s="43" t="n">
        <f aca="false">BM180</f>
        <v>12.943</v>
      </c>
      <c r="BN192" s="43" t="n">
        <f aca="false">BN180</f>
        <v>15.189</v>
      </c>
      <c r="BO192" s="43" t="n">
        <f aca="false">BO180</f>
        <v>61.465</v>
      </c>
      <c r="BP192" s="43" t="n">
        <f aca="false">BP180</f>
        <v>0.609</v>
      </c>
      <c r="BQ192" s="43" t="n">
        <f aca="false">BQ180</f>
        <v>90.208</v>
      </c>
      <c r="BR192" s="43" t="n">
        <f aca="false">BR180</f>
        <v>8.613</v>
      </c>
      <c r="BS192" s="43" t="n">
        <f aca="false">BS180</f>
        <v>4.31</v>
      </c>
      <c r="BT192" s="43" t="n">
        <f aca="false">BT180</f>
        <v>9.754</v>
      </c>
      <c r="BU192" s="43" t="n">
        <f aca="false">BU180</f>
        <v>16.095</v>
      </c>
      <c r="BV192" s="43" t="n">
        <f aca="false">BV180</f>
        <v>38.772</v>
      </c>
      <c r="BW192" s="43" t="n">
        <f aca="false">BW180</f>
        <v>20.235</v>
      </c>
      <c r="BX192" s="43" t="n">
        <f aca="false">BX180</f>
        <v>7.49</v>
      </c>
      <c r="BY192" s="49" t="n">
        <f aca="false">BY180</f>
        <v>9.93</v>
      </c>
      <c r="BZ192" s="49" t="n">
        <f aca="false">BZ180</f>
        <v>16.594</v>
      </c>
      <c r="CA192" s="49" t="n">
        <f aca="false">CA180</f>
        <v>54.249</v>
      </c>
      <c r="CB192" s="49" t="n">
        <f aca="false">CB180</f>
        <v>0</v>
      </c>
      <c r="CC192" s="49" t="n">
        <f aca="false">CC180</f>
        <v>0</v>
      </c>
      <c r="CD192" s="49" t="n">
        <f aca="false">CD180</f>
        <v>0</v>
      </c>
      <c r="CE192" s="49" t="n">
        <f aca="false">CE180</f>
        <v>0</v>
      </c>
    </row>
    <row r="193" customFormat="false" ht="15" hidden="false" customHeight="false" outlineLevel="0" collapsed="false">
      <c r="B193" s="51" t="s">
        <v>313</v>
      </c>
      <c r="C193" s="52" t="n">
        <f aca="false">C191+C192</f>
        <v>441.777000000001</v>
      </c>
      <c r="D193" s="52" t="n">
        <f aca="false">D191+D192</f>
        <v>537.049999999999</v>
      </c>
      <c r="E193" s="52" t="n">
        <f aca="false">E191+E192</f>
        <v>602.750000000001</v>
      </c>
      <c r="F193" s="52" t="n">
        <f aca="false">F191+F192</f>
        <v>615.325</v>
      </c>
      <c r="G193" s="52" t="n">
        <f aca="false">G191+G192</f>
        <v>652.229000000001</v>
      </c>
      <c r="H193" s="52" t="n">
        <f aca="false">H191+H192</f>
        <v>725.228</v>
      </c>
      <c r="I193" s="52" t="n">
        <f aca="false">I191+I192</f>
        <v>713.409999999998</v>
      </c>
      <c r="J193" s="52" t="n">
        <f aca="false">J191+J192</f>
        <v>182.513</v>
      </c>
      <c r="K193" s="52" t="n">
        <f aca="false">K191+K192</f>
        <v>196.621</v>
      </c>
      <c r="L193" s="52" t="n">
        <f aca="false">L191+L192</f>
        <v>190.455</v>
      </c>
      <c r="M193" s="52" t="n">
        <f aca="false">M191+M192</f>
        <v>169.943</v>
      </c>
      <c r="N193" s="52" t="n">
        <f aca="false">N191+N192</f>
        <v>739.531999999999</v>
      </c>
      <c r="O193" s="52" t="n">
        <f aca="false">O191+O192</f>
        <v>171.52</v>
      </c>
      <c r="P193" s="52" t="n">
        <f aca="false">P191+P192</f>
        <v>215.182</v>
      </c>
      <c r="Q193" s="52" t="n">
        <f aca="false">Q191+Q192</f>
        <v>217.43</v>
      </c>
      <c r="R193" s="52" t="n">
        <f aca="false">R191+R192</f>
        <v>201.295</v>
      </c>
      <c r="S193" s="52" t="n">
        <f aca="false">S191+S192</f>
        <v>805.426999999998</v>
      </c>
      <c r="T193" s="52" t="n">
        <f aca="false">T191+T192</f>
        <v>198.168</v>
      </c>
      <c r="U193" s="52" t="n">
        <f aca="false">U191+U192</f>
        <v>245.534</v>
      </c>
      <c r="V193" s="52" t="n">
        <f aca="false">V191+V192</f>
        <v>249.542</v>
      </c>
      <c r="W193" s="52" t="n">
        <f aca="false">W191+W192</f>
        <v>231.475</v>
      </c>
      <c r="X193" s="52" t="n">
        <f aca="false">X191+X192</f>
        <v>924.719</v>
      </c>
      <c r="Y193" s="52" t="n">
        <f aca="false">Y191+Y192</f>
        <v>215.827</v>
      </c>
      <c r="Z193" s="52" t="n">
        <f aca="false">Z191+Z192</f>
        <v>251.931</v>
      </c>
      <c r="AA193" s="52" t="n">
        <f aca="false">AA191+AA192</f>
        <v>228.924</v>
      </c>
      <c r="AB193" s="52" t="n">
        <f aca="false">AB191+AB192</f>
        <v>215.518</v>
      </c>
      <c r="AC193" s="52" t="n">
        <f aca="false">AC191+AC192</f>
        <v>912.200000000002</v>
      </c>
      <c r="AD193" s="52" t="n">
        <f aca="false">AD191+AD192</f>
        <v>210.389</v>
      </c>
      <c r="AE193" s="52" t="n">
        <f aca="false">AE191+AE192</f>
        <v>204.766</v>
      </c>
      <c r="AF193" s="52" t="n">
        <f aca="false">AF191+AF192</f>
        <v>218.428</v>
      </c>
      <c r="AG193" s="52" t="n">
        <f aca="false">AG191+AG192</f>
        <v>234.513</v>
      </c>
      <c r="AH193" s="52" t="n">
        <f aca="false">AH191+AH192</f>
        <v>868.095999999997</v>
      </c>
      <c r="AI193" s="52" t="n">
        <f aca="false">AI191+AI192</f>
        <v>215.826</v>
      </c>
      <c r="AJ193" s="52" t="n">
        <f aca="false">AJ191+AJ192</f>
        <v>243.246</v>
      </c>
      <c r="AK193" s="52" t="n">
        <f aca="false">AK191+AK192</f>
        <v>269.896</v>
      </c>
      <c r="AL193" s="52" t="n">
        <f aca="false">AL191+AL192</f>
        <v>279.844</v>
      </c>
      <c r="AM193" s="52" t="n">
        <f aca="false">AM191+AM192</f>
        <v>1008.812</v>
      </c>
      <c r="AN193" s="52" t="n">
        <f aca="false">AN191+AN192</f>
        <v>249.11</v>
      </c>
      <c r="AO193" s="52" t="n">
        <f aca="false">AO191+AO192</f>
        <v>252.617</v>
      </c>
      <c r="AP193" s="52" t="n">
        <f aca="false">AP191+AP192</f>
        <v>220.765</v>
      </c>
      <c r="AQ193" s="52" t="n">
        <f aca="false">AQ191+AQ192</f>
        <v>162.133</v>
      </c>
      <c r="AR193" s="52" t="n">
        <f aca="false">AR191+AR192</f>
        <v>884.624999999999</v>
      </c>
      <c r="AS193" s="52" t="n">
        <f aca="false">AS191+AS192</f>
        <v>133.833</v>
      </c>
      <c r="AT193" s="52" t="n">
        <f aca="false">AT191+AT192</f>
        <v>214.545</v>
      </c>
      <c r="AU193" s="52" t="n">
        <f aca="false">AU191+AU192</f>
        <v>195.155</v>
      </c>
      <c r="AV193" s="52" t="n">
        <f aca="false">AV191+AV192</f>
        <v>231.462</v>
      </c>
      <c r="AW193" s="52" t="n">
        <f aca="false">AW191+AW192</f>
        <v>774.995</v>
      </c>
      <c r="AX193" s="52" t="n">
        <f aca="false">AX191+AX192</f>
        <v>246.607</v>
      </c>
      <c r="AY193" s="52" t="n">
        <f aca="false">AY191+AY192</f>
        <v>283.541</v>
      </c>
      <c r="AZ193" s="52" t="n">
        <f aca="false">AZ191+AZ192</f>
        <v>333.174999999999</v>
      </c>
      <c r="BA193" s="52" t="n">
        <f aca="false">BA191+BA192</f>
        <v>310.044</v>
      </c>
      <c r="BB193" s="52" t="n">
        <f aca="false">BB191+BB192</f>
        <v>1173.367</v>
      </c>
      <c r="BC193" s="52" t="n">
        <f aca="false">BC191+BC192</f>
        <v>367.96</v>
      </c>
      <c r="BD193" s="52" t="n">
        <f aca="false">BD191+BD192</f>
        <v>467.631</v>
      </c>
      <c r="BE193" s="52" t="n">
        <f aca="false">BE191+BE192</f>
        <v>310.584</v>
      </c>
      <c r="BF193" s="52" t="n">
        <f aca="false">BF191+BF192</f>
        <v>224.771</v>
      </c>
      <c r="BG193" s="52" t="n">
        <f aca="false">BG191+BG192</f>
        <v>1370.946</v>
      </c>
      <c r="BH193" s="52" t="n">
        <f aca="false">BH191+BH192</f>
        <v>189.135</v>
      </c>
      <c r="BI193" s="52" t="n">
        <f aca="false">BI191+BI192</f>
        <v>172.73</v>
      </c>
      <c r="BJ193" s="52" t="n">
        <f aca="false">BJ191+BJ192</f>
        <v>163.529</v>
      </c>
      <c r="BK193" s="52" t="n">
        <f aca="false">BK191+BK192</f>
        <v>126.239</v>
      </c>
      <c r="BL193" s="52" t="n">
        <f aca="false">BL191+BL192</f>
        <v>651.633000000001</v>
      </c>
      <c r="BM193" s="52" t="n">
        <f aca="false">BM191+BM192</f>
        <v>163.953999999999</v>
      </c>
      <c r="BN193" s="52" t="n">
        <f aca="false">BN191+BN192</f>
        <v>218.333</v>
      </c>
      <c r="BO193" s="52" t="n">
        <f aca="false">BO191+BO192</f>
        <v>265.532</v>
      </c>
      <c r="BP193" s="52" t="n">
        <f aca="false">BP191+BP192</f>
        <v>208.688</v>
      </c>
      <c r="BQ193" s="52" t="n">
        <f aca="false">BQ191+BQ192</f>
        <v>856.508999999999</v>
      </c>
      <c r="BR193" s="52" t="n">
        <f aca="false">BR191+BR192</f>
        <v>211.108</v>
      </c>
      <c r="BS193" s="52" t="n">
        <f aca="false">BS191+BS192</f>
        <v>245.095</v>
      </c>
      <c r="BT193" s="52" t="n">
        <f aca="false">BT191+BT192</f>
        <v>256.418999999999</v>
      </c>
      <c r="BU193" s="52" t="n">
        <f aca="false">BU191+BU192</f>
        <v>223.929</v>
      </c>
      <c r="BV193" s="52" t="n">
        <f aca="false">BV191+BV192</f>
        <v>936.551</v>
      </c>
      <c r="BW193" s="52" t="n">
        <f aca="false">BW191+BW192</f>
        <v>220.773</v>
      </c>
      <c r="BX193" s="52" t="n">
        <f aca="false">BX191+BX192</f>
        <v>285.802</v>
      </c>
      <c r="BY193" s="52" t="n">
        <f aca="false">BY191+BY192</f>
        <v>312.941240195139</v>
      </c>
      <c r="BZ193" s="52" t="n">
        <f aca="false">BZ191+BZ192</f>
        <v>274.905743868197</v>
      </c>
      <c r="CA193" s="52" t="n">
        <f aca="false">CA191+CA192</f>
        <v>1094.42198406334</v>
      </c>
      <c r="CB193" s="52" t="n">
        <f aca="false">CB191+CB192</f>
        <v>1204.02781472398</v>
      </c>
      <c r="CC193" s="52" t="n">
        <f aca="false">CC191+CC192</f>
        <v>1307.94281887168</v>
      </c>
      <c r="CD193" s="52" t="n">
        <f aca="false">CD191+CD192</f>
        <v>1406.6292246317</v>
      </c>
      <c r="CE193" s="52" t="n">
        <f aca="false">CE191+CE192</f>
        <v>1495.31630825442</v>
      </c>
      <c r="CF193" s="23" t="s">
        <v>314</v>
      </c>
      <c r="CH193" s="33" t="n">
        <f aca="false">IFERROR((CE193/BV193)^(1/5)-1,"n/m")</f>
        <v>0.0980960455899069</v>
      </c>
      <c r="CI193" s="33" t="n">
        <f aca="false">IFERROR((BV193/AW193)^(1/5)-1,"n/m")</f>
        <v>0.0385956666852518</v>
      </c>
      <c r="CJ193" s="33" t="n">
        <f aca="false">IFERROR((BV193/X193)^(1/10)-1,"n/m")</f>
        <v>0.00127221567193625</v>
      </c>
      <c r="CK193" s="33" t="n">
        <f aca="false">IFERROR((BV193/C193)^(1/19)-1,"n/m")</f>
        <v>0.0403397084511719</v>
      </c>
    </row>
    <row r="194" customFormat="false" ht="15" hidden="false" customHeight="false" outlineLevel="0" collapsed="false">
      <c r="B194" s="25" t="s">
        <v>315</v>
      </c>
      <c r="C194" s="26" t="n">
        <f aca="false">IF(AND(ISNUMBER(C193),ISNUMBER(C133)),IFERROR(C193/C133,""),"")</f>
        <v>0.408091495588171</v>
      </c>
      <c r="D194" s="26" t="n">
        <f aca="false">IF(AND(ISNUMBER(D193),ISNUMBER(D133)),IFERROR(D193/D133,""),"")</f>
        <v>0.431789274291714</v>
      </c>
      <c r="E194" s="26" t="n">
        <f aca="false">IF(AND(ISNUMBER(E193),ISNUMBER(E133)),IFERROR(E193/E133,""),"")</f>
        <v>0.438375432648006</v>
      </c>
      <c r="F194" s="26" t="n">
        <f aca="false">IF(AND(ISNUMBER(F193),ISNUMBER(F133)),IFERROR(F193/F133,""),"")</f>
        <v>0.445255611780089</v>
      </c>
      <c r="G194" s="26" t="n">
        <f aca="false">IF(AND(ISNUMBER(G193),ISNUMBER(G133)),IFERROR(G193/G133,""),"")</f>
        <v>0.44430434243565</v>
      </c>
      <c r="H194" s="26" t="n">
        <f aca="false">IF(AND(ISNUMBER(H193),ISNUMBER(H133)),IFERROR(H193/H133,""),"")</f>
        <v>0.444200806292561</v>
      </c>
      <c r="I194" s="26" t="n">
        <f aca="false">IF(AND(ISNUMBER(I193),ISNUMBER(I133)),IFERROR(I193/I133,""),"")</f>
        <v>0.415359830830865</v>
      </c>
      <c r="J194" s="26" t="n">
        <f aca="false">IF(AND(ISNUMBER(J193),ISNUMBER(J133)),IFERROR(J193/J133,""),"")</f>
        <v>0.400491966593669</v>
      </c>
      <c r="K194" s="26" t="n">
        <f aca="false">IF(AND(ISNUMBER(K193),ISNUMBER(K133)),IFERROR(K193/K133,""),"")</f>
        <v>0.41603928887309</v>
      </c>
      <c r="L194" s="26" t="n">
        <f aca="false">IF(AND(ISNUMBER(L193),ISNUMBER(L133)),IFERROR(L193/L133,""),"")</f>
        <v>0.411078207491377</v>
      </c>
      <c r="M194" s="26" t="n">
        <f aca="false">IF(AND(ISNUMBER(M193),ISNUMBER(M133)),IFERROR(M193/M133,""),"")</f>
        <v>0.382354066124441</v>
      </c>
      <c r="N194" s="26" t="n">
        <f aca="false">IF(AND(ISNUMBER(N193),ISNUMBER(N133)),IFERROR(N193/N133,""),"")</f>
        <v>0.402774366250112</v>
      </c>
      <c r="O194" s="26" t="n">
        <f aca="false">IF(AND(ISNUMBER(O193),ISNUMBER(O133)),IFERROR(O193/O133,""),"")</f>
        <v>0.375124388990344</v>
      </c>
      <c r="P194" s="26" t="n">
        <f aca="false">IF(AND(ISNUMBER(P193),ISNUMBER(P133)),IFERROR(P193/P133,""),"")</f>
        <v>0.412987945193911</v>
      </c>
      <c r="Q194" s="26" t="n">
        <f aca="false">IF(AND(ISNUMBER(Q193),ISNUMBER(Q133)),IFERROR(Q193/Q133,""),"")</f>
        <v>0.412139569796271</v>
      </c>
      <c r="R194" s="26" t="n">
        <f aca="false">IF(AND(ISNUMBER(R193),ISNUMBER(R133)),IFERROR(R193/R133,""),"")</f>
        <v>0.4011330846366</v>
      </c>
      <c r="S194" s="26" t="n">
        <f aca="false">IF(AND(ISNUMBER(S193),ISNUMBER(S133)),IFERROR(S193/S133,""),"")</f>
        <v>0.401178590711936</v>
      </c>
      <c r="T194" s="26" t="n">
        <f aca="false">IF(AND(ISNUMBER(T193),ISNUMBER(T133)),IFERROR(T193/T133,""),"")</f>
        <v>0.377383786254308</v>
      </c>
      <c r="U194" s="26" t="n">
        <f aca="false">IF(AND(ISNUMBER(U193),ISNUMBER(U133)),IFERROR(U193/U133,""),"")</f>
        <v>0.420421973295344</v>
      </c>
      <c r="V194" s="26" t="n">
        <f aca="false">IF(AND(ISNUMBER(V193),ISNUMBER(V133)),IFERROR(V193/V133,""),"")</f>
        <v>0.423976553540331</v>
      </c>
      <c r="W194" s="26" t="n">
        <f aca="false">IF(AND(ISNUMBER(W193),ISNUMBER(W133)),IFERROR(W193/W133,""),"")</f>
        <v>0.405543671171053</v>
      </c>
      <c r="X194" s="26" t="n">
        <f aca="false">IF(AND(ISNUMBER(X193),ISNUMBER(X133)),IFERROR(X193/X133,""),"")</f>
        <v>0.407638154182536</v>
      </c>
      <c r="Y194" s="26" t="n">
        <f aca="false">IF(AND(ISNUMBER(Y193),ISNUMBER(Y133)),IFERROR(Y193/Y133,""),"")</f>
        <v>0.38312371856888</v>
      </c>
      <c r="Z194" s="26" t="n">
        <f aca="false">IF(AND(ISNUMBER(Z193),ISNUMBER(Z133)),IFERROR(Z193/Z133,""),"")</f>
        <v>0.4239728044563</v>
      </c>
      <c r="AA194" s="26" t="n">
        <f aca="false">IF(AND(ISNUMBER(AA193),ISNUMBER(AA133)),IFERROR(AA193/AA133,""),"")</f>
        <v>0.409918669488703</v>
      </c>
      <c r="AB194" s="26" t="n">
        <f aca="false">IF(AND(ISNUMBER(AB193),ISNUMBER(AB133)),IFERROR(AB193/AB133,""),"")</f>
        <v>0.383814530663418</v>
      </c>
      <c r="AC194" s="26" t="n">
        <f aca="false">IF(AND(ISNUMBER(AC193),ISNUMBER(AC133)),IFERROR(AC193/AC133,""),"")</f>
        <v>0.400521969433527</v>
      </c>
      <c r="AD194" s="26" t="n">
        <f aca="false">IF(AND(ISNUMBER(AD193),ISNUMBER(AD133)),IFERROR(AD193/AD133,""),"")</f>
        <v>0.37003443751473</v>
      </c>
      <c r="AE194" s="26" t="n">
        <f aca="false">IF(AND(ISNUMBER(AE193),ISNUMBER(AE133)),IFERROR(AE193/AE133,""),"")</f>
        <v>0.356866374224671</v>
      </c>
      <c r="AF194" s="26" t="n">
        <f aca="false">IF(AND(ISNUMBER(AF193),ISNUMBER(AF133)),IFERROR(AF193/AF133,""),"")</f>
        <v>0.367819266274421</v>
      </c>
      <c r="AG194" s="26" t="n">
        <f aca="false">IF(AND(ISNUMBER(AG193),ISNUMBER(AG133)),IFERROR(AG193/AG133,""),"")</f>
        <v>0.371153550927516</v>
      </c>
      <c r="AH194" s="26" t="n">
        <f aca="false">IF(AND(ISNUMBER(AH193),ISNUMBER(AH133)),IFERROR(AH193/AH133,""),"")</f>
        <v>0.366586854162707</v>
      </c>
      <c r="AI194" s="26" t="n">
        <f aca="false">IF(AND(ISNUMBER(AI193),ISNUMBER(AI133)),IFERROR(AI193/AI133,""),"")</f>
        <v>0.344811279306626</v>
      </c>
      <c r="AJ194" s="26" t="n">
        <f aca="false">IF(AND(ISNUMBER(AJ193),ISNUMBER(AJ133)),IFERROR(AJ193/AJ133,""),"")</f>
        <v>0.362251911068486</v>
      </c>
      <c r="AK194" s="26" t="n">
        <f aca="false">IF(AND(ISNUMBER(AK193),ISNUMBER(AK133)),IFERROR(AK193/AK133,""),"")</f>
        <v>0.388874480580482</v>
      </c>
      <c r="AL194" s="26" t="n">
        <f aca="false">IF(AND(ISNUMBER(AL193),ISNUMBER(AL133)),IFERROR(AL193/AL133,""),"")</f>
        <v>0.392057530089678</v>
      </c>
      <c r="AM194" s="26" t="n">
        <f aca="false">IF(AND(ISNUMBER(AM193),ISNUMBER(AM133)),IFERROR(AM193/AM133,""),"")</f>
        <v>0.372911041000135</v>
      </c>
      <c r="AN194" s="26" t="n">
        <f aca="false">IF(AND(ISNUMBER(AN193),ISNUMBER(AN133)),IFERROR(AN193/AN133,""),"")</f>
        <v>0.366985857395404</v>
      </c>
      <c r="AO194" s="26" t="n">
        <f aca="false">IF(AND(ISNUMBER(AO193),ISNUMBER(AO133)),IFERROR(AO193/AO133,""),"")</f>
        <v>0.36336476720904</v>
      </c>
      <c r="AP194" s="26" t="n">
        <f aca="false">IF(AND(ISNUMBER(AP193),ISNUMBER(AP133)),IFERROR(AP193/AP133,""),"")</f>
        <v>0.34852256994053</v>
      </c>
      <c r="AQ194" s="26" t="n">
        <f aca="false">IF(AND(ISNUMBER(AQ193),ISNUMBER(AQ133)),IFERROR(AQ193/AQ133,""),"")</f>
        <v>0.280088725657021</v>
      </c>
      <c r="AR194" s="26" t="n">
        <f aca="false">IF(AND(ISNUMBER(AR193),ISNUMBER(AR133)),IFERROR(AR193/AR133,""),"")</f>
        <v>0.342041363950957</v>
      </c>
      <c r="AS194" s="26" t="n">
        <f aca="false">IF(AND(ISNUMBER(AS193),ISNUMBER(AS133)),IFERROR(AS193/AS133,""),"")</f>
        <v>0.235640977334392</v>
      </c>
      <c r="AT194" s="26" t="n">
        <f aca="false">IF(AND(ISNUMBER(AT193),ISNUMBER(AT133)),IFERROR(AT193/AT133,""),"")</f>
        <v>0.349164215977463</v>
      </c>
      <c r="AU194" s="26" t="n">
        <f aca="false">IF(AND(ISNUMBER(AU193),ISNUMBER(AU133)),IFERROR(AU193/AU133,""),"")</f>
        <v>0.331179266655693</v>
      </c>
      <c r="AV194" s="26" t="n">
        <f aca="false">IF(AND(ISNUMBER(AV193),ISNUMBER(AV133)),IFERROR(AV193/AV133,""),"")</f>
        <v>0.361333046092748</v>
      </c>
      <c r="AW194" s="26" t="n">
        <f aca="false">IF(AND(ISNUMBER(AW193),ISNUMBER(AW133)),IFERROR(AW193/AW133,""),"")</f>
        <v>0.321273811206683</v>
      </c>
      <c r="AX194" s="26" t="n">
        <f aca="false">IF(AND(ISNUMBER(AX193),ISNUMBER(AX133)),IFERROR(AX193/AX133,""),"")</f>
        <v>0.351101967595888</v>
      </c>
      <c r="AY194" s="26" t="n">
        <f aca="false">IF(AND(ISNUMBER(AY193),ISNUMBER(AY133)),IFERROR(AY193/AY133,""),"")</f>
        <v>0.378470479566884</v>
      </c>
      <c r="AZ194" s="26" t="n">
        <f aca="false">IF(AND(ISNUMBER(AZ193),ISNUMBER(AZ133)),IFERROR(AZ193/AZ133,""),"")</f>
        <v>0.39466732686403</v>
      </c>
      <c r="BA194" s="26" t="n">
        <f aca="false">IF(AND(ISNUMBER(BA193),ISNUMBER(BA133)),IFERROR(BA193/BA133,""),"")</f>
        <v>0.362056704046636</v>
      </c>
      <c r="BB194" s="26" t="n">
        <f aca="false">IF(AND(ISNUMBER(BB193),ISNUMBER(BB133)),IFERROR(BB193/BB133,""),"")</f>
        <v>0.372250593178048</v>
      </c>
      <c r="BC194" s="26" t="n">
        <f aca="false">IF(AND(ISNUMBER(BC193),ISNUMBER(BC133)),IFERROR(BC193/BC133,""),"")</f>
        <v>0.406049022507272</v>
      </c>
      <c r="BD194" s="26" t="n">
        <f aca="false">IF(AND(ISNUMBER(BD193),ISNUMBER(BD133)),IFERROR(BD193/BD133,""),"")</f>
        <v>0.453300801754146</v>
      </c>
      <c r="BE194" s="26" t="n">
        <f aca="false">IF(AND(ISNUMBER(BE193),ISNUMBER(BE133)),IFERROR(BE193/BE133,""),"")</f>
        <v>0.350074504561573</v>
      </c>
      <c r="BF194" s="26" t="n">
        <f aca="false">IF(AND(ISNUMBER(BF193),ISNUMBER(BF133)),IFERROR(BF193/BF133,""),"")</f>
        <v>0.292604279759534</v>
      </c>
      <c r="BG194" s="26" t="n">
        <f aca="false">IF(AND(ISNUMBER(BG193),ISNUMBER(BG133)),IFERROR(BG193/BG133,""),"")</f>
        <v>0.381541460384501</v>
      </c>
      <c r="BH194" s="26" t="n">
        <f aca="false">IF(AND(ISNUMBER(BH193),ISNUMBER(BH133)),IFERROR(BH193/BH133,""),"")</f>
        <v>0.275851758940552</v>
      </c>
      <c r="BI194" s="26" t="n">
        <f aca="false">IF(AND(ISNUMBER(BI193),ISNUMBER(BI133)),IFERROR(BI193/BI133,""),"")</f>
        <v>0.259550771154146</v>
      </c>
      <c r="BJ194" s="26" t="n">
        <f aca="false">IF(AND(ISNUMBER(BJ193),ISNUMBER(BJ133)),IFERROR(BJ193/BJ133,""),"")</f>
        <v>0.257587237280046</v>
      </c>
      <c r="BK194" s="26" t="n">
        <f aca="false">IF(AND(ISNUMBER(BK193),ISNUMBER(BK133)),IFERROR(BK193/BK133,""),"")</f>
        <v>0.204064511018827</v>
      </c>
      <c r="BL194" s="26" t="n">
        <f aca="false">IF(AND(ISNUMBER(BL193),ISNUMBER(BL133)),IFERROR(BL193/BL133,""),"")</f>
        <v>0.250184672703148</v>
      </c>
      <c r="BM194" s="26" t="n">
        <f aca="false">IF(AND(ISNUMBER(BM193),ISNUMBER(BM133)),IFERROR(BM193/BM133,""),"")</f>
        <v>0.249272876823129</v>
      </c>
      <c r="BN194" s="26" t="n">
        <f aca="false">IF(AND(ISNUMBER(BN193),ISNUMBER(BN133)),IFERROR(BN193/BN133,""),"")</f>
        <v>0.317617313709888</v>
      </c>
      <c r="BO194" s="26" t="n">
        <f aca="false">IF(AND(ISNUMBER(BO193),ISNUMBER(BO133)),IFERROR(BO193/BO133,""),"")</f>
        <v>0.361143715156551</v>
      </c>
      <c r="BP194" s="26" t="n">
        <f aca="false">IF(AND(ISNUMBER(BP193),ISNUMBER(BP133)),IFERROR(BP193/BP133,""),"")</f>
        <v>0.304821777825168</v>
      </c>
      <c r="BQ194" s="26" t="n">
        <f aca="false">IF(AND(ISNUMBER(BQ193),ISNUMBER(BQ133)),IFERROR(BQ193/BQ133,""),"")</f>
        <v>0.309766605160046</v>
      </c>
      <c r="BR194" s="26" t="n">
        <f aca="false">IF(AND(ISNUMBER(BR193),ISNUMBER(BR133)),IFERROR(BR193/BR133,""),"")</f>
        <v>0.313641009793667</v>
      </c>
      <c r="BS194" s="26" t="n">
        <f aca="false">IF(AND(ISNUMBER(BS193),ISNUMBER(BS133)),IFERROR(BS193/BS133,""),"")</f>
        <v>0.353554587143391</v>
      </c>
      <c r="BT194" s="26" t="n">
        <f aca="false">IF(AND(ISNUMBER(BT193),ISNUMBER(BT133)),IFERROR(BT193/BT133,""),"")</f>
        <v>0.363160108600053</v>
      </c>
      <c r="BU194" s="26" t="n">
        <f aca="false">IF(AND(ISNUMBER(BU193),ISNUMBER(BU133)),IFERROR(BU193/BU133,""),"")</f>
        <v>0.340828353733711</v>
      </c>
      <c r="BV194" s="26" t="n">
        <f aca="false">IF(AND(ISNUMBER(BV193),ISNUMBER(BV133)),IFERROR(BV193/BV133,""),"")</f>
        <v>0.343133131336076</v>
      </c>
      <c r="BW194" s="26" t="n">
        <f aca="false">IF(AND(ISNUMBER(BW193),ISNUMBER(BW133)),IFERROR(BW193/BW133,""),"")</f>
        <v>0.334254867197685</v>
      </c>
      <c r="BX194" s="26" t="n">
        <f aca="false">IF(AND(ISNUMBER(BX193),ISNUMBER(BX133)),IFERROR(BX193/BX133,""),"")</f>
        <v>0.387283424981639</v>
      </c>
      <c r="BY194" s="27" t="n">
        <f aca="false">IF(AND(ISNUMBER(BY193),ISNUMBER(BY133)),IFERROR(BY193/BY133,""),"")</f>
        <v>0.410582856749631</v>
      </c>
      <c r="BZ194" s="27" t="n">
        <f aca="false">IF(AND(ISNUMBER(BZ193),ISNUMBER(BZ133)),IFERROR(BZ193/BZ133,""),"")</f>
        <v>0.387592956739641</v>
      </c>
      <c r="CA194" s="27" t="n">
        <f aca="false">IF(AND(ISNUMBER(CA193),ISNUMBER(CA133)),IFERROR(CA193/CA133,""),"")</f>
        <v>0.381343550848238</v>
      </c>
      <c r="CB194" s="27" t="n">
        <f aca="false">IF(AND(ISNUMBER(CB193),ISNUMBER(CB133)),IFERROR(CB193/CB133,""),"")</f>
        <v>0.397289546347529</v>
      </c>
      <c r="CC194" s="27" t="n">
        <f aca="false">IF(AND(ISNUMBER(CC193),ISNUMBER(CC133)),IFERROR(CC193/CC133,""),"")</f>
        <v>0.406306404490039</v>
      </c>
      <c r="CD194" s="27" t="n">
        <f aca="false">IF(AND(ISNUMBER(CD193),ISNUMBER(CD133)),IFERROR(CD193/CD133,""),"")</f>
        <v>0.412769549463846</v>
      </c>
      <c r="CE194" s="27" t="n">
        <f aca="false">IF(AND(ISNUMBER(CE193),ISNUMBER(CE133)),IFERROR(CE193/CE133,""),"")</f>
        <v>0.413996739809897</v>
      </c>
    </row>
    <row r="195" customFormat="false" ht="15" hidden="false" customHeight="false" outlineLevel="0" collapsed="false">
      <c r="B195" s="25" t="s">
        <v>316</v>
      </c>
      <c r="C195" s="26" t="n">
        <f aca="false">IF(AND(ISNUMBER(C193),ISNUMBER(C125)),IFERROR(C193/C125,""),"")</f>
        <v>0.0673831494309047</v>
      </c>
      <c r="D195" s="26" t="n">
        <f aca="false">IF(AND(ISNUMBER(D193),ISNUMBER(D125)),IFERROR(D193/D125,""),"")</f>
        <v>0.0734053623023792</v>
      </c>
      <c r="E195" s="26" t="n">
        <f aca="false">IF(AND(ISNUMBER(E193),ISNUMBER(E125)),IFERROR(E193/E125,""),"")</f>
        <v>0.0702619327551048</v>
      </c>
      <c r="F195" s="26" t="n">
        <f aca="false">IF(AND(ISNUMBER(F193),ISNUMBER(F125)),IFERROR(F193/F125,""),"")</f>
        <v>0.0812075559947099</v>
      </c>
      <c r="G195" s="26" t="n">
        <f aca="false">IF(AND(ISNUMBER(G193),ISNUMBER(G125)),IFERROR(G193/G125,""),"")</f>
        <v>0.0703264557290278</v>
      </c>
      <c r="H195" s="26" t="n">
        <f aca="false">IF(AND(ISNUMBER(H193),ISNUMBER(H125)),IFERROR(H193/H125,""),"")</f>
        <v>0.0701628989586842</v>
      </c>
      <c r="I195" s="26" t="n">
        <f aca="false">IF(AND(ISNUMBER(I193),ISNUMBER(I125)),IFERROR(I193/I125,""),"")</f>
        <v>0.0628050799389</v>
      </c>
      <c r="J195" s="26" t="n">
        <f aca="false">IF(AND(ISNUMBER(J193),ISNUMBER(J125)),IFERROR(J193/J125,""),"")</f>
        <v>0.0609541500474073</v>
      </c>
      <c r="K195" s="26" t="n">
        <f aca="false">IF(AND(ISNUMBER(K193),ISNUMBER(K125)),IFERROR(K193/K125,""),"")</f>
        <v>0.0597948095376829</v>
      </c>
      <c r="L195" s="26" t="n">
        <f aca="false">IF(AND(ISNUMBER(L193),ISNUMBER(L125)),IFERROR(L193/L125,""),"")</f>
        <v>0.0574236469465563</v>
      </c>
      <c r="M195" s="26" t="n">
        <f aca="false">IF(AND(ISNUMBER(M193),ISNUMBER(M125)),IFERROR(M193/M125,""),"")</f>
        <v>0.053900843735985</v>
      </c>
      <c r="N195" s="26" t="n">
        <f aca="false">IF(AND(ISNUMBER(N193),ISNUMBER(N125)),IFERROR(N193/N125,""),"")</f>
        <v>0.0579930671680438</v>
      </c>
      <c r="O195" s="26" t="n">
        <f aca="false">IF(AND(ISNUMBER(O193),ISNUMBER(O125)),IFERROR(O193/O125,""),"")</f>
        <v>0.0545792715232842</v>
      </c>
      <c r="P195" s="26" t="n">
        <f aca="false">IF(AND(ISNUMBER(P193),ISNUMBER(P125)),IFERROR(P193/P125,""),"")</f>
        <v>0.0614293568961648</v>
      </c>
      <c r="Q195" s="26" t="n">
        <f aca="false">IF(AND(ISNUMBER(Q193),ISNUMBER(Q125)),IFERROR(Q193/Q125,""),"")</f>
        <v>0.0627076146073008</v>
      </c>
      <c r="R195" s="26" t="n">
        <f aca="false">IF(AND(ISNUMBER(R193),ISNUMBER(R125)),IFERROR(R193/R125,""),"")</f>
        <v>0.0599591564642224</v>
      </c>
      <c r="S195" s="26" t="n">
        <f aca="false">IF(AND(ISNUMBER(S193),ISNUMBER(S125)),IFERROR(S193/S125,""),"")</f>
        <v>0.0597938376995451</v>
      </c>
      <c r="T195" s="26" t="n">
        <f aca="false">IF(AND(ISNUMBER(T193),ISNUMBER(T125)),IFERROR(T193/T125,""),"")</f>
        <v>0.0600347179094122</v>
      </c>
      <c r="U195" s="26" t="n">
        <f aca="false">IF(AND(ISNUMBER(U193),ISNUMBER(U125)),IFERROR(U193/U125,""),"")</f>
        <v>0.0692603399407858</v>
      </c>
      <c r="V195" s="26" t="n">
        <f aca="false">IF(AND(ISNUMBER(V193),ISNUMBER(V125)),IFERROR(V193/V125,""),"")</f>
        <v>0.0729814377584812</v>
      </c>
      <c r="W195" s="26" t="n">
        <f aca="false">IF(AND(ISNUMBER(W193),ISNUMBER(W125)),IFERROR(W193/W125,""),"")</f>
        <v>0.0720914348928463</v>
      </c>
      <c r="X195" s="26" t="n">
        <f aca="false">IF(AND(ISNUMBER(X193),ISNUMBER(X125)),IFERROR(X193/X125,""),"")</f>
        <v>0.0686192665465724</v>
      </c>
      <c r="Y195" s="26" t="n">
        <f aca="false">IF(AND(ISNUMBER(Y193),ISNUMBER(Y125)),IFERROR(Y193/Y125,""),"")</f>
        <v>0.0702117768611846</v>
      </c>
      <c r="Z195" s="26" t="n">
        <f aca="false">IF(AND(ISNUMBER(Z193),ISNUMBER(Z125)),IFERROR(Z193/Z125,""),"")</f>
        <v>0.0763487194904085</v>
      </c>
      <c r="AA195" s="26" t="n">
        <f aca="false">IF(AND(ISNUMBER(AA193),ISNUMBER(AA125)),IFERROR(AA193/AA125,""),"")</f>
        <v>0.0682183497360057</v>
      </c>
      <c r="AB195" s="26" t="n">
        <f aca="false">IF(AND(ISNUMBER(AB193),ISNUMBER(AB125)),IFERROR(AB193/AB125,""),"")</f>
        <v>0.0631096860152709</v>
      </c>
      <c r="AC195" s="26" t="n">
        <f aca="false">IF(AND(ISNUMBER(AC193),ISNUMBER(AC125)),IFERROR(AC193/AC125,""),"")</f>
        <v>0.0693983063374532</v>
      </c>
      <c r="AD195" s="26" t="n">
        <f aca="false">IF(AND(ISNUMBER(AD193),ISNUMBER(AD125)),IFERROR(AD193/AD125,""),"")</f>
        <v>0.0616050657003769</v>
      </c>
      <c r="AE195" s="26" t="n">
        <f aca="false">IF(AND(ISNUMBER(AE193),ISNUMBER(AE125)),IFERROR(AE193/AE125,""),"")</f>
        <v>0.0551927241323357</v>
      </c>
      <c r="AF195" s="26" t="n">
        <f aca="false">IF(AND(ISNUMBER(AF193),ISNUMBER(AF125)),IFERROR(AF193/AF125,""),"")</f>
        <v>0.0577172223923629</v>
      </c>
      <c r="AG195" s="26" t="n">
        <f aca="false">IF(AND(ISNUMBER(AG193),ISNUMBER(AG125)),IFERROR(AG193/AG125,""),"")</f>
        <v>0.0592236550157003</v>
      </c>
      <c r="AH195" s="26" t="n">
        <f aca="false">IF(AND(ISNUMBER(AH193),ISNUMBER(AH125)),IFERROR(AH193/AH125,""),"")</f>
        <v>0.0583814523537631</v>
      </c>
      <c r="AI195" s="26" t="n">
        <f aca="false">IF(AND(ISNUMBER(AI193),ISNUMBER(AI125)),IFERROR(AI193/AI125,""),"")</f>
        <v>0.0549829351796679</v>
      </c>
      <c r="AJ195" s="26" t="n">
        <f aca="false">IF(AND(ISNUMBER(AJ193),ISNUMBER(AJ125)),IFERROR(AJ193/AJ125,""),"")</f>
        <v>0.0568858501458243</v>
      </c>
      <c r="AK195" s="26" t="n">
        <f aca="false">IF(AND(ISNUMBER(AK193),ISNUMBER(AK125)),IFERROR(AK193/AK125,""),"")</f>
        <v>0.0628849693608891</v>
      </c>
      <c r="AL195" s="26" t="n">
        <f aca="false">IF(AND(ISNUMBER(AL193),ISNUMBER(AL125)),IFERROR(AL193/AL125,""),"")</f>
        <v>0.0676293431366769</v>
      </c>
      <c r="AM195" s="26" t="n">
        <f aca="false">IF(AND(ISNUMBER(AM193),ISNUMBER(AM125)),IFERROR(AM193/AM125,""),"")</f>
        <v>0.0606579019205621</v>
      </c>
      <c r="AN195" s="26" t="n">
        <f aca="false">IF(AND(ISNUMBER(AN193),ISNUMBER(AN125)),IFERROR(AN193/AN125,""),"")</f>
        <v>0.0664079057157558</v>
      </c>
      <c r="AO195" s="26" t="n">
        <f aca="false">IF(AND(ISNUMBER(AO193),ISNUMBER(AO125)),IFERROR(AO193/AO125,""),"")</f>
        <v>0.0646271016465242</v>
      </c>
      <c r="AP195" s="26" t="n">
        <f aca="false">IF(AND(ISNUMBER(AP193),ISNUMBER(AP125)),IFERROR(AP193/AP125,""),"")</f>
        <v>0.0572503742091816</v>
      </c>
      <c r="AQ195" s="26" t="n">
        <f aca="false">IF(AND(ISNUMBER(AQ193),ISNUMBER(AQ125)),IFERROR(AQ193/AQ125,""),"")</f>
        <v>0.0427416467764701</v>
      </c>
      <c r="AR195" s="26" t="n">
        <f aca="false">IF(AND(ISNUMBER(AR193),ISNUMBER(AR125)),IFERROR(AR193/AR125,""),"")</f>
        <v>0.0577827190788887</v>
      </c>
      <c r="AS195" s="26" t="n">
        <f aca="false">IF(AND(ISNUMBER(AS193),ISNUMBER(AS125)),IFERROR(AS193/AS125,""),"")</f>
        <v>0.0351728564039813</v>
      </c>
      <c r="AT195" s="26" t="n">
        <f aca="false">IF(AND(ISNUMBER(AT193),ISNUMBER(AT125)),IFERROR(AT193/AT125,""),"")</f>
        <v>0.0591383978261481</v>
      </c>
      <c r="AU195" s="26" t="n">
        <f aca="false">IF(AND(ISNUMBER(AU193),ISNUMBER(AU125)),IFERROR(AU193/AU125,""),"")</f>
        <v>0.0461927191819731</v>
      </c>
      <c r="AV195" s="26" t="n">
        <f aca="false">IF(AND(ISNUMBER(AV193),ISNUMBER(AV125)),IFERROR(AV193/AV125,""),"")</f>
        <v>0.0508768968218591</v>
      </c>
      <c r="AW195" s="26" t="n">
        <f aca="false">IF(AND(ISNUMBER(AW193),ISNUMBER(AW125)),IFERROR(AW193/AW125,""),"")</f>
        <v>0.0478182224513124</v>
      </c>
      <c r="AX195" s="26" t="n">
        <f aca="false">IF(AND(ISNUMBER(AX193),ISNUMBER(AX125)),IFERROR(AX193/AX125,""),"")</f>
        <v>0.0513350801197951</v>
      </c>
      <c r="AY195" s="26" t="n">
        <f aca="false">IF(AND(ISNUMBER(AY193),ISNUMBER(AY125)),IFERROR(AY193/AY125,""),"")</f>
        <v>0.0512479743258566</v>
      </c>
      <c r="AZ195" s="26" t="n">
        <f aca="false">IF(AND(ISNUMBER(AZ193),ISNUMBER(AZ125)),IFERROR(AZ193/AZ125,""),"")</f>
        <v>0.0531914469015492</v>
      </c>
      <c r="BA195" s="26" t="n">
        <f aca="false">IF(AND(ISNUMBER(BA193),ISNUMBER(BA125)),IFERROR(BA193/BA125,""),"")</f>
        <v>0.0476855195630535</v>
      </c>
      <c r="BB195" s="26" t="n">
        <f aca="false">IF(AND(ISNUMBER(BB193),ISNUMBER(BB125)),IFERROR(BB193/BB125,""),"")</f>
        <v>0.0507904073640284</v>
      </c>
      <c r="BC195" s="26" t="n">
        <f aca="false">IF(AND(ISNUMBER(BC193),ISNUMBER(BC125)),IFERROR(BC193/BC125,""),"")</f>
        <v>0.0539851140405458</v>
      </c>
      <c r="BD195" s="26" t="n">
        <f aca="false">IF(AND(ISNUMBER(BD193),ISNUMBER(BD125)),IFERROR(BD193/BD125,""),"")</f>
        <v>0.0687846906843079</v>
      </c>
      <c r="BE195" s="26" t="n">
        <f aca="false">IF(AND(ISNUMBER(BE193),ISNUMBER(BE125)),IFERROR(BE193/BE125,""),"")</f>
        <v>0.0516316852013906</v>
      </c>
      <c r="BF195" s="26" t="n">
        <f aca="false">IF(AND(ISNUMBER(BF193),ISNUMBER(BF125)),IFERROR(BF193/BF125,""),"")</f>
        <v>0.0443613460984708</v>
      </c>
      <c r="BG195" s="26" t="n">
        <f aca="false">IF(AND(ISNUMBER(BG193),ISNUMBER(BG125)),IFERROR(BG193/BG125,""),"")</f>
        <v>0.055511471709191</v>
      </c>
      <c r="BH195" s="26" t="n">
        <f aca="false">IF(AND(ISNUMBER(BH193),ISNUMBER(BH125)),IFERROR(BH193/BH125,""),"")</f>
        <v>0.0410122580323398</v>
      </c>
      <c r="BI195" s="26" t="n">
        <f aca="false">IF(AND(ISNUMBER(BI193),ISNUMBER(BI125)),IFERROR(BI193/BI125,""),"")</f>
        <v>0.0390627826867269</v>
      </c>
      <c r="BJ195" s="26" t="n">
        <f aca="false">IF(AND(ISNUMBER(BJ193),ISNUMBER(BJ125)),IFERROR(BJ193/BJ125,""),"")</f>
        <v>0.0376705528411459</v>
      </c>
      <c r="BK195" s="26" t="n">
        <f aca="false">IF(AND(ISNUMBER(BK193),ISNUMBER(BK125)),IFERROR(BK193/BK125,""),"")</f>
        <v>0.0299010845150521</v>
      </c>
      <c r="BL195" s="26" t="n">
        <f aca="false">IF(AND(ISNUMBER(BL193),ISNUMBER(BL125)),IFERROR(BL193/BL125,""),"")</f>
        <v>0.0370320865415812</v>
      </c>
      <c r="BM195" s="26" t="n">
        <f aca="false">IF(AND(ISNUMBER(BM193),ISNUMBER(BM125)),IFERROR(BM193/BM125,""),"")</f>
        <v>0.0371583054775603</v>
      </c>
      <c r="BN195" s="26" t="n">
        <f aca="false">IF(AND(ISNUMBER(BN193),ISNUMBER(BN125)),IFERROR(BN193/BN125,""),"")</f>
        <v>0.0486986510973496</v>
      </c>
      <c r="BO195" s="26" t="n">
        <f aca="false">IF(AND(ISNUMBER(BO193),ISNUMBER(BO125)),IFERROR(BO193/BO125,""),"")</f>
        <v>0.0571695422746343</v>
      </c>
      <c r="BP195" s="26" t="n">
        <f aca="false">IF(AND(ISNUMBER(BP193),ISNUMBER(BP125)),IFERROR(BP193/BP125,""),"")</f>
        <v>0.0498698100871374</v>
      </c>
      <c r="BQ195" s="26" t="n">
        <f aca="false">IF(AND(ISNUMBER(BQ193),ISNUMBER(BQ125)),IFERROR(BQ193/BQ125,""),"")</f>
        <v>0.0483222074006841</v>
      </c>
      <c r="BR195" s="26" t="n">
        <f aca="false">IF(AND(ISNUMBER(BR193),ISNUMBER(BR125)),IFERROR(BR193/BR125,""),"")</f>
        <v>0.052167423654596</v>
      </c>
      <c r="BS195" s="26" t="n">
        <f aca="false">IF(AND(ISNUMBER(BS193),ISNUMBER(BS125)),IFERROR(BS193/BS125,""),"")</f>
        <v>0.0592511669768693</v>
      </c>
      <c r="BT195" s="26" t="n">
        <f aca="false">IF(AND(ISNUMBER(BT193),ISNUMBER(BT125)),IFERROR(BT193/BT125,""),"")</f>
        <v>0.0619841782846157</v>
      </c>
      <c r="BU195" s="26" t="n">
        <f aca="false">IF(AND(ISNUMBER(BU193),ISNUMBER(BU125)),IFERROR(BU193/BU125,""),"")</f>
        <v>0.057232289041091</v>
      </c>
      <c r="BV195" s="26" t="n">
        <f aca="false">IF(AND(ISNUMBER(BV193),ISNUMBER(BV125)),IFERROR(BV193/BV125,""),"")</f>
        <v>0.0576951071114634</v>
      </c>
      <c r="BW195" s="26" t="n">
        <f aca="false">IF(AND(ISNUMBER(BW193),ISNUMBER(BW125)),IFERROR(BW193/BW125,""),"")</f>
        <v>0.0550153578404231</v>
      </c>
      <c r="BX195" s="26" t="n">
        <f aca="false">IF(AND(ISNUMBER(BX193),ISNUMBER(BX125)),IFERROR(BX193/BX125,""),"")</f>
        <v>0.0579238596395938</v>
      </c>
      <c r="BY195" s="27" t="n">
        <f aca="false">IF(AND(ISNUMBER(BY193),ISNUMBER(BY125)),IFERROR(BY193/BY125,""),"")</f>
        <v>0.0613120762695099</v>
      </c>
      <c r="BZ195" s="27" t="n">
        <f aca="false">IF(AND(ISNUMBER(BZ193),ISNUMBER(BZ125)),IFERROR(BZ193/BZ125,""),"")</f>
        <v>0.0579211256059482</v>
      </c>
      <c r="CA195" s="27" t="n">
        <f aca="false">IF(AND(ISNUMBER(CA193),ISNUMBER(CA125)),IFERROR(CA193/CA125,""),"")</f>
        <v>0.0582222586244901</v>
      </c>
      <c r="CB195" s="27" t="n">
        <f aca="false">IF(AND(ISNUMBER(CB193),ISNUMBER(CB125)),IFERROR(CB193/CB125,""),"")</f>
        <v>0.0609911278518821</v>
      </c>
      <c r="CC195" s="27" t="n">
        <f aca="false">IF(AND(ISNUMBER(CC193),ISNUMBER(CC125)),IFERROR(CC193/CC125,""),"")</f>
        <v>0.0641824277946993</v>
      </c>
      <c r="CD195" s="27" t="n">
        <f aca="false">IF(AND(ISNUMBER(CD193),ISNUMBER(CD125)),IFERROR(CD193/CD125,""),"")</f>
        <v>0.0668295463225265</v>
      </c>
      <c r="CE195" s="27" t="n">
        <f aca="false">IF(AND(ISNUMBER(CE193),ISNUMBER(CE125)),IFERROR(CE193/CE125,""),"")</f>
        <v>0.0669474327179372</v>
      </c>
    </row>
    <row r="196" customFormat="false" ht="15" hidden="false" customHeight="false" outlineLevel="0" collapsed="false">
      <c r="B196" s="46" t="s">
        <v>317</v>
      </c>
      <c r="C196" s="47" t="n">
        <f aca="false">ROUND(C193-C152-C181,1)</f>
        <v>0</v>
      </c>
      <c r="D196" s="47" t="n">
        <f aca="false">ROUND(D193-D152-D181,1)</f>
        <v>0</v>
      </c>
      <c r="E196" s="47" t="n">
        <f aca="false">ROUND(E193-E152-E181,1)</f>
        <v>0</v>
      </c>
      <c r="F196" s="47" t="n">
        <f aca="false">ROUND(F193-F152-F181,1)</f>
        <v>0</v>
      </c>
      <c r="G196" s="47" t="n">
        <f aca="false">ROUND(G193-G152-G181,1)</f>
        <v>0</v>
      </c>
      <c r="H196" s="47" t="n">
        <f aca="false">ROUND(H193-H152-H181,1)</f>
        <v>0</v>
      </c>
      <c r="I196" s="47" t="n">
        <f aca="false">ROUND(I193-I152-I181,1)</f>
        <v>0</v>
      </c>
      <c r="J196" s="47" t="n">
        <f aca="false">ROUND(J193-J152-J181,1)</f>
        <v>0</v>
      </c>
      <c r="K196" s="47" t="n">
        <f aca="false">ROUND(K193-K152-K181,1)</f>
        <v>0</v>
      </c>
      <c r="L196" s="47" t="n">
        <f aca="false">ROUND(L193-L152-L181,1)</f>
        <v>0</v>
      </c>
      <c r="M196" s="47" t="n">
        <f aca="false">ROUND(M193-M152-M181,1)</f>
        <v>0</v>
      </c>
      <c r="N196" s="47" t="n">
        <f aca="false">ROUND(N193-N152-N181,1)</f>
        <v>0</v>
      </c>
      <c r="O196" s="47" t="n">
        <f aca="false">ROUND(O193-O152-O181,1)</f>
        <v>0</v>
      </c>
      <c r="P196" s="47" t="n">
        <f aca="false">ROUND(P193-P152-P181,1)</f>
        <v>0</v>
      </c>
      <c r="Q196" s="47" t="n">
        <f aca="false">ROUND(Q193-Q152-Q181,1)</f>
        <v>0</v>
      </c>
      <c r="R196" s="47" t="n">
        <f aca="false">ROUND(R193-R152-R181,1)</f>
        <v>0</v>
      </c>
      <c r="S196" s="47" t="n">
        <f aca="false">ROUND(S193-S152-S181,1)</f>
        <v>0</v>
      </c>
      <c r="T196" s="47" t="n">
        <f aca="false">ROUND(T193-T152-T181,1)</f>
        <v>0</v>
      </c>
      <c r="U196" s="47" t="n">
        <f aca="false">ROUND(U193-U152-U181,1)</f>
        <v>0</v>
      </c>
      <c r="V196" s="47" t="n">
        <f aca="false">ROUND(V193-V152-V181,1)</f>
        <v>0</v>
      </c>
      <c r="W196" s="47" t="n">
        <f aca="false">ROUND(W193-W152-W181,1)</f>
        <v>0</v>
      </c>
      <c r="X196" s="47" t="n">
        <f aca="false">ROUND(X193-X152-X181,1)</f>
        <v>0</v>
      </c>
      <c r="Y196" s="47" t="n">
        <f aca="false">ROUND(Y193-Y152-Y181,1)</f>
        <v>0</v>
      </c>
      <c r="Z196" s="47" t="n">
        <f aca="false">ROUND(Z193-Z152-Z181,1)</f>
        <v>0</v>
      </c>
      <c r="AA196" s="47" t="n">
        <f aca="false">ROUND(AA193-AA152-AA181,1)</f>
        <v>0</v>
      </c>
      <c r="AB196" s="47" t="n">
        <f aca="false">ROUND(AB193-AB152-AB181,1)</f>
        <v>0</v>
      </c>
      <c r="AC196" s="47" t="n">
        <f aca="false">ROUND(AC193-AC152-AC181,1)</f>
        <v>0</v>
      </c>
      <c r="AD196" s="47" t="n">
        <f aca="false">ROUND(AD193-AD152-AD181,1)</f>
        <v>0</v>
      </c>
      <c r="AE196" s="47" t="n">
        <f aca="false">ROUND(AE193-AE152-AE181,1)</f>
        <v>0</v>
      </c>
      <c r="AF196" s="47" t="n">
        <f aca="false">ROUND(AF193-AF152-AF181,1)</f>
        <v>0</v>
      </c>
      <c r="AG196" s="47" t="n">
        <f aca="false">ROUND(AG193-AG152-AG181,1)</f>
        <v>0</v>
      </c>
      <c r="AH196" s="47" t="n">
        <f aca="false">ROUND(AH193-AH152-AH181,1)</f>
        <v>0</v>
      </c>
      <c r="AI196" s="47" t="n">
        <f aca="false">ROUND(AI193-AI152-AI181,1)</f>
        <v>0</v>
      </c>
      <c r="AJ196" s="47" t="n">
        <f aca="false">ROUND(AJ193-AJ152-AJ181,1)</f>
        <v>0</v>
      </c>
      <c r="AK196" s="47" t="n">
        <f aca="false">ROUND(AK193-AK152-AK181,1)</f>
        <v>0</v>
      </c>
      <c r="AL196" s="47" t="n">
        <f aca="false">ROUND(AL193-AL152-AL181,1)</f>
        <v>0</v>
      </c>
      <c r="AM196" s="47" t="n">
        <f aca="false">ROUND(AM193-AM152-AM181,1)</f>
        <v>0</v>
      </c>
      <c r="AN196" s="47" t="n">
        <f aca="false">ROUND(AN193-AN152-AN181,1)</f>
        <v>0</v>
      </c>
      <c r="AO196" s="47" t="n">
        <f aca="false">ROUND(AO193-AO152-AO181,1)</f>
        <v>0</v>
      </c>
      <c r="AP196" s="47" t="n">
        <f aca="false">ROUND(AP193-AP152-AP181,1)</f>
        <v>0</v>
      </c>
      <c r="AQ196" s="47" t="n">
        <f aca="false">ROUND(AQ193-AQ152-AQ181,1)</f>
        <v>0</v>
      </c>
      <c r="AR196" s="47" t="n">
        <f aca="false">ROUND(AR193-AR152-AR181,1)</f>
        <v>0</v>
      </c>
      <c r="AS196" s="47" t="n">
        <f aca="false">ROUND(AS193-AS152-AS181,1)</f>
        <v>0</v>
      </c>
      <c r="AT196" s="47" t="n">
        <f aca="false">ROUND(AT193-AT152-AT181,1)</f>
        <v>0</v>
      </c>
      <c r="AU196" s="47" t="n">
        <f aca="false">ROUND(AU193-AU152-AU181,1)</f>
        <v>0</v>
      </c>
      <c r="AV196" s="47" t="n">
        <f aca="false">ROUND(AV193-AV152-AV181,1)</f>
        <v>0</v>
      </c>
      <c r="AW196" s="47" t="n">
        <f aca="false">ROUND(AW193-AW152-AW181,1)</f>
        <v>0</v>
      </c>
      <c r="AX196" s="47" t="n">
        <f aca="false">ROUND(AX193-AX152-AX181,1)</f>
        <v>0</v>
      </c>
      <c r="AY196" s="47" t="n">
        <f aca="false">ROUND(AY193-AY152-AY181,1)</f>
        <v>0</v>
      </c>
      <c r="AZ196" s="47" t="n">
        <f aca="false">ROUND(AZ193-AZ152-AZ181,1)</f>
        <v>0</v>
      </c>
      <c r="BA196" s="47" t="n">
        <f aca="false">ROUND(BA193-BA152-BA181,1)</f>
        <v>0</v>
      </c>
      <c r="BB196" s="47" t="n">
        <f aca="false">ROUND(BB193-BB152-BB181,1)</f>
        <v>0</v>
      </c>
      <c r="BC196" s="47" t="n">
        <f aca="false">ROUND(BC193-BC152-BC181,1)</f>
        <v>0</v>
      </c>
      <c r="BD196" s="47" t="n">
        <f aca="false">ROUND(BD193-BD152-BD181,1)</f>
        <v>0</v>
      </c>
      <c r="BE196" s="47" t="n">
        <f aca="false">ROUND(BE193-BE152-BE181,1)</f>
        <v>0</v>
      </c>
      <c r="BF196" s="47" t="n">
        <f aca="false">ROUND(BF193-BF152-BF181,1)</f>
        <v>0</v>
      </c>
      <c r="BG196" s="47" t="n">
        <f aca="false">ROUND(BG193-BG152-BG181,1)</f>
        <v>0</v>
      </c>
      <c r="BH196" s="47" t="n">
        <f aca="false">ROUND(BH193-BH152-BH181,1)</f>
        <v>0</v>
      </c>
      <c r="BI196" s="47" t="n">
        <f aca="false">ROUND(BI193-BI152-BI181,1)</f>
        <v>0</v>
      </c>
      <c r="BJ196" s="47" t="n">
        <f aca="false">ROUND(BJ193-BJ152-BJ181,1)</f>
        <v>0</v>
      </c>
      <c r="BK196" s="47" t="n">
        <f aca="false">ROUND(BK193-BK152-BK181,1)</f>
        <v>0</v>
      </c>
      <c r="BL196" s="47" t="n">
        <f aca="false">ROUND(BL193-BL152-BL181,1)</f>
        <v>0</v>
      </c>
      <c r="BM196" s="47" t="n">
        <f aca="false">ROUND(BM193-BM152-BM181,1)</f>
        <v>0</v>
      </c>
      <c r="BN196" s="47" t="n">
        <f aca="false">ROUND(BN193-BN152-BN181,1)</f>
        <v>0</v>
      </c>
      <c r="BO196" s="47" t="n">
        <f aca="false">ROUND(BO193-BO152-BO181,1)</f>
        <v>0</v>
      </c>
      <c r="BP196" s="47" t="n">
        <f aca="false">ROUND(BP193-BP152-BP181,1)</f>
        <v>0</v>
      </c>
      <c r="BQ196" s="47" t="n">
        <f aca="false">ROUND(BQ193-BQ152-BQ181,1)</f>
        <v>0</v>
      </c>
      <c r="BR196" s="47" t="n">
        <f aca="false">ROUND(BR193-BR152-BR181,1)</f>
        <v>0</v>
      </c>
      <c r="BS196" s="47" t="n">
        <f aca="false">ROUND(BS193-BS152-BS181,1)</f>
        <v>0</v>
      </c>
      <c r="BT196" s="47" t="n">
        <f aca="false">ROUND(BT193-BT152-BT181,1)</f>
        <v>0</v>
      </c>
      <c r="BU196" s="47" t="n">
        <f aca="false">ROUND(BU193-BU152-BU181,1)</f>
        <v>0</v>
      </c>
      <c r="BV196" s="47" t="n">
        <f aca="false">ROUND(BV193-BV152-BV181,1)</f>
        <v>0</v>
      </c>
      <c r="BW196" s="47" t="n">
        <f aca="false">ROUND(BW193-BW152-BW181,1)</f>
        <v>0</v>
      </c>
      <c r="BX196" s="47" t="n">
        <f aca="false">ROUND(BX193-BX152-BX181,1)</f>
        <v>0</v>
      </c>
      <c r="BY196" s="53" t="n">
        <f aca="false">ROUND(BY193-BY152-BY181,1)</f>
        <v>0</v>
      </c>
      <c r="BZ196" s="53" t="n">
        <f aca="false">ROUND(BZ193-BZ152-BZ181,1)</f>
        <v>0</v>
      </c>
      <c r="CA196" s="53" t="n">
        <f aca="false">ROUND(CA193-CA152-CA181,1)</f>
        <v>0</v>
      </c>
      <c r="CB196" s="53" t="n">
        <f aca="false">ROUND(CB193-CB152-CB181,1)</f>
        <v>0</v>
      </c>
      <c r="CC196" s="53" t="n">
        <f aca="false">ROUND(CC193-CC152-CC181,1)</f>
        <v>0</v>
      </c>
      <c r="CD196" s="53" t="n">
        <f aca="false">ROUND(CD193-CD152-CD181,1)</f>
        <v>0</v>
      </c>
      <c r="CE196" s="53" t="n">
        <f aca="false">ROUND(CE193-CE152-CE181,1)</f>
        <v>0</v>
      </c>
    </row>
    <row r="197" customFormat="false" ht="15" hidden="false" customHeight="false" outlineLevel="0" collapsed="false">
      <c r="B197" s="28" t="s">
        <v>318</v>
      </c>
    </row>
    <row r="198" customFormat="false" ht="15" hidden="false" customHeight="false" outlineLevel="0" collapsed="false">
      <c r="B198" s="28" t="s">
        <v>319</v>
      </c>
      <c r="C198" s="43" t="n">
        <f aca="false">-C152</f>
        <v>-23.932</v>
      </c>
      <c r="D198" s="43" t="n">
        <f aca="false">-D152</f>
        <v>-27.366</v>
      </c>
      <c r="E198" s="43" t="n">
        <f aca="false">-E152</f>
        <v>-31.164</v>
      </c>
      <c r="F198" s="43" t="n">
        <f aca="false">-F152</f>
        <v>-30.514</v>
      </c>
      <c r="G198" s="43" t="n">
        <f aca="false">-G152</f>
        <v>-29.369</v>
      </c>
      <c r="H198" s="43" t="n">
        <f aca="false">-H152</f>
        <v>-32.498</v>
      </c>
      <c r="I198" s="43" t="n">
        <f aca="false">-I152</f>
        <v>-38.09</v>
      </c>
      <c r="J198" s="43" t="n">
        <f aca="false">-J152</f>
        <v>-13.807</v>
      </c>
      <c r="K198" s="43" t="n">
        <f aca="false">-K152</f>
        <v>-14.145</v>
      </c>
      <c r="L198" s="43" t="n">
        <f aca="false">-L152</f>
        <v>-14.1</v>
      </c>
      <c r="M198" s="43" t="n">
        <f aca="false">-M152</f>
        <v>-14.83</v>
      </c>
      <c r="N198" s="43" t="n">
        <f aca="false">-N152</f>
        <v>-56.882</v>
      </c>
      <c r="O198" s="43" t="n">
        <f aca="false">-O152</f>
        <v>-14.549</v>
      </c>
      <c r="P198" s="43" t="n">
        <f aca="false">-P152</f>
        <v>-14.8</v>
      </c>
      <c r="Q198" s="43" t="n">
        <f aca="false">-Q152</f>
        <v>-14.093</v>
      </c>
      <c r="R198" s="43" t="n">
        <f aca="false">-R152</f>
        <v>-13.567</v>
      </c>
      <c r="S198" s="43" t="n">
        <f aca="false">-S152</f>
        <v>-57.009</v>
      </c>
      <c r="T198" s="43" t="n">
        <f aca="false">-T152</f>
        <v>-16.243</v>
      </c>
      <c r="U198" s="43" t="n">
        <f aca="false">-U152</f>
        <v>-16.439</v>
      </c>
      <c r="V198" s="43" t="n">
        <f aca="false">-V152</f>
        <v>-16.831</v>
      </c>
      <c r="W198" s="43" t="n">
        <f aca="false">-W152</f>
        <v>-16.896</v>
      </c>
      <c r="X198" s="43" t="n">
        <f aca="false">-X152</f>
        <v>-66.409</v>
      </c>
      <c r="Y198" s="43" t="n">
        <f aca="false">-Y152</f>
        <v>-16.875</v>
      </c>
      <c r="Z198" s="43" t="n">
        <f aca="false">-Z152</f>
        <v>-18.184</v>
      </c>
      <c r="AA198" s="43" t="n">
        <f aca="false">-AA152</f>
        <v>-17.657</v>
      </c>
      <c r="AB198" s="43" t="n">
        <f aca="false">-AB152</f>
        <v>-21.953</v>
      </c>
      <c r="AC198" s="43" t="n">
        <f aca="false">-AC152</f>
        <v>-74.669</v>
      </c>
      <c r="AD198" s="43" t="n">
        <f aca="false">-AD152</f>
        <v>-22.431</v>
      </c>
      <c r="AE198" s="43" t="n">
        <f aca="false">-AE152</f>
        <v>-22.946</v>
      </c>
      <c r="AF198" s="43" t="n">
        <f aca="false">-AF152</f>
        <v>-23.963</v>
      </c>
      <c r="AG198" s="43" t="n">
        <f aca="false">-AG152</f>
        <v>-23.637</v>
      </c>
      <c r="AH198" s="43" t="n">
        <f aca="false">-AH152</f>
        <v>-92.977</v>
      </c>
      <c r="AI198" s="43" t="n">
        <f aca="false">-AI152</f>
        <v>-24.241</v>
      </c>
      <c r="AJ198" s="43" t="n">
        <f aca="false">-AJ152</f>
        <v>-24.238</v>
      </c>
      <c r="AK198" s="43" t="n">
        <f aca="false">-AK152</f>
        <v>-23.923</v>
      </c>
      <c r="AL198" s="43" t="n">
        <f aca="false">-AL152</f>
        <v>-24.327</v>
      </c>
      <c r="AM198" s="43" t="n">
        <f aca="false">-AM152</f>
        <v>-96.729</v>
      </c>
      <c r="AN198" s="43" t="n">
        <f aca="false">-AN152</f>
        <v>-24.56</v>
      </c>
      <c r="AO198" s="43" t="n">
        <f aca="false">-AO152</f>
        <v>-25.082</v>
      </c>
      <c r="AP198" s="43" t="n">
        <f aca="false">-AP152</f>
        <v>-25.48</v>
      </c>
      <c r="AQ198" s="43" t="n">
        <f aca="false">-AQ152</f>
        <v>-25.327</v>
      </c>
      <c r="AR198" s="43" t="n">
        <f aca="false">-AR152</f>
        <v>-100.449</v>
      </c>
      <c r="AS198" s="43" t="n">
        <f aca="false">-AS152</f>
        <v>-24.393</v>
      </c>
      <c r="AT198" s="43" t="n">
        <f aca="false">-AT152</f>
        <v>-25.758</v>
      </c>
      <c r="AU198" s="43" t="n">
        <f aca="false">-AU152</f>
        <v>-26.916</v>
      </c>
      <c r="AV198" s="43" t="n">
        <f aca="false">-AV152</f>
        <v>-24.66</v>
      </c>
      <c r="AW198" s="43" t="n">
        <f aca="false">-AW152</f>
        <v>-101.727</v>
      </c>
      <c r="AX198" s="43" t="n">
        <f aca="false">-AX152</f>
        <v>-23.278</v>
      </c>
      <c r="AY198" s="43" t="n">
        <f aca="false">-AY152</f>
        <v>-22.937</v>
      </c>
      <c r="AZ198" s="43" t="n">
        <f aca="false">-AZ152</f>
        <v>-22.406</v>
      </c>
      <c r="BA198" s="43" t="n">
        <f aca="false">-BA152</f>
        <v>-22.638</v>
      </c>
      <c r="BB198" s="43" t="n">
        <f aca="false">-BB152</f>
        <v>-91.259</v>
      </c>
      <c r="BC198" s="43" t="n">
        <f aca="false">-BC152</f>
        <v>-22.486</v>
      </c>
      <c r="BD198" s="43" t="n">
        <f aca="false">-BD152</f>
        <v>-23.262</v>
      </c>
      <c r="BE198" s="43" t="n">
        <f aca="false">-BE152</f>
        <v>-22.975</v>
      </c>
      <c r="BF198" s="43" t="n">
        <f aca="false">-BF152</f>
        <v>-24.053</v>
      </c>
      <c r="BG198" s="43" t="n">
        <f aca="false">-BG152</f>
        <v>-92.776</v>
      </c>
      <c r="BH198" s="43" t="n">
        <f aca="false">-BH152</f>
        <v>-24.38</v>
      </c>
      <c r="BI198" s="43" t="n">
        <f aca="false">-BI152</f>
        <v>-25.975</v>
      </c>
      <c r="BJ198" s="43" t="n">
        <f aca="false">-BJ152</f>
        <v>-25.544</v>
      </c>
      <c r="BK198" s="43" t="n">
        <f aca="false">-BK152</f>
        <v>-23.086</v>
      </c>
      <c r="BL198" s="43" t="n">
        <f aca="false">-BL152</f>
        <v>-98.985</v>
      </c>
      <c r="BM198" s="43" t="n">
        <f aca="false">-BM152</f>
        <v>-23.878</v>
      </c>
      <c r="BN198" s="43" t="n">
        <f aca="false">-BN152</f>
        <v>-25.054</v>
      </c>
      <c r="BO198" s="43" t="n">
        <f aca="false">-BO152</f>
        <v>-23.948</v>
      </c>
      <c r="BP198" s="43" t="n">
        <f aca="false">-BP152</f>
        <v>-24.28</v>
      </c>
      <c r="BQ198" s="43" t="n">
        <f aca="false">-BQ152</f>
        <v>-97.16</v>
      </c>
      <c r="BR198" s="43" t="n">
        <f aca="false">-BR152</f>
        <v>-25.642</v>
      </c>
      <c r="BS198" s="43" t="n">
        <f aca="false">-BS152</f>
        <v>-24.866</v>
      </c>
      <c r="BT198" s="43" t="n">
        <f aca="false">-BT152</f>
        <v>-25.829</v>
      </c>
      <c r="BU198" s="43" t="n">
        <f aca="false">-BU152</f>
        <v>-26.481</v>
      </c>
      <c r="BV198" s="43" t="n">
        <f aca="false">-BV152</f>
        <v>-102.818</v>
      </c>
      <c r="BW198" s="43" t="n">
        <f aca="false">-BW152</f>
        <v>-24.852</v>
      </c>
      <c r="BX198" s="43" t="n">
        <f aca="false">-BX152</f>
        <v>-22.569</v>
      </c>
      <c r="BY198" s="49" t="n">
        <f aca="false">-BY152</f>
        <v>-23.3097679735366</v>
      </c>
      <c r="BZ198" s="49" t="n">
        <f aca="false">-BZ152</f>
        <v>-21.691216089801</v>
      </c>
      <c r="CA198" s="49" t="n">
        <f aca="false">-CA152</f>
        <v>-92.4219840633376</v>
      </c>
      <c r="CB198" s="49" t="n">
        <f aca="false">-CB152</f>
        <v>-106.071186374676</v>
      </c>
      <c r="CC198" s="49" t="n">
        <f aca="false">-CC152</f>
        <v>-113.793661272926</v>
      </c>
      <c r="CD198" s="49" t="n">
        <f aca="false">-CD152</f>
        <v>-123.174919503953</v>
      </c>
      <c r="CE198" s="49" t="n">
        <f aca="false">-CE152</f>
        <v>-133.605225437526</v>
      </c>
    </row>
    <row r="199" customFormat="false" ht="15" hidden="false" customHeight="false" outlineLevel="0" collapsed="false">
      <c r="B199" s="51" t="s">
        <v>320</v>
      </c>
      <c r="C199" s="52" t="n">
        <f aca="false">C193+C198</f>
        <v>417.845000000001</v>
      </c>
      <c r="D199" s="52" t="n">
        <f aca="false">D193+D198</f>
        <v>509.683999999999</v>
      </c>
      <c r="E199" s="52" t="n">
        <f aca="false">E193+E198</f>
        <v>571.586000000001</v>
      </c>
      <c r="F199" s="52" t="n">
        <f aca="false">F193+F198</f>
        <v>584.811</v>
      </c>
      <c r="G199" s="52" t="n">
        <f aca="false">G193+G198</f>
        <v>622.860000000001</v>
      </c>
      <c r="H199" s="52" t="n">
        <f aca="false">H193+H198</f>
        <v>692.73</v>
      </c>
      <c r="I199" s="52" t="n">
        <f aca="false">I193+I198</f>
        <v>675.319999999998</v>
      </c>
      <c r="J199" s="52" t="n">
        <f aca="false">J193+J198</f>
        <v>168.706</v>
      </c>
      <c r="K199" s="52" t="n">
        <f aca="false">K193+K198</f>
        <v>182.476</v>
      </c>
      <c r="L199" s="52" t="n">
        <f aca="false">L193+L198</f>
        <v>176.355</v>
      </c>
      <c r="M199" s="52" t="n">
        <f aca="false">M193+M198</f>
        <v>155.113</v>
      </c>
      <c r="N199" s="52" t="n">
        <f aca="false">N193+N198</f>
        <v>682.649999999999</v>
      </c>
      <c r="O199" s="52" t="n">
        <f aca="false">O193+O198</f>
        <v>156.971</v>
      </c>
      <c r="P199" s="52" t="n">
        <f aca="false">P193+P198</f>
        <v>200.382</v>
      </c>
      <c r="Q199" s="52" t="n">
        <f aca="false">Q193+Q198</f>
        <v>203.337</v>
      </c>
      <c r="R199" s="52" t="n">
        <f aca="false">R193+R198</f>
        <v>187.728</v>
      </c>
      <c r="S199" s="52" t="n">
        <f aca="false">S193+S198</f>
        <v>748.417999999998</v>
      </c>
      <c r="T199" s="52" t="n">
        <f aca="false">T193+T198</f>
        <v>181.925</v>
      </c>
      <c r="U199" s="52" t="n">
        <f aca="false">U193+U198</f>
        <v>229.095</v>
      </c>
      <c r="V199" s="52" t="n">
        <f aca="false">V193+V198</f>
        <v>232.711</v>
      </c>
      <c r="W199" s="52" t="n">
        <f aca="false">W193+W198</f>
        <v>214.579</v>
      </c>
      <c r="X199" s="52" t="n">
        <f aca="false">X193+X198</f>
        <v>858.31</v>
      </c>
      <c r="Y199" s="52" t="n">
        <f aca="false">Y193+Y198</f>
        <v>198.952</v>
      </c>
      <c r="Z199" s="52" t="n">
        <f aca="false">Z193+Z198</f>
        <v>233.747</v>
      </c>
      <c r="AA199" s="52" t="n">
        <f aca="false">AA193+AA198</f>
        <v>211.267</v>
      </c>
      <c r="AB199" s="52" t="n">
        <f aca="false">AB193+AB198</f>
        <v>193.565</v>
      </c>
      <c r="AC199" s="52" t="n">
        <f aca="false">AC193+AC198</f>
        <v>837.531000000002</v>
      </c>
      <c r="AD199" s="52" t="n">
        <f aca="false">AD193+AD198</f>
        <v>187.958</v>
      </c>
      <c r="AE199" s="52" t="n">
        <f aca="false">AE193+AE198</f>
        <v>181.82</v>
      </c>
      <c r="AF199" s="52" t="n">
        <f aca="false">AF193+AF198</f>
        <v>194.465</v>
      </c>
      <c r="AG199" s="52" t="n">
        <f aca="false">AG193+AG198</f>
        <v>210.876</v>
      </c>
      <c r="AH199" s="52" t="n">
        <f aca="false">AH193+AH198</f>
        <v>775.118999999997</v>
      </c>
      <c r="AI199" s="52" t="n">
        <f aca="false">AI193+AI198</f>
        <v>191.585</v>
      </c>
      <c r="AJ199" s="52" t="n">
        <f aca="false">AJ193+AJ198</f>
        <v>219.008</v>
      </c>
      <c r="AK199" s="52" t="n">
        <f aca="false">AK193+AK198</f>
        <v>245.973</v>
      </c>
      <c r="AL199" s="52" t="n">
        <f aca="false">AL193+AL198</f>
        <v>255.517</v>
      </c>
      <c r="AM199" s="52" t="n">
        <f aca="false">AM193+AM198</f>
        <v>912.082999999999</v>
      </c>
      <c r="AN199" s="52" t="n">
        <f aca="false">AN193+AN198</f>
        <v>224.55</v>
      </c>
      <c r="AO199" s="52" t="n">
        <f aca="false">AO193+AO198</f>
        <v>227.535</v>
      </c>
      <c r="AP199" s="52" t="n">
        <f aca="false">AP193+AP198</f>
        <v>195.285</v>
      </c>
      <c r="AQ199" s="52" t="n">
        <f aca="false">AQ193+AQ198</f>
        <v>136.806</v>
      </c>
      <c r="AR199" s="52" t="n">
        <f aca="false">AR193+AR198</f>
        <v>784.176</v>
      </c>
      <c r="AS199" s="52" t="n">
        <f aca="false">AS193+AS198</f>
        <v>109.44</v>
      </c>
      <c r="AT199" s="52" t="n">
        <f aca="false">AT193+AT198</f>
        <v>188.787</v>
      </c>
      <c r="AU199" s="52" t="n">
        <f aca="false">AU193+AU198</f>
        <v>168.239</v>
      </c>
      <c r="AV199" s="52" t="n">
        <f aca="false">AV193+AV198</f>
        <v>206.802</v>
      </c>
      <c r="AW199" s="52" t="n">
        <f aca="false">AW193+AW198</f>
        <v>673.268</v>
      </c>
      <c r="AX199" s="52" t="n">
        <f aca="false">AX193+AX198</f>
        <v>223.329</v>
      </c>
      <c r="AY199" s="52" t="n">
        <f aca="false">AY193+AY198</f>
        <v>260.604</v>
      </c>
      <c r="AZ199" s="52" t="n">
        <f aca="false">AZ193+AZ198</f>
        <v>310.768999999999</v>
      </c>
      <c r="BA199" s="52" t="n">
        <f aca="false">BA193+BA198</f>
        <v>287.406</v>
      </c>
      <c r="BB199" s="52" t="n">
        <f aca="false">BB193+BB198</f>
        <v>1082.108</v>
      </c>
      <c r="BC199" s="52" t="n">
        <f aca="false">BC193+BC198</f>
        <v>345.474</v>
      </c>
      <c r="BD199" s="52" t="n">
        <f aca="false">BD193+BD198</f>
        <v>444.369</v>
      </c>
      <c r="BE199" s="52" t="n">
        <f aca="false">BE193+BE198</f>
        <v>287.609</v>
      </c>
      <c r="BF199" s="52" t="n">
        <f aca="false">BF193+BF198</f>
        <v>200.718</v>
      </c>
      <c r="BG199" s="52" t="n">
        <f aca="false">BG193+BG198</f>
        <v>1278.17</v>
      </c>
      <c r="BH199" s="52" t="n">
        <f aca="false">BH193+BH198</f>
        <v>164.755</v>
      </c>
      <c r="BI199" s="52" t="n">
        <f aca="false">BI193+BI198</f>
        <v>146.755</v>
      </c>
      <c r="BJ199" s="52" t="n">
        <f aca="false">BJ193+BJ198</f>
        <v>137.985</v>
      </c>
      <c r="BK199" s="52" t="n">
        <f aca="false">BK193+BK198</f>
        <v>103.153</v>
      </c>
      <c r="BL199" s="52" t="n">
        <f aca="false">BL193+BL198</f>
        <v>552.648000000001</v>
      </c>
      <c r="BM199" s="52" t="n">
        <f aca="false">BM193+BM198</f>
        <v>140.075999999999</v>
      </c>
      <c r="BN199" s="52" t="n">
        <f aca="false">BN193+BN198</f>
        <v>193.279</v>
      </c>
      <c r="BO199" s="52" t="n">
        <f aca="false">BO193+BO198</f>
        <v>241.584</v>
      </c>
      <c r="BP199" s="52" t="n">
        <f aca="false">BP193+BP198</f>
        <v>184.408</v>
      </c>
      <c r="BQ199" s="52" t="n">
        <f aca="false">BQ193+BQ198</f>
        <v>759.348999999999</v>
      </c>
      <c r="BR199" s="52" t="n">
        <f aca="false">BR193+BR198</f>
        <v>185.466</v>
      </c>
      <c r="BS199" s="52" t="n">
        <f aca="false">BS193+BS198</f>
        <v>220.229</v>
      </c>
      <c r="BT199" s="52" t="n">
        <f aca="false">BT193+BT198</f>
        <v>230.589999999999</v>
      </c>
      <c r="BU199" s="52" t="n">
        <f aca="false">BU193+BU198</f>
        <v>197.448</v>
      </c>
      <c r="BV199" s="52" t="n">
        <f aca="false">BV193+BV198</f>
        <v>833.733</v>
      </c>
      <c r="BW199" s="52" t="n">
        <f aca="false">BW193+BW198</f>
        <v>195.921</v>
      </c>
      <c r="BX199" s="52" t="n">
        <f aca="false">BX193+BX198</f>
        <v>263.233</v>
      </c>
      <c r="BY199" s="52" t="n">
        <f aca="false">BY193+BY198</f>
        <v>289.631472221602</v>
      </c>
      <c r="BZ199" s="52" t="n">
        <f aca="false">BZ193+BZ198</f>
        <v>253.214527778396</v>
      </c>
      <c r="CA199" s="52" t="n">
        <f aca="false">CA193+CA198</f>
        <v>1002</v>
      </c>
      <c r="CB199" s="52" t="n">
        <f aca="false">CB193+CB198</f>
        <v>1097.9566283493</v>
      </c>
      <c r="CC199" s="52" t="n">
        <f aca="false">CC193+CC198</f>
        <v>1194.14915759875</v>
      </c>
      <c r="CD199" s="52" t="n">
        <f aca="false">CD193+CD198</f>
        <v>1283.45430512775</v>
      </c>
      <c r="CE199" s="52" t="n">
        <f aca="false">CE193+CE198</f>
        <v>1361.71108281689</v>
      </c>
      <c r="CF199" s="6"/>
    </row>
    <row r="200" customFormat="false" ht="15" hidden="false" customHeight="false" outlineLevel="0" collapsed="false">
      <c r="B200" s="25" t="s">
        <v>321</v>
      </c>
      <c r="C200" s="26" t="n">
        <f aca="false">IF(AND(ISNUMBER(C199),ISNUMBER(C125)),IFERROR(C199/C125,""),"")</f>
        <v>0.0637328608640929</v>
      </c>
      <c r="D200" s="26" t="n">
        <f aca="false">IF(AND(ISNUMBER(D199),ISNUMBER(D125)),IFERROR(D199/D125,""),"")</f>
        <v>0.0696649076989588</v>
      </c>
      <c r="E200" s="26" t="n">
        <f aca="false">IF(AND(ISNUMBER(E199),ISNUMBER(E125)),IFERROR(E199/E125,""),"")</f>
        <v>0.0666291780933378</v>
      </c>
      <c r="F200" s="26" t="n">
        <f aca="false">IF(AND(ISNUMBER(F199),ISNUMBER(F125)),IFERROR(F199/F125,""),"")</f>
        <v>0.0771804689047614</v>
      </c>
      <c r="G200" s="26" t="n">
        <f aca="false">IF(AND(ISNUMBER(G199),ISNUMBER(G125)),IFERROR(G199/G125,""),"")</f>
        <v>0.0671597494367504</v>
      </c>
      <c r="H200" s="26" t="n">
        <f aca="false">IF(AND(ISNUMBER(H199),ISNUMBER(H125)),IFERROR(H199/H125,""),"")</f>
        <v>0.0670188478597756</v>
      </c>
      <c r="I200" s="26" t="n">
        <f aca="false">IF(AND(ISNUMBER(I199),ISNUMBER(I125)),IFERROR(I199/I125,""),"")</f>
        <v>0.059451825155714</v>
      </c>
      <c r="J200" s="26" t="n">
        <f aca="false">IF(AND(ISNUMBER(J199),ISNUMBER(J125)),IFERROR(J199/J125,""),"")</f>
        <v>0.0563430048155359</v>
      </c>
      <c r="K200" s="26" t="n">
        <f aca="false">IF(AND(ISNUMBER(K199),ISNUMBER(K125)),IFERROR(K199/K125,""),"")</f>
        <v>0.0554931450109512</v>
      </c>
      <c r="L200" s="26" t="n">
        <f aca="false">IF(AND(ISNUMBER(L199),ISNUMBER(L125)),IFERROR(L199/L125,""),"")</f>
        <v>0.0531723885288385</v>
      </c>
      <c r="M200" s="26" t="n">
        <f aca="false">IF(AND(ISNUMBER(M199),ISNUMBER(M125)),IFERROR(M199/M125,""),"")</f>
        <v>0.0491972106789914</v>
      </c>
      <c r="N200" s="26" t="n">
        <f aca="false">IF(AND(ISNUMBER(N199),ISNUMBER(N125)),IFERROR(N199/N125,""),"")</f>
        <v>0.0535324601264923</v>
      </c>
      <c r="O200" s="26" t="n">
        <f aca="false">IF(AND(ISNUMBER(O199),ISNUMBER(O125)),IFERROR(O199/O125,""),"")</f>
        <v>0.0499496433668461</v>
      </c>
      <c r="P200" s="26" t="n">
        <f aca="false">IF(AND(ISNUMBER(P199),ISNUMBER(P125)),IFERROR(P199/P125,""),"")</f>
        <v>0.0572043079512566</v>
      </c>
      <c r="Q200" s="26" t="n">
        <f aca="false">IF(AND(ISNUMBER(Q199),ISNUMBER(Q125)),IFERROR(Q199/Q125,""),"")</f>
        <v>0.0586431413852952</v>
      </c>
      <c r="R200" s="26" t="n">
        <f aca="false">IF(AND(ISNUMBER(R199),ISNUMBER(R125)),IFERROR(R199/R125,""),"")</f>
        <v>0.0559179936149211</v>
      </c>
      <c r="S200" s="26" t="n">
        <f aca="false">IF(AND(ISNUMBER(S199),ISNUMBER(S125)),IFERROR(S199/S125,""),"")</f>
        <v>0.0555615647643028</v>
      </c>
      <c r="T200" s="26" t="n">
        <f aca="false">IF(AND(ISNUMBER(T199),ISNUMBER(T125)),IFERROR(T199/T125,""),"")</f>
        <v>0.0551139238205453</v>
      </c>
      <c r="U200" s="26" t="n">
        <f aca="false">IF(AND(ISNUMBER(U199),ISNUMBER(U125)),IFERROR(U199/U125,""),"")</f>
        <v>0.0646232195082324</v>
      </c>
      <c r="V200" s="26" t="n">
        <f aca="false">IF(AND(ISNUMBER(V199),ISNUMBER(V125)),IFERROR(V199/V125,""),"")</f>
        <v>0.0680590175690422</v>
      </c>
      <c r="W200" s="26" t="n">
        <f aca="false">IF(AND(ISNUMBER(W199),ISNUMBER(W125)),IFERROR(W199/W125,""),"")</f>
        <v>0.0668292818138981</v>
      </c>
      <c r="X200" s="26" t="n">
        <f aca="false">IF(AND(ISNUMBER(X199),ISNUMBER(X125)),IFERROR(X199/X125,""),"")</f>
        <v>0.0636913512857296</v>
      </c>
      <c r="Y200" s="26" t="n">
        <f aca="false">IF(AND(ISNUMBER(Y199),ISNUMBER(Y125)),IFERROR(Y199/Y125,""),"")</f>
        <v>0.0647220849573335</v>
      </c>
      <c r="Z200" s="26" t="n">
        <f aca="false">IF(AND(ISNUMBER(Z199),ISNUMBER(Z125)),IFERROR(Z199/Z125,""),"")</f>
        <v>0.0708379839508617</v>
      </c>
      <c r="AA200" s="26" t="n">
        <f aca="false">IF(AND(ISNUMBER(AA199),ISNUMBER(AA125)),IFERROR(AA199/AA125,""),"")</f>
        <v>0.0629566410410298</v>
      </c>
      <c r="AB200" s="26" t="n">
        <f aca="false">IF(AND(ISNUMBER(AB199),ISNUMBER(AB125)),IFERROR(AB199/AB125,""),"")</f>
        <v>0.0566812348553063</v>
      </c>
      <c r="AC200" s="26" t="n">
        <f aca="false">IF(AND(ISNUMBER(AC199),ISNUMBER(AC125)),IFERROR(AC199/AC125,""),"")</f>
        <v>0.0637176418604621</v>
      </c>
      <c r="AD200" s="26" t="n">
        <f aca="false">IF(AND(ISNUMBER(AD199),ISNUMBER(AD125)),IFERROR(AD199/AD125,""),"")</f>
        <v>0.0550369312982687</v>
      </c>
      <c r="AE200" s="26" t="n">
        <f aca="false">IF(AND(ISNUMBER(AE199),ISNUMBER(AE125)),IFERROR(AE199/AE125,""),"")</f>
        <v>0.0490078484794413</v>
      </c>
      <c r="AF200" s="26" t="n">
        <f aca="false">IF(AND(ISNUMBER(AF199),ISNUMBER(AF125)),IFERROR(AF199/AF125,""),"")</f>
        <v>0.05138526037198</v>
      </c>
      <c r="AG200" s="26" t="n">
        <f aca="false">IF(AND(ISNUMBER(AG199),ISNUMBER(AG125)),IFERROR(AG199/AG125,""),"")</f>
        <v>0.0532543930404319</v>
      </c>
      <c r="AH200" s="26" t="n">
        <f aca="false">IF(AND(ISNUMBER(AH199),ISNUMBER(AH125)),IFERROR(AH199/AH125,""),"")</f>
        <v>0.0521285352852639</v>
      </c>
      <c r="AI200" s="26" t="n">
        <f aca="false">IF(AND(ISNUMBER(AI199),ISNUMBER(AI125)),IFERROR(AI199/AI125,""),"")</f>
        <v>0.0488073987211766</v>
      </c>
      <c r="AJ200" s="26" t="n">
        <f aca="false">IF(AND(ISNUMBER(AJ199),ISNUMBER(AJ125)),IFERROR(AJ199/AJ125,""),"")</f>
        <v>0.0512175175284966</v>
      </c>
      <c r="AK200" s="26" t="n">
        <f aca="false">IF(AND(ISNUMBER(AK199),ISNUMBER(AK125)),IFERROR(AK199/AK125,""),"")</f>
        <v>0.0573109811505394</v>
      </c>
      <c r="AL200" s="26" t="n">
        <f aca="false">IF(AND(ISNUMBER(AL199),ISNUMBER(AL125)),IFERROR(AL199/AL125,""),"")</f>
        <v>0.0617502854099222</v>
      </c>
      <c r="AM200" s="26" t="n">
        <f aca="false">IF(AND(ISNUMBER(AM199),ISNUMBER(AM125)),IFERROR(AM199/AM125,""),"")</f>
        <v>0.0548417754323026</v>
      </c>
      <c r="AN200" s="26" t="n">
        <f aca="false">IF(AND(ISNUMBER(AN199),ISNUMBER(AN125)),IFERROR(AN199/AN125,""),"")</f>
        <v>0.0598606849523221</v>
      </c>
      <c r="AO200" s="26" t="n">
        <f aca="false">IF(AND(ISNUMBER(AO199),ISNUMBER(AO125)),IFERROR(AO199/AO125,""),"")</f>
        <v>0.0582103642001207</v>
      </c>
      <c r="AP200" s="26" t="n">
        <f aca="false">IF(AND(ISNUMBER(AP199),ISNUMBER(AP125)),IFERROR(AP199/AP125,""),"")</f>
        <v>0.0506427165875027</v>
      </c>
      <c r="AQ200" s="26" t="n">
        <f aca="false">IF(AND(ISNUMBER(AQ199),ISNUMBER(AQ125)),IFERROR(AQ199/AQ125,""),"")</f>
        <v>0.0360649203364014</v>
      </c>
      <c r="AR200" s="26" t="n">
        <f aca="false">IF(AND(ISNUMBER(AR199),ISNUMBER(AR125)),IFERROR(AR199/AR125,""),"")</f>
        <v>0.0512215023500428</v>
      </c>
      <c r="AS200" s="26" t="n">
        <f aca="false">IF(AND(ISNUMBER(AS199),ISNUMBER(AS125)),IFERROR(AS199/AS125,""),"")</f>
        <v>0.0287620945869233</v>
      </c>
      <c r="AT200" s="26" t="n">
        <f aca="false">IF(AND(ISNUMBER(AT199),ISNUMBER(AT125)),IFERROR(AT199/AT125,""),"")</f>
        <v>0.0520383169517118</v>
      </c>
      <c r="AU200" s="26" t="n">
        <f aca="false">IF(AND(ISNUMBER(AU199),ISNUMBER(AU125)),IFERROR(AU199/AU125,""),"")</f>
        <v>0.0398217667108503</v>
      </c>
      <c r="AV200" s="26" t="n">
        <f aca="false">IF(AND(ISNUMBER(AV199),ISNUMBER(AV125)),IFERROR(AV199/AV125,""),"")</f>
        <v>0.0454564637675044</v>
      </c>
      <c r="AW200" s="26" t="n">
        <f aca="false">IF(AND(ISNUMBER(AW199),ISNUMBER(AW125)),IFERROR(AW199/AW125,""),"")</f>
        <v>0.0415415312271049</v>
      </c>
      <c r="AX200" s="26" t="n">
        <f aca="false">IF(AND(ISNUMBER(AX199),ISNUMBER(AX125)),IFERROR(AX199/AX125,""),"")</f>
        <v>0.0464894026044424</v>
      </c>
      <c r="AY200" s="26" t="n">
        <f aca="false">IF(AND(ISNUMBER(AY199),ISNUMBER(AY125)),IFERROR(AY199/AY125,""),"")</f>
        <v>0.047102278334405</v>
      </c>
      <c r="AZ200" s="26" t="n">
        <f aca="false">IF(AND(ISNUMBER(AZ199),ISNUMBER(AZ125)),IFERROR(AZ199/AZ125,""),"")</f>
        <v>0.0496143250908608</v>
      </c>
      <c r="BA200" s="26" t="n">
        <f aca="false">IF(AND(ISNUMBER(BA199),ISNUMBER(BA125)),IFERROR(BA199/BA125,""),"")</f>
        <v>0.0442037402289319</v>
      </c>
      <c r="BB200" s="26" t="n">
        <f aca="false">IF(AND(ISNUMBER(BB199),ISNUMBER(BB125)),IFERROR(BB199/BB125,""),"")</f>
        <v>0.0468401669144215</v>
      </c>
      <c r="BC200" s="26" t="n">
        <f aca="false">IF(AND(ISNUMBER(BC199),ISNUMBER(BC125)),IFERROR(BC199/BC125,""),"")</f>
        <v>0.0506860889445687</v>
      </c>
      <c r="BD200" s="26" t="n">
        <f aca="false">IF(AND(ISNUMBER(BD199),ISNUMBER(BD125)),IFERROR(BD199/BD125,""),"")</f>
        <v>0.0653630409761013</v>
      </c>
      <c r="BE200" s="26" t="n">
        <f aca="false">IF(AND(ISNUMBER(BE199),ISNUMBER(BE125)),IFERROR(BE199/BE125,""),"")</f>
        <v>0.047812306329646</v>
      </c>
      <c r="BF200" s="26" t="n">
        <f aca="false">IF(AND(ISNUMBER(BF199),ISNUMBER(BF125)),IFERROR(BF199/BF125,""),"")</f>
        <v>0.039614188067824</v>
      </c>
      <c r="BG200" s="26" t="n">
        <f aca="false">IF(AND(ISNUMBER(BG199),ISNUMBER(BG125)),IFERROR(BG199/BG125,""),"")</f>
        <v>0.0517548450446164</v>
      </c>
      <c r="BH200" s="26" t="n">
        <f aca="false">IF(AND(ISNUMBER(BH199),ISNUMBER(BH125)),IFERROR(BH199/BH125,""),"")</f>
        <v>0.0357256698766391</v>
      </c>
      <c r="BI200" s="26" t="n">
        <f aca="false">IF(AND(ISNUMBER(BI199),ISNUMBER(BI125)),IFERROR(BI199/BI125,""),"")</f>
        <v>0.033188552499222</v>
      </c>
      <c r="BJ200" s="26" t="n">
        <f aca="false">IF(AND(ISNUMBER(BJ199),ISNUMBER(BJ125)),IFERROR(BJ199/BJ125,""),"")</f>
        <v>0.0317862350640285</v>
      </c>
      <c r="BK200" s="26" t="n">
        <f aca="false">IF(AND(ISNUMBER(BK199),ISNUMBER(BK125)),IFERROR(BK199/BK125,""),"")</f>
        <v>0.0244329135289504</v>
      </c>
      <c r="BL200" s="26" t="n">
        <f aca="false">IF(AND(ISNUMBER(BL199),ISNUMBER(BL125)),IFERROR(BL199/BL125,""),"")</f>
        <v>0.031406801931504</v>
      </c>
      <c r="BM200" s="26" t="n">
        <f aca="false">IF(AND(ISNUMBER(BM199),ISNUMBER(BM125)),IFERROR(BM199/BM125,""),"")</f>
        <v>0.0317466289207627</v>
      </c>
      <c r="BN200" s="26" t="n">
        <f aca="false">IF(AND(ISNUMBER(BN199),ISNUMBER(BN125)),IFERROR(BN199/BN125,""),"")</f>
        <v>0.0431104165904588</v>
      </c>
      <c r="BO200" s="26" t="n">
        <f aca="false">IF(AND(ISNUMBER(BO199),ISNUMBER(BO125)),IFERROR(BO199/BO125,""),"")</f>
        <v>0.0520134925390358</v>
      </c>
      <c r="BP200" s="26" t="n">
        <f aca="false">IF(AND(ISNUMBER(BP199),ISNUMBER(BP125)),IFERROR(BP199/BP125,""),"")</f>
        <v>0.0440676605197656</v>
      </c>
      <c r="BQ200" s="26" t="n">
        <f aca="false">IF(AND(ISNUMBER(BQ199),ISNUMBER(BQ125)),IFERROR(BQ199/BQ125,""),"")</f>
        <v>0.0428406705212695</v>
      </c>
      <c r="BR200" s="26" t="n">
        <f aca="false">IF(AND(ISNUMBER(BR199),ISNUMBER(BR125)),IFERROR(BR199/BR125,""),"")</f>
        <v>0.0458309651719655</v>
      </c>
      <c r="BS200" s="26" t="n">
        <f aca="false">IF(AND(ISNUMBER(BS199),ISNUMBER(BS125)),IFERROR(BS199/BS125,""),"")</f>
        <v>0.053239867203121</v>
      </c>
      <c r="BT200" s="26" t="n">
        <f aca="false">IF(AND(ISNUMBER(BT199),ISNUMBER(BT125)),IFERROR(BT199/BT125,""),"")</f>
        <v>0.055740532763366</v>
      </c>
      <c r="BU200" s="26" t="n">
        <f aca="false">IF(AND(ISNUMBER(BU199),ISNUMBER(BU125)),IFERROR(BU199/BU125,""),"")</f>
        <v>0.0504642141329856</v>
      </c>
      <c r="BV200" s="26" t="n">
        <f aca="false">IF(AND(ISNUMBER(BV199),ISNUMBER(BV125)),IFERROR(BV199/BV125,""),"")</f>
        <v>0.0513611268765521</v>
      </c>
      <c r="BW200" s="26" t="n">
        <f aca="false">IF(AND(ISNUMBER(BW199),ISNUMBER(BW125)),IFERROR(BW199/BW125,""),"")</f>
        <v>0.048822382825135</v>
      </c>
      <c r="BX200" s="26" t="n">
        <f aca="false">IF(AND(ISNUMBER(BX199),ISNUMBER(BX125)),IFERROR(BX199/BX125,""),"")</f>
        <v>0.0533497713259851</v>
      </c>
      <c r="BY200" s="27" t="n">
        <f aca="false">IF(AND(ISNUMBER(BY199),ISNUMBER(BY125)),IFERROR(BY199/BY125,""),"")</f>
        <v>0.0567451797143391</v>
      </c>
      <c r="BZ200" s="27" t="n">
        <f aca="false">IF(AND(ISNUMBER(BZ199),ISNUMBER(BZ125)),IFERROR(BZ199/BZ125,""),"")</f>
        <v>0.0533509058862559</v>
      </c>
      <c r="CA200" s="27" t="n">
        <f aca="false">IF(AND(ISNUMBER(CA199),ISNUMBER(CA125)),IFERROR(CA199/CA125,""),"")</f>
        <v>0.0533054927543952</v>
      </c>
      <c r="CB200" s="27" t="n">
        <f aca="false">IF(AND(ISNUMBER(CB199),ISNUMBER(CB125)),IFERROR(CB199/CB125,""),"")</f>
        <v>0.055617995096588</v>
      </c>
      <c r="CC200" s="27" t="n">
        <f aca="false">IF(AND(ISNUMBER(CC199),ISNUMBER(CC125)),IFERROR(CC199/CC125,""),"")</f>
        <v>0.0585984272231418</v>
      </c>
      <c r="CD200" s="27" t="n">
        <f aca="false">IF(AND(ISNUMBER(CD199),ISNUMBER(CD125)),IFERROR(CD199/CD125,""),"")</f>
        <v>0.060977454069205</v>
      </c>
      <c r="CE200" s="27" t="n">
        <f aca="false">IF(AND(ISNUMBER(CE199),ISNUMBER(CE125)),IFERROR(CE199/CE125,""),"")</f>
        <v>0.0609657372121982</v>
      </c>
    </row>
    <row r="202" customFormat="false" ht="15" hidden="false" customHeight="false" outlineLevel="0" collapsed="false">
      <c r="B202" s="8" t="s">
        <v>322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</row>
    <row r="203" customFormat="false" ht="15" hidden="false" customHeight="false" outlineLevel="0" collapsed="false">
      <c r="B203" s="28" t="s">
        <v>307</v>
      </c>
      <c r="C203" s="43" t="n">
        <f aca="false">C149</f>
        <v>266.925000000001</v>
      </c>
      <c r="D203" s="43" t="n">
        <f aca="false">D149</f>
        <v>324.260999999999</v>
      </c>
      <c r="E203" s="43" t="n">
        <f aca="false">E149</f>
        <v>359.177000000001</v>
      </c>
      <c r="F203" s="43" t="n">
        <f aca="false">F149</f>
        <v>360.83</v>
      </c>
      <c r="G203" s="43" t="n">
        <f aca="false">G149</f>
        <v>387.026000000001</v>
      </c>
      <c r="H203" s="43" t="n">
        <f aca="false">H149</f>
        <v>431.612</v>
      </c>
      <c r="I203" s="43" t="n">
        <f aca="false">I149</f>
        <v>593.803999999998</v>
      </c>
      <c r="J203" s="43" t="n">
        <f aca="false">J149</f>
        <v>103.343</v>
      </c>
      <c r="K203" s="43" t="n">
        <f aca="false">K149</f>
        <v>111.872</v>
      </c>
      <c r="L203" s="43" t="n">
        <f aca="false">L149</f>
        <v>107.737</v>
      </c>
      <c r="M203" s="43" t="n">
        <f aca="false">M149</f>
        <v>92.9519999999997</v>
      </c>
      <c r="N203" s="43" t="n">
        <f aca="false">N149</f>
        <v>415.903999999999</v>
      </c>
      <c r="O203" s="43" t="n">
        <f aca="false">O149</f>
        <v>93.1870000000001</v>
      </c>
      <c r="P203" s="43" t="n">
        <f aca="false">P149</f>
        <v>118.596</v>
      </c>
      <c r="Q203" s="43" t="n">
        <f aca="false">Q149</f>
        <v>124.981</v>
      </c>
      <c r="R203" s="43" t="n">
        <f aca="false">R149</f>
        <v>112.947</v>
      </c>
      <c r="S203" s="43" t="n">
        <f aca="false">S149</f>
        <v>449.710999999998</v>
      </c>
      <c r="T203" s="43" t="n">
        <f aca="false">T149</f>
        <v>106.476</v>
      </c>
      <c r="U203" s="43" t="n">
        <f aca="false">U149</f>
        <v>137.208</v>
      </c>
      <c r="V203" s="43" t="n">
        <f aca="false">V149</f>
        <v>139.432</v>
      </c>
      <c r="W203" s="43" t="n">
        <f aca="false">W149</f>
        <v>126.583</v>
      </c>
      <c r="X203" s="43" t="n">
        <f aca="false">X149</f>
        <v>509.699</v>
      </c>
      <c r="Y203" s="43" t="n">
        <f aca="false">Y149</f>
        <v>118.963</v>
      </c>
      <c r="Z203" s="43" t="n">
        <f aca="false">Z149</f>
        <v>143.09</v>
      </c>
      <c r="AA203" s="43" t="n">
        <f aca="false">AA149</f>
        <v>129.028</v>
      </c>
      <c r="AB203" s="43" t="n">
        <f aca="false">AB149</f>
        <v>122.303</v>
      </c>
      <c r="AC203" s="43" t="n">
        <f aca="false">AC149</f>
        <v>513.384000000002</v>
      </c>
      <c r="AD203" s="43" t="n">
        <f aca="false">AD149</f>
        <v>122.08</v>
      </c>
      <c r="AE203" s="43" t="n">
        <f aca="false">AE149</f>
        <v>111.071</v>
      </c>
      <c r="AF203" s="43" t="n">
        <f aca="false">AF149</f>
        <v>119.186</v>
      </c>
      <c r="AG203" s="43" t="n">
        <f aca="false">AG149</f>
        <v>152.556</v>
      </c>
      <c r="AH203" s="43" t="n">
        <f aca="false">AH149</f>
        <v>504.892999999997</v>
      </c>
      <c r="AI203" s="43" t="n">
        <f aca="false">AI149</f>
        <v>142.297</v>
      </c>
      <c r="AJ203" s="43" t="n">
        <f aca="false">AJ149</f>
        <v>159.163</v>
      </c>
      <c r="AK203" s="43" t="n">
        <f aca="false">AK149</f>
        <v>175.895</v>
      </c>
      <c r="AL203" s="43" t="n">
        <f aca="false">AL149</f>
        <v>187.15</v>
      </c>
      <c r="AM203" s="43" t="n">
        <f aca="false">AM149</f>
        <v>664.504999999999</v>
      </c>
      <c r="AN203" s="43" t="n">
        <f aca="false">AN149</f>
        <v>161.788</v>
      </c>
      <c r="AO203" s="43" t="n">
        <f aca="false">AO149</f>
        <v>169.18</v>
      </c>
      <c r="AP203" s="43" t="n">
        <f aca="false">AP149</f>
        <v>146.894</v>
      </c>
      <c r="AQ203" s="43" t="n">
        <f aca="false">AQ149</f>
        <v>99.1060000000003</v>
      </c>
      <c r="AR203" s="43" t="n">
        <f aca="false">AR149</f>
        <v>576.967999999999</v>
      </c>
      <c r="AS203" s="43" t="n">
        <f aca="false">AS149</f>
        <v>78.1459999999999</v>
      </c>
      <c r="AT203" s="43" t="n">
        <f aca="false">AT149</f>
        <v>143.939</v>
      </c>
      <c r="AU203" s="43" t="n">
        <f aca="false">AU149</f>
        <v>136.529</v>
      </c>
      <c r="AV203" s="43" t="n">
        <f aca="false">AV149</f>
        <v>147.807</v>
      </c>
      <c r="AW203" s="43" t="n">
        <f aca="false">AW149</f>
        <v>506.421</v>
      </c>
      <c r="AX203" s="43" t="n">
        <f aca="false">AX149</f>
        <v>173.305</v>
      </c>
      <c r="AY203" s="43" t="n">
        <f aca="false">AY149</f>
        <v>193.788999999999</v>
      </c>
      <c r="AZ203" s="43" t="n">
        <f aca="false">AZ149</f>
        <v>247.052999999999</v>
      </c>
      <c r="BA203" s="43" t="n">
        <f aca="false">BA149</f>
        <v>230.098</v>
      </c>
      <c r="BB203" s="43" t="n">
        <f aca="false">BB149</f>
        <v>844.245</v>
      </c>
      <c r="BC203" s="43" t="n">
        <f aca="false">BC149</f>
        <v>270.348</v>
      </c>
      <c r="BD203" s="43" t="n">
        <f aca="false">BD149</f>
        <v>348.185</v>
      </c>
      <c r="BE203" s="43" t="n">
        <f aca="false">BE149</f>
        <v>225.798</v>
      </c>
      <c r="BF203" s="43" t="n">
        <f aca="false">BF149</f>
        <v>96.193</v>
      </c>
      <c r="BG203" s="43" t="n">
        <f aca="false">BG149</f>
        <v>940.524</v>
      </c>
      <c r="BH203" s="43" t="n">
        <f aca="false">BH149</f>
        <v>114.891</v>
      </c>
      <c r="BI203" s="43" t="n">
        <f aca="false">BI149</f>
        <v>97.3159999999996</v>
      </c>
      <c r="BJ203" s="43" t="n">
        <f aca="false">BJ149</f>
        <v>81.9489999999997</v>
      </c>
      <c r="BK203" s="43" t="n">
        <f aca="false">BK149</f>
        <v>30.9729999999996</v>
      </c>
      <c r="BL203" s="43" t="n">
        <f aca="false">BL149</f>
        <v>325.129</v>
      </c>
      <c r="BM203" s="43" t="n">
        <f aca="false">BM149</f>
        <v>92.9039999999994</v>
      </c>
      <c r="BN203" s="43" t="n">
        <f aca="false">BN149</f>
        <v>126.251</v>
      </c>
      <c r="BO203" s="43" t="n">
        <f aca="false">BO149</f>
        <v>97.2289999999997</v>
      </c>
      <c r="BP203" s="43" t="n">
        <f aca="false">BP149</f>
        <v>149.306</v>
      </c>
      <c r="BQ203" s="43" t="n">
        <f aca="false">BQ149</f>
        <v>465.689999999999</v>
      </c>
      <c r="BR203" s="43" t="n">
        <f aca="false">BR149</f>
        <v>135.302</v>
      </c>
      <c r="BS203" s="43" t="n">
        <f aca="false">BS149</f>
        <v>152.471</v>
      </c>
      <c r="BT203" s="43" t="n">
        <f aca="false">BT149</f>
        <v>162.986999999999</v>
      </c>
      <c r="BU203" s="43" t="n">
        <f aca="false">BU149</f>
        <v>136.321</v>
      </c>
      <c r="BV203" s="43" t="n">
        <f aca="false">BV149</f>
        <v>587.081</v>
      </c>
      <c r="BW203" s="43" t="n">
        <f aca="false">BW149</f>
        <v>147.233</v>
      </c>
      <c r="BX203" s="43" t="n">
        <f aca="false">BX149</f>
        <v>186.786</v>
      </c>
      <c r="BY203" s="49" t="n">
        <f aca="false">BY149</f>
        <v>208.621079525743</v>
      </c>
      <c r="BZ203" s="49" t="n">
        <f aca="false">BZ149</f>
        <v>174.294160474256</v>
      </c>
      <c r="CA203" s="49" t="n">
        <f aca="false">CA149</f>
        <v>716.93424</v>
      </c>
      <c r="CB203" s="49" t="n">
        <f aca="false">CB149</f>
        <v>829.79979227077</v>
      </c>
      <c r="CC203" s="49" t="n">
        <f aca="false">CC149</f>
        <v>896.522032694338</v>
      </c>
      <c r="CD203" s="49" t="n">
        <f aca="false">CD149</f>
        <v>960.914103024663</v>
      </c>
      <c r="CE203" s="49" t="n">
        <f aca="false">CE149</f>
        <v>1018.93060730814</v>
      </c>
    </row>
    <row r="204" customFormat="false" ht="15" hidden="false" customHeight="false" outlineLevel="0" collapsed="false">
      <c r="B204" s="28" t="s">
        <v>323</v>
      </c>
      <c r="C204" s="43" t="n">
        <f aca="false">C180</f>
        <v>0</v>
      </c>
      <c r="D204" s="43" t="n">
        <f aca="false">D180</f>
        <v>0</v>
      </c>
      <c r="E204" s="43" t="n">
        <f aca="false">E180</f>
        <v>0</v>
      </c>
      <c r="F204" s="43" t="n">
        <f aca="false">F180</f>
        <v>0</v>
      </c>
      <c r="G204" s="43" t="n">
        <f aca="false">G180</f>
        <v>0</v>
      </c>
      <c r="H204" s="43" t="n">
        <f aca="false">H180</f>
        <v>0</v>
      </c>
      <c r="I204" s="43" t="n">
        <f aca="false">I180</f>
        <v>0</v>
      </c>
      <c r="J204" s="43" t="n">
        <f aca="false">J180</f>
        <v>0</v>
      </c>
      <c r="K204" s="43" t="n">
        <f aca="false">K180</f>
        <v>0</v>
      </c>
      <c r="L204" s="43" t="n">
        <f aca="false">L180</f>
        <v>0</v>
      </c>
      <c r="M204" s="43" t="n">
        <f aca="false">M180</f>
        <v>0</v>
      </c>
      <c r="N204" s="43" t="n">
        <f aca="false">N180</f>
        <v>0</v>
      </c>
      <c r="O204" s="43" t="n">
        <f aca="false">O180</f>
        <v>0</v>
      </c>
      <c r="P204" s="43" t="n">
        <f aca="false">P180</f>
        <v>0</v>
      </c>
      <c r="Q204" s="43" t="n">
        <f aca="false">Q180</f>
        <v>0</v>
      </c>
      <c r="R204" s="43" t="n">
        <f aca="false">R180</f>
        <v>0</v>
      </c>
      <c r="S204" s="43" t="n">
        <f aca="false">S180</f>
        <v>0</v>
      </c>
      <c r="T204" s="43" t="n">
        <f aca="false">T180</f>
        <v>0</v>
      </c>
      <c r="U204" s="43" t="n">
        <f aca="false">U180</f>
        <v>0</v>
      </c>
      <c r="V204" s="43" t="n">
        <f aca="false">V180</f>
        <v>0</v>
      </c>
      <c r="W204" s="43" t="n">
        <f aca="false">W180</f>
        <v>0</v>
      </c>
      <c r="X204" s="43" t="n">
        <f aca="false">X180</f>
        <v>0</v>
      </c>
      <c r="Y204" s="43" t="n">
        <f aca="false">Y180</f>
        <v>0</v>
      </c>
      <c r="Z204" s="43" t="n">
        <f aca="false">Z180</f>
        <v>0</v>
      </c>
      <c r="AA204" s="43" t="n">
        <f aca="false">AA180</f>
        <v>0</v>
      </c>
      <c r="AB204" s="43" t="n">
        <f aca="false">AB180</f>
        <v>0</v>
      </c>
      <c r="AC204" s="43" t="n">
        <f aca="false">AC180</f>
        <v>0</v>
      </c>
      <c r="AD204" s="43" t="n">
        <f aca="false">AD180</f>
        <v>0</v>
      </c>
      <c r="AE204" s="43" t="n">
        <f aca="false">AE180</f>
        <v>0</v>
      </c>
      <c r="AF204" s="43" t="n">
        <f aca="false">AF180</f>
        <v>0</v>
      </c>
      <c r="AG204" s="43" t="n">
        <f aca="false">AG180</f>
        <v>0</v>
      </c>
      <c r="AH204" s="43" t="n">
        <f aca="false">AH180</f>
        <v>0</v>
      </c>
      <c r="AI204" s="43" t="n">
        <f aca="false">AI180</f>
        <v>0</v>
      </c>
      <c r="AJ204" s="43" t="n">
        <f aca="false">AJ180</f>
        <v>0</v>
      </c>
      <c r="AK204" s="43" t="n">
        <f aca="false">AK180</f>
        <v>0</v>
      </c>
      <c r="AL204" s="43" t="n">
        <f aca="false">AL180</f>
        <v>0</v>
      </c>
      <c r="AM204" s="43" t="n">
        <f aca="false">AM180</f>
        <v>0</v>
      </c>
      <c r="AN204" s="43" t="n">
        <f aca="false">AN180</f>
        <v>0</v>
      </c>
      <c r="AO204" s="43" t="n">
        <f aca="false">AO180</f>
        <v>0</v>
      </c>
      <c r="AP204" s="43" t="n">
        <f aca="false">AP180</f>
        <v>-5.8</v>
      </c>
      <c r="AQ204" s="43" t="n">
        <f aca="false">AQ180</f>
        <v>0</v>
      </c>
      <c r="AR204" s="43" t="n">
        <f aca="false">AR180</f>
        <v>-5.8</v>
      </c>
      <c r="AS204" s="43" t="n">
        <f aca="false">AS180</f>
        <v>0</v>
      </c>
      <c r="AT204" s="43" t="n">
        <f aca="false">AT180</f>
        <v>0</v>
      </c>
      <c r="AU204" s="43" t="n">
        <f aca="false">AU180</f>
        <v>0</v>
      </c>
      <c r="AV204" s="43" t="n">
        <f aca="false">AV180</f>
        <v>0</v>
      </c>
      <c r="AW204" s="43" t="n">
        <f aca="false">AW180</f>
        <v>0</v>
      </c>
      <c r="AX204" s="43" t="n">
        <f aca="false">AX180</f>
        <v>0</v>
      </c>
      <c r="AY204" s="43" t="n">
        <f aca="false">AY180</f>
        <v>0</v>
      </c>
      <c r="AZ204" s="43" t="n">
        <f aca="false">AZ180</f>
        <v>0</v>
      </c>
      <c r="BA204" s="43" t="n">
        <f aca="false">BA180</f>
        <v>0</v>
      </c>
      <c r="BB204" s="43" t="n">
        <f aca="false">BB180</f>
        <v>0</v>
      </c>
      <c r="BC204" s="43" t="n">
        <f aca="false">BC180</f>
        <v>0</v>
      </c>
      <c r="BD204" s="43" t="n">
        <f aca="false">BD180</f>
        <v>-25.296</v>
      </c>
      <c r="BE204" s="43" t="n">
        <f aca="false">BE180</f>
        <v>0</v>
      </c>
      <c r="BF204" s="43" t="n">
        <f aca="false">BF180</f>
        <v>36.684</v>
      </c>
      <c r="BG204" s="43" t="n">
        <f aca="false">BG180</f>
        <v>11.388</v>
      </c>
      <c r="BH204" s="43" t="n">
        <f aca="false">BH180</f>
        <v>3.722</v>
      </c>
      <c r="BI204" s="43" t="n">
        <f aca="false">BI180</f>
        <v>14.132</v>
      </c>
      <c r="BJ204" s="43" t="n">
        <f aca="false">BJ180</f>
        <v>24.463</v>
      </c>
      <c r="BK204" s="43" t="n">
        <f aca="false">BK180</f>
        <v>-4.276</v>
      </c>
      <c r="BL204" s="43" t="n">
        <f aca="false">BL180</f>
        <v>38.041</v>
      </c>
      <c r="BM204" s="43" t="n">
        <f aca="false">BM180</f>
        <v>12.943</v>
      </c>
      <c r="BN204" s="43" t="n">
        <f aca="false">BN180</f>
        <v>15.189</v>
      </c>
      <c r="BO204" s="43" t="n">
        <f aca="false">BO180</f>
        <v>61.465</v>
      </c>
      <c r="BP204" s="43" t="n">
        <f aca="false">BP180</f>
        <v>0.609</v>
      </c>
      <c r="BQ204" s="43" t="n">
        <f aca="false">BQ180</f>
        <v>90.208</v>
      </c>
      <c r="BR204" s="43" t="n">
        <f aca="false">BR180</f>
        <v>8.613</v>
      </c>
      <c r="BS204" s="43" t="n">
        <f aca="false">BS180</f>
        <v>4.31</v>
      </c>
      <c r="BT204" s="43" t="n">
        <f aca="false">BT180</f>
        <v>9.754</v>
      </c>
      <c r="BU204" s="43" t="n">
        <f aca="false">BU180</f>
        <v>16.095</v>
      </c>
      <c r="BV204" s="43" t="n">
        <f aca="false">BV180</f>
        <v>38.772</v>
      </c>
      <c r="BW204" s="43" t="n">
        <f aca="false">BW180</f>
        <v>20.235</v>
      </c>
      <c r="BX204" s="43" t="n">
        <f aca="false">BX180</f>
        <v>7.49</v>
      </c>
      <c r="BY204" s="49" t="n">
        <f aca="false">BY180</f>
        <v>9.93</v>
      </c>
      <c r="BZ204" s="49" t="n">
        <f aca="false">BZ180</f>
        <v>16.594</v>
      </c>
      <c r="CA204" s="49" t="n">
        <f aca="false">CA180</f>
        <v>54.249</v>
      </c>
      <c r="CB204" s="49" t="n">
        <f aca="false">CB180</f>
        <v>0</v>
      </c>
      <c r="CC204" s="49" t="n">
        <f aca="false">CC180</f>
        <v>0</v>
      </c>
      <c r="CD204" s="49" t="n">
        <f aca="false">CD180</f>
        <v>0</v>
      </c>
      <c r="CE204" s="49" t="n">
        <f aca="false">CE180</f>
        <v>0</v>
      </c>
    </row>
    <row r="205" customFormat="false" ht="15" hidden="false" customHeight="false" outlineLevel="0" collapsed="false">
      <c r="B205" s="28" t="s">
        <v>324</v>
      </c>
      <c r="I205" s="37" t="n">
        <v>-281.6</v>
      </c>
      <c r="BF205" s="37" t="n">
        <v>3.407</v>
      </c>
      <c r="BG205" s="37" t="n">
        <v>9.268</v>
      </c>
      <c r="BH205" s="37" t="n">
        <v>1.757</v>
      </c>
      <c r="BI205" s="37" t="n">
        <v>2.051</v>
      </c>
      <c r="BJ205" s="37" t="n">
        <v>5.112</v>
      </c>
      <c r="BK205" s="37" t="n">
        <v>7.454</v>
      </c>
      <c r="BL205" s="37" t="n">
        <v>16.375</v>
      </c>
      <c r="BY205" s="48" t="n">
        <v>0</v>
      </c>
      <c r="BZ205" s="48" t="n">
        <v>0</v>
      </c>
      <c r="CA205" s="49" t="n">
        <f aca="false">SUM(BW205,BX205,BY205,BZ205)</f>
        <v>0</v>
      </c>
      <c r="CB205" s="48" t="n">
        <v>0</v>
      </c>
      <c r="CC205" s="48" t="n">
        <v>0</v>
      </c>
      <c r="CD205" s="48" t="n">
        <v>0</v>
      </c>
      <c r="CE205" s="48" t="n">
        <v>0</v>
      </c>
    </row>
    <row r="206" customFormat="false" ht="15" hidden="false" customHeight="false" outlineLevel="0" collapsed="false">
      <c r="B206" s="25" t="s">
        <v>325</v>
      </c>
      <c r="C206" s="26" t="n">
        <f aca="false">IFERROR(MIN(MAX(C148,0.15),0.4),0.25)</f>
        <v>0.378793450131257</v>
      </c>
      <c r="D206" s="26" t="n">
        <f aca="false">IFERROR(MIN(MAX(D148,0.15),0.4),0.25)</f>
        <v>0.380606822358142</v>
      </c>
      <c r="E206" s="26" t="n">
        <f aca="false">IFERROR(MIN(MAX(E148,0.15),0.4),0.25)</f>
        <v>0.379002294311594</v>
      </c>
      <c r="F206" s="26" t="n">
        <f aca="false">IFERROR(MIN(MAX(F148,0.15),0.4),0.25)</f>
        <v>0.385361998156921</v>
      </c>
      <c r="G206" s="26" t="n">
        <f aca="false">IFERROR(MIN(MAX(G148,0.15),0.4),0.25)</f>
        <v>0.379867393470938</v>
      </c>
      <c r="H206" s="26" t="n">
        <f aca="false">IFERROR(MIN(MAX(H148,0.15),0.4),0.25)</f>
        <v>0.378710933001681</v>
      </c>
      <c r="I206" s="26" t="n">
        <f aca="false">IFERROR(MIN(MAX(I148,0.15),0.4),0.25)</f>
        <v>0.38046161454497</v>
      </c>
      <c r="J206" s="26" t="n">
        <f aca="false">IFERROR(MIN(MAX(J148,0.15),0.4),0.25)</f>
        <v>0.387219382612098</v>
      </c>
      <c r="K206" s="26" t="n">
        <f aca="false">IFERROR(MIN(MAX(K148,0.15),0.4),0.25)</f>
        <v>0.384936801420662</v>
      </c>
      <c r="L206" s="26" t="n">
        <f aca="false">IFERROR(MIN(MAX(L148,0.15),0.4),0.25)</f>
        <v>0.379823854478471</v>
      </c>
      <c r="M206" s="26" t="n">
        <f aca="false">IFERROR(MIN(MAX(M148,0.15),0.4),0.25)</f>
        <v>0.376612924859834</v>
      </c>
      <c r="N206" s="26" t="n">
        <f aca="false">IFERROR(MIN(MAX(N148,0.15),0.4),0.25)</f>
        <v>0.38234617092466</v>
      </c>
      <c r="O206" s="26" t="n">
        <f aca="false">IFERROR(MIN(MAX(O148,0.15),0.4),0.25)</f>
        <v>0.382212940864492</v>
      </c>
      <c r="P206" s="26" t="n">
        <f aca="false">IFERROR(MIN(MAX(P148,0.15),0.4),0.25)</f>
        <v>0.389089785195488</v>
      </c>
      <c r="Q206" s="26" t="n">
        <f aca="false">IFERROR(MIN(MAX(Q148,0.15),0.4),0.25)</f>
        <v>0.366006706132408</v>
      </c>
      <c r="R206" s="26" t="n">
        <f aca="false">IFERROR(MIN(MAX(R148,0.15),0.4),0.25)</f>
        <v>0.377112194476308</v>
      </c>
      <c r="S206" s="26" t="n">
        <f aca="false">IFERROR(MIN(MAX(S148,0.15),0.4),0.25)</f>
        <v>0.378363658731794</v>
      </c>
      <c r="T206" s="26" t="n">
        <f aca="false">IFERROR(MIN(MAX(T148,0.15),0.4),0.25)</f>
        <v>0.382103064066853</v>
      </c>
      <c r="U206" s="26" t="n">
        <f aca="false">IFERROR(MIN(MAX(U148,0.15),0.4),0.25)</f>
        <v>0.385271571363927</v>
      </c>
      <c r="V206" s="26" t="n">
        <f aca="false">IFERROR(MIN(MAX(V148,0.15),0.4),0.25)</f>
        <v>0.383458912589762</v>
      </c>
      <c r="W206" s="26" t="n">
        <f aca="false">IFERROR(MIN(MAX(W148,0.15),0.4),0.25)</f>
        <v>0.370572030948545</v>
      </c>
      <c r="X206" s="26" t="n">
        <f aca="false">IFERROR(MIN(MAX(X148,0.15),0.4),0.25)</f>
        <v>0.380516808239374</v>
      </c>
      <c r="Y206" s="26" t="n">
        <f aca="false">IFERROR(MIN(MAX(Y148,0.15),0.4),0.25)</f>
        <v>0.374471553265327</v>
      </c>
      <c r="Z206" s="26" t="n">
        <f aca="false">IFERROR(MIN(MAX(Z148,0.15),0.4),0.25)</f>
        <v>0.370983198670664</v>
      </c>
      <c r="AA206" s="26" t="n">
        <f aca="false">IFERROR(MIN(MAX(AA148,0.15),0.4),0.25)</f>
        <v>0.367016449095128</v>
      </c>
      <c r="AB206" s="26" t="n">
        <f aca="false">IFERROR(MIN(MAX(AB148,0.15),0.4),0.25)</f>
        <v>0.35781083451039</v>
      </c>
      <c r="AC206" s="26" t="n">
        <f aca="false">IFERROR(MIN(MAX(AC148,0.15),0.4),0.25)</f>
        <v>0.36771476076113</v>
      </c>
      <c r="AD206" s="26" t="n">
        <f aca="false">IFERROR(MIN(MAX(AD148,0.15),0.4),0.25)</f>
        <v>0.31667562242522</v>
      </c>
      <c r="AE206" s="26" t="n">
        <f aca="false">IFERROR(MIN(MAX(AE148,0.15),0.4),0.25)</f>
        <v>0.355930925706864</v>
      </c>
      <c r="AF206" s="26" t="n">
        <f aca="false">IFERROR(MIN(MAX(AF148,0.15),0.4),0.25)</f>
        <v>0.352183105864193</v>
      </c>
      <c r="AG206" s="26" t="n">
        <f aca="false">IFERROR(MIN(MAX(AG148,0.15),0.4),0.25)</f>
        <v>0.211083185950542</v>
      </c>
      <c r="AH206" s="26" t="n">
        <f aca="false">IFERROR(MIN(MAX(AH148,0.15),0.4),0.25)</f>
        <v>0.306906459216186</v>
      </c>
      <c r="AI206" s="26" t="n">
        <f aca="false">IFERROR(MIN(MAX(AI148,0.15),0.4),0.25)</f>
        <v>0.213328910633828</v>
      </c>
      <c r="AJ206" s="26" t="n">
        <f aca="false">IFERROR(MIN(MAX(AJ148,0.15),0.4),0.25)</f>
        <v>0.255830372171311</v>
      </c>
      <c r="AK206" s="26" t="n">
        <f aca="false">IFERROR(MIN(MAX(AK148,0.15),0.4),0.25)</f>
        <v>0.265411552452109</v>
      </c>
      <c r="AL206" s="26" t="n">
        <f aca="false">IFERROR(MIN(MAX(AL148,0.15),0.4),0.25)</f>
        <v>0.239416242313897</v>
      </c>
      <c r="AM206" s="26" t="n">
        <f aca="false">IFERROR(MIN(MAX(AM148,0.15),0.4),0.25)</f>
        <v>0.245114867773975</v>
      </c>
      <c r="AN206" s="26" t="n">
        <f aca="false">IFERROR(MIN(MAX(AN148,0.15),0.4),0.25)</f>
        <v>0.219960464779904</v>
      </c>
      <c r="AO206" s="26" t="n">
        <f aca="false">IFERROR(MIN(MAX(AO148,0.15),0.4),0.25)</f>
        <v>0.234202426217636</v>
      </c>
      <c r="AP206" s="26" t="n">
        <f aca="false">IFERROR(MIN(MAX(AP148,0.15),0.4),0.25)</f>
        <v>0.218253904898752</v>
      </c>
      <c r="AQ206" s="26" t="n">
        <f aca="false">IFERROR(MIN(MAX(AQ148,0.15),0.4),0.25)</f>
        <v>0.213581755566488</v>
      </c>
      <c r="AR206" s="26" t="n">
        <f aca="false">IFERROR(MIN(MAX(AR148,0.15),0.4),0.25)</f>
        <v>0.222684326318243</v>
      </c>
      <c r="AS206" s="26" t="n">
        <f aca="false">IFERROR(MIN(MAX(AS148,0.15),0.4),0.25)</f>
        <v>0.170530293380886</v>
      </c>
      <c r="AT206" s="26" t="n">
        <f aca="false">IFERROR(MIN(MAX(AT148,0.15),0.4),0.25)</f>
        <v>0.193962234566795</v>
      </c>
      <c r="AU206" s="26" t="n">
        <f aca="false">IFERROR(MIN(MAX(AU148,0.15),0.4),0.25)</f>
        <v>0.150801746551059</v>
      </c>
      <c r="AV206" s="26" t="n">
        <f aca="false">IFERROR(MIN(MAX(AV148,0.15),0.4),0.25)</f>
        <v>0.241116399427013</v>
      </c>
      <c r="AW206" s="26" t="n">
        <f aca="false">IFERROR(MIN(MAX(AW148,0.15),0.4),0.25)</f>
        <v>0.194021940665032</v>
      </c>
      <c r="AX206" s="26" t="n">
        <f aca="false">IFERROR(MIN(MAX(AX148,0.15),0.4),0.25)</f>
        <v>0.182789563774055</v>
      </c>
      <c r="AY206" s="26" t="n">
        <f aca="false">IFERROR(MIN(MAX(AY148,0.15),0.4),0.25)</f>
        <v>0.21576887744985</v>
      </c>
      <c r="AZ206" s="26" t="n">
        <f aca="false">IFERROR(MIN(MAX(AZ148,0.15),0.4),0.25)</f>
        <v>0.159989391615977</v>
      </c>
      <c r="BA206" s="26" t="n">
        <f aca="false">IFERROR(MIN(MAX(BA148,0.15),0.4),0.25)</f>
        <v>0.15</v>
      </c>
      <c r="BB206" s="26" t="n">
        <f aca="false">IFERROR(MIN(MAX(BB148,0.15),0.4),0.25)</f>
        <v>0.174163716593416</v>
      </c>
      <c r="BC206" s="26" t="n">
        <f aca="false">IFERROR(MIN(MAX(BC148,0.15),0.4),0.25)</f>
        <v>0.183978267431331</v>
      </c>
      <c r="BD206" s="26" t="n">
        <f aca="false">IFERROR(MIN(MAX(BD148,0.15),0.4),0.25)</f>
        <v>0.212732041513103</v>
      </c>
      <c r="BE206" s="26" t="n">
        <f aca="false">IFERROR(MIN(MAX(BE148,0.15),0.4),0.25)</f>
        <v>0.16875094335455</v>
      </c>
      <c r="BF206" s="26" t="n">
        <f aca="false">IFERROR(-BF207/(BF204+BF205),"")</f>
        <v>0.219600409069367</v>
      </c>
      <c r="BG206" s="26" t="n">
        <f aca="false">IFERROR(-BG207/(BG204+BG205),"")</f>
        <v>0.132310224632068</v>
      </c>
      <c r="BH206" s="26" t="n">
        <f aca="false">IFERROR(-BH207/(BH204+BH205),"")</f>
        <v>0.163168461398065</v>
      </c>
      <c r="BI206" s="26" t="n">
        <f aca="false">IFERROR(-BI207/(BI204+BI205),"")</f>
        <v>0.20966446270778</v>
      </c>
      <c r="BJ206" s="26" t="n">
        <f aca="false">IFERROR(-BJ207/(BJ204+BJ205),"")</f>
        <v>0.184919695688926</v>
      </c>
      <c r="BK206" s="26" t="n">
        <f aca="false">IFERROR(-BK207/(BK204+BK205),"")</f>
        <v>-7.529263687854</v>
      </c>
      <c r="BL206" s="26" t="n">
        <f aca="false">IFERROR(-BL207/(BL204+BL205),"")</f>
        <v>-0.260438106439283</v>
      </c>
      <c r="BM206" s="26" t="n">
        <f aca="false">IFERROR(-BM207/(BM204+BM205),"")</f>
        <v>0.239588967009194</v>
      </c>
      <c r="BN206" s="26" t="n">
        <f aca="false">IFERROR(-BN207/(BN204+BN205),"")</f>
        <v>0.239976298637172</v>
      </c>
      <c r="BO206" s="26" t="n">
        <f aca="false">IFERROR(-BO207/(BO204+BO205),"")</f>
        <v>0.0516716830716668</v>
      </c>
      <c r="BP206" s="26" t="n">
        <f aca="false">IFERROR(-BP207/(BP204+BP205),"")</f>
        <v>3.03940886699507</v>
      </c>
      <c r="BQ206" s="26" t="n">
        <f aca="false">IFERROR(-BQ207/(BQ204+BQ205),"")</f>
        <v>0.130509489180561</v>
      </c>
      <c r="BR206" s="26" t="n">
        <f aca="false">IFERROR(-BR207/(BR204+BR205),"")</f>
        <v>0.119122257053292</v>
      </c>
      <c r="BS206" s="26" t="n">
        <f aca="false">IFERROR(-BS207/(BS204+BS205),"")</f>
        <v>0.233178654292343</v>
      </c>
      <c r="BT206" s="26" t="n">
        <f aca="false">IFERROR(-BT207/(BT204+BT205),"")</f>
        <v>0.25107648144351</v>
      </c>
      <c r="BU206" s="26" t="n">
        <f aca="false">IFERROR(-BU207/(BU204+BU205),"")</f>
        <v>0.197390493942218</v>
      </c>
      <c r="BV206" s="26" t="n">
        <f aca="false">IFERROR(-BV207/(BV204+BV205),"")</f>
        <v>0.197487877849995</v>
      </c>
      <c r="BW206" s="26" t="n">
        <f aca="false">IFERROR(-BW207/(BW204+BW205),"")</f>
        <v>0.228267852730418</v>
      </c>
      <c r="BX206" s="26" t="n">
        <f aca="false">IFERROR(-BX207/(BX204+BX205),"")</f>
        <v>0.268090787716956</v>
      </c>
      <c r="BY206" s="35" t="n">
        <v>0.24</v>
      </c>
      <c r="BZ206" s="35" t="n">
        <v>0.24</v>
      </c>
      <c r="CA206" s="35" t="n">
        <v>0.24</v>
      </c>
      <c r="CB206" s="35" t="n">
        <v>0.24</v>
      </c>
      <c r="CC206" s="35" t="n">
        <v>0.24</v>
      </c>
      <c r="CD206" s="35" t="n">
        <v>0.24</v>
      </c>
      <c r="CE206" s="35" t="n">
        <v>0.24</v>
      </c>
    </row>
    <row r="207" customFormat="false" ht="15" hidden="false" customHeight="false" outlineLevel="0" collapsed="false">
      <c r="B207" s="28" t="s">
        <v>326</v>
      </c>
      <c r="C207" s="47" t="n">
        <f aca="false">-(C204+C205)*C206</f>
        <v>-0</v>
      </c>
      <c r="D207" s="47" t="n">
        <f aca="false">-(D204+D205)*D206</f>
        <v>-0</v>
      </c>
      <c r="E207" s="47" t="n">
        <f aca="false">-(E204+E205)*E206</f>
        <v>-0</v>
      </c>
      <c r="F207" s="47" t="n">
        <f aca="false">-(F204+F205)*F206</f>
        <v>-0</v>
      </c>
      <c r="G207" s="47" t="n">
        <f aca="false">-(G204+G205)*G206</f>
        <v>-0</v>
      </c>
      <c r="H207" s="47" t="n">
        <f aca="false">-(H204+H205)*H206</f>
        <v>-0</v>
      </c>
      <c r="I207" s="47" t="n">
        <f aca="false">-(I204+I205)*I206</f>
        <v>107.137990655863</v>
      </c>
      <c r="J207" s="47" t="n">
        <f aca="false">-(J204+J205)*J206</f>
        <v>-0</v>
      </c>
      <c r="K207" s="47" t="n">
        <f aca="false">-(K204+K205)*K206</f>
        <v>-0</v>
      </c>
      <c r="L207" s="47" t="n">
        <f aca="false">-(L204+L205)*L206</f>
        <v>-0</v>
      </c>
      <c r="M207" s="47" t="n">
        <f aca="false">-(M204+M205)*M206</f>
        <v>-0</v>
      </c>
      <c r="N207" s="47" t="n">
        <f aca="false">-(N204+N205)*N206</f>
        <v>-0</v>
      </c>
      <c r="O207" s="47" t="n">
        <f aca="false">-(O204+O205)*O206</f>
        <v>-0</v>
      </c>
      <c r="P207" s="47" t="n">
        <f aca="false">-(P204+P205)*P206</f>
        <v>-0</v>
      </c>
      <c r="Q207" s="47" t="n">
        <f aca="false">-(Q204+Q205)*Q206</f>
        <v>-0</v>
      </c>
      <c r="R207" s="47" t="n">
        <f aca="false">-(R204+R205)*R206</f>
        <v>-0</v>
      </c>
      <c r="S207" s="47" t="n">
        <f aca="false">-(S204+S205)*S206</f>
        <v>-0</v>
      </c>
      <c r="T207" s="47" t="n">
        <f aca="false">-(T204+T205)*T206</f>
        <v>-0</v>
      </c>
      <c r="U207" s="47" t="n">
        <f aca="false">-(U204+U205)*U206</f>
        <v>-0</v>
      </c>
      <c r="V207" s="47" t="n">
        <f aca="false">-(V204+V205)*V206</f>
        <v>-0</v>
      </c>
      <c r="W207" s="47" t="n">
        <f aca="false">-(W204+W205)*W206</f>
        <v>-0</v>
      </c>
      <c r="X207" s="47" t="n">
        <f aca="false">-(X204+X205)*X206</f>
        <v>-0</v>
      </c>
      <c r="Y207" s="47" t="n">
        <f aca="false">-(Y204+Y205)*Y206</f>
        <v>-0</v>
      </c>
      <c r="Z207" s="47" t="n">
        <f aca="false">-(Z204+Z205)*Z206</f>
        <v>-0</v>
      </c>
      <c r="AA207" s="47" t="n">
        <f aca="false">-(AA204+AA205)*AA206</f>
        <v>-0</v>
      </c>
      <c r="AB207" s="47" t="n">
        <f aca="false">-(AB204+AB205)*AB206</f>
        <v>-0</v>
      </c>
      <c r="AC207" s="47" t="n">
        <f aca="false">-(AC204+AC205)*AC206</f>
        <v>-0</v>
      </c>
      <c r="AD207" s="47" t="n">
        <f aca="false">-(AD204+AD205)*AD206</f>
        <v>-0</v>
      </c>
      <c r="AE207" s="47" t="n">
        <f aca="false">-(AE204+AE205)*AE206</f>
        <v>-0</v>
      </c>
      <c r="AF207" s="47" t="n">
        <f aca="false">-(AF204+AF205)*AF206</f>
        <v>-0</v>
      </c>
      <c r="AG207" s="47" t="n">
        <f aca="false">-(AG204+AG205)*AG206</f>
        <v>-0</v>
      </c>
      <c r="AH207" s="47" t="n">
        <f aca="false">-(AH204+AH205)*AH206</f>
        <v>-0</v>
      </c>
      <c r="AI207" s="47" t="n">
        <f aca="false">-(AI204+AI205)*AI206</f>
        <v>-0</v>
      </c>
      <c r="AJ207" s="47" t="n">
        <f aca="false">-(AJ204+AJ205)*AJ206</f>
        <v>-0</v>
      </c>
      <c r="AK207" s="47" t="n">
        <f aca="false">-(AK204+AK205)*AK206</f>
        <v>-0</v>
      </c>
      <c r="AL207" s="47" t="n">
        <f aca="false">-(AL204+AL205)*AL206</f>
        <v>-0</v>
      </c>
      <c r="AM207" s="47" t="n">
        <f aca="false">-(AM204+AM205)*AM206</f>
        <v>-0</v>
      </c>
      <c r="AN207" s="47" t="n">
        <f aca="false">-(AN204+AN205)*AN206</f>
        <v>-0</v>
      </c>
      <c r="AO207" s="47" t="n">
        <f aca="false">-(AO204+AO205)*AO206</f>
        <v>-0</v>
      </c>
      <c r="AP207" s="47" t="n">
        <f aca="false">-(AP204+AP205)*AP206</f>
        <v>1.26587264841276</v>
      </c>
      <c r="AQ207" s="47" t="n">
        <f aca="false">-(AQ204+AQ205)*AQ206</f>
        <v>-0</v>
      </c>
      <c r="AR207" s="47" t="n">
        <f aca="false">-(AR204+AR205)*AR206</f>
        <v>1.29156909264581</v>
      </c>
      <c r="AS207" s="47" t="n">
        <f aca="false">-(AS204+AS205)*AS206</f>
        <v>-0</v>
      </c>
      <c r="AT207" s="47" t="n">
        <f aca="false">-(AT204+AT205)*AT206</f>
        <v>-0</v>
      </c>
      <c r="AU207" s="47" t="n">
        <f aca="false">-(AU204+AU205)*AU206</f>
        <v>-0</v>
      </c>
      <c r="AV207" s="47" t="n">
        <f aca="false">-(AV204+AV205)*AV206</f>
        <v>-0</v>
      </c>
      <c r="AW207" s="47" t="n">
        <f aca="false">-(AW204+AW205)*AW206</f>
        <v>-0</v>
      </c>
      <c r="AX207" s="47" t="n">
        <f aca="false">-(AX204+AX205)*AX206</f>
        <v>-0</v>
      </c>
      <c r="AY207" s="47" t="n">
        <f aca="false">-(AY204+AY205)*AY206</f>
        <v>-0</v>
      </c>
      <c r="AZ207" s="47" t="n">
        <f aca="false">-(AZ204+AZ205)*AZ206</f>
        <v>-0</v>
      </c>
      <c r="BA207" s="47" t="n">
        <f aca="false">-(BA204+BA205)*BA206</f>
        <v>-0</v>
      </c>
      <c r="BB207" s="47" t="n">
        <f aca="false">-(BB204+BB205)*BB206</f>
        <v>-0</v>
      </c>
      <c r="BC207" s="47" t="n">
        <f aca="false">-(BC204+BC205)*BC206</f>
        <v>-0</v>
      </c>
      <c r="BD207" s="47" t="n">
        <f aca="false">-(BD204+BD205)*BD206</f>
        <v>5.38126972211545</v>
      </c>
      <c r="BE207" s="47" t="n">
        <f aca="false">-(BE204+BE205)*BE206</f>
        <v>-0</v>
      </c>
      <c r="BF207" s="56" t="n">
        <v>-8.804</v>
      </c>
      <c r="BG207" s="56" t="n">
        <v>-2.733</v>
      </c>
      <c r="BH207" s="56" t="n">
        <v>-0.894</v>
      </c>
      <c r="BI207" s="56" t="n">
        <v>-3.393</v>
      </c>
      <c r="BJ207" s="56" t="n">
        <v>-5.469</v>
      </c>
      <c r="BK207" s="56" t="n">
        <v>23.928</v>
      </c>
      <c r="BL207" s="56" t="n">
        <v>14.172</v>
      </c>
      <c r="BM207" s="56" t="n">
        <v>-3.101</v>
      </c>
      <c r="BN207" s="56" t="n">
        <v>-3.645</v>
      </c>
      <c r="BO207" s="56" t="n">
        <v>-3.176</v>
      </c>
      <c r="BP207" s="56" t="n">
        <v>-1.851</v>
      </c>
      <c r="BQ207" s="56" t="n">
        <v>-11.773</v>
      </c>
      <c r="BR207" s="56" t="n">
        <v>-1.026</v>
      </c>
      <c r="BS207" s="56" t="n">
        <v>-1.005</v>
      </c>
      <c r="BT207" s="56" t="n">
        <v>-2.449</v>
      </c>
      <c r="BU207" s="56" t="n">
        <v>-3.177</v>
      </c>
      <c r="BV207" s="56" t="n">
        <v>-7.657</v>
      </c>
      <c r="BW207" s="56" t="n">
        <v>-4.619</v>
      </c>
      <c r="BX207" s="56" t="n">
        <v>-2.008</v>
      </c>
      <c r="BY207" s="53" t="n">
        <f aca="false">-(BY204+BY205)*BY206</f>
        <v>-2.3832</v>
      </c>
      <c r="BZ207" s="53" t="n">
        <f aca="false">-(BZ204+BZ205)*BZ206</f>
        <v>-3.98256</v>
      </c>
      <c r="CA207" s="53" t="n">
        <f aca="false">-(CA204+CA205)*CA206</f>
        <v>-13.01976</v>
      </c>
      <c r="CB207" s="53" t="n">
        <f aca="false">-(CB204+CB205)*CB206</f>
        <v>-0</v>
      </c>
      <c r="CC207" s="53" t="n">
        <f aca="false">-(CC204+CC205)*CC206</f>
        <v>-0</v>
      </c>
      <c r="CD207" s="53" t="n">
        <f aca="false">-(CD204+CD205)*CD206</f>
        <v>-0</v>
      </c>
      <c r="CE207" s="53" t="n">
        <f aca="false">-(CE204+CE205)*CE206</f>
        <v>-0</v>
      </c>
    </row>
    <row r="208" customFormat="false" ht="15" hidden="false" customHeight="false" outlineLevel="0" collapsed="false">
      <c r="B208" s="28" t="s">
        <v>327</v>
      </c>
      <c r="BK208" s="56" t="n">
        <v>1.42</v>
      </c>
      <c r="BL208" s="56" t="n">
        <v>1.42</v>
      </c>
      <c r="BY208" s="6"/>
      <c r="BZ208" s="6"/>
      <c r="CA208" s="6"/>
      <c r="CB208" s="6"/>
      <c r="CC208" s="6"/>
      <c r="CD208" s="6"/>
      <c r="CE208" s="6"/>
    </row>
    <row r="209" customFormat="false" ht="15" hidden="false" customHeight="false" outlineLevel="0" collapsed="false">
      <c r="B209" s="51" t="s">
        <v>328</v>
      </c>
      <c r="C209" s="52" t="n">
        <f aca="false">C203+C204+C205+C207+N(C208)</f>
        <v>266.925000000001</v>
      </c>
      <c r="D209" s="52" t="n">
        <f aca="false">D203+D204+D205+D207+N(D208)</f>
        <v>324.260999999999</v>
      </c>
      <c r="E209" s="52" t="n">
        <f aca="false">E203+E204+E205+E207+N(E208)</f>
        <v>359.177000000001</v>
      </c>
      <c r="F209" s="52" t="n">
        <f aca="false">F203+F204+F205+F207+N(F208)</f>
        <v>360.83</v>
      </c>
      <c r="G209" s="52" t="n">
        <f aca="false">G203+G204+G205+G207+N(G208)</f>
        <v>387.026000000001</v>
      </c>
      <c r="H209" s="52" t="n">
        <f aca="false">H203+H204+H205+H207+N(H208)</f>
        <v>431.612</v>
      </c>
      <c r="I209" s="52" t="n">
        <f aca="false">I203+I204+I205+I207+N(I208)</f>
        <v>419.341990655862</v>
      </c>
      <c r="J209" s="52" t="n">
        <f aca="false">J203+J204+J205+J207+N(J208)</f>
        <v>103.343</v>
      </c>
      <c r="K209" s="52" t="n">
        <f aca="false">K203+K204+K205+K207+N(K208)</f>
        <v>111.872</v>
      </c>
      <c r="L209" s="52" t="n">
        <f aca="false">L203+L204+L205+L207+N(L208)</f>
        <v>107.737</v>
      </c>
      <c r="M209" s="52" t="n">
        <f aca="false">M203+M204+M205+M207+N(M208)</f>
        <v>92.9519999999997</v>
      </c>
      <c r="N209" s="52" t="n">
        <f aca="false">N203+N204+N205+N207+N(N208)</f>
        <v>415.903999999999</v>
      </c>
      <c r="O209" s="52" t="n">
        <f aca="false">O203+O204+O205+O207+N(O208)</f>
        <v>93.1870000000001</v>
      </c>
      <c r="P209" s="52" t="n">
        <f aca="false">P203+P204+P205+P207+N(P208)</f>
        <v>118.596</v>
      </c>
      <c r="Q209" s="52" t="n">
        <f aca="false">Q203+Q204+Q205+Q207+N(Q208)</f>
        <v>124.981</v>
      </c>
      <c r="R209" s="52" t="n">
        <f aca="false">R203+R204+R205+R207+N(R208)</f>
        <v>112.947</v>
      </c>
      <c r="S209" s="52" t="n">
        <f aca="false">S203+S204+S205+S207+N(S208)</f>
        <v>449.710999999998</v>
      </c>
      <c r="T209" s="52" t="n">
        <f aca="false">T203+T204+T205+T207+N(T208)</f>
        <v>106.476</v>
      </c>
      <c r="U209" s="52" t="n">
        <f aca="false">U203+U204+U205+U207+N(U208)</f>
        <v>137.208</v>
      </c>
      <c r="V209" s="52" t="n">
        <f aca="false">V203+V204+V205+V207+N(V208)</f>
        <v>139.432</v>
      </c>
      <c r="W209" s="52" t="n">
        <f aca="false">W203+W204+W205+W207+N(W208)</f>
        <v>126.583</v>
      </c>
      <c r="X209" s="52" t="n">
        <f aca="false">X203+X204+X205+X207+N(X208)</f>
        <v>509.699</v>
      </c>
      <c r="Y209" s="52" t="n">
        <f aca="false">Y203+Y204+Y205+Y207+N(Y208)</f>
        <v>118.963</v>
      </c>
      <c r="Z209" s="52" t="n">
        <f aca="false">Z203+Z204+Z205+Z207+N(Z208)</f>
        <v>143.09</v>
      </c>
      <c r="AA209" s="52" t="n">
        <f aca="false">AA203+AA204+AA205+AA207+N(AA208)</f>
        <v>129.028</v>
      </c>
      <c r="AB209" s="52" t="n">
        <f aca="false">AB203+AB204+AB205+AB207+N(AB208)</f>
        <v>122.303</v>
      </c>
      <c r="AC209" s="52" t="n">
        <f aca="false">AC203+AC204+AC205+AC207+N(AC208)</f>
        <v>513.384000000002</v>
      </c>
      <c r="AD209" s="52" t="n">
        <f aca="false">AD203+AD204+AD205+AD207+N(AD208)</f>
        <v>122.08</v>
      </c>
      <c r="AE209" s="52" t="n">
        <f aca="false">AE203+AE204+AE205+AE207+N(AE208)</f>
        <v>111.071</v>
      </c>
      <c r="AF209" s="52" t="n">
        <f aca="false">AF203+AF204+AF205+AF207+N(AF208)</f>
        <v>119.186</v>
      </c>
      <c r="AG209" s="52" t="n">
        <f aca="false">AG203+AG204+AG205+AG207+N(AG208)</f>
        <v>152.556</v>
      </c>
      <c r="AH209" s="52" t="n">
        <f aca="false">AH203+AH204+AH205+AH207+N(AH208)</f>
        <v>504.892999999997</v>
      </c>
      <c r="AI209" s="52" t="n">
        <f aca="false">AI203+AI204+AI205+AI207+N(AI208)</f>
        <v>142.297</v>
      </c>
      <c r="AJ209" s="52" t="n">
        <f aca="false">AJ203+AJ204+AJ205+AJ207+N(AJ208)</f>
        <v>159.163</v>
      </c>
      <c r="AK209" s="52" t="n">
        <f aca="false">AK203+AK204+AK205+AK207+N(AK208)</f>
        <v>175.895</v>
      </c>
      <c r="AL209" s="52" t="n">
        <f aca="false">AL203+AL204+AL205+AL207+N(AL208)</f>
        <v>187.15</v>
      </c>
      <c r="AM209" s="52" t="n">
        <f aca="false">AM203+AM204+AM205+AM207+N(AM208)</f>
        <v>664.504999999999</v>
      </c>
      <c r="AN209" s="52" t="n">
        <f aca="false">AN203+AN204+AN205+AN207+N(AN208)</f>
        <v>161.788</v>
      </c>
      <c r="AO209" s="52" t="n">
        <f aca="false">AO203+AO204+AO205+AO207+N(AO208)</f>
        <v>169.18</v>
      </c>
      <c r="AP209" s="52" t="n">
        <f aca="false">AP203+AP204+AP205+AP207+N(AP208)</f>
        <v>142.359872648413</v>
      </c>
      <c r="AQ209" s="52" t="n">
        <f aca="false">AQ203+AQ204+AQ205+AQ207+N(AQ208)</f>
        <v>99.1060000000003</v>
      </c>
      <c r="AR209" s="52" t="n">
        <f aca="false">AR203+AR204+AR205+AR207+N(AR208)</f>
        <v>572.459569092645</v>
      </c>
      <c r="AS209" s="52" t="n">
        <f aca="false">AS203+AS204+AS205+AS207+N(AS208)</f>
        <v>78.1459999999999</v>
      </c>
      <c r="AT209" s="52" t="n">
        <f aca="false">AT203+AT204+AT205+AT207+N(AT208)</f>
        <v>143.939</v>
      </c>
      <c r="AU209" s="52" t="n">
        <f aca="false">AU203+AU204+AU205+AU207+N(AU208)</f>
        <v>136.529</v>
      </c>
      <c r="AV209" s="52" t="n">
        <f aca="false">AV203+AV204+AV205+AV207+N(AV208)</f>
        <v>147.807</v>
      </c>
      <c r="AW209" s="52" t="n">
        <f aca="false">AW203+AW204+AW205+AW207+N(AW208)</f>
        <v>506.421</v>
      </c>
      <c r="AX209" s="52" t="n">
        <f aca="false">AX203+AX204+AX205+AX207+N(AX208)</f>
        <v>173.305</v>
      </c>
      <c r="AY209" s="52" t="n">
        <f aca="false">AY203+AY204+AY205+AY207+N(AY208)</f>
        <v>193.788999999999</v>
      </c>
      <c r="AZ209" s="52" t="n">
        <f aca="false">AZ203+AZ204+AZ205+AZ207+N(AZ208)</f>
        <v>247.052999999999</v>
      </c>
      <c r="BA209" s="52" t="n">
        <f aca="false">BA203+BA204+BA205+BA207+N(BA208)</f>
        <v>230.098</v>
      </c>
      <c r="BB209" s="52" t="n">
        <f aca="false">BB203+BB204+BB205+BB207+N(BB208)</f>
        <v>844.245</v>
      </c>
      <c r="BC209" s="52" t="n">
        <f aca="false">BC203+BC204+BC205+BC207+N(BC208)</f>
        <v>270.348</v>
      </c>
      <c r="BD209" s="52" t="n">
        <f aca="false">BD203+BD204+BD205+BD207+N(BD208)</f>
        <v>328.270269722116</v>
      </c>
      <c r="BE209" s="52" t="n">
        <f aca="false">BE203+BE204+BE205+BE207+N(BE208)</f>
        <v>225.798</v>
      </c>
      <c r="BF209" s="52" t="n">
        <f aca="false">BF203+BF204+BF205+BF207+N(BF208)</f>
        <v>127.48</v>
      </c>
      <c r="BG209" s="52" t="n">
        <f aca="false">BG203+BG204+BG205+BG207+N(BG208)</f>
        <v>958.447</v>
      </c>
      <c r="BH209" s="52" t="n">
        <f aca="false">BH203+BH204+BH205+BH207+N(BH208)</f>
        <v>119.476</v>
      </c>
      <c r="BI209" s="52" t="n">
        <f aca="false">BI203+BI204+BI205+BI207+N(BI208)</f>
        <v>110.106</v>
      </c>
      <c r="BJ209" s="52" t="n">
        <f aca="false">BJ203+BJ204+BJ205+BJ207+N(BJ208)</f>
        <v>106.055</v>
      </c>
      <c r="BK209" s="52" t="n">
        <f aca="false">BK203+BK204+BK205+BK207+N(BK208)</f>
        <v>59.4989999999996</v>
      </c>
      <c r="BL209" s="52" t="n">
        <f aca="false">BL203+BL204+BL205+BL207+N(BL208)</f>
        <v>395.137</v>
      </c>
      <c r="BM209" s="52" t="n">
        <f aca="false">BM203+BM204+BM205+BM207+N(BM208)</f>
        <v>102.745999999999</v>
      </c>
      <c r="BN209" s="52" t="n">
        <f aca="false">BN203+BN204+BN205+BN207+N(BN208)</f>
        <v>137.795</v>
      </c>
      <c r="BO209" s="52" t="n">
        <f aca="false">BO203+BO204+BO205+BO207+N(BO208)</f>
        <v>155.518</v>
      </c>
      <c r="BP209" s="52" t="n">
        <f aca="false">BP203+BP204+BP205+BP207+N(BP208)</f>
        <v>148.064</v>
      </c>
      <c r="BQ209" s="52" t="n">
        <f aca="false">BQ203+BQ204+BQ205+BQ207+N(BQ208)</f>
        <v>544.124999999999</v>
      </c>
      <c r="BR209" s="52" t="n">
        <f aca="false">BR203+BR204+BR205+BR207+N(BR208)</f>
        <v>142.889</v>
      </c>
      <c r="BS209" s="52" t="n">
        <f aca="false">BS203+BS204+BS205+BS207+N(BS208)</f>
        <v>155.776</v>
      </c>
      <c r="BT209" s="52" t="n">
        <f aca="false">BT203+BT204+BT205+BT207+N(BT208)</f>
        <v>170.291999999999</v>
      </c>
      <c r="BU209" s="52" t="n">
        <f aca="false">BU203+BU204+BU205+BU207+N(BU208)</f>
        <v>149.239</v>
      </c>
      <c r="BV209" s="52" t="n">
        <f aca="false">BV203+BV204+BV205+BV207+N(BV208)</f>
        <v>618.196</v>
      </c>
      <c r="BW209" s="52" t="n">
        <f aca="false">BW203+BW204+BW205+BW207+N(BW208)</f>
        <v>162.849</v>
      </c>
      <c r="BX209" s="52" t="n">
        <f aca="false">BX203+BX204+BX205+BX207+N(BX208)</f>
        <v>192.268</v>
      </c>
      <c r="BY209" s="52" t="n">
        <f aca="false">BY203+BY204+BY205+BY207+N(BY208)</f>
        <v>216.167879525743</v>
      </c>
      <c r="BZ209" s="52" t="n">
        <f aca="false">BZ203+BZ204+BZ205+BZ207+N(BZ208)</f>
        <v>186.905600474256</v>
      </c>
      <c r="CA209" s="52" t="n">
        <f aca="false">CA203+CA204+CA205+CA207+N(CA208)</f>
        <v>758.16348</v>
      </c>
      <c r="CB209" s="52" t="n">
        <f aca="false">CB203+CB204+CB205+CB207+N(CB208)</f>
        <v>829.79979227077</v>
      </c>
      <c r="CC209" s="52" t="n">
        <f aca="false">CC203+CC204+CC205+CC207+N(CC208)</f>
        <v>896.522032694338</v>
      </c>
      <c r="CD209" s="52" t="n">
        <f aca="false">CD203+CD204+CD205+CD207+N(CD208)</f>
        <v>960.914103024663</v>
      </c>
      <c r="CE209" s="52" t="n">
        <f aca="false">CE203+CE204+CE205+CE207+N(CE208)</f>
        <v>1018.93060730814</v>
      </c>
      <c r="CF209" s="6"/>
      <c r="CH209" s="33" t="n">
        <f aca="false">IFERROR((CE209/BV209)^(1/5)-1,"n/m")</f>
        <v>0.105105355271736</v>
      </c>
      <c r="CI209" s="33" t="n">
        <f aca="false">IFERROR((BV209/AW209)^(1/5)-1,"n/m")</f>
        <v>0.0406936313114534</v>
      </c>
      <c r="CJ209" s="33" t="n">
        <f aca="false">IFERROR((BV209/X209)^(1/10)-1,"n/m")</f>
        <v>0.0194859405343417</v>
      </c>
      <c r="CK209" s="33" t="n">
        <f aca="false">IFERROR((BV209/C209)^(1/19)-1,"n/m")</f>
        <v>0.0451934538004728</v>
      </c>
    </row>
    <row r="210" customFormat="false" ht="15" hidden="false" customHeight="false" outlineLevel="0" collapsed="false">
      <c r="B210" s="28" t="s">
        <v>279</v>
      </c>
      <c r="C210" s="47" t="n">
        <f aca="false">C156</f>
        <v>174.787</v>
      </c>
      <c r="D210" s="47" t="n">
        <f aca="false">D156</f>
        <v>174.04</v>
      </c>
      <c r="E210" s="47" t="n">
        <f aca="false">E156</f>
        <v>172.733</v>
      </c>
      <c r="F210" s="47" t="n">
        <f aca="false">F156</f>
        <v>169.194</v>
      </c>
      <c r="G210" s="47" t="n">
        <f aca="false">G156</f>
        <v>165.972</v>
      </c>
      <c r="H210" s="47" t="n">
        <f aca="false">H156</f>
        <v>164.741</v>
      </c>
      <c r="I210" s="47" t="n">
        <f aca="false">I156</f>
        <v>161.946</v>
      </c>
      <c r="J210" s="47" t="n">
        <f aca="false">J156</f>
        <v>160.69</v>
      </c>
      <c r="K210" s="47" t="n">
        <f aca="false">K156</f>
        <v>159.917</v>
      </c>
      <c r="L210" s="47" t="n">
        <f aca="false">L156</f>
        <v>157.044</v>
      </c>
      <c r="M210" s="47" t="n">
        <f aca="false">M156</f>
        <v>151.13</v>
      </c>
      <c r="N210" s="47" t="n">
        <f aca="false">N156</f>
        <v>157.08</v>
      </c>
      <c r="O210" s="47" t="n">
        <f aca="false">O156</f>
        <v>149.008</v>
      </c>
      <c r="P210" s="47" t="n">
        <f aca="false">P156</f>
        <v>147.974</v>
      </c>
      <c r="Q210" s="47" t="n">
        <f aca="false">Q156</f>
        <v>146.856</v>
      </c>
      <c r="R210" s="47" t="n">
        <f aca="false">R156</f>
        <v>146.65</v>
      </c>
      <c r="S210" s="47" t="n">
        <f aca="false">S156</f>
        <v>147.542</v>
      </c>
      <c r="T210" s="47" t="n">
        <f aca="false">T156</f>
        <v>146.383</v>
      </c>
      <c r="U210" s="47" t="n">
        <f aca="false">U156</f>
        <v>145.679</v>
      </c>
      <c r="V210" s="47" t="n">
        <f aca="false">V156</f>
        <v>144.782</v>
      </c>
      <c r="W210" s="47" t="n">
        <f aca="false">W156</f>
        <v>144.144</v>
      </c>
      <c r="X210" s="47" t="n">
        <f aca="false">X156</f>
        <v>145.349</v>
      </c>
      <c r="Y210" s="47" t="n">
        <f aca="false">Y156</f>
        <v>143.658</v>
      </c>
      <c r="Z210" s="47" t="n">
        <f aca="false">Z156</f>
        <v>143.216</v>
      </c>
      <c r="AA210" s="47" t="n">
        <f aca="false">AA156</f>
        <v>142.883</v>
      </c>
      <c r="AB210" s="47" t="n">
        <f aca="false">AB156</f>
        <v>142.164</v>
      </c>
      <c r="AC210" s="47" t="n">
        <f aca="false">AC156</f>
        <v>142.991</v>
      </c>
      <c r="AD210" s="47" t="n">
        <f aca="false">AD156</f>
        <v>141.858</v>
      </c>
      <c r="AE210" s="47" t="n">
        <f aca="false">AE156</f>
        <v>141.587</v>
      </c>
      <c r="AF210" s="47" t="n">
        <f aca="false">AF156</f>
        <v>141.022</v>
      </c>
      <c r="AG210" s="47" t="n">
        <f aca="false">AG156</f>
        <v>140.724</v>
      </c>
      <c r="AH210" s="47" t="n">
        <f aca="false">AH156</f>
        <v>141.382</v>
      </c>
      <c r="AI210" s="47" t="n">
        <f aca="false">AI156</f>
        <v>141.27</v>
      </c>
      <c r="AJ210" s="47" t="n">
        <f aca="false">AJ156</f>
        <v>140.611</v>
      </c>
      <c r="AK210" s="47" t="n">
        <f aca="false">AK156</f>
        <v>140.16</v>
      </c>
      <c r="AL210" s="47" t="n">
        <f aca="false">AL156</f>
        <v>139.182</v>
      </c>
      <c r="AM210" s="47" t="n">
        <f aca="false">AM156</f>
        <v>140.405</v>
      </c>
      <c r="AN210" s="47" t="n">
        <f aca="false">AN156</f>
        <v>138.955</v>
      </c>
      <c r="AO210" s="47" t="n">
        <f aca="false">AO156</f>
        <v>138.256</v>
      </c>
      <c r="AP210" s="47" t="n">
        <f aca="false">AP156</f>
        <v>137.476</v>
      </c>
      <c r="AQ210" s="47" t="n">
        <f aca="false">AQ156</f>
        <v>136.621</v>
      </c>
      <c r="AR210" s="47" t="n">
        <f aca="false">AR156</f>
        <v>137.735</v>
      </c>
      <c r="AS210" s="47" t="n">
        <f aca="false">AS156</f>
        <v>135.969</v>
      </c>
      <c r="AT210" s="47" t="n">
        <f aca="false">AT156</f>
        <v>135.61</v>
      </c>
      <c r="AU210" s="47" t="n">
        <f aca="false">AU156</f>
        <v>137.128</v>
      </c>
      <c r="AV210" s="47" t="n">
        <f aca="false">AV156</f>
        <v>137.176</v>
      </c>
      <c r="AW210" s="47" t="n">
        <f aca="false">AW156</f>
        <v>136.173</v>
      </c>
      <c r="AX210" s="47" t="n">
        <f aca="false">AX156</f>
        <v>135.745</v>
      </c>
      <c r="AY210" s="47" t="n">
        <f aca="false">AY156</f>
        <v>134.856</v>
      </c>
      <c r="AZ210" s="47" t="n">
        <f aca="false">AZ156</f>
        <v>133.436</v>
      </c>
      <c r="BA210" s="47" t="n">
        <f aca="false">BA156</f>
        <v>132.617</v>
      </c>
      <c r="BB210" s="47" t="n">
        <f aca="false">BB156</f>
        <v>133.834</v>
      </c>
      <c r="BC210" s="47" t="n">
        <f aca="false">BC156</f>
        <v>132.155</v>
      </c>
      <c r="BD210" s="47" t="n">
        <f aca="false">BD156</f>
        <v>130.338</v>
      </c>
      <c r="BE210" s="47" t="n">
        <f aca="false">BE156</f>
        <v>127.19</v>
      </c>
      <c r="BF210" s="47" t="n">
        <f aca="false">BF156</f>
        <v>120.472</v>
      </c>
      <c r="BG210" s="47" t="n">
        <f aca="false">BG156</f>
        <v>127.15</v>
      </c>
      <c r="BH210" s="47" t="n">
        <f aca="false">BH156</f>
        <v>119.909</v>
      </c>
      <c r="BI210" s="47" t="n">
        <f aca="false">BI156</f>
        <v>119.807</v>
      </c>
      <c r="BJ210" s="47" t="n">
        <f aca="false">BJ156</f>
        <v>119.751</v>
      </c>
      <c r="BK210" s="47" t="n">
        <f aca="false">BK156</f>
        <v>119.613</v>
      </c>
      <c r="BL210" s="47" t="n">
        <f aca="false">BL156</f>
        <v>119.677</v>
      </c>
      <c r="BM210" s="47" t="n">
        <f aca="false">BM156</f>
        <v>119.604</v>
      </c>
      <c r="BN210" s="47" t="n">
        <f aca="false">BN156</f>
        <v>119.92</v>
      </c>
      <c r="BO210" s="47" t="n">
        <f aca="false">BO156</f>
        <v>121.179</v>
      </c>
      <c r="BP210" s="47" t="n">
        <f aca="false">BP156</f>
        <v>122.291</v>
      </c>
      <c r="BQ210" s="47" t="n">
        <f aca="false">BQ156</f>
        <v>120.679</v>
      </c>
      <c r="BR210" s="47" t="n">
        <f aca="false">BR156</f>
        <v>121.932</v>
      </c>
      <c r="BS210" s="47" t="n">
        <f aca="false">BS156</f>
        <v>121.025</v>
      </c>
      <c r="BT210" s="47" t="n">
        <f aca="false">BT156</f>
        <v>121.349</v>
      </c>
      <c r="BU210" s="47" t="n">
        <f aca="false">BU156</f>
        <v>121.658</v>
      </c>
      <c r="BV210" s="47" t="n">
        <f aca="false">BV156</f>
        <v>121.502</v>
      </c>
      <c r="BW210" s="47" t="n">
        <f aca="false">BW156</f>
        <v>121.01</v>
      </c>
      <c r="BX210" s="47" t="n">
        <f aca="false">BX156</f>
        <v>119.751</v>
      </c>
      <c r="BY210" s="53" t="n">
        <f aca="false">BY156</f>
        <v>119.414490913879</v>
      </c>
      <c r="BZ210" s="53" t="n">
        <f aca="false">BZ156</f>
        <v>118.741472741638</v>
      </c>
      <c r="CA210" s="53" t="n">
        <f aca="false">CA156</f>
        <v>119.729240913879</v>
      </c>
      <c r="CB210" s="53" t="n">
        <f aca="false">CB156</f>
        <v>114.614733773367</v>
      </c>
      <c r="CC210" s="53" t="n">
        <f aca="false">CC156</f>
        <v>110.690655754014</v>
      </c>
      <c r="CD210" s="53" t="n">
        <f aca="false">CD156</f>
        <v>107.437347478512</v>
      </c>
      <c r="CE210" s="53" t="n">
        <f aca="false">CE156</f>
        <v>104.342311936871</v>
      </c>
    </row>
    <row r="211" customFormat="false" ht="15" hidden="false" customHeight="false" outlineLevel="0" collapsed="false">
      <c r="B211" s="51" t="s">
        <v>329</v>
      </c>
      <c r="C211" s="63" t="n">
        <f aca="false">IF(AND(ISNUMBER(C209),ISNUMBER(C210)),IFERROR(C209/C210,""),"")</f>
        <v>1.52714446726588</v>
      </c>
      <c r="D211" s="63" t="n">
        <f aca="false">IF(AND(ISNUMBER(D209),ISNUMBER(D210)),IFERROR(D209/D210,""),"")</f>
        <v>1.86314065732015</v>
      </c>
      <c r="E211" s="63" t="n">
        <f aca="false">IF(AND(ISNUMBER(E209),ISNUMBER(E210)),IFERROR(E209/E210,""),"")</f>
        <v>2.07937684171525</v>
      </c>
      <c r="F211" s="63" t="n">
        <f aca="false">IF(AND(ISNUMBER(F209),ISNUMBER(F210)),IFERROR(F209/F210,""),"")</f>
        <v>2.13264063737485</v>
      </c>
      <c r="G211" s="63" t="n">
        <f aca="false">IF(AND(ISNUMBER(G209),ISNUMBER(G210)),IFERROR(G209/G210,""),"")</f>
        <v>2.33187525606729</v>
      </c>
      <c r="H211" s="63" t="n">
        <f aca="false">IF(AND(ISNUMBER(H209),ISNUMBER(H210)),IFERROR(H209/H210,""),"")</f>
        <v>2.61994281933459</v>
      </c>
      <c r="I211" s="63" t="n">
        <f aca="false">IF(AND(ISNUMBER(I209),ISNUMBER(I210)),IFERROR(I209/I210,""),"")</f>
        <v>2.58939393783027</v>
      </c>
      <c r="J211" s="63" t="n">
        <f aca="false">IF(AND(ISNUMBER(J209),ISNUMBER(J210)),IFERROR(J209/J210,""),"")</f>
        <v>0.643120293733276</v>
      </c>
      <c r="K211" s="63" t="n">
        <f aca="false">IF(AND(ISNUMBER(K209),ISNUMBER(K210)),IFERROR(K209/K210,""),"")</f>
        <v>0.699562898253471</v>
      </c>
      <c r="L211" s="63" t="n">
        <f aca="false">IF(AND(ISNUMBER(L209),ISNUMBER(L210)),IFERROR(L209/L210,""),"")</f>
        <v>0.686030666564785</v>
      </c>
      <c r="M211" s="63" t="n">
        <f aca="false">IF(AND(ISNUMBER(M209),ISNUMBER(M210)),IFERROR(M209/M210,""),"")</f>
        <v>0.61504664858069</v>
      </c>
      <c r="N211" s="63" t="n">
        <f aca="false">IF(AND(ISNUMBER(N209),ISNUMBER(N210)),IFERROR(N209/N210,""),"")</f>
        <v>2.64772090654443</v>
      </c>
      <c r="O211" s="63" t="n">
        <f aca="false">IF(AND(ISNUMBER(O209),ISNUMBER(O210)),IFERROR(O209/O210,""),"")</f>
        <v>0.625382529797059</v>
      </c>
      <c r="P211" s="63" t="n">
        <f aca="false">IF(AND(ISNUMBER(P209),ISNUMBER(P210)),IFERROR(P209/P210,""),"")</f>
        <v>0.801465122251205</v>
      </c>
      <c r="Q211" s="63" t="n">
        <f aca="false">IF(AND(ISNUMBER(Q209),ISNUMBER(Q210)),IFERROR(Q209/Q210,""),"")</f>
        <v>0.851044560658059</v>
      </c>
      <c r="R211" s="63" t="n">
        <f aca="false">IF(AND(ISNUMBER(R209),ISNUMBER(R210)),IFERROR(R209/R210,""),"")</f>
        <v>0.770180702352542</v>
      </c>
      <c r="S211" s="63" t="n">
        <f aca="false">IF(AND(ISNUMBER(S209),ISNUMBER(S210)),IFERROR(S209/S210,""),"")</f>
        <v>3.04802022474955</v>
      </c>
      <c r="T211" s="63" t="n">
        <f aca="false">IF(AND(ISNUMBER(T209),ISNUMBER(T210)),IFERROR(T209/T210,""),"")</f>
        <v>0.727379545439017</v>
      </c>
      <c r="U211" s="63" t="n">
        <f aca="false">IF(AND(ISNUMBER(U209),ISNUMBER(U210)),IFERROR(U209/U210,""),"")</f>
        <v>0.941851605241665</v>
      </c>
      <c r="V211" s="63" t="n">
        <f aca="false">IF(AND(ISNUMBER(V209),ISNUMBER(V210)),IFERROR(V209/V210,""),"")</f>
        <v>0.963047892693845</v>
      </c>
      <c r="W211" s="63" t="n">
        <f aca="false">IF(AND(ISNUMBER(W209),ISNUMBER(W210)),IFERROR(W209/W210,""),"")</f>
        <v>0.878170440670441</v>
      </c>
      <c r="X211" s="63" t="n">
        <f aca="false">IF(AND(ISNUMBER(X209),ISNUMBER(X210)),IFERROR(X209/X210,""),"")</f>
        <v>3.50672519246778</v>
      </c>
      <c r="Y211" s="63" t="n">
        <f aca="false">IF(AND(ISNUMBER(Y209),ISNUMBER(Y210)),IFERROR(Y209/Y210,""),"")</f>
        <v>0.828098678806614</v>
      </c>
      <c r="Z211" s="63" t="n">
        <f aca="false">IF(AND(ISNUMBER(Z209),ISNUMBER(Z210)),IFERROR(Z209/Z210,""),"")</f>
        <v>0.9991202100324</v>
      </c>
      <c r="AA211" s="63" t="n">
        <f aca="false">IF(AND(ISNUMBER(AA209),ISNUMBER(AA210)),IFERROR(AA209/AA210,""),"")</f>
        <v>0.90303255110825</v>
      </c>
      <c r="AB211" s="63" t="n">
        <f aca="false">IF(AND(ISNUMBER(AB209),ISNUMBER(AB210)),IFERROR(AB209/AB210,""),"")</f>
        <v>0.860295152077879</v>
      </c>
      <c r="AC211" s="63" t="n">
        <f aca="false">IF(AND(ISNUMBER(AC209),ISNUMBER(AC210)),IFERROR(AC209/AC210,""),"")</f>
        <v>3.59032386653707</v>
      </c>
      <c r="AD211" s="63" t="n">
        <f aca="false">IF(AND(ISNUMBER(AD209),ISNUMBER(AD210)),IFERROR(AD209/AD210,""),"")</f>
        <v>0.860578888747901</v>
      </c>
      <c r="AE211" s="63" t="n">
        <f aca="false">IF(AND(ISNUMBER(AE209),ISNUMBER(AE210)),IFERROR(AE209/AE210,""),"")</f>
        <v>0.784471738224553</v>
      </c>
      <c r="AF211" s="63" t="n">
        <f aca="false">IF(AND(ISNUMBER(AF209),ISNUMBER(AF210)),IFERROR(AF209/AF210,""),"")</f>
        <v>0.84515891137553</v>
      </c>
      <c r="AG211" s="63" t="n">
        <f aca="false">IF(AND(ISNUMBER(AG209),ISNUMBER(AG210)),IFERROR(AG209/AG210,""),"")</f>
        <v>1.08407947471646</v>
      </c>
      <c r="AH211" s="63" t="n">
        <f aca="false">IF(AND(ISNUMBER(AH209),ISNUMBER(AH210)),IFERROR(AH209/AH210,""),"")</f>
        <v>3.57112645174066</v>
      </c>
      <c r="AI211" s="63" t="n">
        <f aca="false">IF(AND(ISNUMBER(AI209),ISNUMBER(AI210)),IFERROR(AI209/AI210,""),"")</f>
        <v>1.00726976711262</v>
      </c>
      <c r="AJ211" s="63" t="n">
        <f aca="false">IF(AND(ISNUMBER(AJ209),ISNUMBER(AJ210)),IFERROR(AJ209/AJ210,""),"")</f>
        <v>1.13193846854087</v>
      </c>
      <c r="AK211" s="63" t="n">
        <f aca="false">IF(AND(ISNUMBER(AK209),ISNUMBER(AK210)),IFERROR(AK209/AK210,""),"")</f>
        <v>1.25495861872146</v>
      </c>
      <c r="AL211" s="63" t="n">
        <f aca="false">IF(AND(ISNUMBER(AL209),ISNUMBER(AL210)),IFERROR(AL209/AL210,""),"")</f>
        <v>1.34464226695981</v>
      </c>
      <c r="AM211" s="63" t="n">
        <f aca="false">IF(AND(ISNUMBER(AM209),ISNUMBER(AM210)),IFERROR(AM209/AM210,""),"")</f>
        <v>4.73277304939282</v>
      </c>
      <c r="AN211" s="63" t="n">
        <f aca="false">IF(AND(ISNUMBER(AN209),ISNUMBER(AN210)),IFERROR(AN209/AN210,""),"")</f>
        <v>1.16431938397323</v>
      </c>
      <c r="AO211" s="63" t="n">
        <f aca="false">IF(AND(ISNUMBER(AO209),ISNUMBER(AO210)),IFERROR(AO209/AO210,""),"")</f>
        <v>1.22367202870038</v>
      </c>
      <c r="AP211" s="63" t="n">
        <f aca="false">IF(AND(ISNUMBER(AP209),ISNUMBER(AP210)),IFERROR(AP209/AP210,""),"")</f>
        <v>1.03552527458184</v>
      </c>
      <c r="AQ211" s="63" t="n">
        <f aca="false">IF(AND(ISNUMBER(AQ209),ISNUMBER(AQ210)),IFERROR(AQ209/AQ210,""),"")</f>
        <v>0.725408246170064</v>
      </c>
      <c r="AR211" s="63" t="n">
        <f aca="false">IF(AND(ISNUMBER(AR209),ISNUMBER(AR210)),IFERROR(AR209/AR210,""),"")</f>
        <v>4.15623893050165</v>
      </c>
      <c r="AS211" s="63" t="n">
        <f aca="false">IF(AND(ISNUMBER(AS209),ISNUMBER(AS210)),IFERROR(AS209/AS210,""),"")</f>
        <v>0.574733946708441</v>
      </c>
      <c r="AT211" s="63" t="n">
        <f aca="false">IF(AND(ISNUMBER(AT209),ISNUMBER(AT210)),IFERROR(AT209/AT210,""),"")</f>
        <v>1.06141877442666</v>
      </c>
      <c r="AU211" s="63" t="n">
        <f aca="false">IF(AND(ISNUMBER(AU209),ISNUMBER(AU210)),IFERROR(AU209/AU210,""),"")</f>
        <v>0.995631818447</v>
      </c>
      <c r="AV211" s="63" t="n">
        <f aca="false">IF(AND(ISNUMBER(AV209),ISNUMBER(AV210)),IFERROR(AV209/AV210,""),"")</f>
        <v>1.07749897941331</v>
      </c>
      <c r="AW211" s="63" t="n">
        <f aca="false">IF(AND(ISNUMBER(AW209),ISNUMBER(AW210)),IFERROR(AW209/AW210,""),"")</f>
        <v>3.7189530964288</v>
      </c>
      <c r="AX211" s="63" t="n">
        <f aca="false">IF(AND(ISNUMBER(AX209),ISNUMBER(AX210)),IFERROR(AX209/AX210,""),"")</f>
        <v>1.27669527422741</v>
      </c>
      <c r="AY211" s="63" t="n">
        <f aca="false">IF(AND(ISNUMBER(AY209),ISNUMBER(AY210)),IFERROR(AY209/AY210,""),"")</f>
        <v>1.43700688141425</v>
      </c>
      <c r="AZ211" s="63" t="n">
        <f aca="false">IF(AND(ISNUMBER(AZ209),ISNUMBER(AZ210)),IFERROR(AZ209/AZ210,""),"")</f>
        <v>1.85147186666266</v>
      </c>
      <c r="BA211" s="63" t="n">
        <f aca="false">IF(AND(ISNUMBER(BA209),ISNUMBER(BA210)),IFERROR(BA209/BA210,""),"")</f>
        <v>1.73505659153804</v>
      </c>
      <c r="BB211" s="63" t="n">
        <f aca="false">IF(AND(ISNUMBER(BB209),ISNUMBER(BB210)),IFERROR(BB209/BB210,""),"")</f>
        <v>6.30815039526578</v>
      </c>
      <c r="BC211" s="63" t="n">
        <f aca="false">IF(AND(ISNUMBER(BC209),ISNUMBER(BC210)),IFERROR(BC209/BC210,""),"")</f>
        <v>2.04568877454504</v>
      </c>
      <c r="BD211" s="63" t="n">
        <f aca="false">IF(AND(ISNUMBER(BD209),ISNUMBER(BD210)),IFERROR(BD209/BD210,""),"")</f>
        <v>2.51860754133189</v>
      </c>
      <c r="BE211" s="63" t="n">
        <f aca="false">IF(AND(ISNUMBER(BE209),ISNUMBER(BE210)),IFERROR(BE209/BE210,""),"")</f>
        <v>1.77528107555626</v>
      </c>
      <c r="BF211" s="63" t="n">
        <f aca="false">IF(AND(ISNUMBER(BF209),ISNUMBER(BF210)),IFERROR(BF209/BF210,""),"")</f>
        <v>1.05817119330633</v>
      </c>
      <c r="BG211" s="63" t="n">
        <f aca="false">IF(AND(ISNUMBER(BG209),ISNUMBER(BG210)),IFERROR(BG209/BG210,""),"")</f>
        <v>7.537923712151</v>
      </c>
      <c r="BH211" s="63" t="n">
        <f aca="false">IF(AND(ISNUMBER(BH209),ISNUMBER(BH210)),IFERROR(BH209/BH210,""),"")</f>
        <v>0.996388928270608</v>
      </c>
      <c r="BI211" s="63" t="n">
        <f aca="false">IF(AND(ISNUMBER(BI209),ISNUMBER(BI210)),IFERROR(BI209/BI210,""),"")</f>
        <v>0.919028103533179</v>
      </c>
      <c r="BJ211" s="63" t="n">
        <f aca="false">IF(AND(ISNUMBER(BJ209),ISNUMBER(BJ210)),IFERROR(BJ209/BJ210,""),"")</f>
        <v>0.885629347562857</v>
      </c>
      <c r="BK211" s="63" t="n">
        <f aca="false">IF(AND(ISNUMBER(BK209),ISNUMBER(BK210)),IFERROR(BK209/BK210,""),"")</f>
        <v>0.497429209199666</v>
      </c>
      <c r="BL211" s="63" t="n">
        <f aca="false">IF(AND(ISNUMBER(BL209),ISNUMBER(BL210)),IFERROR(BL209/BL210,""),"")</f>
        <v>3.30169539677633</v>
      </c>
      <c r="BM211" s="63" t="n">
        <f aca="false">IF(AND(ISNUMBER(BM209),ISNUMBER(BM210)),IFERROR(BM209/BM210,""),"")</f>
        <v>0.859051536737896</v>
      </c>
      <c r="BN211" s="63" t="n">
        <f aca="false">IF(AND(ISNUMBER(BN209),ISNUMBER(BN210)),IFERROR(BN209/BN210,""),"")</f>
        <v>1.14905770513676</v>
      </c>
      <c r="BO211" s="63" t="n">
        <f aca="false">IF(AND(ISNUMBER(BO209),ISNUMBER(BO210)),IFERROR(BO209/BO210,""),"")</f>
        <v>1.28337418199523</v>
      </c>
      <c r="BP211" s="63" t="n">
        <f aca="false">IF(AND(ISNUMBER(BP209),ISNUMBER(BP210)),IFERROR(BP209/BP210,""),"")</f>
        <v>1.21075140443696</v>
      </c>
      <c r="BQ211" s="63" t="n">
        <f aca="false">IF(AND(ISNUMBER(BQ209),ISNUMBER(BQ210)),IFERROR(BQ209/BQ210,""),"")</f>
        <v>4.5088623538478</v>
      </c>
      <c r="BR211" s="63" t="n">
        <f aca="false">IF(AND(ISNUMBER(BR209),ISNUMBER(BR210)),IFERROR(BR209/BR210,""),"")</f>
        <v>1.17187448741922</v>
      </c>
      <c r="BS211" s="63" t="n">
        <f aca="false">IF(AND(ISNUMBER(BS209),ISNUMBER(BS210)),IFERROR(BS209/BS210,""),"")</f>
        <v>1.28713902086346</v>
      </c>
      <c r="BT211" s="63" t="n">
        <f aca="false">IF(AND(ISNUMBER(BT209),ISNUMBER(BT210)),IFERROR(BT209/BT210,""),"")</f>
        <v>1.40332429603869</v>
      </c>
      <c r="BU211" s="63" t="n">
        <f aca="false">IF(AND(ISNUMBER(BU209),ISNUMBER(BU210)),IFERROR(BU209/BU210,""),"")</f>
        <v>1.22670929984054</v>
      </c>
      <c r="BV211" s="63" t="n">
        <f aca="false">IF(AND(ISNUMBER(BV209),ISNUMBER(BV210)),IFERROR(BV209/BV210,""),"")</f>
        <v>5.08794916956099</v>
      </c>
      <c r="BW211" s="63" t="n">
        <f aca="false">IF(AND(ISNUMBER(BW209),ISNUMBER(BW210)),IFERROR(BW209/BW210,""),"")</f>
        <v>1.34574828526568</v>
      </c>
      <c r="BX211" s="63" t="n">
        <f aca="false">IF(AND(ISNUMBER(BX209),ISNUMBER(BX210)),IFERROR(BX209/BX210,""),"")</f>
        <v>1.60556488046029</v>
      </c>
      <c r="BY211" s="63" t="n">
        <f aca="false">IF(AND(ISNUMBER(BY209),ISNUMBER(BY210)),IFERROR(BY209/BY210,""),"")</f>
        <v>1.8102315545744</v>
      </c>
      <c r="BZ211" s="63" t="n">
        <f aca="false">IF(AND(ISNUMBER(BZ209),ISNUMBER(BZ210)),IFERROR(BZ209/BZ210,""),"")</f>
        <v>1.57405492924053</v>
      </c>
      <c r="CA211" s="63" t="n">
        <f aca="false">IF(AND(ISNUMBER(CA209),ISNUMBER(CA210)),IFERROR(CA209/CA210,""),"")</f>
        <v>6.33231676917874</v>
      </c>
      <c r="CB211" s="63" t="n">
        <f aca="false">IF(AND(ISNUMBER(CB209),ISNUMBER(CB210)),IFERROR(CB209/CB210,""),"")</f>
        <v>7.23990507111912</v>
      </c>
      <c r="CC211" s="63" t="n">
        <f aca="false">IF(AND(ISNUMBER(CC209),ISNUMBER(CC210)),IFERROR(CC209/CC210,""),"")</f>
        <v>8.09934701883653</v>
      </c>
      <c r="CD211" s="63" t="n">
        <f aca="false">IF(AND(ISNUMBER(CD209),ISNUMBER(CD210)),IFERROR(CD209/CD210,""),"")</f>
        <v>8.94394850186381</v>
      </c>
      <c r="CE211" s="63" t="n">
        <f aca="false">IF(AND(ISNUMBER(CE209),ISNUMBER(CE210)),IFERROR(CE209/CE210,""),"")</f>
        <v>9.76526768857306</v>
      </c>
      <c r="CF211" s="6"/>
      <c r="CH211" s="33" t="n">
        <f aca="false">IFERROR((CE211/BV211)^(1/5)-1,"n/m")</f>
        <v>0.139274240189332</v>
      </c>
      <c r="CI211" s="33" t="n">
        <f aca="false">IFERROR((BV211/AW211)^(1/5)-1,"n/m")</f>
        <v>0.0646930339143461</v>
      </c>
      <c r="CJ211" s="33" t="n">
        <f aca="false">IFERROR((BV211/X211)^(1/10)-1,"n/m")</f>
        <v>0.0379205316780999</v>
      </c>
      <c r="CK211" s="33" t="n">
        <f aca="false">IFERROR((BV211/C211)^(1/19)-1,"n/m")</f>
        <v>0.0653898625371179</v>
      </c>
    </row>
    <row r="212" customFormat="false" ht="15" hidden="false" customHeight="false" outlineLevel="0" collapsed="false">
      <c r="B212" s="54" t="s">
        <v>330</v>
      </c>
      <c r="BF212" s="37" t="n">
        <v>127.48</v>
      </c>
      <c r="BG212" s="37" t="n">
        <v>958.447</v>
      </c>
      <c r="BH212" s="37" t="n">
        <v>119.476</v>
      </c>
      <c r="BI212" s="37" t="n">
        <v>110.106</v>
      </c>
      <c r="BJ212" s="37" t="n">
        <v>106.055</v>
      </c>
      <c r="BK212" s="37" t="n">
        <v>59.499</v>
      </c>
      <c r="BL212" s="37" t="n">
        <v>395.137</v>
      </c>
      <c r="BM212" s="37" t="n">
        <v>102.746</v>
      </c>
      <c r="BN212" s="37" t="n">
        <v>137.795</v>
      </c>
      <c r="BO212" s="37" t="n">
        <v>155.518</v>
      </c>
      <c r="BP212" s="37" t="n">
        <v>148.064</v>
      </c>
      <c r="BQ212" s="37" t="n">
        <v>544.125</v>
      </c>
      <c r="BR212" s="37" t="n">
        <v>142.889</v>
      </c>
      <c r="BS212" s="37" t="n">
        <v>155.776</v>
      </c>
      <c r="BT212" s="37" t="n">
        <v>170.292</v>
      </c>
      <c r="BU212" s="37" t="n">
        <v>149.239</v>
      </c>
      <c r="BV212" s="37" t="n">
        <v>618.196</v>
      </c>
      <c r="BW212" s="37" t="n">
        <v>162.849</v>
      </c>
      <c r="BX212" s="37" t="n">
        <v>192.268</v>
      </c>
      <c r="BY212" s="6"/>
      <c r="BZ212" s="6"/>
      <c r="CA212" s="6"/>
      <c r="CB212" s="6"/>
      <c r="CC212" s="6"/>
      <c r="CD212" s="6"/>
      <c r="CE212" s="6"/>
    </row>
    <row r="213" customFormat="false" ht="15" hidden="false" customHeight="false" outlineLevel="0" collapsed="false">
      <c r="B213" s="54" t="s">
        <v>331</v>
      </c>
      <c r="BD213" s="62" t="n">
        <v>2.52</v>
      </c>
      <c r="BF213" s="62" t="n">
        <v>1.06</v>
      </c>
      <c r="BG213" s="62" t="n">
        <v>7.54</v>
      </c>
      <c r="BH213" s="62" t="n">
        <v>1</v>
      </c>
      <c r="BI213" s="62" t="n">
        <v>0.92</v>
      </c>
      <c r="BJ213" s="62" t="n">
        <v>0.88</v>
      </c>
      <c r="BK213" s="62" t="n">
        <v>0.5</v>
      </c>
      <c r="BL213" s="62" t="n">
        <v>3.3</v>
      </c>
      <c r="BM213" s="62" t="n">
        <v>0.86</v>
      </c>
      <c r="BN213" s="62" t="n">
        <v>1.15</v>
      </c>
      <c r="BO213" s="62" t="n">
        <v>1.28</v>
      </c>
      <c r="BP213" s="62" t="n">
        <v>1.21</v>
      </c>
      <c r="BQ213" s="62" t="n">
        <v>4.51</v>
      </c>
      <c r="BR213" s="62" t="n">
        <v>1.17</v>
      </c>
      <c r="BS213" s="62" t="n">
        <v>1.29</v>
      </c>
      <c r="BT213" s="62" t="n">
        <v>1.4</v>
      </c>
      <c r="BU213" s="62" t="n">
        <v>1.23</v>
      </c>
      <c r="BV213" s="62" t="n">
        <v>5.09</v>
      </c>
      <c r="BW213" s="62" t="n">
        <v>1.35</v>
      </c>
      <c r="BX213" s="62" t="n">
        <v>1.61</v>
      </c>
      <c r="BY213" s="6"/>
      <c r="BZ213" s="6"/>
      <c r="CA213" s="6"/>
      <c r="CB213" s="6"/>
      <c r="CC213" s="6"/>
      <c r="CD213" s="6"/>
      <c r="CE213" s="6"/>
    </row>
    <row r="214" customFormat="false" ht="15" hidden="false" customHeight="false" outlineLevel="0" collapsed="false">
      <c r="B214" s="46" t="s">
        <v>332</v>
      </c>
      <c r="C214" s="58" t="str">
        <f aca="false">IF(ISNUMBER(C213),ROUND(C211-C213,2),"")</f>
        <v/>
      </c>
      <c r="D214" s="58" t="str">
        <f aca="false">IF(ISNUMBER(D213),ROUND(D211-D213,2),"")</f>
        <v/>
      </c>
      <c r="E214" s="58" t="str">
        <f aca="false">IF(ISNUMBER(E213),ROUND(E211-E213,2),"")</f>
        <v/>
      </c>
      <c r="F214" s="58" t="str">
        <f aca="false">IF(ISNUMBER(F213),ROUND(F211-F213,2),"")</f>
        <v/>
      </c>
      <c r="G214" s="58" t="str">
        <f aca="false">IF(ISNUMBER(G213),ROUND(G211-G213,2),"")</f>
        <v/>
      </c>
      <c r="H214" s="58" t="str">
        <f aca="false">IF(ISNUMBER(H213),ROUND(H211-H213,2),"")</f>
        <v/>
      </c>
      <c r="I214" s="58" t="str">
        <f aca="false">IF(ISNUMBER(I213),ROUND(I211-I213,2),"")</f>
        <v/>
      </c>
      <c r="J214" s="58" t="str">
        <f aca="false">IF(ISNUMBER(J213),ROUND(J211-J213,2),"")</f>
        <v/>
      </c>
      <c r="K214" s="58" t="str">
        <f aca="false">IF(ISNUMBER(K213),ROUND(K211-K213,2),"")</f>
        <v/>
      </c>
      <c r="L214" s="58" t="str">
        <f aca="false">IF(ISNUMBER(L213),ROUND(L211-L213,2),"")</f>
        <v/>
      </c>
      <c r="M214" s="58" t="str">
        <f aca="false">IF(ISNUMBER(M213),ROUND(M211-M213,2),"")</f>
        <v/>
      </c>
      <c r="N214" s="58" t="str">
        <f aca="false">IF(ISNUMBER(N213),ROUND(N211-N213,2),"")</f>
        <v/>
      </c>
      <c r="O214" s="58" t="str">
        <f aca="false">IF(ISNUMBER(O213),ROUND(O211-O213,2),"")</f>
        <v/>
      </c>
      <c r="P214" s="58" t="str">
        <f aca="false">IF(ISNUMBER(P213),ROUND(P211-P213,2),"")</f>
        <v/>
      </c>
      <c r="Q214" s="58" t="str">
        <f aca="false">IF(ISNUMBER(Q213),ROUND(Q211-Q213,2),"")</f>
        <v/>
      </c>
      <c r="R214" s="58" t="str">
        <f aca="false">IF(ISNUMBER(R213),ROUND(R211-R213,2),"")</f>
        <v/>
      </c>
      <c r="S214" s="58" t="str">
        <f aca="false">IF(ISNUMBER(S213),ROUND(S211-S213,2),"")</f>
        <v/>
      </c>
      <c r="T214" s="58" t="str">
        <f aca="false">IF(ISNUMBER(T213),ROUND(T211-T213,2),"")</f>
        <v/>
      </c>
      <c r="U214" s="58" t="str">
        <f aca="false">IF(ISNUMBER(U213),ROUND(U211-U213,2),"")</f>
        <v/>
      </c>
      <c r="V214" s="58" t="str">
        <f aca="false">IF(ISNUMBER(V213),ROUND(V211-V213,2),"")</f>
        <v/>
      </c>
      <c r="W214" s="58" t="str">
        <f aca="false">IF(ISNUMBER(W213),ROUND(W211-W213,2),"")</f>
        <v/>
      </c>
      <c r="X214" s="58" t="str">
        <f aca="false">IF(ISNUMBER(X213),ROUND(X211-X213,2),"")</f>
        <v/>
      </c>
      <c r="Y214" s="58" t="str">
        <f aca="false">IF(ISNUMBER(Y213),ROUND(Y211-Y213,2),"")</f>
        <v/>
      </c>
      <c r="Z214" s="58" t="str">
        <f aca="false">IF(ISNUMBER(Z213),ROUND(Z211-Z213,2),"")</f>
        <v/>
      </c>
      <c r="AA214" s="58" t="str">
        <f aca="false">IF(ISNUMBER(AA213),ROUND(AA211-AA213,2),"")</f>
        <v/>
      </c>
      <c r="AB214" s="58" t="str">
        <f aca="false">IF(ISNUMBER(AB213),ROUND(AB211-AB213,2),"")</f>
        <v/>
      </c>
      <c r="AC214" s="58" t="str">
        <f aca="false">IF(ISNUMBER(AC213),ROUND(AC211-AC213,2),"")</f>
        <v/>
      </c>
      <c r="AD214" s="58" t="str">
        <f aca="false">IF(ISNUMBER(AD213),ROUND(AD211-AD213,2),"")</f>
        <v/>
      </c>
      <c r="AE214" s="58" t="str">
        <f aca="false">IF(ISNUMBER(AE213),ROUND(AE211-AE213,2),"")</f>
        <v/>
      </c>
      <c r="AF214" s="58" t="str">
        <f aca="false">IF(ISNUMBER(AF213),ROUND(AF211-AF213,2),"")</f>
        <v/>
      </c>
      <c r="AG214" s="58" t="str">
        <f aca="false">IF(ISNUMBER(AG213),ROUND(AG211-AG213,2),"")</f>
        <v/>
      </c>
      <c r="AH214" s="58" t="str">
        <f aca="false">IF(ISNUMBER(AH213),ROUND(AH211-AH213,2),"")</f>
        <v/>
      </c>
      <c r="AI214" s="58" t="str">
        <f aca="false">IF(ISNUMBER(AI213),ROUND(AI211-AI213,2),"")</f>
        <v/>
      </c>
      <c r="AJ214" s="58" t="str">
        <f aca="false">IF(ISNUMBER(AJ213),ROUND(AJ211-AJ213,2),"")</f>
        <v/>
      </c>
      <c r="AK214" s="58" t="str">
        <f aca="false">IF(ISNUMBER(AK213),ROUND(AK211-AK213,2),"")</f>
        <v/>
      </c>
      <c r="AL214" s="58" t="str">
        <f aca="false">IF(ISNUMBER(AL213),ROUND(AL211-AL213,2),"")</f>
        <v/>
      </c>
      <c r="AM214" s="58" t="str">
        <f aca="false">IF(ISNUMBER(AM213),ROUND(AM211-AM213,2),"")</f>
        <v/>
      </c>
      <c r="AN214" s="58" t="str">
        <f aca="false">IF(ISNUMBER(AN213),ROUND(AN211-AN213,2),"")</f>
        <v/>
      </c>
      <c r="AO214" s="58" t="str">
        <f aca="false">IF(ISNUMBER(AO213),ROUND(AO211-AO213,2),"")</f>
        <v/>
      </c>
      <c r="AP214" s="58" t="str">
        <f aca="false">IF(ISNUMBER(AP213),ROUND(AP211-AP213,2),"")</f>
        <v/>
      </c>
      <c r="AQ214" s="58" t="str">
        <f aca="false">IF(ISNUMBER(AQ213),ROUND(AQ211-AQ213,2),"")</f>
        <v/>
      </c>
      <c r="AR214" s="58" t="str">
        <f aca="false">IF(ISNUMBER(AR213),ROUND(AR211-AR213,2),"")</f>
        <v/>
      </c>
      <c r="AS214" s="58" t="str">
        <f aca="false">IF(ISNUMBER(AS213),ROUND(AS211-AS213,2),"")</f>
        <v/>
      </c>
      <c r="AT214" s="58" t="str">
        <f aca="false">IF(ISNUMBER(AT213),ROUND(AT211-AT213,2),"")</f>
        <v/>
      </c>
      <c r="AU214" s="58" t="str">
        <f aca="false">IF(ISNUMBER(AU213),ROUND(AU211-AU213,2),"")</f>
        <v/>
      </c>
      <c r="AV214" s="58" t="str">
        <f aca="false">IF(ISNUMBER(AV213),ROUND(AV211-AV213,2),"")</f>
        <v/>
      </c>
      <c r="AW214" s="58" t="str">
        <f aca="false">IF(ISNUMBER(AW213),ROUND(AW211-AW213,2),"")</f>
        <v/>
      </c>
      <c r="AX214" s="58" t="str">
        <f aca="false">IF(ISNUMBER(AX213),ROUND(AX211-AX213,2),"")</f>
        <v/>
      </c>
      <c r="AY214" s="58" t="str">
        <f aca="false">IF(ISNUMBER(AY213),ROUND(AY211-AY213,2),"")</f>
        <v/>
      </c>
      <c r="AZ214" s="58" t="str">
        <f aca="false">IF(ISNUMBER(AZ213),ROUND(AZ211-AZ213,2),"")</f>
        <v/>
      </c>
      <c r="BA214" s="58" t="str">
        <f aca="false">IF(ISNUMBER(BA213),ROUND(BA211-BA213,2),"")</f>
        <v/>
      </c>
      <c r="BB214" s="58" t="str">
        <f aca="false">IF(ISNUMBER(BB213),ROUND(BB211-BB213,2),"")</f>
        <v/>
      </c>
      <c r="BC214" s="58" t="str">
        <f aca="false">IF(ISNUMBER(BC213),ROUND(BC211-BC213,2),"")</f>
        <v/>
      </c>
      <c r="BD214" s="58" t="n">
        <f aca="false">IF(ISNUMBER(BD213),ROUND(BD211-BD213,2),"")</f>
        <v>-0</v>
      </c>
      <c r="BE214" s="58" t="str">
        <f aca="false">IF(ISNUMBER(BE213),ROUND(BE211-BE213,2),"")</f>
        <v/>
      </c>
      <c r="BF214" s="58" t="n">
        <f aca="false">IF(ISNUMBER(BF213),ROUND(BF211-BF213,2),"")</f>
        <v>-0</v>
      </c>
      <c r="BG214" s="58" t="n">
        <f aca="false">IF(ISNUMBER(BG213),ROUND(BG211-BG213,2),"")</f>
        <v>-0</v>
      </c>
      <c r="BH214" s="58" t="n">
        <f aca="false">IF(ISNUMBER(BH213),ROUND(BH211-BH213,2),"")</f>
        <v>-0</v>
      </c>
      <c r="BI214" s="58" t="n">
        <f aca="false">IF(ISNUMBER(BI213),ROUND(BI211-BI213,2),"")</f>
        <v>-0</v>
      </c>
      <c r="BJ214" s="58" t="n">
        <f aca="false">IF(ISNUMBER(BJ213),ROUND(BJ211-BJ213,2),"")</f>
        <v>0.01</v>
      </c>
      <c r="BK214" s="58" t="n">
        <f aca="false">IF(ISNUMBER(BK213),ROUND(BK211-BK213,2),"")</f>
        <v>-0</v>
      </c>
      <c r="BL214" s="58" t="n">
        <f aca="false">IF(ISNUMBER(BL213),ROUND(BL211-BL213,2),"")</f>
        <v>0</v>
      </c>
      <c r="BM214" s="58" t="n">
        <f aca="false">IF(ISNUMBER(BM213),ROUND(BM211-BM213,2),"")</f>
        <v>-0</v>
      </c>
      <c r="BN214" s="58" t="n">
        <f aca="false">IF(ISNUMBER(BN213),ROUND(BN211-BN213,2),"")</f>
        <v>-0</v>
      </c>
      <c r="BO214" s="58" t="n">
        <f aca="false">IF(ISNUMBER(BO213),ROUND(BO211-BO213,2),"")</f>
        <v>0</v>
      </c>
      <c r="BP214" s="58" t="n">
        <f aca="false">IF(ISNUMBER(BP213),ROUND(BP211-BP213,2),"")</f>
        <v>0</v>
      </c>
      <c r="BQ214" s="58" t="n">
        <f aca="false">IF(ISNUMBER(BQ213),ROUND(BQ211-BQ213,2),"")</f>
        <v>-0</v>
      </c>
      <c r="BR214" s="58" t="n">
        <f aca="false">IF(ISNUMBER(BR213),ROUND(BR211-BR213,2),"")</f>
        <v>0</v>
      </c>
      <c r="BS214" s="58" t="n">
        <f aca="false">IF(ISNUMBER(BS213),ROUND(BS211-BS213,2),"")</f>
        <v>-0</v>
      </c>
      <c r="BT214" s="58" t="n">
        <f aca="false">IF(ISNUMBER(BT213),ROUND(BT211-BT213,2),"")</f>
        <v>0</v>
      </c>
      <c r="BU214" s="58" t="n">
        <f aca="false">IF(ISNUMBER(BU213),ROUND(BU211-BU213,2),"")</f>
        <v>-0</v>
      </c>
      <c r="BV214" s="58" t="n">
        <f aca="false">IF(ISNUMBER(BV213),ROUND(BV211-BV213,2),"")</f>
        <v>-0</v>
      </c>
      <c r="BW214" s="58" t="n">
        <f aca="false">IF(ISNUMBER(BW213),ROUND(BW211-BW213,2),"")</f>
        <v>-0</v>
      </c>
      <c r="BX214" s="58" t="n">
        <f aca="false">IF(ISNUMBER(BX213),ROUND(BX211-BX213,2),"")</f>
        <v>-0</v>
      </c>
    </row>
    <row r="215" customFormat="false" ht="15" hidden="false" customHeight="false" outlineLevel="0" collapsed="false">
      <c r="B215" s="46" t="s">
        <v>333</v>
      </c>
      <c r="C215" s="47" t="str">
        <f aca="false">IF(ISNUMBER(C212),ROUND(C209-C212,1),"")</f>
        <v/>
      </c>
      <c r="D215" s="47" t="str">
        <f aca="false">IF(ISNUMBER(D212),ROUND(D209-D212,1),"")</f>
        <v/>
      </c>
      <c r="E215" s="47" t="str">
        <f aca="false">IF(ISNUMBER(E212),ROUND(E209-E212,1),"")</f>
        <v/>
      </c>
      <c r="F215" s="47" t="str">
        <f aca="false">IF(ISNUMBER(F212),ROUND(F209-F212,1),"")</f>
        <v/>
      </c>
      <c r="G215" s="47" t="str">
        <f aca="false">IF(ISNUMBER(G212),ROUND(G209-G212,1),"")</f>
        <v/>
      </c>
      <c r="H215" s="47" t="str">
        <f aca="false">IF(ISNUMBER(H212),ROUND(H209-H212,1),"")</f>
        <v/>
      </c>
      <c r="I215" s="47" t="str">
        <f aca="false">IF(ISNUMBER(I212),ROUND(I209-I212,1),"")</f>
        <v/>
      </c>
      <c r="J215" s="47" t="str">
        <f aca="false">IF(ISNUMBER(J212),ROUND(J209-J212,1),"")</f>
        <v/>
      </c>
      <c r="K215" s="47" t="str">
        <f aca="false">IF(ISNUMBER(K212),ROUND(K209-K212,1),"")</f>
        <v/>
      </c>
      <c r="L215" s="47" t="str">
        <f aca="false">IF(ISNUMBER(L212),ROUND(L209-L212,1),"")</f>
        <v/>
      </c>
      <c r="M215" s="47" t="str">
        <f aca="false">IF(ISNUMBER(M212),ROUND(M209-M212,1),"")</f>
        <v/>
      </c>
      <c r="N215" s="47" t="str">
        <f aca="false">IF(ISNUMBER(N212),ROUND(N209-N212,1),"")</f>
        <v/>
      </c>
      <c r="O215" s="47" t="str">
        <f aca="false">IF(ISNUMBER(O212),ROUND(O209-O212,1),"")</f>
        <v/>
      </c>
      <c r="P215" s="47" t="str">
        <f aca="false">IF(ISNUMBER(P212),ROUND(P209-P212,1),"")</f>
        <v/>
      </c>
      <c r="Q215" s="47" t="str">
        <f aca="false">IF(ISNUMBER(Q212),ROUND(Q209-Q212,1),"")</f>
        <v/>
      </c>
      <c r="R215" s="47" t="str">
        <f aca="false">IF(ISNUMBER(R212),ROUND(R209-R212,1),"")</f>
        <v/>
      </c>
      <c r="S215" s="47" t="str">
        <f aca="false">IF(ISNUMBER(S212),ROUND(S209-S212,1),"")</f>
        <v/>
      </c>
      <c r="T215" s="47" t="str">
        <f aca="false">IF(ISNUMBER(T212),ROUND(T209-T212,1),"")</f>
        <v/>
      </c>
      <c r="U215" s="47" t="str">
        <f aca="false">IF(ISNUMBER(U212),ROUND(U209-U212,1),"")</f>
        <v/>
      </c>
      <c r="V215" s="47" t="str">
        <f aca="false">IF(ISNUMBER(V212),ROUND(V209-V212,1),"")</f>
        <v/>
      </c>
      <c r="W215" s="47" t="str">
        <f aca="false">IF(ISNUMBER(W212),ROUND(W209-W212,1),"")</f>
        <v/>
      </c>
      <c r="X215" s="47" t="str">
        <f aca="false">IF(ISNUMBER(X212),ROUND(X209-X212,1),"")</f>
        <v/>
      </c>
      <c r="Y215" s="47" t="str">
        <f aca="false">IF(ISNUMBER(Y212),ROUND(Y209-Y212,1),"")</f>
        <v/>
      </c>
      <c r="Z215" s="47" t="str">
        <f aca="false">IF(ISNUMBER(Z212),ROUND(Z209-Z212,1),"")</f>
        <v/>
      </c>
      <c r="AA215" s="47" t="str">
        <f aca="false">IF(ISNUMBER(AA212),ROUND(AA209-AA212,1),"")</f>
        <v/>
      </c>
      <c r="AB215" s="47" t="str">
        <f aca="false">IF(ISNUMBER(AB212),ROUND(AB209-AB212,1),"")</f>
        <v/>
      </c>
      <c r="AC215" s="47" t="str">
        <f aca="false">IF(ISNUMBER(AC212),ROUND(AC209-AC212,1),"")</f>
        <v/>
      </c>
      <c r="AD215" s="47" t="str">
        <f aca="false">IF(ISNUMBER(AD212),ROUND(AD209-AD212,1),"")</f>
        <v/>
      </c>
      <c r="AE215" s="47" t="str">
        <f aca="false">IF(ISNUMBER(AE212),ROUND(AE209-AE212,1),"")</f>
        <v/>
      </c>
      <c r="AF215" s="47" t="str">
        <f aca="false">IF(ISNUMBER(AF212),ROUND(AF209-AF212,1),"")</f>
        <v/>
      </c>
      <c r="AG215" s="47" t="str">
        <f aca="false">IF(ISNUMBER(AG212),ROUND(AG209-AG212,1),"")</f>
        <v/>
      </c>
      <c r="AH215" s="47" t="str">
        <f aca="false">IF(ISNUMBER(AH212),ROUND(AH209-AH212,1),"")</f>
        <v/>
      </c>
      <c r="AI215" s="47" t="str">
        <f aca="false">IF(ISNUMBER(AI212),ROUND(AI209-AI212,1),"")</f>
        <v/>
      </c>
      <c r="AJ215" s="47" t="str">
        <f aca="false">IF(ISNUMBER(AJ212),ROUND(AJ209-AJ212,1),"")</f>
        <v/>
      </c>
      <c r="AK215" s="47" t="str">
        <f aca="false">IF(ISNUMBER(AK212),ROUND(AK209-AK212,1),"")</f>
        <v/>
      </c>
      <c r="AL215" s="47" t="str">
        <f aca="false">IF(ISNUMBER(AL212),ROUND(AL209-AL212,1),"")</f>
        <v/>
      </c>
      <c r="AM215" s="47" t="str">
        <f aca="false">IF(ISNUMBER(AM212),ROUND(AM209-AM212,1),"")</f>
        <v/>
      </c>
      <c r="AN215" s="47" t="str">
        <f aca="false">IF(ISNUMBER(AN212),ROUND(AN209-AN212,1),"")</f>
        <v/>
      </c>
      <c r="AO215" s="47" t="str">
        <f aca="false">IF(ISNUMBER(AO212),ROUND(AO209-AO212,1),"")</f>
        <v/>
      </c>
      <c r="AP215" s="47" t="str">
        <f aca="false">IF(ISNUMBER(AP212),ROUND(AP209-AP212,1),"")</f>
        <v/>
      </c>
      <c r="AQ215" s="47" t="str">
        <f aca="false">IF(ISNUMBER(AQ212),ROUND(AQ209-AQ212,1),"")</f>
        <v/>
      </c>
      <c r="AR215" s="47" t="str">
        <f aca="false">IF(ISNUMBER(AR212),ROUND(AR209-AR212,1),"")</f>
        <v/>
      </c>
      <c r="AS215" s="47" t="str">
        <f aca="false">IF(ISNUMBER(AS212),ROUND(AS209-AS212,1),"")</f>
        <v/>
      </c>
      <c r="AT215" s="47" t="str">
        <f aca="false">IF(ISNUMBER(AT212),ROUND(AT209-AT212,1),"")</f>
        <v/>
      </c>
      <c r="AU215" s="47" t="str">
        <f aca="false">IF(ISNUMBER(AU212),ROUND(AU209-AU212,1),"")</f>
        <v/>
      </c>
      <c r="AV215" s="47" t="str">
        <f aca="false">IF(ISNUMBER(AV212),ROUND(AV209-AV212,1),"")</f>
        <v/>
      </c>
      <c r="AW215" s="47" t="str">
        <f aca="false">IF(ISNUMBER(AW212),ROUND(AW209-AW212,1),"")</f>
        <v/>
      </c>
      <c r="AX215" s="47" t="str">
        <f aca="false">IF(ISNUMBER(AX212),ROUND(AX209-AX212,1),"")</f>
        <v/>
      </c>
      <c r="AY215" s="47" t="str">
        <f aca="false">IF(ISNUMBER(AY212),ROUND(AY209-AY212,1),"")</f>
        <v/>
      </c>
      <c r="AZ215" s="47" t="str">
        <f aca="false">IF(ISNUMBER(AZ212),ROUND(AZ209-AZ212,1),"")</f>
        <v/>
      </c>
      <c r="BA215" s="47" t="str">
        <f aca="false">IF(ISNUMBER(BA212),ROUND(BA209-BA212,1),"")</f>
        <v/>
      </c>
      <c r="BB215" s="47" t="str">
        <f aca="false">IF(ISNUMBER(BB212),ROUND(BB209-BB212,1),"")</f>
        <v/>
      </c>
      <c r="BC215" s="47" t="str">
        <f aca="false">IF(ISNUMBER(BC212),ROUND(BC209-BC212,1),"")</f>
        <v/>
      </c>
      <c r="BD215" s="47" t="str">
        <f aca="false">IF(ISNUMBER(BD212),ROUND(BD209-BD212,1),"")</f>
        <v/>
      </c>
      <c r="BE215" s="47" t="str">
        <f aca="false">IF(ISNUMBER(BE212),ROUND(BE209-BE212,1),"")</f>
        <v/>
      </c>
      <c r="BF215" s="47" t="n">
        <f aca="false">IF(ISNUMBER(BF212),ROUND(BF209-BF212,1),"")</f>
        <v>0</v>
      </c>
      <c r="BG215" s="47" t="n">
        <f aca="false">IF(ISNUMBER(BG212),ROUND(BG209-BG212,1),"")</f>
        <v>0</v>
      </c>
      <c r="BH215" s="47" t="n">
        <f aca="false">IF(ISNUMBER(BH212),ROUND(BH209-BH212,1),"")</f>
        <v>0</v>
      </c>
      <c r="BI215" s="47" t="n">
        <f aca="false">IF(ISNUMBER(BI212),ROUND(BI209-BI212,1),"")</f>
        <v>-0</v>
      </c>
      <c r="BJ215" s="47" t="n">
        <f aca="false">IF(ISNUMBER(BJ212),ROUND(BJ209-BJ212,1),"")</f>
        <v>0</v>
      </c>
      <c r="BK215" s="47" t="n">
        <f aca="false">IF(ISNUMBER(BK212),ROUND(BK209-BK212,1),"")</f>
        <v>-0</v>
      </c>
      <c r="BL215" s="47" t="n">
        <f aca="false">IF(ISNUMBER(BL212),ROUND(BL209-BL212,1),"")</f>
        <v>0</v>
      </c>
      <c r="BM215" s="47" t="n">
        <f aca="false">IF(ISNUMBER(BM212),ROUND(BM209-BM212,1),"")</f>
        <v>-0</v>
      </c>
      <c r="BN215" s="47" t="n">
        <f aca="false">IF(ISNUMBER(BN212),ROUND(BN209-BN212,1),"")</f>
        <v>0</v>
      </c>
      <c r="BO215" s="47" t="n">
        <f aca="false">IF(ISNUMBER(BO212),ROUND(BO209-BO212,1),"")</f>
        <v>0</v>
      </c>
      <c r="BP215" s="47" t="n">
        <f aca="false">IF(ISNUMBER(BP212),ROUND(BP209-BP212,1),"")</f>
        <v>0</v>
      </c>
      <c r="BQ215" s="47" t="n">
        <f aca="false">IF(ISNUMBER(BQ212),ROUND(BQ209-BQ212,1),"")</f>
        <v>0</v>
      </c>
      <c r="BR215" s="47" t="n">
        <f aca="false">IF(ISNUMBER(BR212),ROUND(BR209-BR212,1),"")</f>
        <v>0</v>
      </c>
      <c r="BS215" s="47" t="n">
        <f aca="false">IF(ISNUMBER(BS212),ROUND(BS209-BS212,1),"")</f>
        <v>0</v>
      </c>
      <c r="BT215" s="47" t="n">
        <f aca="false">IF(ISNUMBER(BT212),ROUND(BT209-BT212,1),"")</f>
        <v>-0</v>
      </c>
      <c r="BU215" s="47" t="n">
        <f aca="false">IF(ISNUMBER(BU212),ROUND(BU209-BU212,1),"")</f>
        <v>0</v>
      </c>
      <c r="BV215" s="47" t="n">
        <f aca="false">IF(ISNUMBER(BV212),ROUND(BV209-BV212,1),"")</f>
        <v>0</v>
      </c>
      <c r="BW215" s="47" t="n">
        <f aca="false">IF(ISNUMBER(BW212),ROUND(BW209-BW212,1),"")</f>
        <v>0</v>
      </c>
      <c r="BX215" s="47" t="n">
        <f aca="false">IF(ISNUMBER(BX212),ROUND(BX209-BX212,1),"")</f>
        <v>0</v>
      </c>
    </row>
    <row r="217" customFormat="false" ht="15" hidden="false" customHeight="false" outlineLevel="0" collapsed="false">
      <c r="B217" s="8" t="s">
        <v>334</v>
      </c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</row>
    <row r="218" customFormat="false" ht="15" hidden="false" customHeight="false" outlineLevel="0" collapsed="false">
      <c r="B218" s="25" t="s">
        <v>109</v>
      </c>
      <c r="D218" s="26" t="n">
        <f aca="false">IF(AND(ISNUMBER(D125),ISNUMBER(C125)),IFERROR(D125/C125-1,""),"")</f>
        <v>0.115925337169705</v>
      </c>
      <c r="E218" s="26" t="n">
        <f aca="false">IF(AND(ISNUMBER(E125),ISNUMBER(D125)),IFERROR(E125/D125-1,""),"")</f>
        <v>0.172546818214808</v>
      </c>
      <c r="F218" s="26" t="n">
        <f aca="false">IF(AND(ISNUMBER(F125),ISNUMBER(E125)),IFERROR(F125/E125-1,""),"")</f>
        <v>-0.116735057667824</v>
      </c>
      <c r="G218" s="26" t="n">
        <f aca="false">IF(AND(ISNUMBER(G125),ISNUMBER(F125)),IFERROR(G125/F125-1,""),"")</f>
        <v>0.223976991995317</v>
      </c>
      <c r="H218" s="26" t="n">
        <f aca="false">IF(AND(ISNUMBER(H125),ISNUMBER(G125)),IFERROR(H125/G125-1,""),"")</f>
        <v>0.114514349053649</v>
      </c>
      <c r="I218" s="26" t="n">
        <f aca="false">IF(AND(ISNUMBER(I125),ISNUMBER(H125)),IFERROR(I125/H125-1,""),"")</f>
        <v>0.0989486033072036</v>
      </c>
      <c r="N218" s="26" t="n">
        <f aca="false">IF(AND(ISNUMBER(N125),ISNUMBER(I125)),IFERROR(N125/I125-1,""),"")</f>
        <v>0.122629557431113</v>
      </c>
      <c r="O218" s="26" t="n">
        <f aca="false">IF(AND(ISNUMBER(O125),ISNUMBER(J125)),IFERROR(O125/J125-1,""),"")</f>
        <v>0.0495339927935619</v>
      </c>
      <c r="P218" s="26" t="n">
        <f aca="false">IF(AND(ISNUMBER(P125),ISNUMBER(K125)),IFERROR(P125/K125-1,""),"")</f>
        <v>0.0652794698232684</v>
      </c>
      <c r="Q218" s="26" t="n">
        <f aca="false">IF(AND(ISNUMBER(Q125),ISNUMBER(L125)),IFERROR(Q125/L125-1,""),"")</f>
        <v>0.0454363042393489</v>
      </c>
      <c r="R218" s="26" t="n">
        <f aca="false">IF(AND(ISNUMBER(R125),ISNUMBER(M125)),IFERROR(R125/M125-1,""),"")</f>
        <v>0.0648042013624361</v>
      </c>
      <c r="S218" s="26" t="n">
        <f aca="false">IF(AND(ISNUMBER(S125),ISNUMBER(N125)),IFERROR(S125/N125-1,""),"")</f>
        <v>0.0563038520159385</v>
      </c>
      <c r="T218" s="26" t="n">
        <f aca="false">IF(AND(ISNUMBER(T125),ISNUMBER(O125)),IFERROR(T125/O125-1,""),"")</f>
        <v>0.0503741346693885</v>
      </c>
      <c r="U218" s="26" t="n">
        <f aca="false">IF(AND(ISNUMBER(U125),ISNUMBER(P125)),IFERROR(U125/P125-1,""),"")</f>
        <v>0.0120385347301879</v>
      </c>
      <c r="V218" s="26" t="n">
        <f aca="false">IF(AND(ISNUMBER(V125),ISNUMBER(Q125)),IFERROR(V125/Q125-1,""),"")</f>
        <v>-0.013874813186509</v>
      </c>
      <c r="W218" s="26" t="n">
        <f aca="false">IF(AND(ISNUMBER(W125),ISNUMBER(R125)),IFERROR(W125/R125-1,""),"")</f>
        <v>-0.0435925511780346</v>
      </c>
      <c r="X218" s="26" t="n">
        <f aca="false">IF(AND(ISNUMBER(X125),ISNUMBER(S125)),IFERROR(X125/S125-1,""),"")</f>
        <v>0.000446694140422643</v>
      </c>
      <c r="Y218" s="26" t="n">
        <f aca="false">IF(AND(ISNUMBER(Y125),ISNUMBER(T125)),IFERROR(Y125/T125-1,""),"")</f>
        <v>-0.0687532756317235</v>
      </c>
      <c r="Z218" s="26" t="n">
        <f aca="false">IF(AND(ISNUMBER(Z125),ISNUMBER(U125)),IFERROR(Z125/U125-1,""),"")</f>
        <v>-0.0692075908976026</v>
      </c>
      <c r="AA218" s="26" t="n">
        <f aca="false">IF(AND(ISNUMBER(AA125),ISNUMBER(V125)),IFERROR(AA125/V125-1,""),"")</f>
        <v>-0.018571015365052</v>
      </c>
      <c r="AB218" s="26" t="n">
        <f aca="false">IF(AND(ISNUMBER(AB125),ISNUMBER(W125)),IFERROR(AB125/W125-1,""),"")</f>
        <v>0.0635725148426289</v>
      </c>
      <c r="AC218" s="26" t="n">
        <f aca="false">IF(AND(ISNUMBER(AC125),ISNUMBER(X125)),IFERROR(AC125/X125-1,""),"")</f>
        <v>-0.0246118234347604</v>
      </c>
      <c r="AD218" s="26" t="n">
        <f aca="false">IF(AND(ISNUMBER(AD125),ISNUMBER(Y125)),IFERROR(AD125/Y125-1,""),"")</f>
        <v>0.110991648186059</v>
      </c>
      <c r="AE218" s="26" t="n">
        <f aca="false">IF(AND(ISNUMBER(AE125),ISNUMBER(Z125)),IFERROR(AE125/Z125-1,""),"")</f>
        <v>0.124336122138071</v>
      </c>
      <c r="AF218" s="26" t="n">
        <f aca="false">IF(AND(ISNUMBER(AF125),ISNUMBER(AA125)),IFERROR(AF125/AA125-1,""),"")</f>
        <v>0.127749829099511</v>
      </c>
      <c r="AG218" s="26" t="n">
        <f aca="false">IF(AND(ISNUMBER(AG125),ISNUMBER(AB125)),IFERROR(AG125/AB125-1,""),"")</f>
        <v>0.159535867758915</v>
      </c>
      <c r="AH218" s="26" t="n">
        <f aca="false">IF(AND(ISNUMBER(AH125),ISNUMBER(AC125)),IFERROR(AH125/AC125-1,""),"")</f>
        <v>0.131231953834682</v>
      </c>
      <c r="AI218" s="26" t="n">
        <f aca="false">IF(AND(ISNUMBER(AI125),ISNUMBER(AD125)),IFERROR(AI125/AD125-1,""),"")</f>
        <v>0.149394824493979</v>
      </c>
      <c r="AJ218" s="26" t="n">
        <f aca="false">IF(AND(ISNUMBER(AJ125),ISNUMBER(AE125)),IFERROR(AJ125/AE125-1,""),"")</f>
        <v>0.152565027986387</v>
      </c>
      <c r="AK218" s="26" t="n">
        <f aca="false">IF(AND(ISNUMBER(AK125),ISNUMBER(AF125)),IFERROR(AK125/AF125-1,""),"")</f>
        <v>0.134087876947013</v>
      </c>
      <c r="AL218" s="26" t="n">
        <f aca="false">IF(AND(ISNUMBER(AL125),ISNUMBER(AG125)),IFERROR(AL125/AG125-1,""),"")</f>
        <v>0.0449827339154187</v>
      </c>
      <c r="AM218" s="26" t="n">
        <f aca="false">IF(AND(ISNUMBER(AM125),ISNUMBER(AH125)),IFERROR(AM125/AH125-1,""),"")</f>
        <v>0.118484563579652</v>
      </c>
      <c r="AN218" s="26" t="n">
        <f aca="false">IF(AND(ISNUMBER(AN125),ISNUMBER(AI125)),IFERROR(AN125/AI125-1,""),"")</f>
        <v>-0.0443573236064155</v>
      </c>
      <c r="AO218" s="26" t="n">
        <f aca="false">IF(AND(ISNUMBER(AO125),ISNUMBER(AJ125)),IFERROR(AO125/AJ125-1,""),"")</f>
        <v>-0.0858732045583329</v>
      </c>
      <c r="AP218" s="26" t="n">
        <f aca="false">IF(AND(ISNUMBER(AP125),ISNUMBER(AK125)),IFERROR(AP125/AK125-1,""),"")</f>
        <v>-0.101532654535287</v>
      </c>
      <c r="AQ218" s="26" t="n">
        <f aca="false">IF(AND(ISNUMBER(AQ125),ISNUMBER(AL125)),IFERROR(AQ125/AL125-1,""),"")</f>
        <v>-0.0832744468944211</v>
      </c>
      <c r="AR218" s="26" t="n">
        <f aca="false">IF(AND(ISNUMBER(AR125),ISNUMBER(AM125)),IFERROR(AR125/AM125-1,""),"")</f>
        <v>-0.0794690837182129</v>
      </c>
      <c r="AS218" s="26" t="n">
        <f aca="false">IF(AND(ISNUMBER(AS125),ISNUMBER(AN125)),IFERROR(AS125/AN125-1,""),"")</f>
        <v>0.0143415058074594</v>
      </c>
      <c r="AT218" s="26" t="n">
        <f aca="false">IF(AND(ISNUMBER(AT125),ISNUMBER(AO125)),IFERROR(AT125/AO125-1,""),"")</f>
        <v>-0.0718868001760114</v>
      </c>
      <c r="AU218" s="26" t="n">
        <f aca="false">IF(AND(ISNUMBER(AU125),ISNUMBER(AP125)),IFERROR(AU125/AP125-1,""),"")</f>
        <v>0.0956056483543613</v>
      </c>
      <c r="AV218" s="26" t="n">
        <f aca="false">IF(AND(ISNUMBER(AV125),ISNUMBER(AQ125)),IFERROR(AV125/AQ125-1,""),"")</f>
        <v>0.199330613820167</v>
      </c>
      <c r="AW218" s="26" t="n">
        <f aca="false">IF(AND(ISNUMBER(AW125),ISNUMBER(AR125)),IFERROR(AW125/AR125-1,""),"")</f>
        <v>0.0586301009803842</v>
      </c>
      <c r="AX218" s="26" t="n">
        <f aca="false">IF(AND(ISNUMBER(AX125),ISNUMBER(AS125)),IFERROR(AX125/AS125-1,""),"")</f>
        <v>0.262512194455307</v>
      </c>
      <c r="AY218" s="26" t="n">
        <f aca="false">IF(AND(ISNUMBER(AY125),ISNUMBER(AT125)),IFERROR(AY125/AT125-1,""),"")</f>
        <v>0.525071902170048</v>
      </c>
      <c r="AZ218" s="26" t="n">
        <f aca="false">IF(AND(ISNUMBER(AZ125),ISNUMBER(AU125)),IFERROR(AZ125/AU125-1,""),"")</f>
        <v>0.48260154326832</v>
      </c>
      <c r="BA218" s="26" t="n">
        <f aca="false">IF(AND(ISNUMBER(BA125),ISNUMBER(AV125)),IFERROR(BA125/AV125-1,""),"")</f>
        <v>0.429149708580286</v>
      </c>
      <c r="BB218" s="26" t="n">
        <f aca="false">IF(AND(ISNUMBER(BB125),ISNUMBER(AW125)),IFERROR(BB125/AW125-1,""),"")</f>
        <v>0.425432646642775</v>
      </c>
      <c r="BC218" s="26" t="n">
        <f aca="false">IF(AND(ISNUMBER(BC125),ISNUMBER(AX125)),IFERROR(BC125/AX125-1,""),"")</f>
        <v>0.418846558888263</v>
      </c>
      <c r="BD218" s="26" t="n">
        <f aca="false">IF(AND(ISNUMBER(BD125),ISNUMBER(AY125)),IFERROR(BD125/AY125-1,""),"")</f>
        <v>0.228774929392853</v>
      </c>
      <c r="BE218" s="26" t="n">
        <f aca="false">IF(AND(ISNUMBER(BE125),ISNUMBER(AZ125)),IFERROR(BE125/AZ125-1,""),"")</f>
        <v>-0.0396441716909907</v>
      </c>
      <c r="BF218" s="26" t="n">
        <f aca="false">IF(AND(ISNUMBER(BF125),ISNUMBER(BA125)),IFERROR(BF125/BA125-1,""),"")</f>
        <v>-0.220710634884113</v>
      </c>
      <c r="BG218" s="26" t="n">
        <f aca="false">IF(AND(ISNUMBER(BG125),ISNUMBER(BB125)),IFERROR(BG125/BB125-1,""),"")</f>
        <v>0.069019023260964</v>
      </c>
      <c r="BH218" s="26" t="n">
        <f aca="false">IF(AND(ISNUMBER(BH125),ISNUMBER(BC125)),IFERROR(BH125/BC125-1,""),"")</f>
        <v>-0.323400557486239</v>
      </c>
      <c r="BI218" s="26" t="n">
        <f aca="false">IF(AND(ISNUMBER(BI125),ISNUMBER(BD125)),IFERROR(BI125/BD125-1,""),"")</f>
        <v>-0.349581192841042</v>
      </c>
      <c r="BJ218" s="26" t="n">
        <f aca="false">IF(AND(ISNUMBER(BJ125),ISNUMBER(BE125)),IFERROR(BJ125/BE125-1,""),"")</f>
        <v>-0.278344362846146</v>
      </c>
      <c r="BK218" s="26" t="n">
        <f aca="false">IF(AND(ISNUMBER(BK125),ISNUMBER(BF125)),IFERROR(BK125/BF125-1,""),"")</f>
        <v>-0.166758209930842</v>
      </c>
      <c r="BL218" s="26" t="n">
        <f aca="false">IF(AND(ISNUMBER(BL125),ISNUMBER(BG125)),IFERROR(BL125/BG125-1,""),"")</f>
        <v>-0.287496044500008</v>
      </c>
      <c r="BM218" s="26" t="n">
        <f aca="false">IF(AND(ISNUMBER(BM125),ISNUMBER(BH125)),IFERROR(BM125/BH125-1,""),"")</f>
        <v>-0.0432292423352062</v>
      </c>
      <c r="BN218" s="26" t="n">
        <f aca="false">IF(AND(ISNUMBER(BN125),ISNUMBER(BI125)),IFERROR(BN125/BI125-1,""),"")</f>
        <v>0.0139063777744006</v>
      </c>
      <c r="BO218" s="26" t="n">
        <f aca="false">IF(AND(ISNUMBER(BO125),ISNUMBER(BJ125)),IFERROR(BO125/BJ125-1,""),"")</f>
        <v>0.0699398529841995</v>
      </c>
      <c r="BP218" s="26" t="n">
        <f aca="false">IF(AND(ISNUMBER(BP125),ISNUMBER(BK125)),IFERROR(BP125/BK125-1,""),"")</f>
        <v>-0.00881856856898344</v>
      </c>
      <c r="BQ218" s="26" t="n">
        <f aca="false">IF(AND(ISNUMBER(BQ125),ISNUMBER(BL125)),IFERROR(BQ125/BL125-1,""),"")</f>
        <v>0.00730335102384028</v>
      </c>
      <c r="BR218" s="26" t="n">
        <f aca="false">IF(AND(ISNUMBER(BR125),ISNUMBER(BM125)),IFERROR(BR125/BM125-1,""),"")</f>
        <v>-0.0828525006510194</v>
      </c>
      <c r="BS218" s="26" t="n">
        <f aca="false">IF(AND(ISNUMBER(BS125),ISNUMBER(BN125)),IFERROR(BS125/BN125-1,""),"")</f>
        <v>-0.0773540220388871</v>
      </c>
      <c r="BT218" s="26" t="n">
        <f aca="false">IF(AND(ISNUMBER(BT125),ISNUMBER(BO125)),IFERROR(BT125/BO125-1,""),"")</f>
        <v>-0.109329224799075</v>
      </c>
      <c r="BU218" s="26" t="n">
        <f aca="false">IF(AND(ISNUMBER(BU125),ISNUMBER(BP125)),IFERROR(BU125/BP125-1,""),"")</f>
        <v>-0.0650046264256847</v>
      </c>
      <c r="BV218" s="26" t="n">
        <f aca="false">IF(AND(ISNUMBER(BV125),ISNUMBER(BQ125)),IFERROR(BV125/BQ125-1,""),"")</f>
        <v>-0.0841859917734068</v>
      </c>
      <c r="BW218" s="26" t="n">
        <f aca="false">IF(AND(ISNUMBER(BW125),ISNUMBER(BR125)),IFERROR(BW125/BR125-1,""),"")</f>
        <v>-0.00835388485546385</v>
      </c>
      <c r="BX218" s="26" t="n">
        <f aca="false">IF(AND(ISNUMBER(BX125),ISNUMBER(BS125)),IFERROR(BX125/BS125-1,""),"")</f>
        <v>0.192807133879667</v>
      </c>
      <c r="BY218" s="27" t="n">
        <f aca="false">IFERROR(BY125/BT125-1,"")</f>
        <v>0.23380754602791</v>
      </c>
      <c r="BZ218" s="27" t="n">
        <f aca="false">IFERROR(BZ125/BU125-1,"")</f>
        <v>0.213046911508853</v>
      </c>
      <c r="CA218" s="27" t="n">
        <f aca="false">IFERROR(CA125/BV125-1,"")</f>
        <v>0.1579860065178</v>
      </c>
      <c r="CB218" s="27" t="n">
        <f aca="false">IFERROR(CB125/CA125-1,"")</f>
        <v>0.0502050352350241</v>
      </c>
      <c r="CC218" s="27" t="n">
        <f aca="false">IFERROR(CC125/CB125-1,"")</f>
        <v>0.0322924748263842</v>
      </c>
      <c r="CD218" s="27" t="n">
        <f aca="false">IFERROR(CD125/CC125-1,"")</f>
        <v>0.0328529790332033</v>
      </c>
      <c r="CE218" s="27" t="n">
        <f aca="false">IFERROR(CE125/CD125-1,"")</f>
        <v>0.0611774656270512</v>
      </c>
    </row>
    <row r="219" customFormat="false" ht="15" hidden="false" customHeight="false" outlineLevel="0" collapsed="false">
      <c r="B219" s="25" t="s">
        <v>100</v>
      </c>
      <c r="D219" s="26" t="n">
        <f aca="false">IF(AND(ISNUMBER(D133),ISNUMBER(C133)),IFERROR(D133/C133-1,""),"")</f>
        <v>0.148939904521201</v>
      </c>
      <c r="E219" s="26" t="n">
        <f aca="false">IF(AND(ISNUMBER(E133),ISNUMBER(D133)),IFERROR(E133/D133-1,""),"")</f>
        <v>0.105473002416831</v>
      </c>
      <c r="F219" s="26" t="n">
        <f aca="false">IF(AND(ISNUMBER(F133),ISNUMBER(E133)),IFERROR(F133/E133-1,""),"")</f>
        <v>0.00508813691713828</v>
      </c>
      <c r="G219" s="26" t="n">
        <f aca="false">IF(AND(ISNUMBER(G133),ISNUMBER(F133)),IFERROR(G133/F133-1,""),"")</f>
        <v>0.0622442489248967</v>
      </c>
      <c r="H219" s="26" t="n">
        <f aca="false">IF(AND(ISNUMBER(H133),ISNUMBER(G133)),IFERROR(H133/G133-1,""),"")</f>
        <v>0.112181517706668</v>
      </c>
      <c r="I219" s="26" t="n">
        <f aca="false">IF(AND(ISNUMBER(I133),ISNUMBER(H133)),IFERROR(I133/H133-1,""),"")</f>
        <v>0.0520090551726073</v>
      </c>
      <c r="N219" s="26" t="n">
        <f aca="false">IF(AND(ISNUMBER(N133),ISNUMBER(I133)),IFERROR(N133/I133-1,""),"")</f>
        <v>0.0690067543059363</v>
      </c>
      <c r="O219" s="26" t="n">
        <f aca="false">IF(AND(ISNUMBER(O133),ISNUMBER(J133)),IFERROR(O133/J133-1,""),"")</f>
        <v>0.00332000649518771</v>
      </c>
      <c r="P219" s="26" t="n">
        <f aca="false">IF(AND(ISNUMBER(P133),ISNUMBER(K133)),IFERROR(P133/K133-1,""),"")</f>
        <v>0.102485812586488</v>
      </c>
      <c r="Q219" s="26" t="n">
        <f aca="false">IF(AND(ISNUMBER(Q133),ISNUMBER(L133)),IFERROR(Q133/L133-1,""),"")</f>
        <v>0.138694512913711</v>
      </c>
      <c r="R219" s="26" t="n">
        <f aca="false">IF(AND(ISNUMBER(R133),ISNUMBER(M133)),IFERROR(R133/M133-1,""),"")</f>
        <v>0.129033782187575</v>
      </c>
      <c r="S219" s="26" t="n">
        <f aca="false">IF(AND(ISNUMBER(S133),ISNUMBER(N133)),IFERROR(S133/N133-1,""),"")</f>
        <v>0.0934357971673574</v>
      </c>
      <c r="T219" s="26" t="n">
        <f aca="false">IF(AND(ISNUMBER(T133),ISNUMBER(O133)),IFERROR(T133/O133-1,""),"")</f>
        <v>0.148446641223877</v>
      </c>
      <c r="U219" s="26" t="n">
        <f aca="false">IF(AND(ISNUMBER(U133),ISNUMBER(P133)),IFERROR(U133/P133-1,""),"")</f>
        <v>0.120876252550204</v>
      </c>
      <c r="V219" s="26" t="n">
        <f aca="false">IF(AND(ISNUMBER(V133),ISNUMBER(Q133)),IFERROR(V133/Q133-1,""),"")</f>
        <v>0.115646632446491</v>
      </c>
      <c r="W219" s="26" t="n">
        <f aca="false">IF(AND(ISNUMBER(W133),ISNUMBER(R133)),IFERROR(W133/R133-1,""),"")</f>
        <v>0.137422880099478</v>
      </c>
      <c r="X219" s="26" t="n">
        <f aca="false">IF(AND(ISNUMBER(X133),ISNUMBER(S133)),IFERROR(X133/S133-1,""),"")</f>
        <v>0.129916937795993</v>
      </c>
      <c r="Y219" s="26" t="n">
        <f aca="false">IF(AND(ISNUMBER(Y133),ISNUMBER(T133)),IFERROR(Y133/T133-1,""),"")</f>
        <v>0.0727942716764123</v>
      </c>
      <c r="Z219" s="26" t="n">
        <f aca="false">IF(AND(ISNUMBER(Z133),ISNUMBER(U133)),IFERROR(Z133/U133-1,""),"")</f>
        <v>0.0174600782852576</v>
      </c>
      <c r="AA219" s="26" t="n">
        <f aca="false">IF(AND(ISNUMBER(AA133),ISNUMBER(V133)),IFERROR(AA133/V133-1,""),"")</f>
        <v>-0.0511625536252819</v>
      </c>
      <c r="AB219" s="26" t="n">
        <f aca="false">IF(AND(ISNUMBER(AB133),ISNUMBER(W133)),IFERROR(AB133/W133-1,""),"")</f>
        <v>-0.0162252508422737</v>
      </c>
      <c r="AC219" s="26" t="n">
        <f aca="false">IF(AND(ISNUMBER(AC133),ISNUMBER(X133)),IFERROR(AC133/X133-1,""),"")</f>
        <v>0.00398857384680595</v>
      </c>
      <c r="AD219" s="26" t="n">
        <f aca="false">IF(AND(ISNUMBER(AD133),ISNUMBER(Y133)),IFERROR(AD133/Y133-1,""),"")</f>
        <v>0.00928577134387054</v>
      </c>
      <c r="AE219" s="26" t="n">
        <f aca="false">IF(AND(ISNUMBER(AE133),ISNUMBER(Z133)),IFERROR(AE133/Z133-1,""),"")</f>
        <v>-0.034374763343235</v>
      </c>
      <c r="AF219" s="26" t="n">
        <f aca="false">IF(AND(ISNUMBER(AF133),ISNUMBER(AA133)),IFERROR(AF133/AA133-1,""),"")</f>
        <v>0.0633597272509141</v>
      </c>
      <c r="AG219" s="26" t="n">
        <f aca="false">IF(AND(ISNUMBER(AG133),ISNUMBER(AB133)),IFERROR(AG133/AB133-1,""),"")</f>
        <v>0.125255558167532</v>
      </c>
      <c r="AH219" s="26" t="n">
        <f aca="false">IF(AND(ISNUMBER(AH133),ISNUMBER(AC133)),IFERROR(AH133/AC133-1,""),"")</f>
        <v>0.0397457243116199</v>
      </c>
      <c r="AI219" s="26" t="n">
        <f aca="false">IF(AND(ISNUMBER(AI133),ISNUMBER(AD133)),IFERROR(AI133/AD133-1,""),"")</f>
        <v>0.100883626527088</v>
      </c>
      <c r="AJ219" s="26" t="n">
        <f aca="false">IF(AND(ISNUMBER(AJ133),ISNUMBER(AE133)),IFERROR(AJ133/AE133-1,""),"")</f>
        <v>0.170261193574642</v>
      </c>
      <c r="AK219" s="26" t="n">
        <f aca="false">IF(AND(ISNUMBER(AK133),ISNUMBER(AF133)),IFERROR(AK133/AF133-1,""),"")</f>
        <v>0.16872724578426</v>
      </c>
      <c r="AL219" s="26" t="n">
        <f aca="false">IF(AND(ISNUMBER(AL133),ISNUMBER(AG133)),IFERROR(AL133/AG133-1,""),"")</f>
        <v>0.12967338715421</v>
      </c>
      <c r="AM219" s="26" t="n">
        <f aca="false">IF(AND(ISNUMBER(AM133),ISNUMBER(AH133)),IFERROR(AM133/AH133-1,""),"")</f>
        <v>0.142389307658201</v>
      </c>
      <c r="AN219" s="26" t="n">
        <f aca="false">IF(AND(ISNUMBER(AN133),ISNUMBER(AI133)),IFERROR(AN133/AI133-1,""),"")</f>
        <v>0.0844749770339897</v>
      </c>
      <c r="AO219" s="26" t="n">
        <f aca="false">IF(AND(ISNUMBER(AO133),ISNUMBER(AJ133)),IFERROR(AO133/AJ133-1,""),"")</f>
        <v>0.0353441561439376</v>
      </c>
      <c r="AP219" s="26" t="n">
        <f aca="false">IF(AND(ISNUMBER(AP133),ISNUMBER(AK133)),IFERROR(AP133/AK133-1,""),"")</f>
        <v>-0.0873330797471051</v>
      </c>
      <c r="AQ219" s="26" t="n">
        <f aca="false">IF(AND(ISNUMBER(AQ133),ISNUMBER(AL133)),IFERROR(AQ133/AL133-1,""),"")</f>
        <v>-0.189021033003028</v>
      </c>
      <c r="AR219" s="26" t="n">
        <f aca="false">IF(AND(ISNUMBER(AR133),ISNUMBER(AM133)),IFERROR(AR133/AM133-1,""),"")</f>
        <v>-0.0439610606841917</v>
      </c>
      <c r="AS219" s="26" t="n">
        <f aca="false">IF(AND(ISNUMBER(AS133),ISNUMBER(AN133)),IFERROR(AS133/AN133-1,""),"")</f>
        <v>-0.163298467884502</v>
      </c>
      <c r="AT219" s="26" t="n">
        <f aca="false">IF(AND(ISNUMBER(AT133),ISNUMBER(AO133)),IFERROR(AT133/AO133-1,""),"")</f>
        <v>-0.116169650871096</v>
      </c>
      <c r="AU219" s="26" t="n">
        <f aca="false">IF(AND(ISNUMBER(AU133),ISNUMBER(AP133)),IFERROR(AU133/AP133-1,""),"")</f>
        <v>-0.0697124075076842</v>
      </c>
      <c r="AV219" s="26" t="n">
        <f aca="false">IF(AND(ISNUMBER(AV133),ISNUMBER(AQ133)),IFERROR(AV133/AQ133-1,""),"")</f>
        <v>0.106614172956296</v>
      </c>
      <c r="AW219" s="26" t="n">
        <f aca="false">IF(AND(ISNUMBER(AW133),ISNUMBER(AR133)),IFERROR(AW133/AR133-1,""),"")</f>
        <v>-0.0672978103939589</v>
      </c>
      <c r="AX219" s="26" t="n">
        <f aca="false">IF(AND(ISNUMBER(AX133),ISNUMBER(AS133)),IFERROR(AX133/AS133-1,""),"")</f>
        <v>0.236686838523611</v>
      </c>
      <c r="AY219" s="26" t="n">
        <f aca="false">IF(AND(ISNUMBER(AY133),ISNUMBER(AT133)),IFERROR(AY133/AT133-1,""),"")</f>
        <v>0.21925680239172</v>
      </c>
      <c r="AZ219" s="26" t="n">
        <f aca="false">IF(AND(ISNUMBER(AZ133),ISNUMBER(AU133)),IFERROR(AZ133/AU133-1,""),"")</f>
        <v>0.432599151836244</v>
      </c>
      <c r="BA219" s="26" t="n">
        <f aca="false">IF(AND(ISNUMBER(BA133),ISNUMBER(AV133)),IFERROR(BA133/AV133-1,""),"")</f>
        <v>0.336825491977558</v>
      </c>
      <c r="BB219" s="26" t="n">
        <f aca="false">IF(AND(ISNUMBER(BB133),ISNUMBER(AW133)),IFERROR(BB133/AW133-1,""),"")</f>
        <v>0.306697006164766</v>
      </c>
      <c r="BC219" s="26" t="n">
        <f aca="false">IF(AND(ISNUMBER(BC133),ISNUMBER(AX133)),IFERROR(BC133/AX133-1,""),"")</f>
        <v>0.2901791053276</v>
      </c>
      <c r="BD219" s="26" t="n">
        <f aca="false">IF(AND(ISNUMBER(BD133),ISNUMBER(AY133)),IFERROR(BD133/AY133-1,""),"")</f>
        <v>0.376996860550793</v>
      </c>
      <c r="BE219" s="26" t="n">
        <f aca="false">IF(AND(ISNUMBER(BE133),ISNUMBER(AZ133)),IFERROR(BE133/AZ133-1,""),"")</f>
        <v>0.0509386490277111</v>
      </c>
      <c r="BF219" s="26" t="n">
        <f aca="false">IF(AND(ISNUMBER(BF133),ISNUMBER(BA133)),IFERROR(BF133/BA133-1,""),"")</f>
        <v>-0.102957817037839</v>
      </c>
      <c r="BG219" s="26" t="n">
        <f aca="false">IF(AND(ISNUMBER(BG133),ISNUMBER(BB133)),IFERROR(BG133/BB133-1,""),"")</f>
        <v>0.139935135080259</v>
      </c>
      <c r="BH219" s="26" t="n">
        <f aca="false">IF(AND(ISNUMBER(BH133),ISNUMBER(BC133)),IFERROR(BH133/BC133-1,""),"")</f>
        <v>-0.243386640417746</v>
      </c>
      <c r="BI219" s="26" t="n">
        <f aca="false">IF(AND(ISNUMBER(BI133),ISNUMBER(BD133)),IFERROR(BI133/BD133-1,""),"")</f>
        <v>-0.354897621491781</v>
      </c>
      <c r="BJ219" s="26" t="n">
        <f aca="false">IF(AND(ISNUMBER(BJ133),ISNUMBER(BE133)),IFERROR(BJ133/BE133-1,""),"")</f>
        <v>-0.284430462784916</v>
      </c>
      <c r="BK219" s="26" t="n">
        <f aca="false">IF(AND(ISNUMBER(BK133),ISNUMBER(BF133)),IFERROR(BK133/BF133-1,""),"")</f>
        <v>-0.194683756544742</v>
      </c>
      <c r="BL219" s="26" t="n">
        <f aca="false">IF(AND(ISNUMBER(BL133),ISNUMBER(BG133)),IFERROR(BL133/BG133-1,""),"")</f>
        <v>-0.275123936282571</v>
      </c>
      <c r="BM219" s="26" t="n">
        <f aca="false">IF(AND(ISNUMBER(BM133),ISNUMBER(BH133)),IFERROR(BM133/BH133-1,""),"")</f>
        <v>-0.0407079516947684</v>
      </c>
      <c r="BN219" s="26" t="n">
        <f aca="false">IF(AND(ISNUMBER(BN133),ISNUMBER(BI133)),IFERROR(BN133/BI133-1,""),"")</f>
        <v>0.0329273203745786</v>
      </c>
      <c r="BO219" s="26" t="n">
        <f aca="false">IF(AND(ISNUMBER(BO133),ISNUMBER(BJ133)),IFERROR(BO133/BJ133-1,""),"")</f>
        <v>0.158154143741268</v>
      </c>
      <c r="BP219" s="26" t="n">
        <f aca="false">IF(AND(ISNUMBER(BP133),ISNUMBER(BK133)),IFERROR(BP133/BK133-1,""),"")</f>
        <v>0.106688564764001</v>
      </c>
      <c r="BQ219" s="26" t="n">
        <f aca="false">IF(AND(ISNUMBER(BQ133),ISNUMBER(BL133)),IFERROR(BQ133/BL133-1,""),"")</f>
        <v>0.0615854669877383</v>
      </c>
      <c r="BR219" s="26" t="n">
        <f aca="false">IF(AND(ISNUMBER(BR133),ISNUMBER(BM133)),IFERROR(BR133/BM133-1,""),"")</f>
        <v>0.0233515627256824</v>
      </c>
      <c r="BS219" s="26" t="n">
        <f aca="false">IF(AND(ISNUMBER(BS133),ISNUMBER(BN133)),IFERROR(BS133/BN133-1,""),"")</f>
        <v>0.00846948468815456</v>
      </c>
      <c r="BT219" s="26" t="n">
        <f aca="false">IF(AND(ISNUMBER(BT133),ISNUMBER(BO133)),IFERROR(BT133/BO133-1,""),"")</f>
        <v>-0.0396815789938979</v>
      </c>
      <c r="BU219" s="26" t="n">
        <f aca="false">IF(AND(ISNUMBER(BU133),ISNUMBER(BP133)),IFERROR(BU133/BP133-1,""),"")</f>
        <v>-0.0403273042243686</v>
      </c>
      <c r="BV219" s="26" t="n">
        <f aca="false">IF(AND(ISNUMBER(BV133),ISNUMBER(BQ133)),IFERROR(BV133/BQ133-1,""),"")</f>
        <v>-0.0128766074963813</v>
      </c>
      <c r="BW219" s="26" t="n">
        <f aca="false">IF(AND(ISNUMBER(BW133),ISNUMBER(BR133)),IFERROR(BW133/BR133-1,""),"")</f>
        <v>-0.0187122634781772</v>
      </c>
      <c r="BX219" s="26" t="n">
        <f aca="false">IF(AND(ISNUMBER(BX133),ISNUMBER(BS133)),IFERROR(BX133/BS133-1,""),"")</f>
        <v>0.0645311591662816</v>
      </c>
      <c r="BY219" s="27" t="n">
        <f aca="false">IFERROR(BY133/BT133-1,"")</f>
        <v>0.0794683724201539</v>
      </c>
      <c r="BZ219" s="27" t="n">
        <f aca="false">IFERROR(BZ133/BU133-1,"")</f>
        <v>0.0795265147140094</v>
      </c>
      <c r="CA219" s="27" t="n">
        <f aca="false">IFERROR(CA133/BV133-1,"")</f>
        <v>0.0514766281106966</v>
      </c>
      <c r="CB219" s="27" t="n">
        <f aca="false">IFERROR(CB133/CA133-1,"")</f>
        <v>0.055992855297635</v>
      </c>
      <c r="CC219" s="27" t="n">
        <f aca="false">IFERROR(CC133/CB133-1,"")</f>
        <v>0.0621985585693958</v>
      </c>
      <c r="CD219" s="27" t="n">
        <f aca="false">IFERROR(CD133/CC133-1,"")</f>
        <v>0.0586122010896153</v>
      </c>
      <c r="CE219" s="27" t="n">
        <f aca="false">IFERROR(CE133/CD133-1,"")</f>
        <v>0.0598982226007081</v>
      </c>
    </row>
    <row r="220" customFormat="false" ht="15" hidden="false" customHeight="false" outlineLevel="0" collapsed="false">
      <c r="B220" s="25" t="s">
        <v>335</v>
      </c>
      <c r="C220" s="26" t="n">
        <f aca="false">C11</f>
        <v>0</v>
      </c>
      <c r="D220" s="26" t="n">
        <f aca="false">D11</f>
        <v>0</v>
      </c>
      <c r="E220" s="26" t="n">
        <f aca="false">E11</f>
        <v>0</v>
      </c>
      <c r="F220" s="26" t="n">
        <f aca="false">F11</f>
        <v>0</v>
      </c>
      <c r="G220" s="26" t="n">
        <f aca="false">G11</f>
        <v>0</v>
      </c>
      <c r="H220" s="26" t="n">
        <f aca="false">H11</f>
        <v>0</v>
      </c>
      <c r="I220" s="26" t="n">
        <f aca="false">I11</f>
        <v>0</v>
      </c>
      <c r="J220" s="26" t="n">
        <f aca="false">J11</f>
        <v>0.095364588269463</v>
      </c>
      <c r="K220" s="26" t="n">
        <f aca="false">K11</f>
        <v>0.0881322335915532</v>
      </c>
      <c r="L220" s="26" t="n">
        <f aca="false">L11</f>
        <v>0.114967257489792</v>
      </c>
      <c r="M220" s="26" t="n">
        <f aca="false">M11</f>
        <v>0.0643955028638921</v>
      </c>
      <c r="N220" s="26" t="n">
        <f aca="false">N11</f>
        <v>0.090714895553675</v>
      </c>
      <c r="O220" s="26" t="n">
        <f aca="false">O11</f>
        <v>0.0327099931813016</v>
      </c>
      <c r="P220" s="26" t="n">
        <f aca="false">P11</f>
        <v>0.0472265288775316</v>
      </c>
      <c r="Q220" s="26" t="n">
        <f aca="false">Q11</f>
        <v>0.0208649132529093</v>
      </c>
      <c r="R220" s="26" t="n">
        <f aca="false">R11</f>
        <v>0.0317679536442677</v>
      </c>
      <c r="S220" s="26" t="n">
        <f aca="false">S11</f>
        <v>0.0331423472390026</v>
      </c>
      <c r="T220" s="26" t="n">
        <f aca="false">T11</f>
        <v>0.108941758957655</v>
      </c>
      <c r="U220" s="26" t="n">
        <f aca="false">U11</f>
        <v>0.125850540990917</v>
      </c>
      <c r="V220" s="26" t="n">
        <f aca="false">V11</f>
        <v>0.123650562194552</v>
      </c>
      <c r="W220" s="26" t="n">
        <f aca="false">W11</f>
        <v>0.114835267925902</v>
      </c>
      <c r="X220" s="26" t="n">
        <f aca="false">X11</f>
        <v>0.118319532517257</v>
      </c>
      <c r="Y220" s="26" t="n">
        <f aca="false">Y11</f>
        <v>0.0454742515927037</v>
      </c>
      <c r="Z220" s="26" t="n">
        <f aca="false">Z11</f>
        <v>0.0392920902034373</v>
      </c>
      <c r="AA220" s="26" t="n">
        <f aca="false">AA11</f>
        <v>0.0678641293893073</v>
      </c>
      <c r="AB220" s="26" t="n">
        <f aca="false">AB11</f>
        <v>0.087942507013367</v>
      </c>
      <c r="AC220" s="26" t="n">
        <f aca="false">AC11</f>
        <v>0.0601432445497038</v>
      </c>
      <c r="AD220" s="26" t="n">
        <f aca="false">AD11</f>
        <v>0.103925064406527</v>
      </c>
      <c r="AE220" s="26" t="n">
        <f aca="false">AE11</f>
        <v>0.0760169614814084</v>
      </c>
      <c r="AF220" s="26" t="n">
        <f aca="false">AF11</f>
        <v>0.0164349272142866</v>
      </c>
      <c r="AG220" s="26" t="n">
        <f aca="false">AG11</f>
        <v>0.000595789379581619</v>
      </c>
      <c r="AH220" s="26" t="n">
        <f aca="false">AH11</f>
        <v>0.0492431856204508</v>
      </c>
      <c r="AI220" s="26" t="n">
        <f aca="false">AI11</f>
        <v>0.01</v>
      </c>
      <c r="AJ220" s="26" t="n">
        <f aca="false">AJ11</f>
        <v>-0.0178310838827608</v>
      </c>
      <c r="AK220" s="26" t="n">
        <f aca="false">AK11</f>
        <v>0.00723253549566231</v>
      </c>
      <c r="AL220" s="26" t="n">
        <f aca="false">AL11</f>
        <v>-0.00699431899044132</v>
      </c>
      <c r="AM220" s="26" t="n">
        <f aca="false">AM11</f>
        <v>-0.00189821684438496</v>
      </c>
      <c r="AN220" s="26" t="n">
        <f aca="false">AN11</f>
        <v>0.0061758784513842</v>
      </c>
      <c r="AO220" s="26" t="n">
        <f aca="false">AO11</f>
        <v>-0.0100721565232167</v>
      </c>
      <c r="AP220" s="26" t="n">
        <f aca="false">AP11</f>
        <v>-0.0174880286002897</v>
      </c>
      <c r="AQ220" s="26" t="n">
        <f aca="false">AQ11</f>
        <v>0.0129374615651311</v>
      </c>
      <c r="AR220" s="26" t="n">
        <f aca="false">AR11</f>
        <v>-0.00211171127674778</v>
      </c>
      <c r="AS220" s="26" t="n">
        <f aca="false">AS11</f>
        <v>0.075</v>
      </c>
      <c r="AT220" s="26" t="n">
        <f aca="false">AT11</f>
        <v>-0.0380606090490551</v>
      </c>
      <c r="AU220" s="26" t="n">
        <f aca="false">AU11</f>
        <v>0.046697927403668</v>
      </c>
      <c r="AV220" s="26" t="n">
        <f aca="false">AV11</f>
        <v>0.0350554666100113</v>
      </c>
      <c r="AW220" s="26" t="n">
        <f aca="false">AW11</f>
        <v>0.029673196241156</v>
      </c>
      <c r="AX220" s="26" t="n">
        <f aca="false">AX11</f>
        <v>-0.00300905412072794</v>
      </c>
      <c r="AY220" s="26" t="n">
        <f aca="false">AY11</f>
        <v>0.16</v>
      </c>
      <c r="AZ220" s="26" t="n">
        <f aca="false">AZ11</f>
        <v>0.025</v>
      </c>
      <c r="BA220" s="26" t="n">
        <f aca="false">BA11</f>
        <v>0</v>
      </c>
      <c r="BB220" s="26" t="n">
        <f aca="false">BB11</f>
        <v>0.045497736469818</v>
      </c>
      <c r="BC220" s="26" t="n">
        <f aca="false">BC11</f>
        <v>0.01</v>
      </c>
      <c r="BD220" s="26" t="n">
        <f aca="false">BD11</f>
        <v>0.00113728428744808</v>
      </c>
      <c r="BE220" s="26" t="n">
        <f aca="false">BE11</f>
        <v>-0.000784696404233001</v>
      </c>
      <c r="BF220" s="26" t="n">
        <f aca="false">BF11</f>
        <v>-0.02</v>
      </c>
      <c r="BG220" s="26" t="n">
        <f aca="false">BG11</f>
        <v>-0.00241185302919623</v>
      </c>
      <c r="BH220" s="26" t="n">
        <f aca="false">BH11</f>
        <v>-0.045</v>
      </c>
      <c r="BI220" s="26" t="n">
        <f aca="false">BI11</f>
        <v>-0.025</v>
      </c>
      <c r="BJ220" s="26" t="n">
        <f aca="false">BJ11</f>
        <v>-0.035</v>
      </c>
      <c r="BK220" s="26" t="n">
        <f aca="false">BK11</f>
        <v>-0.01</v>
      </c>
      <c r="BL220" s="26" t="n">
        <f aca="false">BL11</f>
        <v>-0.02875</v>
      </c>
      <c r="BM220" s="26" t="n">
        <f aca="false">BM11</f>
        <v>0.015</v>
      </c>
      <c r="BN220" s="26" t="n">
        <f aca="false">BN11</f>
        <v>0.015</v>
      </c>
      <c r="BO220" s="26" t="n">
        <f aca="false">BO11</f>
        <v>-0.0146739768018316</v>
      </c>
      <c r="BP220" s="26" t="n">
        <f aca="false">BP11</f>
        <v>-0.01</v>
      </c>
      <c r="BQ220" s="26" t="n">
        <f aca="false">BQ11</f>
        <v>0.00133150579954209</v>
      </c>
      <c r="BR220" s="26" t="n">
        <f aca="false">BR11</f>
        <v>-0.01</v>
      </c>
      <c r="BS220" s="26" t="n">
        <f aca="false">BS11</f>
        <v>0.01</v>
      </c>
      <c r="BT220" s="26" t="n">
        <f aca="false">BT11</f>
        <v>0.03</v>
      </c>
      <c r="BU220" s="26" t="n">
        <f aca="false">BU11</f>
        <v>0.01</v>
      </c>
      <c r="BV220" s="26" t="n">
        <f aca="false">BV11</f>
        <v>0.01</v>
      </c>
      <c r="BW220" s="26" t="n">
        <f aca="false">BW11</f>
        <v>0</v>
      </c>
      <c r="BX220" s="26" t="n">
        <f aca="false">BX11</f>
        <v>0.015</v>
      </c>
      <c r="BY220" s="27" t="n">
        <f aca="false">BY11</f>
        <v>0.015</v>
      </c>
      <c r="BZ220" s="27" t="n">
        <f aca="false">BZ11</f>
        <v>0.015</v>
      </c>
      <c r="CA220" s="27" t="n">
        <f aca="false">CA11</f>
        <v>0.01125</v>
      </c>
      <c r="CB220" s="27" t="n">
        <f aca="false">CB11</f>
        <v>0.03</v>
      </c>
      <c r="CC220" s="27" t="n">
        <f aca="false">CC11</f>
        <v>0.035</v>
      </c>
      <c r="CD220" s="27" t="n">
        <f aca="false">CD11</f>
        <v>0.03</v>
      </c>
      <c r="CE220" s="27" t="n">
        <f aca="false">CE11</f>
        <v>0.03</v>
      </c>
    </row>
    <row r="221" customFormat="false" ht="15" hidden="false" customHeight="false" outlineLevel="0" collapsed="false">
      <c r="B221" s="25" t="s">
        <v>336</v>
      </c>
      <c r="C221" s="26" t="n">
        <f aca="false">C12</f>
        <v>0</v>
      </c>
      <c r="D221" s="26" t="n">
        <f aca="false">D12</f>
        <v>0</v>
      </c>
      <c r="E221" s="26" t="n">
        <f aca="false">E12</f>
        <v>0</v>
      </c>
      <c r="F221" s="26" t="n">
        <f aca="false">F12</f>
        <v>0</v>
      </c>
      <c r="G221" s="26" t="n">
        <f aca="false">G12</f>
        <v>0</v>
      </c>
      <c r="H221" s="26" t="n">
        <f aca="false">H12</f>
        <v>0</v>
      </c>
      <c r="I221" s="26" t="n">
        <f aca="false">I12</f>
        <v>0</v>
      </c>
      <c r="J221" s="26" t="n">
        <f aca="false">J12</f>
        <v>0</v>
      </c>
      <c r="K221" s="26" t="n">
        <f aca="false">K12</f>
        <v>0</v>
      </c>
      <c r="L221" s="26" t="n">
        <f aca="false">L12</f>
        <v>0</v>
      </c>
      <c r="M221" s="26" t="n">
        <f aca="false">M12</f>
        <v>0</v>
      </c>
      <c r="N221" s="26" t="n">
        <f aca="false">N12</f>
        <v>0</v>
      </c>
      <c r="O221" s="26" t="n">
        <f aca="false">O12</f>
        <v>0</v>
      </c>
      <c r="P221" s="26" t="n">
        <f aca="false">P12</f>
        <v>0</v>
      </c>
      <c r="Q221" s="26" t="n">
        <f aca="false">Q12</f>
        <v>0</v>
      </c>
      <c r="R221" s="26" t="n">
        <f aca="false">R12</f>
        <v>0</v>
      </c>
      <c r="S221" s="26" t="n">
        <f aca="false">S12</f>
        <v>0</v>
      </c>
      <c r="T221" s="26" t="str">
        <f aca="false">T12</f>
        <v/>
      </c>
      <c r="U221" s="26" t="str">
        <f aca="false">U12</f>
        <v/>
      </c>
      <c r="V221" s="26" t="str">
        <f aca="false">V12</f>
        <v/>
      </c>
      <c r="W221" s="26" t="str">
        <f aca="false">W12</f>
        <v/>
      </c>
      <c r="X221" s="26" t="n">
        <f aca="false">X12</f>
        <v>0.0355292550686972</v>
      </c>
      <c r="Y221" s="26" t="n">
        <f aca="false">Y12</f>
        <v>0.0254049779731664</v>
      </c>
      <c r="Z221" s="26" t="n">
        <f aca="false">Z12</f>
        <v>-0.0352642697047247</v>
      </c>
      <c r="AA221" s="26" t="n">
        <f aca="false">AA12</f>
        <v>-0.137478798027896</v>
      </c>
      <c r="AB221" s="26" t="n">
        <f aca="false">AB12</f>
        <v>-0.161603742643051</v>
      </c>
      <c r="AC221" s="26" t="n">
        <f aca="false">AC12</f>
        <v>-0.0811803786929028</v>
      </c>
      <c r="AD221" s="26" t="n">
        <f aca="false">AD12</f>
        <v>-0.120949112604523</v>
      </c>
      <c r="AE221" s="26" t="n">
        <f aca="false">AE12</f>
        <v>-0.162130901941741</v>
      </c>
      <c r="AF221" s="26" t="n">
        <f aca="false">AF12</f>
        <v>-0.0179126781850366</v>
      </c>
      <c r="AG221" s="26" t="n">
        <f aca="false">AG12</f>
        <v>0.142552754116845</v>
      </c>
      <c r="AH221" s="26" t="n">
        <f aca="false">AH12</f>
        <v>-0.0464888135901055</v>
      </c>
      <c r="AI221" s="26" t="n">
        <f aca="false">AI12</f>
        <v>0.102626936520309</v>
      </c>
      <c r="AJ221" s="26" t="n">
        <f aca="false">AJ12</f>
        <v>0.235720588912766</v>
      </c>
      <c r="AK221" s="26" t="n">
        <f aca="false">AK12</f>
        <v>0.224630625643753</v>
      </c>
      <c r="AL221" s="26" t="n">
        <f aca="false">AL12</f>
        <v>0.143022292155039</v>
      </c>
      <c r="AM221" s="26" t="n">
        <f aca="false">AM12</f>
        <v>0.17496669887325</v>
      </c>
      <c r="AN221" s="26" t="n">
        <f aca="false">AN12</f>
        <v>0.165862371988096</v>
      </c>
      <c r="AO221" s="26" t="n">
        <f aca="false">AO12</f>
        <v>0.124891261499944</v>
      </c>
      <c r="AP221" s="26" t="n">
        <f aca="false">AP12</f>
        <v>-0.0516439055283092</v>
      </c>
      <c r="AQ221" s="26" t="n">
        <f aca="false">AQ12</f>
        <v>-0.181891057917552</v>
      </c>
      <c r="AR221" s="26" t="n">
        <f aca="false">AR12</f>
        <v>0.00708670426174129</v>
      </c>
      <c r="AS221" s="26" t="n">
        <f aca="false">AS12</f>
        <v>-0.287287570531005</v>
      </c>
      <c r="AT221" s="26" t="n">
        <f aca="false">AT12</f>
        <v>-0.18881760966173</v>
      </c>
      <c r="AU221" s="26" t="n">
        <f aca="false">AU12</f>
        <v>-0.189580876431058</v>
      </c>
      <c r="AV221" s="26" t="n">
        <f aca="false">AV12</f>
        <v>-0.0186011614744881</v>
      </c>
      <c r="AW221" s="26" t="n">
        <f aca="false">AW12</f>
        <v>-0.180262170747011</v>
      </c>
      <c r="AX221" s="26" t="n">
        <f aca="false">AX12</f>
        <v>0.133057640616045</v>
      </c>
      <c r="AY221" s="26" t="n">
        <f aca="false">AY12</f>
        <v>-0.00837857373097617</v>
      </c>
      <c r="AZ221" s="26" t="n">
        <f aca="false">AZ12</f>
        <v>0.220096193319445</v>
      </c>
      <c r="BA221" s="26" t="n">
        <f aca="false">BA12</f>
        <v>0.197286386065008</v>
      </c>
      <c r="BB221" s="26" t="n">
        <f aca="false">BB12</f>
        <v>0.130405277391699</v>
      </c>
      <c r="BC221" s="26" t="n">
        <f aca="false">BC12</f>
        <v>0.189930157847609</v>
      </c>
      <c r="BD221" s="26" t="n">
        <f aca="false">BD12</f>
        <v>0.428875928426524</v>
      </c>
      <c r="BE221" s="26" t="n">
        <f aca="false">BE12</f>
        <v>0.226189232303547</v>
      </c>
      <c r="BF221" s="26" t="n">
        <f aca="false">BF12</f>
        <v>0.0787546338257468</v>
      </c>
      <c r="BG221" s="26" t="n">
        <f aca="false">BG12</f>
        <v>0.228149837945935</v>
      </c>
      <c r="BH221" s="26" t="n">
        <f aca="false">BH12</f>
        <v>-0.117251210623069</v>
      </c>
      <c r="BI221" s="26" t="n">
        <f aca="false">BI12</f>
        <v>-0.342244186172064</v>
      </c>
      <c r="BJ221" s="26" t="n">
        <f aca="false">BJ12</f>
        <v>-0.289574790817585</v>
      </c>
      <c r="BK221" s="26" t="n">
        <f aca="false">BK12</f>
        <v>-0.235470906457993</v>
      </c>
      <c r="BL221" s="26" t="n">
        <f aca="false">BL12</f>
        <v>-0.252956374899067</v>
      </c>
      <c r="BM221" s="26" t="n">
        <f aca="false">BM12</f>
        <v>-0.0830029431031046</v>
      </c>
      <c r="BN221" s="26" t="n">
        <f aca="false">BN12</f>
        <v>0.0322650185597984</v>
      </c>
      <c r="BO221" s="26" t="n">
        <f aca="false">BO12</f>
        <v>0.104573600845868</v>
      </c>
      <c r="BP221" s="26" t="n">
        <f aca="false">BP12</f>
        <v>0.0728262908283268</v>
      </c>
      <c r="BQ221" s="26" t="n">
        <f aca="false">BQ12</f>
        <v>0.0283329873109144</v>
      </c>
      <c r="BR221" s="26" t="n">
        <f aca="false">BR12</f>
        <v>0.0640615823058974</v>
      </c>
      <c r="BS221" s="26" t="n">
        <f aca="false">BS12</f>
        <v>0.0198050237019356</v>
      </c>
      <c r="BT221" s="26" t="n">
        <f aca="false">BT12</f>
        <v>0.0250530414329708</v>
      </c>
      <c r="BU221" s="26" t="n">
        <f aca="false">BU12</f>
        <v>0.00935837335033751</v>
      </c>
      <c r="BV221" s="26" t="n">
        <f aca="false">BV12</f>
        <v>0.0293930053804372</v>
      </c>
      <c r="BW221" s="26" t="n">
        <f aca="false">BW12</f>
        <v>0.0304859391285224</v>
      </c>
      <c r="BX221" s="26" t="n">
        <f aca="false">BX12</f>
        <v>0.0698770537949707</v>
      </c>
      <c r="BY221" s="27" t="n">
        <f aca="false">BY12</f>
        <v>0.0847156721156408</v>
      </c>
      <c r="BZ221" s="27" t="n">
        <f aca="false">BZ12</f>
        <v>0.0847156721156408</v>
      </c>
      <c r="CA221" s="27" t="n">
        <f aca="false">CA12</f>
        <v>0.0678736094547692</v>
      </c>
      <c r="CB221" s="27" t="n">
        <f aca="false">CB12</f>
        <v>0.04</v>
      </c>
      <c r="CC221" s="27" t="n">
        <f aca="false">CC12</f>
        <v>0.03</v>
      </c>
      <c r="CD221" s="27" t="n">
        <f aca="false">CD12</f>
        <v>0.02</v>
      </c>
      <c r="CE221" s="27" t="n">
        <f aca="false">CE12</f>
        <v>0.02</v>
      </c>
    </row>
    <row r="222" customFormat="false" ht="15" hidden="false" customHeight="false" outlineLevel="0" collapsed="false">
      <c r="B222" s="25" t="s">
        <v>337</v>
      </c>
      <c r="D222" s="26" t="n">
        <f aca="false">IF(AND(ISNUMBER(D181),ISNUMBER(C181)),IFERROR(D181/C181-1,""),"")</f>
        <v>0.219792028144404</v>
      </c>
      <c r="E222" s="26" t="n">
        <f aca="false">IF(AND(ISNUMBER(E181),ISNUMBER(D181)),IFERROR(E181/D181-1,""),"")</f>
        <v>0.121451723028389</v>
      </c>
      <c r="F222" s="26" t="n">
        <f aca="false">IF(AND(ISNUMBER(F181),ISNUMBER(E181)),IFERROR(F181/E181-1,""),"")</f>
        <v>0.023137375653006</v>
      </c>
      <c r="G222" s="26" t="n">
        <f aca="false">IF(AND(ISNUMBER(G181),ISNUMBER(F181)),IFERROR(G181/F181-1,""),"")</f>
        <v>0.0650620456865572</v>
      </c>
      <c r="H222" s="26" t="n">
        <f aca="false">IF(AND(ISNUMBER(H181),ISNUMBER(G181)),IFERROR(H181/G181-1,""),"")</f>
        <v>0.11217609093536</v>
      </c>
      <c r="I222" s="26" t="n">
        <f aca="false">IF(AND(ISNUMBER(I181),ISNUMBER(H181)),IFERROR(I181/H181-1,""),"")</f>
        <v>-0.025132446985119</v>
      </c>
      <c r="N222" s="26" t="n">
        <f aca="false">IF(AND(ISNUMBER(N181),ISNUMBER(I181)),IFERROR(N181/I181-1,""),"")</f>
        <v>0.0108541136054039</v>
      </c>
      <c r="O222" s="26" t="n">
        <f aca="false">IF(AND(ISNUMBER(O181),ISNUMBER(J181)),IFERROR(O181/J181-1,""),"")</f>
        <v>-0.0695588775740048</v>
      </c>
      <c r="P222" s="26" t="n">
        <f aca="false">IF(AND(ISNUMBER(P181),ISNUMBER(K181)),IFERROR(P181/K181-1,""),"")</f>
        <v>0.0981279729937059</v>
      </c>
      <c r="Q222" s="26" t="n">
        <f aca="false">IF(AND(ISNUMBER(Q181),ISNUMBER(L181)),IFERROR(Q181/L181-1,""),"")</f>
        <v>0.152998213830058</v>
      </c>
      <c r="R222" s="26" t="n">
        <f aca="false">IF(AND(ISNUMBER(R181),ISNUMBER(M181)),IFERROR(R181/M181-1,""),"")</f>
        <v>0.210266064095212</v>
      </c>
      <c r="S222" s="26" t="n">
        <f aca="false">IF(AND(ISNUMBER(S181),ISNUMBER(N181)),IFERROR(S181/N181-1,""),"")</f>
        <v>0.0963421958543895</v>
      </c>
      <c r="T222" s="26" t="n">
        <f aca="false">IF(AND(ISNUMBER(T181),ISNUMBER(O181)),IFERROR(T181/O181-1,""),"")</f>
        <v>0.158972039421291</v>
      </c>
      <c r="U222" s="26" t="n">
        <f aca="false">IF(AND(ISNUMBER(U181),ISNUMBER(P181)),IFERROR(U181/P181-1,""),"")</f>
        <v>0.143291313591045</v>
      </c>
      <c r="V222" s="26" t="n">
        <f aca="false">IF(AND(ISNUMBER(V181),ISNUMBER(Q181)),IFERROR(V181/Q181-1,""),"")</f>
        <v>0.144459690071165</v>
      </c>
      <c r="W222" s="26" t="n">
        <f aca="false">IF(AND(ISNUMBER(W181),ISNUMBER(R181)),IFERROR(W181/R181-1,""),"")</f>
        <v>0.143031407142247</v>
      </c>
      <c r="X222" s="26" t="n">
        <f aca="false">IF(AND(ISNUMBER(X181),ISNUMBER(S181)),IFERROR(X181/S181-1,""),"")</f>
        <v>0.146832385110996</v>
      </c>
      <c r="Y222" s="26" t="n">
        <f aca="false">IF(AND(ISNUMBER(Y181),ISNUMBER(T181)),IFERROR(Y181/T181-1,""),"")</f>
        <v>0.0935935138106407</v>
      </c>
      <c r="Z222" s="26" t="n">
        <f aca="false">IF(AND(ISNUMBER(Z181),ISNUMBER(U181)),IFERROR(Z181/U181-1,""),"")</f>
        <v>0.0203059865994444</v>
      </c>
      <c r="AA222" s="26" t="n">
        <f aca="false">IF(AND(ISNUMBER(AA181),ISNUMBER(V181)),IFERROR(AA181/V181-1,""),"")</f>
        <v>-0.0921486307050385</v>
      </c>
      <c r="AB222" s="26" t="n">
        <f aca="false">IF(AND(ISNUMBER(AB181),ISNUMBER(W181)),IFERROR(AB181/W181-1,""),"")</f>
        <v>-0.0979312980300983</v>
      </c>
      <c r="AC222" s="26" t="n">
        <f aca="false">IF(AND(ISNUMBER(AC181),ISNUMBER(X181)),IFERROR(AC181/X181-1,""),"")</f>
        <v>-0.024209201803541</v>
      </c>
      <c r="AD222" s="26" t="n">
        <f aca="false">IF(AND(ISNUMBER(AD181),ISNUMBER(Y181)),IFERROR(AD181/Y181-1,""),"")</f>
        <v>-0.0552595600949004</v>
      </c>
      <c r="AE222" s="26" t="n">
        <f aca="false">IF(AND(ISNUMBER(AE181),ISNUMBER(Z181)),IFERROR(AE181/Z181-1,""),"")</f>
        <v>-0.222150444711592</v>
      </c>
      <c r="AF222" s="26" t="n">
        <f aca="false">IF(AND(ISNUMBER(AF181),ISNUMBER(AA181)),IFERROR(AF181/AA181-1,""),"")</f>
        <v>-0.0795296946517914</v>
      </c>
      <c r="AG222" s="26" t="n">
        <f aca="false">IF(AND(ISNUMBER(AG181),ISNUMBER(AB181)),IFERROR(AG181/AB181-1,""),"")</f>
        <v>0.0894324903779102</v>
      </c>
      <c r="AH222" s="26" t="n">
        <f aca="false">IF(AND(ISNUMBER(AH181),ISNUMBER(AC181)),IFERROR(AH181/AC181-1,""),"")</f>
        <v>-0.0745190327283464</v>
      </c>
      <c r="AI222" s="26" t="n">
        <f aca="false">IF(AND(ISNUMBER(AI181),ISNUMBER(AD181)),IFERROR(AI181/AD181-1,""),"")</f>
        <v>0.0192968641930662</v>
      </c>
      <c r="AJ222" s="26" t="n">
        <f aca="false">IF(AND(ISNUMBER(AJ181),ISNUMBER(AE181)),IFERROR(AJ181/AE181-1,""),"")</f>
        <v>0.204531954680456</v>
      </c>
      <c r="AK222" s="26" t="n">
        <f aca="false">IF(AND(ISNUMBER(AK181),ISNUMBER(AF181)),IFERROR(AK181/AF181-1,""),"")</f>
        <v>0.264870285141285</v>
      </c>
      <c r="AL222" s="26" t="n">
        <f aca="false">IF(AND(ISNUMBER(AL181),ISNUMBER(AG181)),IFERROR(AL181/AG181-1,""),"")</f>
        <v>0.211693127714869</v>
      </c>
      <c r="AM222" s="26" t="n">
        <f aca="false">IF(AND(ISNUMBER(AM181),ISNUMBER(AH181)),IFERROR(AM181/AH181-1,""),"")</f>
        <v>0.176700609841846</v>
      </c>
      <c r="AN222" s="26" t="n">
        <f aca="false">IF(AND(ISNUMBER(AN181),ISNUMBER(AI181)),IFERROR(AN181/AI181-1,""),"")</f>
        <v>0.172064618837592</v>
      </c>
      <c r="AO222" s="26" t="n">
        <f aca="false">IF(AND(ISNUMBER(AO181),ISNUMBER(AJ181)),IFERROR(AO181/AJ181-1,""),"")</f>
        <v>0.0389346507890109</v>
      </c>
      <c r="AP222" s="26" t="n">
        <f aca="false">IF(AND(ISNUMBER(AP181),ISNUMBER(AK181)),IFERROR(AP181/AK181-1,""),"")</f>
        <v>-0.206071398080277</v>
      </c>
      <c r="AQ222" s="26" t="n">
        <f aca="false">IF(AND(ISNUMBER(AQ181),ISNUMBER(AL181)),IFERROR(AQ181/AL181-1,""),"")</f>
        <v>-0.464591397049903</v>
      </c>
      <c r="AR222" s="26" t="n">
        <f aca="false">IF(AND(ISNUMBER(AR181),ISNUMBER(AM181)),IFERROR(AR181/AM181-1,""),"")</f>
        <v>-0.140236140789818</v>
      </c>
      <c r="AS222" s="26" t="n">
        <f aca="false">IF(AND(ISNUMBER(AS181),ISNUMBER(AN181)),IFERROR(AS181/AN181-1,""),"")</f>
        <v>-0.512625250501003</v>
      </c>
      <c r="AT222" s="26" t="n">
        <f aca="false">IF(AND(ISNUMBER(AT181),ISNUMBER(AO181)),IFERROR(AT181/AO181-1,""),"")</f>
        <v>-0.17029467993935</v>
      </c>
      <c r="AU222" s="26" t="n">
        <f aca="false">IF(AND(ISNUMBER(AU181),ISNUMBER(AP181)),IFERROR(AU181/AP181-1,""),"")</f>
        <v>-0.138495020098829</v>
      </c>
      <c r="AV222" s="26" t="n">
        <f aca="false">IF(AND(ISNUMBER(AV181),ISNUMBER(AQ181)),IFERROR(AV181/AQ181-1,""),"")</f>
        <v>0.511644226130433</v>
      </c>
      <c r="AW222" s="26" t="n">
        <f aca="false">IF(AND(ISNUMBER(AW181),ISNUMBER(AR181)),IFERROR(AW181/AR181-1,""),"")</f>
        <v>-0.141432535553243</v>
      </c>
      <c r="AX222" s="26" t="n">
        <f aca="false">IF(AND(ISNUMBER(AX181),ISNUMBER(AS181)),IFERROR(AX181/AS181-1,""),"")</f>
        <v>1.0406524122807</v>
      </c>
      <c r="AY222" s="26" t="n">
        <f aca="false">IF(AND(ISNUMBER(AY181),ISNUMBER(AT181)),IFERROR(AY181/AT181-1,""),"")</f>
        <v>0.380412846223519</v>
      </c>
      <c r="AZ222" s="26" t="n">
        <f aca="false">IF(AND(ISNUMBER(AZ181),ISNUMBER(AU181)),IFERROR(AZ181/AU181-1,""),"")</f>
        <v>0.847187631880829</v>
      </c>
      <c r="BA222" s="26" t="n">
        <f aca="false">IF(AND(ISNUMBER(BA181),ISNUMBER(AV181)),IFERROR(BA181/AV181-1,""),"")</f>
        <v>0.389764122203846</v>
      </c>
      <c r="BB222" s="26" t="n">
        <f aca="false">IF(AND(ISNUMBER(BB181),ISNUMBER(AW181)),IFERROR(BB181/AW181-1,""),"")</f>
        <v>0.607247039811785</v>
      </c>
      <c r="BC222" s="26" t="n">
        <f aca="false">IF(AND(ISNUMBER(BC181),ISNUMBER(AX181)),IFERROR(BC181/AX181-1,""),"")</f>
        <v>0.546928522493719</v>
      </c>
      <c r="BD222" s="26" t="n">
        <f aca="false">IF(AND(ISNUMBER(BD181),ISNUMBER(AY181)),IFERROR(BD181/AY181-1,""),"")</f>
        <v>0.705150343049229</v>
      </c>
      <c r="BE222" s="26" t="n">
        <f aca="false">IF(AND(ISNUMBER(BE181),ISNUMBER(AZ181)),IFERROR(BE181/AZ181-1,""),"")</f>
        <v>-0.0745248078154475</v>
      </c>
      <c r="BF222" s="26" t="n">
        <f aca="false">IF(AND(ISNUMBER(BF181),ISNUMBER(BA181)),IFERROR(BF181/BA181-1,""),"")</f>
        <v>-0.301622095572118</v>
      </c>
      <c r="BG222" s="26" t="n">
        <f aca="false">IF(AND(ISNUMBER(BG181),ISNUMBER(BB181)),IFERROR(BG181/BB181-1,""),"")</f>
        <v>0.181185242138492</v>
      </c>
      <c r="BH222" s="26" t="n">
        <f aca="false">IF(AND(ISNUMBER(BH181),ISNUMBER(BC181)),IFERROR(BH181/BC181-1,""),"")</f>
        <v>-0.523104488326183</v>
      </c>
      <c r="BI222" s="26" t="n">
        <f aca="false">IF(AND(ISNUMBER(BI181),ISNUMBER(BD181)),IFERROR(BI181/BD181-1,""),"")</f>
        <v>-0.669745189245876</v>
      </c>
      <c r="BJ222" s="26" t="n">
        <f aca="false">IF(AND(ISNUMBER(BJ181),ISNUMBER(BE181)),IFERROR(BJ181/BE181-1,""),"")</f>
        <v>-0.520234067779522</v>
      </c>
      <c r="BK222" s="26" t="n">
        <f aca="false">IF(AND(ISNUMBER(BK181),ISNUMBER(BF181)),IFERROR(BK181/BF181-1,""),"")</f>
        <v>-0.4860799728973</v>
      </c>
      <c r="BL222" s="26" t="n">
        <f aca="false">IF(AND(ISNUMBER(BL181),ISNUMBER(BG181)),IFERROR(BL181/BG181-1,""),"")</f>
        <v>-0.567625589710289</v>
      </c>
      <c r="BM222" s="26" t="n">
        <f aca="false">IF(AND(ISNUMBER(BM181),ISNUMBER(BH181)),IFERROR(BM181/BH181-1,""),"")</f>
        <v>-0.149792115565542</v>
      </c>
      <c r="BN222" s="26" t="n">
        <f aca="false">IF(AND(ISNUMBER(BN181),ISNUMBER(BI181)),IFERROR(BN181/BI181-1,""),"")</f>
        <v>0.317018159517568</v>
      </c>
      <c r="BO222" s="26" t="n">
        <f aca="false">IF(AND(ISNUMBER(BO181),ISNUMBER(BJ181)),IFERROR(BO181/BJ181-1,""),"")</f>
        <v>0.750798999891294</v>
      </c>
      <c r="BP222" s="26" t="n">
        <f aca="false">IF(AND(ISNUMBER(BP181),ISNUMBER(BK181)),IFERROR(BP181/BK181-1,""),"")</f>
        <v>0.78771339660505</v>
      </c>
      <c r="BQ222" s="26" t="n">
        <f aca="false">IF(AND(ISNUMBER(BQ181),ISNUMBER(BL181)),IFERROR(BQ181/BL181-1,""),"")</f>
        <v>0.374019267237009</v>
      </c>
      <c r="BR222" s="26" t="n">
        <f aca="false">IF(AND(ISNUMBER(BR181),ISNUMBER(BM181)),IFERROR(BR181/BM181-1,""),"")</f>
        <v>0.3240383791656</v>
      </c>
      <c r="BS222" s="26" t="n">
        <f aca="false">IF(AND(ISNUMBER(BS181),ISNUMBER(BN181)),IFERROR(BS181/BN181-1,""),"")</f>
        <v>0.139435737974636</v>
      </c>
      <c r="BT222" s="26" t="n">
        <f aca="false">IF(AND(ISNUMBER(BT181),ISNUMBER(BO181)),IFERROR(BT181/BO181-1,""),"")</f>
        <v>-0.0455079806609725</v>
      </c>
      <c r="BU222" s="26" t="n">
        <f aca="false">IF(AND(ISNUMBER(BU181),ISNUMBER(BP181)),IFERROR(BU181/BP181-1,""),"")</f>
        <v>0.070712767341981</v>
      </c>
      <c r="BV222" s="26" t="n">
        <f aca="false">IF(AND(ISNUMBER(BV181),ISNUMBER(BQ181)),IFERROR(BV181/BQ181-1,""),"")</f>
        <v>0.0979575926221024</v>
      </c>
      <c r="BW222" s="26" t="n">
        <f aca="false">IF(AND(ISNUMBER(BW181),ISNUMBER(BR181)),IFERROR(BW181/BR181-1,""),"")</f>
        <v>0.0563715182297602</v>
      </c>
      <c r="BX222" s="26" t="n">
        <f aca="false">IF(AND(ISNUMBER(BX181),ISNUMBER(BS181)),IFERROR(BX181/BS181-1,""),"")</f>
        <v>0.195269469506744</v>
      </c>
      <c r="BY222" s="27" t="n">
        <f aca="false">IFERROR(BY181/BT181-1,"")</f>
        <v>0.256045241431124</v>
      </c>
      <c r="BZ222" s="27" t="n">
        <f aca="false">IFERROR(BZ181/BU181-1,"")</f>
        <v>0.282436529002047</v>
      </c>
      <c r="CA222" s="27" t="n">
        <f aca="false">IFERROR(CA181/BV181-1,"")</f>
        <v>0.201823605398851</v>
      </c>
      <c r="CB222" s="27" t="n">
        <f aca="false">IFERROR(CB181/CA181-1,"")</f>
        <v>0.0957650981529938</v>
      </c>
      <c r="CC222" s="27" t="n">
        <f aca="false">IFERROR(CC181/CB181-1,"")</f>
        <v>0.0876105000559744</v>
      </c>
      <c r="CD222" s="27" t="n">
        <f aca="false">IFERROR(CD181/CC181-1,"")</f>
        <v>0.0747855885177451</v>
      </c>
      <c r="CE222" s="27" t="n">
        <f aca="false">IFERROR(CE181/CD181-1,"")</f>
        <v>0.0609735596947139</v>
      </c>
    </row>
    <row r="223" customFormat="false" ht="15" hidden="false" customHeight="false" outlineLevel="0" collapsed="false">
      <c r="B223" s="25" t="s">
        <v>338</v>
      </c>
      <c r="D223" s="26" t="n">
        <f aca="false">IF(AND(ISNUMBER(D139),ISNUMBER(C139)),IFERROR(D139/C139-1,""),"")</f>
        <v>0.219792028144404</v>
      </c>
      <c r="E223" s="26" t="n">
        <f aca="false">IF(AND(ISNUMBER(E139),ISNUMBER(D139)),IFERROR(E139/D139-1,""),"")</f>
        <v>0.121451723028389</v>
      </c>
      <c r="F223" s="26" t="n">
        <f aca="false">IF(AND(ISNUMBER(F139),ISNUMBER(E139)),IFERROR(F139/E139-1,""),"")</f>
        <v>0.023137375653006</v>
      </c>
      <c r="G223" s="26" t="n">
        <f aca="false">IF(AND(ISNUMBER(G139),ISNUMBER(F139)),IFERROR(G139/F139-1,""),"")</f>
        <v>0.0650620456865572</v>
      </c>
      <c r="H223" s="26" t="n">
        <f aca="false">IF(AND(ISNUMBER(H139),ISNUMBER(G139)),IFERROR(H139/G139-1,""),"")</f>
        <v>0.11217609093536</v>
      </c>
      <c r="I223" s="26" t="n">
        <f aca="false">IF(AND(ISNUMBER(I139),ISNUMBER(H139)),IFERROR(I139/H139-1,""),"")</f>
        <v>-0.025132446985119</v>
      </c>
      <c r="N223" s="26" t="n">
        <f aca="false">IF(AND(ISNUMBER(N139),ISNUMBER(I139)),IFERROR(N139/I139-1,""),"")</f>
        <v>0.0108541136054039</v>
      </c>
      <c r="O223" s="26" t="n">
        <f aca="false">IF(AND(ISNUMBER(O139),ISNUMBER(J139)),IFERROR(O139/J139-1,""),"")</f>
        <v>-0.0695588775740048</v>
      </c>
      <c r="P223" s="26" t="n">
        <f aca="false">IF(AND(ISNUMBER(P139),ISNUMBER(K139)),IFERROR(P139/K139-1,""),"")</f>
        <v>0.0981279729937059</v>
      </c>
      <c r="Q223" s="26" t="n">
        <f aca="false">IF(AND(ISNUMBER(Q139),ISNUMBER(L139)),IFERROR(Q139/L139-1,""),"")</f>
        <v>0.152998213830058</v>
      </c>
      <c r="R223" s="26" t="n">
        <f aca="false">IF(AND(ISNUMBER(R139),ISNUMBER(M139)),IFERROR(R139/M139-1,""),"")</f>
        <v>0.210266064095212</v>
      </c>
      <c r="S223" s="26" t="n">
        <f aca="false">IF(AND(ISNUMBER(S139),ISNUMBER(N139)),IFERROR(S139/N139-1,""),"")</f>
        <v>0.0963421958543895</v>
      </c>
      <c r="T223" s="26" t="n">
        <f aca="false">IF(AND(ISNUMBER(T139),ISNUMBER(O139)),IFERROR(T139/O139-1,""),"")</f>
        <v>0.158972039421291</v>
      </c>
      <c r="U223" s="26" t="n">
        <f aca="false">IF(AND(ISNUMBER(U139),ISNUMBER(P139)),IFERROR(U139/P139-1,""),"")</f>
        <v>0.143291313591045</v>
      </c>
      <c r="V223" s="26" t="n">
        <f aca="false">IF(AND(ISNUMBER(V139),ISNUMBER(Q139)),IFERROR(V139/Q139-1,""),"")</f>
        <v>0.144459690071165</v>
      </c>
      <c r="W223" s="26" t="n">
        <f aca="false">IF(AND(ISNUMBER(W139),ISNUMBER(R139)),IFERROR(W139/R139-1,""),"")</f>
        <v>0.143031407142247</v>
      </c>
      <c r="X223" s="26" t="n">
        <f aca="false">IF(AND(ISNUMBER(X139),ISNUMBER(S139)),IFERROR(X139/S139-1,""),"")</f>
        <v>0.146832385110996</v>
      </c>
      <c r="Y223" s="26" t="n">
        <f aca="false">IF(AND(ISNUMBER(Y139),ISNUMBER(T139)),IFERROR(Y139/T139-1,""),"")</f>
        <v>0.0935935138106407</v>
      </c>
      <c r="Z223" s="26" t="n">
        <f aca="false">IF(AND(ISNUMBER(Z139),ISNUMBER(U139)),IFERROR(Z139/U139-1,""),"")</f>
        <v>0.0203059865994444</v>
      </c>
      <c r="AA223" s="26" t="n">
        <f aca="false">IF(AND(ISNUMBER(AA139),ISNUMBER(V139)),IFERROR(AA139/V139-1,""),"")</f>
        <v>-0.0921486307050385</v>
      </c>
      <c r="AB223" s="26" t="n">
        <f aca="false">IF(AND(ISNUMBER(AB139),ISNUMBER(W139)),IFERROR(AB139/W139-1,""),"")</f>
        <v>-0.0979312980300983</v>
      </c>
      <c r="AC223" s="26" t="n">
        <f aca="false">IF(AND(ISNUMBER(AC139),ISNUMBER(X139)),IFERROR(AC139/X139-1,""),"")</f>
        <v>-0.024209201803541</v>
      </c>
      <c r="AD223" s="26" t="n">
        <f aca="false">IF(AND(ISNUMBER(AD139),ISNUMBER(Y139)),IFERROR(AD139/Y139-1,""),"")</f>
        <v>-0.0552595600949004</v>
      </c>
      <c r="AE223" s="26" t="n">
        <f aca="false">IF(AND(ISNUMBER(AE139),ISNUMBER(Z139)),IFERROR(AE139/Z139-1,""),"")</f>
        <v>-0.222150444711592</v>
      </c>
      <c r="AF223" s="26" t="n">
        <f aca="false">IF(AND(ISNUMBER(AF139),ISNUMBER(AA139)),IFERROR(AF139/AA139-1,""),"")</f>
        <v>-0.0795296946517914</v>
      </c>
      <c r="AG223" s="26" t="n">
        <f aca="false">IF(AND(ISNUMBER(AG139),ISNUMBER(AB139)),IFERROR(AG139/AB139-1,""),"")</f>
        <v>0.0894324903779102</v>
      </c>
      <c r="AH223" s="26" t="n">
        <f aca="false">IF(AND(ISNUMBER(AH139),ISNUMBER(AC139)),IFERROR(AH139/AC139-1,""),"")</f>
        <v>-0.0745190327283464</v>
      </c>
      <c r="AI223" s="26" t="n">
        <f aca="false">IF(AND(ISNUMBER(AI139),ISNUMBER(AD139)),IFERROR(AI139/AD139-1,""),"")</f>
        <v>0.0192968641930662</v>
      </c>
      <c r="AJ223" s="26" t="n">
        <f aca="false">IF(AND(ISNUMBER(AJ139),ISNUMBER(AE139)),IFERROR(AJ139/AE139-1,""),"")</f>
        <v>0.204531954680456</v>
      </c>
      <c r="AK223" s="26" t="n">
        <f aca="false">IF(AND(ISNUMBER(AK139),ISNUMBER(AF139)),IFERROR(AK139/AF139-1,""),"")</f>
        <v>0.264870285141285</v>
      </c>
      <c r="AL223" s="26" t="n">
        <f aca="false">IF(AND(ISNUMBER(AL139),ISNUMBER(AG139)),IFERROR(AL139/AG139-1,""),"")</f>
        <v>0.211693127714869</v>
      </c>
      <c r="AM223" s="26" t="n">
        <f aca="false">IF(AND(ISNUMBER(AM139),ISNUMBER(AH139)),IFERROR(AM139/AH139-1,""),"")</f>
        <v>0.176700609841846</v>
      </c>
      <c r="AN223" s="26" t="n">
        <f aca="false">IF(AND(ISNUMBER(AN139),ISNUMBER(AI139)),IFERROR(AN139/AI139-1,""),"")</f>
        <v>0.172064618837592</v>
      </c>
      <c r="AO223" s="26" t="n">
        <f aca="false">IF(AND(ISNUMBER(AO139),ISNUMBER(AJ139)),IFERROR(AO139/AJ139-1,""),"")</f>
        <v>0.0389346507890109</v>
      </c>
      <c r="AP223" s="26" t="n">
        <f aca="false">IF(AND(ISNUMBER(AP139),ISNUMBER(AK139)),IFERROR(AP139/AK139-1,""),"")</f>
        <v>-0.182491574278477</v>
      </c>
      <c r="AQ223" s="26" t="n">
        <f aca="false">IF(AND(ISNUMBER(AQ139),ISNUMBER(AL139)),IFERROR(AQ139/AL139-1,""),"")</f>
        <v>-0.464591397049903</v>
      </c>
      <c r="AR223" s="26" t="n">
        <f aca="false">IF(AND(ISNUMBER(AR139),ISNUMBER(AM139)),IFERROR(AR139/AM139-1,""),"")</f>
        <v>-0.133877070398198</v>
      </c>
      <c r="AS223" s="26" t="n">
        <f aca="false">IF(AND(ISNUMBER(AS139),ISNUMBER(AN139)),IFERROR(AS139/AN139-1,""),"")</f>
        <v>-0.512625250501003</v>
      </c>
      <c r="AT223" s="26" t="n">
        <f aca="false">IF(AND(ISNUMBER(AT139),ISNUMBER(AO139)),IFERROR(AT139/AO139-1,""),"")</f>
        <v>-0.17029467993935</v>
      </c>
      <c r="AU223" s="26" t="n">
        <f aca="false">IF(AND(ISNUMBER(AU139),ISNUMBER(AP139)),IFERROR(AU139/AP139-1,""),"")</f>
        <v>-0.163343859561876</v>
      </c>
      <c r="AV223" s="26" t="n">
        <f aca="false">IF(AND(ISNUMBER(AV139),ISNUMBER(AQ139)),IFERROR(AV139/AQ139-1,""),"")</f>
        <v>0.511644226130433</v>
      </c>
      <c r="AW223" s="26" t="n">
        <f aca="false">IF(AND(ISNUMBER(AW139),ISNUMBER(AR139)),IFERROR(AW139/AR139-1,""),"")</f>
        <v>-0.147736133755962</v>
      </c>
      <c r="AX223" s="26" t="n">
        <f aca="false">IF(AND(ISNUMBER(AX139),ISNUMBER(AS139)),IFERROR(AX139/AS139-1,""),"")</f>
        <v>1.0406524122807</v>
      </c>
      <c r="AY223" s="26" t="n">
        <f aca="false">IF(AND(ISNUMBER(AY139),ISNUMBER(AT139)),IFERROR(AY139/AT139-1,""),"")</f>
        <v>0.380412846223519</v>
      </c>
      <c r="AZ223" s="26" t="n">
        <f aca="false">IF(AND(ISNUMBER(AZ139),ISNUMBER(AU139)),IFERROR(AZ139/AU139-1,""),"")</f>
        <v>0.847187631880829</v>
      </c>
      <c r="BA223" s="26" t="n">
        <f aca="false">IF(AND(ISNUMBER(BA139),ISNUMBER(AV139)),IFERROR(BA139/AV139-1,""),"")</f>
        <v>0.389764122203846</v>
      </c>
      <c r="BB223" s="26" t="n">
        <f aca="false">IF(AND(ISNUMBER(BB139),ISNUMBER(AW139)),IFERROR(BB139/AW139-1,""),"")</f>
        <v>0.607247039811785</v>
      </c>
      <c r="BC223" s="26" t="n">
        <f aca="false">IF(AND(ISNUMBER(BC139),ISNUMBER(AX139)),IFERROR(BC139/AX139-1,""),"")</f>
        <v>0.546928522493719</v>
      </c>
      <c r="BD223" s="26" t="n">
        <f aca="false">IF(AND(ISNUMBER(BD139),ISNUMBER(AY139)),IFERROR(BD139/AY139-1,""),"")</f>
        <v>0.802217157065898</v>
      </c>
      <c r="BE223" s="26" t="n">
        <f aca="false">IF(AND(ISNUMBER(BE139),ISNUMBER(AZ139)),IFERROR(BE139/AZ139-1,""),"")</f>
        <v>-0.0745248078154475</v>
      </c>
      <c r="BF223" s="26" t="n">
        <f aca="false">IF(AND(ISNUMBER(BF139),ISNUMBER(BA139)),IFERROR(BF139/BA139-1,""),"")</f>
        <v>-0.429260349470784</v>
      </c>
      <c r="BG223" s="26" t="n">
        <f aca="false">IF(AND(ISNUMBER(BG139),ISNUMBER(BB139)),IFERROR(BG139/BB139-1,""),"")</f>
        <v>0.170661338794279</v>
      </c>
      <c r="BH223" s="26" t="n">
        <f aca="false">IF(AND(ISNUMBER(BH139),ISNUMBER(BC139)),IFERROR(BH139/BC139-1,""),"")</f>
        <v>-0.533878092128495</v>
      </c>
      <c r="BI223" s="26" t="n">
        <f aca="false">IF(AND(ISNUMBER(BI139),ISNUMBER(BD139)),IFERROR(BI139/BD139-1,""),"")</f>
        <v>-0.717622134925959</v>
      </c>
      <c r="BJ223" s="26" t="n">
        <f aca="false">IF(AND(ISNUMBER(BJ139),ISNUMBER(BE139)),IFERROR(BJ139/BE139-1,""),"")</f>
        <v>-0.605290515943522</v>
      </c>
      <c r="BK223" s="26" t="n">
        <f aca="false">IF(AND(ISNUMBER(BK139),ISNUMBER(BF139)),IFERROR(BK139/BF139-1,""),"")</f>
        <v>-0.34508089786264</v>
      </c>
      <c r="BL223" s="26" t="n">
        <f aca="false">IF(AND(ISNUMBER(BL139),ISNUMBER(BG139)),IFERROR(BL139/BG139-1,""),"")</f>
        <v>-0.593768304254402</v>
      </c>
      <c r="BM223" s="26" t="n">
        <f aca="false">IF(AND(ISNUMBER(BM139),ISNUMBER(BH139)),IFERROR(BM139/BH139-1,""),"")</f>
        <v>-0.210515856998261</v>
      </c>
      <c r="BN223" s="26" t="n">
        <f aca="false">IF(AND(ISNUMBER(BN139),ISNUMBER(BI139)),IFERROR(BN139/BI139-1,""),"")</f>
        <v>0.342828921077043</v>
      </c>
      <c r="BO223" s="26" t="n">
        <f aca="false">IF(AND(ISNUMBER(BO139),ISNUMBER(BJ139)),IFERROR(BO139/BJ139-1,""),"")</f>
        <v>0.586643998520112</v>
      </c>
      <c r="BP223" s="26" t="n">
        <f aca="false">IF(AND(ISNUMBER(BP139),ISNUMBER(BK139)),IFERROR(BP139/BK139-1,""),"")</f>
        <v>0.710888121456969</v>
      </c>
      <c r="BQ223" s="26" t="n">
        <f aca="false">IF(AND(ISNUMBER(BQ139),ISNUMBER(BL139)),IFERROR(BQ139/BL139-1,""),"")</f>
        <v>0.30029517670766</v>
      </c>
      <c r="BR223" s="26" t="n">
        <f aca="false">IF(AND(ISNUMBER(BR139),ISNUMBER(BM139)),IFERROR(BR139/BM139-1,""),"")</f>
        <v>0.391086499964609</v>
      </c>
      <c r="BS223" s="26" t="n">
        <f aca="false">IF(AND(ISNUMBER(BS139),ISNUMBER(BN139)),IFERROR(BS139/BN139-1,""),"")</f>
        <v>0.212415071031498</v>
      </c>
      <c r="BT223" s="26" t="n">
        <f aca="false">IF(AND(ISNUMBER(BT139),ISNUMBER(BO139)),IFERROR(BT139/BO139-1,""),"")</f>
        <v>0.226056107351249</v>
      </c>
      <c r="BU223" s="26" t="n">
        <f aca="false">IF(AND(ISNUMBER(BU139),ISNUMBER(BP139)),IFERROR(BU139/BP139-1,""),"")</f>
        <v>-0.0133080158216311</v>
      </c>
      <c r="BV223" s="26" t="n">
        <f aca="false">IF(AND(ISNUMBER(BV139),ISNUMBER(BQ139)),IFERROR(BV139/BQ139-1,""),"")</f>
        <v>0.188032118791108</v>
      </c>
      <c r="BW223" s="26" t="n">
        <f aca="false">IF(AND(ISNUMBER(BW139),ISNUMBER(BR139)),IFERROR(BW139/BR139-1,""),"")</f>
        <v>-0.00659870061576195</v>
      </c>
      <c r="BX223" s="26" t="n">
        <f aca="false">IF(AND(ISNUMBER(BX139),ISNUMBER(BS139)),IFERROR(BX139/BS139-1,""),"")</f>
        <v>0.184439535196072</v>
      </c>
      <c r="BY223" s="27" t="n">
        <f aca="false">IFERROR(BY139/BT139-1,"")</f>
        <v>0.266557410121551</v>
      </c>
      <c r="BZ223" s="27" t="n">
        <f aca="false">IFERROR(BZ139/BU139-1,"")</f>
        <v>0.304751108492256</v>
      </c>
      <c r="CA223" s="27" t="n">
        <f aca="false">IFERROR(CA139/BV139-1,"")</f>
        <v>0.192198107831705</v>
      </c>
      <c r="CB223" s="27" t="n">
        <f aca="false">IFERROR(CB139/CA139-1,"")</f>
        <v>0.158486383395322</v>
      </c>
      <c r="CC223" s="27" t="n">
        <f aca="false">IFERROR(CC139/CB139-1,"")</f>
        <v>0.0876105000559744</v>
      </c>
      <c r="CD223" s="27" t="n">
        <f aca="false">IFERROR(CD139/CC139-1,"")</f>
        <v>0.0747855885177451</v>
      </c>
      <c r="CE223" s="27" t="n">
        <f aca="false">IFERROR(CE139/CD139-1,"")</f>
        <v>0.0609735596947139</v>
      </c>
    </row>
    <row r="224" customFormat="false" ht="15" hidden="false" customHeight="false" outlineLevel="0" collapsed="false">
      <c r="B224" s="25" t="s">
        <v>339</v>
      </c>
      <c r="D224" s="26" t="n">
        <f aca="false">IF(AND(ISNUMBER(D149),ISNUMBER(C149)),IFERROR(D149/C149-1,""),"")</f>
        <v>0.214801910649053</v>
      </c>
      <c r="E224" s="26" t="n">
        <f aca="false">IF(AND(ISNUMBER(E149),ISNUMBER(D149)),IFERROR(E149/D149-1,""),"")</f>
        <v>0.107678690931075</v>
      </c>
      <c r="F224" s="26" t="n">
        <f aca="false">IF(AND(ISNUMBER(F149),ISNUMBER(E149)),IFERROR(F149/E149-1,""),"")</f>
        <v>0.0046021877792819</v>
      </c>
      <c r="G224" s="26" t="n">
        <f aca="false">IF(AND(ISNUMBER(G149),ISNUMBER(F149)),IFERROR(G149/F149-1,""),"")</f>
        <v>0.0725992849818506</v>
      </c>
      <c r="H224" s="26" t="n">
        <f aca="false">IF(AND(ISNUMBER(H149),ISNUMBER(G149)),IFERROR(H149/G149-1,""),"")</f>
        <v>0.115201562685707</v>
      </c>
      <c r="I224" s="26" t="n">
        <f aca="false">IF(AND(ISNUMBER(I149),ISNUMBER(H149)),IFERROR(I149/H149-1,""),"")</f>
        <v>0.375781952309015</v>
      </c>
      <c r="N224" s="26" t="n">
        <f aca="false">IF(AND(ISNUMBER(N149),ISNUMBER(I149)),IFERROR(N149/I149-1,""),"")</f>
        <v>-0.299593805363385</v>
      </c>
      <c r="O224" s="26" t="n">
        <f aca="false">IF(AND(ISNUMBER(O149),ISNUMBER(J149)),IFERROR(O149/J149-1,""),"")</f>
        <v>-0.0982746775301669</v>
      </c>
      <c r="P224" s="26" t="n">
        <f aca="false">IF(AND(ISNUMBER(P149),ISNUMBER(K149)),IFERROR(P149/K149-1,""),"")</f>
        <v>0.06010440503432</v>
      </c>
      <c r="Q224" s="26" t="n">
        <f aca="false">IF(AND(ISNUMBER(Q149),ISNUMBER(L149)),IFERROR(Q149/L149-1,""),"")</f>
        <v>0.160056433722861</v>
      </c>
      <c r="R224" s="26" t="n">
        <f aca="false">IF(AND(ISNUMBER(R149),ISNUMBER(M149)),IFERROR(R149/M149-1,""),"")</f>
        <v>0.215111025045192</v>
      </c>
      <c r="S224" s="26" t="n">
        <f aca="false">IF(AND(ISNUMBER(S149),ISNUMBER(N149)),IFERROR(S149/N149-1,""),"")</f>
        <v>0.0812855851350285</v>
      </c>
      <c r="T224" s="26" t="n">
        <f aca="false">IF(AND(ISNUMBER(T149),ISNUMBER(O149)),IFERROR(T149/O149-1,""),"")</f>
        <v>0.142605728266813</v>
      </c>
      <c r="U224" s="26" t="n">
        <f aca="false">IF(AND(ISNUMBER(U149),ISNUMBER(P149)),IFERROR(U149/P149-1,""),"")</f>
        <v>0.156936152989989</v>
      </c>
      <c r="V224" s="26" t="n">
        <f aca="false">IF(AND(ISNUMBER(V149),ISNUMBER(Q149)),IFERROR(V149/Q149-1,""),"")</f>
        <v>0.115625575087416</v>
      </c>
      <c r="W224" s="26" t="n">
        <f aca="false">IF(AND(ISNUMBER(W149),ISNUMBER(R149)),IFERROR(W149/R149-1,""),"")</f>
        <v>0.120729191567724</v>
      </c>
      <c r="X224" s="26" t="n">
        <f aca="false">IF(AND(ISNUMBER(X149),ISNUMBER(S149)),IFERROR(X149/S149-1,""),"")</f>
        <v>0.133392334187959</v>
      </c>
      <c r="Y224" s="26" t="n">
        <f aca="false">IF(AND(ISNUMBER(Y149),ISNUMBER(T149)),IFERROR(Y149/T149-1,""),"")</f>
        <v>0.117275254517458</v>
      </c>
      <c r="Z224" s="26" t="n">
        <f aca="false">IF(AND(ISNUMBER(Z149),ISNUMBER(U149)),IFERROR(Z149/U149-1,""),"")</f>
        <v>0.0428692204536156</v>
      </c>
      <c r="AA224" s="26" t="n">
        <f aca="false">IF(AND(ISNUMBER(AA149),ISNUMBER(V149)),IFERROR(AA149/V149-1,""),"")</f>
        <v>-0.0746170176143224</v>
      </c>
      <c r="AB224" s="26" t="n">
        <f aca="false">IF(AND(ISNUMBER(AB149),ISNUMBER(W149)),IFERROR(AB149/W149-1,""),"")</f>
        <v>-0.0338118072727022</v>
      </c>
      <c r="AC224" s="26" t="n">
        <f aca="false">IF(AND(ISNUMBER(AC149),ISNUMBER(X149)),IFERROR(AC149/X149-1,""),"")</f>
        <v>0.00722975717041385</v>
      </c>
      <c r="AD224" s="26" t="n">
        <f aca="false">IF(AND(ISNUMBER(AD149),ISNUMBER(Y149)),IFERROR(AD149/Y149-1,""),"")</f>
        <v>0.0262014239721537</v>
      </c>
      <c r="AE224" s="26" t="n">
        <f aca="false">IF(AND(ISNUMBER(AE149),ISNUMBER(Z149)),IFERROR(AE149/Z149-1,""),"")</f>
        <v>-0.223768257739887</v>
      </c>
      <c r="AF224" s="26" t="n">
        <f aca="false">IF(AND(ISNUMBER(AF149),ISNUMBER(AA149)),IFERROR(AF149/AA149-1,""),"")</f>
        <v>-0.0762780171745672</v>
      </c>
      <c r="AG224" s="26" t="n">
        <f aca="false">IF(AND(ISNUMBER(AG149),ISNUMBER(AB149)),IFERROR(AG149/AB149-1,""),"")</f>
        <v>0.24736106227975</v>
      </c>
      <c r="AH224" s="26" t="n">
        <f aca="false">IF(AND(ISNUMBER(AH149),ISNUMBER(AC149)),IFERROR(AH149/AC149-1,""),"")</f>
        <v>-0.0165392766428342</v>
      </c>
      <c r="AI224" s="26" t="n">
        <f aca="false">IF(AND(ISNUMBER(AI149),ISNUMBER(AD149)),IFERROR(AI149/AD149-1,""),"")</f>
        <v>0.165604521625167</v>
      </c>
      <c r="AJ224" s="26" t="n">
        <f aca="false">IF(AND(ISNUMBER(AJ149),ISNUMBER(AE149)),IFERROR(AJ149/AE149-1,""),"")</f>
        <v>0.432984307334953</v>
      </c>
      <c r="AK224" s="26" t="n">
        <f aca="false">IF(AND(ISNUMBER(AK149),ISNUMBER(AF149)),IFERROR(AK149/AF149-1,""),"")</f>
        <v>0.475802527142449</v>
      </c>
      <c r="AL224" s="26" t="n">
        <f aca="false">IF(AND(ISNUMBER(AL149),ISNUMBER(AG149)),IFERROR(AL149/AG149-1,""),"")</f>
        <v>0.226762631427153</v>
      </c>
      <c r="AM224" s="26" t="n">
        <f aca="false">IF(AND(ISNUMBER(AM149),ISNUMBER(AH149)),IFERROR(AM149/AH149-1,""),"")</f>
        <v>0.316130348410459</v>
      </c>
      <c r="AN224" s="26" t="n">
        <f aca="false">IF(AND(ISNUMBER(AN149),ISNUMBER(AI149)),IFERROR(AN149/AI149-1,""),"")</f>
        <v>0.136974075349445</v>
      </c>
      <c r="AO224" s="26" t="n">
        <f aca="false">IF(AND(ISNUMBER(AO149),ISNUMBER(AJ149)),IFERROR(AO149/AJ149-1,""),"")</f>
        <v>0.0629354812362146</v>
      </c>
      <c r="AP224" s="26" t="n">
        <f aca="false">IF(AND(ISNUMBER(AP149),ISNUMBER(AK149)),IFERROR(AP149/AK149-1,""),"")</f>
        <v>-0.164876773074845</v>
      </c>
      <c r="AQ224" s="26" t="n">
        <f aca="false">IF(AND(ISNUMBER(AQ149),ISNUMBER(AL149)),IFERROR(AQ149/AL149-1,""),"")</f>
        <v>-0.470446166176863</v>
      </c>
      <c r="AR224" s="26" t="n">
        <f aca="false">IF(AND(ISNUMBER(AR149),ISNUMBER(AM149)),IFERROR(AR149/AM149-1,""),"")</f>
        <v>-0.131732643095236</v>
      </c>
      <c r="AS224" s="26" t="n">
        <f aca="false">IF(AND(ISNUMBER(AS149),ISNUMBER(AN149)),IFERROR(AS149/AN149-1,""),"")</f>
        <v>-0.516985190496206</v>
      </c>
      <c r="AT224" s="26" t="n">
        <f aca="false">IF(AND(ISNUMBER(AT149),ISNUMBER(AO149)),IFERROR(AT149/AO149-1,""),"")</f>
        <v>-0.149196122473105</v>
      </c>
      <c r="AU224" s="26" t="n">
        <f aca="false">IF(AND(ISNUMBER(AU149),ISNUMBER(AP149)),IFERROR(AU149/AP149-1,""),"")</f>
        <v>-0.0705610848639148</v>
      </c>
      <c r="AV224" s="26" t="n">
        <f aca="false">IF(AND(ISNUMBER(AV149),ISNUMBER(AQ149)),IFERROR(AV149/AQ149-1,""),"")</f>
        <v>0.491403144108329</v>
      </c>
      <c r="AW224" s="26" t="n">
        <f aca="false">IF(AND(ISNUMBER(AW149),ISNUMBER(AR149)),IFERROR(AW149/AR149-1,""),"")</f>
        <v>-0.122271945757823</v>
      </c>
      <c r="AX224" s="26" t="n">
        <f aca="false">IF(AND(ISNUMBER(AX149),ISNUMBER(AS149)),IFERROR(AX149/AS149-1,""),"")</f>
        <v>1.21770788012183</v>
      </c>
      <c r="AY224" s="26" t="n">
        <f aca="false">IF(AND(ISNUMBER(AY149),ISNUMBER(AT149)),IFERROR(AY149/AT149-1,""),"")</f>
        <v>0.346327263632508</v>
      </c>
      <c r="AZ224" s="26" t="n">
        <f aca="false">IF(AND(ISNUMBER(AZ149),ISNUMBER(AU149)),IFERROR(AZ149/AU149-1,""),"")</f>
        <v>0.809527646141105</v>
      </c>
      <c r="BA224" s="26" t="n">
        <f aca="false">IF(AND(ISNUMBER(BA149),ISNUMBER(AV149)),IFERROR(BA149/AV149-1,""),"")</f>
        <v>0.55674629753665</v>
      </c>
      <c r="BB224" s="26" t="n">
        <f aca="false">IF(AND(ISNUMBER(BB149),ISNUMBER(AW149)),IFERROR(BB149/AW149-1,""),"")</f>
        <v>0.667081341413569</v>
      </c>
      <c r="BC224" s="26" t="n">
        <f aca="false">IF(AND(ISNUMBER(BC149),ISNUMBER(AX149)),IFERROR(BC149/AX149-1,""),"")</f>
        <v>0.559954992643027</v>
      </c>
      <c r="BD224" s="26" t="n">
        <f aca="false">IF(AND(ISNUMBER(BD149),ISNUMBER(AY149)),IFERROR(BD149/AY149-1,""),"")</f>
        <v>0.796722208174877</v>
      </c>
      <c r="BE224" s="26" t="n">
        <f aca="false">IF(AND(ISNUMBER(BE149),ISNUMBER(AZ149)),IFERROR(BE149/AZ149-1,""),"")</f>
        <v>-0.0860341708054498</v>
      </c>
      <c r="BF224" s="26" t="n">
        <f aca="false">IF(AND(ISNUMBER(BF149),ISNUMBER(BA149)),IFERROR(BF149/BA149-1,""),"")</f>
        <v>-0.581947691853037</v>
      </c>
      <c r="BG224" s="26" t="n">
        <f aca="false">IF(AND(ISNUMBER(BG149),ISNUMBER(BB149)),IFERROR(BG149/BB149-1,""),"")</f>
        <v>0.114041540074267</v>
      </c>
      <c r="BH224" s="26" t="n">
        <f aca="false">IF(AND(ISNUMBER(BH149),ISNUMBER(BC149)),IFERROR(BH149/BC149-1,""),"")</f>
        <v>-0.575025522659682</v>
      </c>
      <c r="BI224" s="26" t="n">
        <f aca="false">IF(AND(ISNUMBER(BI149),ISNUMBER(BD149)),IFERROR(BI149/BD149-1,""),"")</f>
        <v>-0.720504904002184</v>
      </c>
      <c r="BJ224" s="26" t="n">
        <f aca="false">IF(AND(ISNUMBER(BJ149),ISNUMBER(BE149)),IFERROR(BJ149/BE149-1,""),"")</f>
        <v>-0.637069416026716</v>
      </c>
      <c r="BK224" s="26" t="n">
        <f aca="false">IF(AND(ISNUMBER(BK149),ISNUMBER(BF149)),IFERROR(BK149/BF149-1,""),"")</f>
        <v>-0.678011913548807</v>
      </c>
      <c r="BL224" s="26" t="n">
        <f aca="false">IF(AND(ISNUMBER(BL149),ISNUMBER(BG149)),IFERROR(BL149/BG149-1,""),"")</f>
        <v>-0.654310788454095</v>
      </c>
      <c r="BM224" s="26" t="n">
        <f aca="false">IF(AND(ISNUMBER(BM149),ISNUMBER(BH149)),IFERROR(BM149/BH149-1,""),"")</f>
        <v>-0.191372692378001</v>
      </c>
      <c r="BN224" s="26" t="n">
        <f aca="false">IF(AND(ISNUMBER(BN149),ISNUMBER(BI149)),IFERROR(BN149/BI149-1,""),"")</f>
        <v>0.297330346500069</v>
      </c>
      <c r="BO224" s="26" t="n">
        <f aca="false">IF(AND(ISNUMBER(BO149),ISNUMBER(BJ149)),IFERROR(BO149/BJ149-1,""),"")</f>
        <v>0.186457430841134</v>
      </c>
      <c r="BP224" s="26" t="n">
        <f aca="false">IF(AND(ISNUMBER(BP149),ISNUMBER(BK149)),IFERROR(BP149/BK149-1,""),"")</f>
        <v>3.82052109902179</v>
      </c>
      <c r="BQ224" s="26" t="n">
        <f aca="false">IF(AND(ISNUMBER(BQ149),ISNUMBER(BL149)),IFERROR(BQ149/BL149-1,""),"")</f>
        <v>0.432323785328281</v>
      </c>
      <c r="BR224" s="26" t="n">
        <f aca="false">IF(AND(ISNUMBER(BR149),ISNUMBER(BM149)),IFERROR(BR149/BM149-1,""),"")</f>
        <v>0.456363558081468</v>
      </c>
      <c r="BS224" s="26" t="n">
        <f aca="false">IF(AND(ISNUMBER(BS149),ISNUMBER(BN149)),IFERROR(BS149/BN149-1,""),"")</f>
        <v>0.207681523314663</v>
      </c>
      <c r="BT224" s="26" t="n">
        <f aca="false">IF(AND(ISNUMBER(BT149),ISNUMBER(BO149)),IFERROR(BT149/BO149-1,""),"")</f>
        <v>0.676320850774973</v>
      </c>
      <c r="BU224" s="26" t="n">
        <f aca="false">IF(AND(ISNUMBER(BU149),ISNUMBER(BP149)),IFERROR(BU149/BP149-1,""),"")</f>
        <v>-0.0869690434409867</v>
      </c>
      <c r="BV224" s="26" t="n">
        <f aca="false">IF(AND(ISNUMBER(BV149),ISNUMBER(BQ149)),IFERROR(BV149/BQ149-1,""),"")</f>
        <v>0.260669114647085</v>
      </c>
      <c r="BW224" s="26" t="n">
        <f aca="false">IF(AND(ISNUMBER(BW149),ISNUMBER(BR149)),IFERROR(BW149/BR149-1,""),"")</f>
        <v>0.0881805147004529</v>
      </c>
      <c r="BX224" s="26" t="n">
        <f aca="false">IF(AND(ISNUMBER(BX149),ISNUMBER(BS149)),IFERROR(BX149/BS149-1,""),"")</f>
        <v>0.225059191583978</v>
      </c>
      <c r="BY224" s="27" t="n">
        <f aca="false">IFERROR(BY149/BT149-1,"")</f>
        <v>0.279986008244482</v>
      </c>
      <c r="BZ224" s="27" t="n">
        <f aca="false">IFERROR(BZ149/BU149-1,"")</f>
        <v>0.278556938947453</v>
      </c>
      <c r="CA224" s="27" t="n">
        <f aca="false">IFERROR(CA149/BV149-1,"")</f>
        <v>0.221184538419741</v>
      </c>
      <c r="CB224" s="27" t="n">
        <f aca="false">IFERROR(CB149/CA149-1,"")</f>
        <v>0.15742804008185</v>
      </c>
      <c r="CC224" s="27" t="n">
        <f aca="false">IFERROR(CC149/CB149-1,"")</f>
        <v>0.0804076369324946</v>
      </c>
      <c r="CD224" s="27" t="n">
        <f aca="false">IFERROR(CD149/CC149-1,"")</f>
        <v>0.071824303231909</v>
      </c>
      <c r="CE224" s="27" t="n">
        <f aca="false">IFERROR(CE149/CD149-1,"")</f>
        <v>0.060376368814711</v>
      </c>
    </row>
    <row r="225" customFormat="false" ht="15" hidden="false" customHeight="false" outlineLevel="0" collapsed="false">
      <c r="B225" s="25" t="s">
        <v>340</v>
      </c>
      <c r="D225" s="26" t="n">
        <f aca="false">IF(AND(ISNUMBER(D211),ISNUMBER(C211)),IFERROR(D211/C211-1,""),"")</f>
        <v>0.220015982283475</v>
      </c>
      <c r="E225" s="26" t="n">
        <f aca="false">IF(AND(ISNUMBER(E211),ISNUMBER(D211)),IFERROR(E211/D211-1,""),"")</f>
        <v>0.116060042780733</v>
      </c>
      <c r="F225" s="26" t="n">
        <f aca="false">IF(AND(ISNUMBER(F211),ISNUMBER(E211)),IFERROR(F211/E211-1,""),"")</f>
        <v>0.0256152682818462</v>
      </c>
      <c r="G225" s="26" t="n">
        <f aca="false">IF(AND(ISNUMBER(G211),ISNUMBER(F211)),IFERROR(G211/F211-1,""),"")</f>
        <v>0.0934215616080978</v>
      </c>
      <c r="H225" s="26" t="n">
        <f aca="false">IF(AND(ISNUMBER(H211),ISNUMBER(G211)),IFERROR(H211/G211-1,""),"")</f>
        <v>0.123534722759193</v>
      </c>
      <c r="I225" s="26" t="n">
        <f aca="false">IF(AND(ISNUMBER(I211),ISNUMBER(H211)),IFERROR(I211/H211-1,""),"")</f>
        <v>-0.0116601329154482</v>
      </c>
      <c r="N225" s="26" t="n">
        <f aca="false">IF(AND(ISNUMBER(N211),ISNUMBER(I211)),IFERROR(N211/I211-1,""),"")</f>
        <v>0.0225253360881164</v>
      </c>
      <c r="O225" s="26" t="n">
        <f aca="false">IF(AND(ISNUMBER(O211),ISNUMBER(J211)),IFERROR(O211/J211-1,""),"")</f>
        <v>-0.0275807871545322</v>
      </c>
      <c r="P225" s="26" t="n">
        <f aca="false">IF(AND(ISNUMBER(P211),ISNUMBER(K211)),IFERROR(P211/K211-1,""),"")</f>
        <v>0.145665563814409</v>
      </c>
      <c r="Q225" s="26" t="n">
        <f aca="false">IF(AND(ISNUMBER(Q211),ISNUMBER(L211)),IFERROR(Q211/L211-1,""),"")</f>
        <v>0.240534282409796</v>
      </c>
      <c r="R225" s="26" t="n">
        <f aca="false">IF(AND(ISNUMBER(R211),ISNUMBER(M211)),IFERROR(R211/M211-1,""),"")</f>
        <v>0.252231361848481</v>
      </c>
      <c r="S225" s="26" t="n">
        <f aca="false">IF(AND(ISNUMBER(S211),ISNUMBER(N211)),IFERROR(S211/N211-1,""),"")</f>
        <v>0.151186372104284</v>
      </c>
      <c r="T225" s="26" t="n">
        <f aca="false">IF(AND(ISNUMBER(T211),ISNUMBER(O211)),IFERROR(T211/O211-1,""),"")</f>
        <v>0.163095402864959</v>
      </c>
      <c r="U225" s="26" t="n">
        <f aca="false">IF(AND(ISNUMBER(U211),ISNUMBER(P211)),IFERROR(U211/P211-1,""),"")</f>
        <v>0.175162310988822</v>
      </c>
      <c r="V225" s="26" t="n">
        <f aca="false">IF(AND(ISNUMBER(V211),ISNUMBER(Q211)),IFERROR(V211/Q211-1,""),"")</f>
        <v>0.131606894883602</v>
      </c>
      <c r="W225" s="26" t="n">
        <f aca="false">IF(AND(ISNUMBER(W211),ISNUMBER(R211)),IFERROR(W211/R211-1,""),"")</f>
        <v>0.140213508320893</v>
      </c>
      <c r="X225" s="26" t="n">
        <f aca="false">IF(AND(ISNUMBER(X211),ISNUMBER(S211)),IFERROR(X211/S211-1,""),"")</f>
        <v>0.15049275723094</v>
      </c>
      <c r="Y225" s="26" t="n">
        <f aca="false">IF(AND(ISNUMBER(Y211),ISNUMBER(T211)),IFERROR(Y211/T211-1,""),"")</f>
        <v>0.138468470826748</v>
      </c>
      <c r="Z225" s="26" t="n">
        <f aca="false">IF(AND(ISNUMBER(Z211),ISNUMBER(U211)),IFERROR(Z211/U211-1,""),"")</f>
        <v>0.060804275824365</v>
      </c>
      <c r="AA225" s="26" t="n">
        <f aca="false">IF(AND(ISNUMBER(AA211),ISNUMBER(V211)),IFERROR(AA211/V211-1,""),"")</f>
        <v>-0.0623181277285388</v>
      </c>
      <c r="AB225" s="26" t="n">
        <f aca="false">IF(AND(ISNUMBER(AB211),ISNUMBER(W211)),IFERROR(AB211/W211-1,""),"")</f>
        <v>-0.0203551472068623</v>
      </c>
      <c r="AC225" s="26" t="n">
        <f aca="false">IF(AND(ISNUMBER(AC211),ISNUMBER(X211)),IFERROR(AC211/X211-1,""),"")</f>
        <v>0.0238395281868262</v>
      </c>
      <c r="AD225" s="26" t="n">
        <f aca="false">IF(AND(ISNUMBER(AD211),ISNUMBER(Y211)),IFERROR(AD211/Y211-1,""),"")</f>
        <v>0.0392226322448621</v>
      </c>
      <c r="AE225" s="26" t="n">
        <f aca="false">IF(AND(ISNUMBER(AE211),ISNUMBER(Z211)),IFERROR(AE211/Z211-1,""),"")</f>
        <v>-0.214837483670645</v>
      </c>
      <c r="AF225" s="26" t="n">
        <f aca="false">IF(AND(ISNUMBER(AF211),ISNUMBER(AA211)),IFERROR(AF211/AA211-1,""),"")</f>
        <v>-0.0640880992182331</v>
      </c>
      <c r="AG225" s="26" t="n">
        <f aca="false">IF(AND(ISNUMBER(AG211),ISNUMBER(AB211)),IFERROR(AG211/AB211-1,""),"")</f>
        <v>0.26012505370753</v>
      </c>
      <c r="AH225" s="26" t="n">
        <f aca="false">IF(AND(ISNUMBER(AH211),ISNUMBER(AC211)),IFERROR(AH211/AC211-1,""),"")</f>
        <v>-0.00534698693210944</v>
      </c>
      <c r="AI225" s="26" t="n">
        <f aca="false">IF(AND(ISNUMBER(AI211),ISNUMBER(AD211)),IFERROR(AI211/AD211-1,""),"")</f>
        <v>0.170456050319975</v>
      </c>
      <c r="AJ225" s="26" t="n">
        <f aca="false">IF(AND(ISNUMBER(AJ211),ISNUMBER(AE211)),IFERROR(AJ211/AE211-1,""),"")</f>
        <v>0.44293084554291</v>
      </c>
      <c r="AK225" s="26" t="n">
        <f aca="false">IF(AND(ISNUMBER(AK211),ISNUMBER(AF211)),IFERROR(AK211/AF211-1,""),"")</f>
        <v>0.484878881154983</v>
      </c>
      <c r="AL225" s="26" t="n">
        <f aca="false">IF(AND(ISNUMBER(AL211),ISNUMBER(AG211)),IFERROR(AL211/AG211-1,""),"")</f>
        <v>0.240353957731277</v>
      </c>
      <c r="AM225" s="26" t="n">
        <f aca="false">IF(AND(ISNUMBER(AM211),ISNUMBER(AH211)),IFERROR(AM211/AH211-1,""),"")</f>
        <v>0.325288564644903</v>
      </c>
      <c r="AN225" s="26" t="n">
        <f aca="false">IF(AND(ISNUMBER(AN211),ISNUMBER(AI211)),IFERROR(AN211/AI211-1,""),"")</f>
        <v>0.155916142813257</v>
      </c>
      <c r="AO225" s="26" t="n">
        <f aca="false">IF(AND(ISNUMBER(AO211),ISNUMBER(AJ211)),IFERROR(AO211/AJ211-1,""),"")</f>
        <v>0.0810411190263378</v>
      </c>
      <c r="AP225" s="26" t="n">
        <f aca="false">IF(AND(ISNUMBER(AP211),ISNUMBER(AK211)),IFERROR(AP211/AK211-1,""),"")</f>
        <v>-0.174853051619486</v>
      </c>
      <c r="AQ225" s="26" t="n">
        <f aca="false">IF(AND(ISNUMBER(AQ211),ISNUMBER(AL211)),IFERROR(AQ211/AL211-1,""),"")</f>
        <v>-0.460519527018747</v>
      </c>
      <c r="AR225" s="26" t="n">
        <f aca="false">IF(AND(ISNUMBER(AR211),ISNUMBER(AM211)),IFERROR(AR211/AM211-1,""),"")</f>
        <v>-0.121817402371561</v>
      </c>
      <c r="AS225" s="26" t="n">
        <f aca="false">IF(AND(ISNUMBER(AS211),ISNUMBER(AN211)),IFERROR(AS211/AN211-1,""),"")</f>
        <v>-0.506377756292981</v>
      </c>
      <c r="AT225" s="26" t="n">
        <f aca="false">IF(AND(ISNUMBER(AT211),ISNUMBER(AO211)),IFERROR(AT211/AO211-1,""),"")</f>
        <v>-0.132595377248297</v>
      </c>
      <c r="AU225" s="26" t="n">
        <f aca="false">IF(AND(ISNUMBER(AU211),ISNUMBER(AP211)),IFERROR(AU211/AP211-1,""),"")</f>
        <v>-0.0385248502514323</v>
      </c>
      <c r="AV225" s="26" t="n">
        <f aca="false">IF(AND(ISNUMBER(AV211),ISNUMBER(AQ211)),IFERROR(AV211/AQ211-1,""),"")</f>
        <v>0.485369080241617</v>
      </c>
      <c r="AW225" s="26" t="n">
        <f aca="false">IF(AND(ISNUMBER(AW211),ISNUMBER(AR211)),IFERROR(AW211/AR211-1,""),"")</f>
        <v>-0.105211909465481</v>
      </c>
      <c r="AX225" s="26" t="n">
        <f aca="false">IF(AND(ISNUMBER(AX211),ISNUMBER(AS211)),IFERROR(AX211/AS211-1,""),"")</f>
        <v>1.22136743712317</v>
      </c>
      <c r="AY225" s="26" t="n">
        <f aca="false">IF(AND(ISNUMBER(AY211),ISNUMBER(AT211)),IFERROR(AY211/AT211-1,""),"")</f>
        <v>0.353854780070626</v>
      </c>
      <c r="AZ225" s="26" t="n">
        <f aca="false">IF(AND(ISNUMBER(AZ211),ISNUMBER(AU211)),IFERROR(AZ211/AU211-1,""),"")</f>
        <v>0.859594914865834</v>
      </c>
      <c r="BA225" s="26" t="n">
        <f aca="false">IF(AND(ISNUMBER(BA211),ISNUMBER(AV211)),IFERROR(BA211/AV211-1,""),"")</f>
        <v>0.610262863063465</v>
      </c>
      <c r="BB225" s="26" t="n">
        <f aca="false">IF(AND(ISNUMBER(BB211),ISNUMBER(AW211)),IFERROR(BB211/AW211-1,""),"")</f>
        <v>0.696216712526786</v>
      </c>
      <c r="BC225" s="26" t="n">
        <f aca="false">IF(AND(ISNUMBER(BC211),ISNUMBER(AX211)),IFERROR(BC211/AX211-1,""),"")</f>
        <v>0.602331281270688</v>
      </c>
      <c r="BD225" s="26" t="n">
        <f aca="false">IF(AND(ISNUMBER(BD211),ISNUMBER(AY211)),IFERROR(BD211/AY211-1,""),"")</f>
        <v>0.75267604762837</v>
      </c>
      <c r="BE225" s="26" t="n">
        <f aca="false">IF(AND(ISNUMBER(BE211),ISNUMBER(AZ211)),IFERROR(BE211/AZ211-1,""),"")</f>
        <v>-0.0411514711502162</v>
      </c>
      <c r="BF225" s="26" t="n">
        <f aca="false">IF(AND(ISNUMBER(BF211),ISNUMBER(BA211)),IFERROR(BF211/BA211-1,""),"")</f>
        <v>-0.390122951339407</v>
      </c>
      <c r="BG225" s="26" t="n">
        <f aca="false">IF(AND(ISNUMBER(BG211),ISNUMBER(BB211)),IFERROR(BG211/BB211-1,""),"")</f>
        <v>0.194949904461403</v>
      </c>
      <c r="BH225" s="26" t="n">
        <f aca="false">IF(AND(ISNUMBER(BH211),ISNUMBER(BC211)),IFERROR(BH211/BC211-1,""),"")</f>
        <v>-0.512932299053064</v>
      </c>
      <c r="BI225" s="26" t="n">
        <f aca="false">IF(AND(ISNUMBER(BI211),ISNUMBER(BD211)),IFERROR(BI211/BD211-1,""),"")</f>
        <v>-0.635104680482622</v>
      </c>
      <c r="BJ225" s="26" t="n">
        <f aca="false">IF(AND(ISNUMBER(BJ211),ISNUMBER(BE211)),IFERROR(BJ211/BE211-1,""),"")</f>
        <v>-0.501132885514843</v>
      </c>
      <c r="BK225" s="26" t="n">
        <f aca="false">IF(AND(ISNUMBER(BK211),ISNUMBER(BF211)),IFERROR(BK211/BF211-1,""),"")</f>
        <v>-0.529916130446328</v>
      </c>
      <c r="BL225" s="26" t="n">
        <f aca="false">IF(AND(ISNUMBER(BL211),ISNUMBER(BG211)),IFERROR(BL211/BG211-1,""),"")</f>
        <v>-0.561988748777856</v>
      </c>
      <c r="BM225" s="26" t="n">
        <f aca="false">IF(AND(ISNUMBER(BM211),ISNUMBER(BH211)),IFERROR(BM211/BH211-1,""),"")</f>
        <v>-0.137835124052495</v>
      </c>
      <c r="BN225" s="26" t="n">
        <f aca="false">IF(AND(ISNUMBER(BN211),ISNUMBER(BI211)),IFERROR(BN211/BI211-1,""),"")</f>
        <v>0.250296591278588</v>
      </c>
      <c r="BO225" s="26" t="n">
        <f aca="false">IF(AND(ISNUMBER(BO211),ISNUMBER(BJ211)),IFERROR(BO211/BJ211-1,""),"")</f>
        <v>0.449109817246815</v>
      </c>
      <c r="BP225" s="26" t="n">
        <f aca="false">IF(AND(ISNUMBER(BP211),ISNUMBER(BK211)),IFERROR(BP211/BK211-1,""),"")</f>
        <v>1.43401750851138</v>
      </c>
      <c r="BQ225" s="26" t="n">
        <f aca="false">IF(AND(ISNUMBER(BQ211),ISNUMBER(BL211)),IFERROR(BQ211/BL211-1,""),"")</f>
        <v>0.365620328952852</v>
      </c>
      <c r="BR225" s="26" t="n">
        <f aca="false">IF(AND(ISNUMBER(BR211),ISNUMBER(BM211)),IFERROR(BR211/BM211-1,""),"")</f>
        <v>0.364149224235383</v>
      </c>
      <c r="BS225" s="26" t="n">
        <f aca="false">IF(AND(ISNUMBER(BS211),ISNUMBER(BN211)),IFERROR(BS211/BN211-1,""),"")</f>
        <v>0.120169174367325</v>
      </c>
      <c r="BT225" s="26" t="n">
        <f aca="false">IF(AND(ISNUMBER(BT211),ISNUMBER(BO211)),IFERROR(BT211/BO211-1,""),"")</f>
        <v>0.0934646463410862</v>
      </c>
      <c r="BU225" s="26" t="n">
        <f aca="false">IF(AND(ISNUMBER(BU211),ISNUMBER(BP211)),IFERROR(BU211/BP211-1,""),"")</f>
        <v>0.0131801584909166</v>
      </c>
      <c r="BV225" s="26" t="n">
        <f aca="false">IF(AND(ISNUMBER(BV211),ISNUMBER(BQ211)),IFERROR(BV211/BQ211-1,""),"")</f>
        <v>0.128433021517946</v>
      </c>
      <c r="BW225" s="26" t="n">
        <f aca="false">IF(AND(ISNUMBER(BW211),ISNUMBER(BR211)),IFERROR(BW211/BR211-1,""),"")</f>
        <v>0.148372372394066</v>
      </c>
      <c r="BX225" s="26" t="n">
        <f aca="false">IF(AND(ISNUMBER(BX211),ISNUMBER(BS211)),IFERROR(BX211/BS211-1,""),"")</f>
        <v>0.247390417379488</v>
      </c>
      <c r="BY225" s="27" t="n">
        <f aca="false">IFERROR(BY211/BT211-1,"")</f>
        <v>0.289959533718847</v>
      </c>
      <c r="BZ225" s="27" t="n">
        <f aca="false">IFERROR(BZ211/BU211-1,"")</f>
        <v>0.283152356833968</v>
      </c>
      <c r="CA225" s="27" t="n">
        <f aca="false">IFERROR(CA211/BV211-1,"")</f>
        <v>0.244571547031614</v>
      </c>
      <c r="CB225" s="27" t="n">
        <f aca="false">IFERROR(CB211/CA211-1,"")</f>
        <v>0.143326421438341</v>
      </c>
      <c r="CC225" s="27" t="n">
        <f aca="false">IFERROR(CC211/CB211-1,"")</f>
        <v>0.118709007821916</v>
      </c>
      <c r="CD225" s="27" t="n">
        <f aca="false">IFERROR(CD211/CC211-1,"")</f>
        <v>0.104280194571612</v>
      </c>
      <c r="CE225" s="27" t="n">
        <f aca="false">IFERROR(CE211/CD211-1,"")</f>
        <v>0.0918295970217287</v>
      </c>
    </row>
    <row r="226" customFormat="false" ht="15" hidden="false" customHeight="false" outlineLevel="0" collapsed="false">
      <c r="B226" s="25" t="s">
        <v>160</v>
      </c>
      <c r="C226" s="26" t="n">
        <f aca="false">IF(AND(ISNUMBER(C133),ISNUMBER(C125)),IFERROR(C133/C125,""),"")</f>
        <v>0.165117749718816</v>
      </c>
      <c r="D226" s="26" t="n">
        <f aca="false">IF(AND(ISNUMBER(D133),ISNUMBER(D125)),IFERROR(D133/D125,""),"")</f>
        <v>0.170002745952385</v>
      </c>
      <c r="E226" s="26" t="n">
        <f aca="false">IF(AND(ISNUMBER(E133),ISNUMBER(E125)),IFERROR(E133/E125,""),"")</f>
        <v>0.160277988961853</v>
      </c>
      <c r="F226" s="26" t="n">
        <f aca="false">IF(AND(ISNUMBER(F133),ISNUMBER(F125)),IFERROR(F133/F125,""),"")</f>
        <v>0.182384126883994</v>
      </c>
      <c r="G226" s="26" t="n">
        <f aca="false">IF(AND(ISNUMBER(G133),ISNUMBER(G125)),IFERROR(G133/G125,""),"")</f>
        <v>0.158284421312433</v>
      </c>
      <c r="H226" s="26" t="n">
        <f aca="false">IF(AND(ISNUMBER(H133),ISNUMBER(H125)),IFERROR(H133/H125,""),"")</f>
        <v>0.157953110315773</v>
      </c>
      <c r="I226" s="26" t="n">
        <f aca="false">IF(AND(ISNUMBER(I133),ISNUMBER(I125)),IFERROR(I133/I125,""),"")</f>
        <v>0.151206436629339</v>
      </c>
      <c r="J226" s="26" t="n">
        <f aca="false">IF(AND(ISNUMBER(J133),ISNUMBER(J125)),IFERROR(J133/J125,""),"")</f>
        <v>0.152198184063078</v>
      </c>
      <c r="K226" s="26" t="n">
        <f aca="false">IF(AND(ISNUMBER(K133),ISNUMBER(K125)),IFERROR(K133/K125,""),"")</f>
        <v>0.143723949004064</v>
      </c>
      <c r="L226" s="26" t="n">
        <f aca="false">IF(AND(ISNUMBER(L133),ISNUMBER(L125)),IFERROR(L133/L125,""),"")</f>
        <v>0.139690321452423</v>
      </c>
      <c r="M226" s="26" t="n">
        <f aca="false">IF(AND(ISNUMBER(M133),ISNUMBER(M125)),IFERROR(M133/M125,""),"")</f>
        <v>0.140971022702404</v>
      </c>
      <c r="N226" s="26" t="n">
        <f aca="false">IF(AND(ISNUMBER(N133),ISNUMBER(N125)),IFERROR(N133/N125,""),"")</f>
        <v>0.143984006996194</v>
      </c>
      <c r="O226" s="26" t="n">
        <f aca="false">IF(AND(ISNUMBER(O133),ISNUMBER(O125)),IFERROR(O133/O125,""),"")</f>
        <v>0.145496462307304</v>
      </c>
      <c r="P226" s="26" t="n">
        <f aca="false">IF(AND(ISNUMBER(P133),ISNUMBER(P125)),IFERROR(P133/P125,""),"")</f>
        <v>0.148743704534334</v>
      </c>
      <c r="Q226" s="26" t="n">
        <f aca="false">IF(AND(ISNUMBER(Q133),ISNUMBER(Q125)),IFERROR(Q133/Q125,""),"")</f>
        <v>0.152151405016263</v>
      </c>
      <c r="R226" s="26" t="n">
        <f aca="false">IF(AND(ISNUMBER(R133),ISNUMBER(R125)),IFERROR(R133/R125,""),"")</f>
        <v>0.149474473088006</v>
      </c>
      <c r="S226" s="26" t="n">
        <f aca="false">IF(AND(ISNUMBER(S133),ISNUMBER(S125)),IFERROR(S133/S125,""),"")</f>
        <v>0.149045435334509</v>
      </c>
      <c r="T226" s="26" t="n">
        <f aca="false">IF(AND(ISNUMBER(T133),ISNUMBER(T125)),IFERROR(T133/T125,""),"")</f>
        <v>0.159081338669268</v>
      </c>
      <c r="U226" s="26" t="n">
        <f aca="false">IF(AND(ISNUMBER(U133),ISNUMBER(U125)),IFERROR(U133/U125,""),"")</f>
        <v>0.164740057228481</v>
      </c>
      <c r="V226" s="26" t="n">
        <f aca="false">IF(AND(ISNUMBER(V133),ISNUMBER(V125)),IFERROR(V133/V125,""),"")</f>
        <v>0.172135551244673</v>
      </c>
      <c r="W226" s="26" t="n">
        <f aca="false">IF(AND(ISNUMBER(W133),ISNUMBER(W125)),IFERROR(W133/W125,""),"")</f>
        <v>0.177764911691691</v>
      </c>
      <c r="X226" s="26" t="n">
        <f aca="false">IF(AND(ISNUMBER(X133),ISNUMBER(X125)),IFERROR(X133/X125,""),"")</f>
        <v>0.168333768177758</v>
      </c>
      <c r="Y226" s="26" t="n">
        <f aca="false">IF(AND(ISNUMBER(Y133),ISNUMBER(Y125)),IFERROR(Y133/Y125,""),"")</f>
        <v>0.183261368216652</v>
      </c>
      <c r="Z226" s="26" t="n">
        <f aca="false">IF(AND(ISNUMBER(Z133),ISNUMBER(Z125)),IFERROR(Z133/Z125,""),"")</f>
        <v>0.180079285010551</v>
      </c>
      <c r="AA226" s="26" t="n">
        <f aca="false">IF(AND(ISNUMBER(AA133),ISNUMBER(AA125)),IFERROR(AA133/AA125,""),"")</f>
        <v>0.166419230968659</v>
      </c>
      <c r="AB226" s="26" t="n">
        <f aca="false">IF(AND(ISNUMBER(AB133),ISNUMBER(AB125)),IFERROR(AB133/AB125,""),"")</f>
        <v>0.164427558034832</v>
      </c>
      <c r="AC226" s="26" t="n">
        <f aca="false">IF(AND(ISNUMBER(AC133),ISNUMBER(AC125)),IFERROR(AC133/AC125,""),"")</f>
        <v>0.173269662175101</v>
      </c>
      <c r="AD226" s="26" t="n">
        <f aca="false">IF(AND(ISNUMBER(AD133),ISNUMBER(AD125)),IFERROR(AD133/AD125,""),"")</f>
        <v>0.166484682112661</v>
      </c>
      <c r="AE226" s="26" t="n">
        <f aca="false">IF(AND(ISNUMBER(AE133),ISNUMBER(AE125)),IFERROR(AE133/AE125,""),"")</f>
        <v>0.154659357447861</v>
      </c>
      <c r="AF226" s="26" t="n">
        <f aca="false">IF(AND(ISNUMBER(AF133),ISNUMBER(AF125)),IFERROR(AF133/AF125,""),"")</f>
        <v>0.156917344153749</v>
      </c>
      <c r="AG226" s="26" t="n">
        <f aca="false">IF(AND(ISNUMBER(AG133),ISNUMBER(AG125)),IFERROR(AG133/AG125,""),"")</f>
        <v>0.159566451318329</v>
      </c>
      <c r="AH226" s="26" t="n">
        <f aca="false">IF(AND(ISNUMBER(AH133),ISNUMBER(AH125)),IFERROR(AH133/AH125,""),"")</f>
        <v>0.159256808286559</v>
      </c>
      <c r="AI226" s="26" t="n">
        <f aca="false">IF(AND(ISNUMBER(AI133),ISNUMBER(AI125)),IFERROR(AI133/AI125,""),"")</f>
        <v>0.159458052794073</v>
      </c>
      <c r="AJ226" s="26" t="n">
        <f aca="false">IF(AND(ISNUMBER(AJ133),ISNUMBER(AJ125)),IFERROR(AJ133/AJ125,""),"")</f>
        <v>0.157033954570552</v>
      </c>
      <c r="AK226" s="26" t="n">
        <f aca="false">IF(AND(ISNUMBER(AK133),ISNUMBER(AK125)),IFERROR(AK133/AK125,""),"")</f>
        <v>0.161710198280482</v>
      </c>
      <c r="AL226" s="26" t="n">
        <f aca="false">IF(AND(ISNUMBER(AL133),ISNUMBER(AL125)),IFERROR(AL133/AL125,""),"")</f>
        <v>0.172498518575087</v>
      </c>
      <c r="AM226" s="26" t="n">
        <f aca="false">IF(AND(ISNUMBER(AM133),ISNUMBER(AM125)),IFERROR(AM133/AM125,""),"")</f>
        <v>0.162660514845256</v>
      </c>
      <c r="AN226" s="26" t="n">
        <f aca="false">IF(AND(ISNUMBER(AN133),ISNUMBER(AN125)),IFERROR(AN133/AN125,""),"")</f>
        <v>0.180954945204347</v>
      </c>
      <c r="AO226" s="26" t="n">
        <f aca="false">IF(AND(ISNUMBER(AO133),ISNUMBER(AO125)),IFERROR(AO133/AO125,""),"")</f>
        <v>0.17785736944976</v>
      </c>
      <c r="AP226" s="26" t="n">
        <f aca="false">IF(AND(ISNUMBER(AP133),ISNUMBER(AP125)),IFERROR(AP133/AP125,""),"")</f>
        <v>0.164265901685938</v>
      </c>
      <c r="AQ226" s="26" t="n">
        <f aca="false">IF(AND(ISNUMBER(AQ133),ISNUMBER(AQ125)),IFERROR(AQ133/AQ125,""),"")</f>
        <v>0.15260038288299</v>
      </c>
      <c r="AR226" s="26" t="n">
        <f aca="false">IF(AND(ISNUMBER(AR133),ISNUMBER(AR125)),IFERROR(AR133/AR125,""),"")</f>
        <v>0.168934886738359</v>
      </c>
      <c r="AS226" s="26" t="n">
        <f aca="false">IF(AND(ISNUMBER(AS133),ISNUMBER(AS125)),IFERROR(AS133/AS125,""),"")</f>
        <v>0.149264600757738</v>
      </c>
      <c r="AT226" s="26" t="n">
        <f aca="false">IF(AND(ISNUMBER(AT133),ISNUMBER(AT125)),IFERROR(AT133/AT125,""),"")</f>
        <v>0.169371301868933</v>
      </c>
      <c r="AU226" s="26" t="n">
        <f aca="false">IF(AND(ISNUMBER(AU133),ISNUMBER(AU125)),IFERROR(AU133/AU125,""),"")</f>
        <v>0.13947950198826</v>
      </c>
      <c r="AV226" s="26" t="n">
        <f aca="false">IF(AND(ISNUMBER(AV133),ISNUMBER(AV125)),IFERROR(AV133/AV125,""),"")</f>
        <v>0.140803331917778</v>
      </c>
      <c r="AW226" s="26" t="n">
        <f aca="false">IF(AND(ISNUMBER(AW133),ISNUMBER(AW125)),IFERROR(AW133/AW125,""),"")</f>
        <v>0.148839465849116</v>
      </c>
      <c r="AX226" s="26" t="n">
        <f aca="false">IF(AND(ISNUMBER(AX133),ISNUMBER(AX125)),IFERROR(AX133/AX125,""),"")</f>
        <v>0.146211314255239</v>
      </c>
      <c r="AY226" s="26" t="n">
        <f aca="false">IF(AND(ISNUMBER(AY133),ISNUMBER(AY125)),IFERROR(AY133/AY125,""),"")</f>
        <v>0.135408115276267</v>
      </c>
      <c r="AZ226" s="26" t="n">
        <f aca="false">IF(AND(ISNUMBER(AZ133),ISNUMBER(AZ125)),IFERROR(AZ133/AZ125,""),"")</f>
        <v>0.134775400143206</v>
      </c>
      <c r="BA226" s="26" t="n">
        <f aca="false">IF(AND(ISNUMBER(BA133),ISNUMBER(BA125)),IFERROR(BA133/BA125,""),"")</f>
        <v>0.131707323825472</v>
      </c>
      <c r="BB226" s="26" t="n">
        <f aca="false">IF(AND(ISNUMBER(BB133),ISNUMBER(BB125)),IFERROR(BB133/BB125,""),"")</f>
        <v>0.136441441047578</v>
      </c>
      <c r="BC226" s="26" t="n">
        <f aca="false">IF(AND(ISNUMBER(BC133),ISNUMBER(BC125)),IFERROR(BC133/BC125,""),"")</f>
        <v>0.132952207857067</v>
      </c>
      <c r="BD226" s="26" t="n">
        <f aca="false">IF(AND(ISNUMBER(BD133),ISNUMBER(BD125)),IFERROR(BD133/BD125,""),"")</f>
        <v>0.151741824453278</v>
      </c>
      <c r="BE226" s="26" t="n">
        <f aca="false">IF(AND(ISNUMBER(BE133),ISNUMBER(BE125)),IFERROR(BE133/BE125,""),"")</f>
        <v>0.147487704841726</v>
      </c>
      <c r="BF226" s="26" t="n">
        <f aca="false">IF(AND(ISNUMBER(BF133),ISNUMBER(BF125)),IFERROR(BF133/BF125,""),"")</f>
        <v>0.15160867139376</v>
      </c>
      <c r="BG226" s="26" t="n">
        <f aca="false">IF(AND(ISNUMBER(BG133),ISNUMBER(BG125)),IFERROR(BG133/BG125,""),"")</f>
        <v>0.145492633102701</v>
      </c>
      <c r="BH226" s="26" t="n">
        <f aca="false">IF(AND(ISNUMBER(BH133),ISNUMBER(BH125)),IFERROR(BH133/BH125,""),"")</f>
        <v>0.148674991922666</v>
      </c>
      <c r="BI226" s="26" t="n">
        <f aca="false">IF(AND(ISNUMBER(BI133),ISNUMBER(BI125)),IFERROR(BI133/BI125,""),"")</f>
        <v>0.150501508868674</v>
      </c>
      <c r="BJ226" s="26" t="n">
        <f aca="false">IF(AND(ISNUMBER(BJ133),ISNUMBER(BJ125)),IFERROR(BJ133/BJ125,""),"")</f>
        <v>0.14624386378348</v>
      </c>
      <c r="BK226" s="26" t="n">
        <f aca="false">IF(AND(ISNUMBER(BK133),ISNUMBER(BK125)),IFERROR(BK133/BK125,""),"")</f>
        <v>0.146527607205025</v>
      </c>
      <c r="BL226" s="26" t="n">
        <f aca="false">IF(AND(ISNUMBER(BL133),ISNUMBER(BL125)),IFERROR(BL133/BL125,""),"")</f>
        <v>0.148019005886587</v>
      </c>
      <c r="BM226" s="26" t="n">
        <f aca="false">IF(AND(ISNUMBER(BM133),ISNUMBER(BM125)),IFERROR(BM133/BM125,""),"")</f>
        <v>0.149066781557329</v>
      </c>
      <c r="BN226" s="26" t="n">
        <f aca="false">IF(AND(ISNUMBER(BN133),ISNUMBER(BN125)),IFERROR(BN133/BN125,""),"")</f>
        <v>0.153324925925893</v>
      </c>
      <c r="BO226" s="26" t="n">
        <f aca="false">IF(AND(ISNUMBER(BO133),ISNUMBER(BO125)),IFERROR(BO133/BO125,""),"")</f>
        <v>0.158301362796393</v>
      </c>
      <c r="BP226" s="26" t="n">
        <f aca="false">IF(AND(ISNUMBER(BP133),ISNUMBER(BP125)),IFERROR(BP133/BP125,""),"")</f>
        <v>0.163603173116261</v>
      </c>
      <c r="BQ226" s="26" t="n">
        <f aca="false">IF(AND(ISNUMBER(BQ133),ISNUMBER(BQ125)),IFERROR(BQ133/BQ125,""),"")</f>
        <v>0.155995535334474</v>
      </c>
      <c r="BR226" s="26" t="n">
        <f aca="false">IF(AND(ISNUMBER(BR133),ISNUMBER(BR125)),IFERROR(BR133/BR125,""),"")</f>
        <v>0.166328452037937</v>
      </c>
      <c r="BS226" s="26" t="n">
        <f aca="false">IF(AND(ISNUMBER(BS133),ISNUMBER(BS125)),IFERROR(BS133/BS125,""),"")</f>
        <v>0.167587040676236</v>
      </c>
      <c r="BT226" s="26" t="n">
        <f aca="false">IF(AND(ISNUMBER(BT133),ISNUMBER(BT125)),IFERROR(BT133/BT125,""),"")</f>
        <v>0.170680030148572</v>
      </c>
      <c r="BU226" s="26" t="n">
        <f aca="false">IF(AND(ISNUMBER(BU133),ISNUMBER(BU125)),IFERROR(BU133/BU125,""),"")</f>
        <v>0.167921149793208</v>
      </c>
      <c r="BV226" s="26" t="n">
        <f aca="false">IF(AND(ISNUMBER(BV133),ISNUMBER(BV125)),IFERROR(BV133/BV125,""),"")</f>
        <v>0.168142047043994</v>
      </c>
      <c r="BW226" s="26" t="n">
        <f aca="false">IF(AND(ISNUMBER(BW133),ISNUMBER(BW125)),IFERROR(BW133/BW125,""),"")</f>
        <v>0.164591044856457</v>
      </c>
      <c r="BX226" s="26" t="n">
        <f aca="false">IF(AND(ISNUMBER(BX133),ISNUMBER(BX125)),IFERROR(BX133/BX125,""),"")</f>
        <v>0.149564520202071</v>
      </c>
      <c r="BY226" s="27" t="n">
        <f aca="false">IF(AND(ISNUMBER(BY133),ISNUMBER(BY125)),IFERROR(BY133/BY125,""),"")</f>
        <v>0.149329362543009</v>
      </c>
      <c r="BZ226" s="27" t="n">
        <f aca="false">IF(AND(ISNUMBER(BZ133),ISNUMBER(BZ125)),IFERROR(BZ133/BZ125,""),"")</f>
        <v>0.149438024088905</v>
      </c>
      <c r="CA226" s="27" t="n">
        <f aca="false">IF(AND(ISNUMBER(CA133),ISNUMBER(CA125)),IFERROR(CA133/CA125,""),"")</f>
        <v>0.152676657294935</v>
      </c>
      <c r="CB226" s="27" t="n">
        <f aca="false">IF(AND(ISNUMBER(CB133),ISNUMBER(CB125)),IFERROR(CB133/CB125,""),"")</f>
        <v>0.153518078722691</v>
      </c>
      <c r="CC226" s="27" t="n">
        <f aca="false">IF(AND(ISNUMBER(CC133),ISNUMBER(CC125)),IFERROR(CC133/CC125,""),"")</f>
        <v>0.15796558234236</v>
      </c>
      <c r="CD226" s="27" t="n">
        <f aca="false">IF(AND(ISNUMBER(CD133),ISNUMBER(CD125)),IFERROR(CD133/CD125,""),"")</f>
        <v>0.161905223893896</v>
      </c>
      <c r="CE226" s="27" t="n">
        <f aca="false">IF(AND(ISNUMBER(CE133),ISNUMBER(CE125)),IFERROR(CE133/CE125,""),"")</f>
        <v>0.161710048124241</v>
      </c>
    </row>
    <row r="227" customFormat="false" ht="15" hidden="false" customHeight="false" outlineLevel="0" collapsed="false">
      <c r="B227" s="25" t="s">
        <v>341</v>
      </c>
      <c r="C227" s="26" t="n">
        <f aca="false">IF(AND(ISNUMBER(C181),ISNUMBER(C133)),IFERROR(C181/C133,""),"")</f>
        <v>0.385984311030314</v>
      </c>
      <c r="D227" s="26" t="n">
        <f aca="false">IF(AND(ISNUMBER(D181),ISNUMBER(D133)),IFERROR(D181/D133,""),"")</f>
        <v>0.409786955549945</v>
      </c>
      <c r="E227" s="26" t="n">
        <f aca="false">IF(AND(ISNUMBER(E181),ISNUMBER(E133)),IFERROR(E181/E133,""),"")</f>
        <v>0.41571009547166</v>
      </c>
      <c r="F227" s="26" t="n">
        <f aca="false">IF(AND(ISNUMBER(F181),ISNUMBER(F133)),IFERROR(F181/F133,""),"")</f>
        <v>0.423175361931866</v>
      </c>
      <c r="G227" s="26" t="n">
        <f aca="false">IF(AND(ISNUMBER(G181),ISNUMBER(G133)),IFERROR(G181/G133,""),"")</f>
        <v>0.424297911821567</v>
      </c>
      <c r="H227" s="26" t="n">
        <f aca="false">IF(AND(ISNUMBER(H181),ISNUMBER(H133)),IFERROR(H181/H133,""),"")</f>
        <v>0.424295841505079</v>
      </c>
      <c r="I227" s="26" t="n">
        <f aca="false">IF(AND(ISNUMBER(I181),ISNUMBER(I133)),IFERROR(I181/I133,""),"")</f>
        <v>0.393183163898319</v>
      </c>
      <c r="J227" s="26" t="n">
        <f aca="false">IF(AND(ISNUMBER(J181),ISNUMBER(J133)),IFERROR(J181/J133,""),"")</f>
        <v>0.370194987294886</v>
      </c>
      <c r="K227" s="26" t="n">
        <f aca="false">IF(AND(ISNUMBER(K181),ISNUMBER(K133)),IFERROR(K181/K133,""),"")</f>
        <v>0.38610924202606</v>
      </c>
      <c r="L227" s="26" t="n">
        <f aca="false">IF(AND(ISNUMBER(L181),ISNUMBER(L133)),IFERROR(L181/L133,""),"")</f>
        <v>0.380644757460512</v>
      </c>
      <c r="M227" s="26" t="n">
        <f aca="false">IF(AND(ISNUMBER(M181),ISNUMBER(M133)),IFERROR(M181/M133,""),"")</f>
        <v>0.348988109299945</v>
      </c>
      <c r="N227" s="26" t="n">
        <f aca="false">IF(AND(ISNUMBER(N181),ISNUMBER(N133)),IFERROR(N181/N133,""),"")</f>
        <v>0.371794487757986</v>
      </c>
      <c r="O227" s="26" t="n">
        <f aca="false">IF(AND(ISNUMBER(O181),ISNUMBER(O133)),IFERROR(O181/O133,""),"")</f>
        <v>0.343304865113126</v>
      </c>
      <c r="P227" s="26" t="n">
        <f aca="false">IF(AND(ISNUMBER(P181),ISNUMBER(P133)),IFERROR(P181/P133,""),"")</f>
        <v>0.384583052643094</v>
      </c>
      <c r="Q227" s="26" t="n">
        <f aca="false">IF(AND(ISNUMBER(Q181),ISNUMBER(Q133)),IFERROR(Q181/Q133,""),"")</f>
        <v>0.385426223169132</v>
      </c>
      <c r="R227" s="26" t="n">
        <f aca="false">IF(AND(ISNUMBER(R181),ISNUMBER(R133)),IFERROR(R181/R133,""),"")</f>
        <v>0.374097278683821</v>
      </c>
      <c r="S227" s="26" t="n">
        <f aca="false">IF(AND(ISNUMBER(S181),ISNUMBER(S133)),IFERROR(S181/S133,""),"")</f>
        <v>0.372782733262537</v>
      </c>
      <c r="T227" s="26" t="n">
        <f aca="false">IF(AND(ISNUMBER(T181),ISNUMBER(T133)),IFERROR(T181/T133,""),"")</f>
        <v>0.346451219744434</v>
      </c>
      <c r="U227" s="26" t="n">
        <f aca="false">IF(AND(ISNUMBER(U181),ISNUMBER(U133)),IFERROR(U181/U133,""),"")</f>
        <v>0.392273868271184</v>
      </c>
      <c r="V227" s="26" t="n">
        <f aca="false">IF(AND(ISNUMBER(V181),ISNUMBER(V133)),IFERROR(V181/V133,""),"")</f>
        <v>0.395380367837574</v>
      </c>
      <c r="W227" s="26" t="n">
        <f aca="false">IF(AND(ISNUMBER(W181),ISNUMBER(W133)),IFERROR(W181/W133,""),"")</f>
        <v>0.375941917771739</v>
      </c>
      <c r="X227" s="26" t="n">
        <f aca="false">IF(AND(ISNUMBER(X181),ISNUMBER(X133)),IFERROR(X181/X133,""),"")</f>
        <v>0.378363485682042</v>
      </c>
      <c r="Y227" s="26" t="n">
        <f aca="false">IF(AND(ISNUMBER(Y181),ISNUMBER(Y133)),IFERROR(Y181/Y133,""),"")</f>
        <v>0.353168185892942</v>
      </c>
      <c r="Z227" s="26" t="n">
        <f aca="false">IF(AND(ISNUMBER(Z181),ISNUMBER(Z133)),IFERROR(Z181/Z133,""),"")</f>
        <v>0.393371086223</v>
      </c>
      <c r="AA227" s="26" t="n">
        <f aca="false">IF(AND(ISNUMBER(AA181),ISNUMBER(AA133)),IFERROR(AA181/AA133,""),"")</f>
        <v>0.378301477987759</v>
      </c>
      <c r="AB227" s="26" t="n">
        <f aca="false">IF(AND(ISNUMBER(AB181),ISNUMBER(AB133)),IFERROR(AB181/AB133,""),"")</f>
        <v>0.344718583263878</v>
      </c>
      <c r="AC227" s="26" t="n">
        <f aca="false">IF(AND(ISNUMBER(AC181),ISNUMBER(AC133)),IFERROR(AC181/AC133,""),"")</f>
        <v>0.36773686207151</v>
      </c>
      <c r="AD227" s="26" t="n">
        <f aca="false">IF(AND(ISNUMBER(AD181),ISNUMBER(AD133)),IFERROR(AD181/AD133,""),"")</f>
        <v>0.33058255330076</v>
      </c>
      <c r="AE227" s="26" t="n">
        <f aca="false">IF(AND(ISNUMBER(AE181),ISNUMBER(AE133)),IFERROR(AE181/AE133,""),"")</f>
        <v>0.316876064197815</v>
      </c>
      <c r="AF227" s="26" t="n">
        <f aca="false">IF(AND(ISNUMBER(AF181),ISNUMBER(AF133)),IFERROR(AF181/AF133,""),"")</f>
        <v>0.327467053747941</v>
      </c>
      <c r="AG227" s="26" t="n">
        <f aca="false">IF(AND(ISNUMBER(AG181),ISNUMBER(AG133)),IFERROR(AG181/AG133,""),"")</f>
        <v>0.333744296501221</v>
      </c>
      <c r="AH227" s="26" t="n">
        <f aca="false">IF(AND(ISNUMBER(AH181),ISNUMBER(AH133)),IFERROR(AH181/AH133,""),"")</f>
        <v>0.32732374738709</v>
      </c>
      <c r="AI227" s="26" t="n">
        <f aca="false">IF(AND(ISNUMBER(AI181),ISNUMBER(AI133)),IFERROR(AI181/AI133,""),"")</f>
        <v>0.306082997164197</v>
      </c>
      <c r="AJ227" s="26" t="n">
        <f aca="false">IF(AND(ISNUMBER(AJ181),ISNUMBER(AJ133)),IFERROR(AJ181/AJ133,""),"")</f>
        <v>0.32615568823038</v>
      </c>
      <c r="AK227" s="26" t="n">
        <f aca="false">IF(AND(ISNUMBER(AK181),ISNUMBER(AK133)),IFERROR(AK181/AK133,""),"")</f>
        <v>0.354405484378512</v>
      </c>
      <c r="AL227" s="26" t="n">
        <f aca="false">IF(AND(ISNUMBER(AL181),ISNUMBER(AL133)),IFERROR(AL181/AL133,""),"")</f>
        <v>0.357975743328155</v>
      </c>
      <c r="AM227" s="26" t="n">
        <f aca="false">IF(AND(ISNUMBER(AM181),ISNUMBER(AM133)),IFERROR(AM181/AM133,""),"")</f>
        <v>0.337154812798148</v>
      </c>
      <c r="AN227" s="26" t="n">
        <f aca="false">IF(AND(ISNUMBER(AN181),ISNUMBER(AN133)),IFERROR(AN181/AN133,""),"")</f>
        <v>0.330804360636417</v>
      </c>
      <c r="AO227" s="26" t="n">
        <f aca="false">IF(AND(ISNUMBER(AO181),ISNUMBER(AO133)),IFERROR(AO181/AO133,""),"")</f>
        <v>0.327286771305608</v>
      </c>
      <c r="AP227" s="26" t="n">
        <f aca="false">IF(AND(ISNUMBER(AP181),ISNUMBER(AP133)),IFERROR(AP181/AP133,""),"")</f>
        <v>0.308297194169531</v>
      </c>
      <c r="AQ227" s="26" t="n">
        <f aca="false">IF(AND(ISNUMBER(AQ181),ISNUMBER(AQ133)),IFERROR(AQ181/AQ133,""),"")</f>
        <v>0.236335713286218</v>
      </c>
      <c r="AR227" s="26" t="n">
        <f aca="false">IF(AND(ISNUMBER(AR181),ISNUMBER(AR133)),IFERROR(AR181/AR133,""),"")</f>
        <v>0.303202632321725</v>
      </c>
      <c r="AS227" s="26" t="n">
        <f aca="false">IF(AND(ISNUMBER(AS181),ISNUMBER(AS133)),IFERROR(AS181/AS133,""),"")</f>
        <v>0.192692000922611</v>
      </c>
      <c r="AT227" s="26" t="n">
        <f aca="false">IF(AND(ISNUMBER(AT181),ISNUMBER(AT133)),IFERROR(AT181/AT133,""),"")</f>
        <v>0.307244004016581</v>
      </c>
      <c r="AU227" s="26" t="n">
        <f aca="false">IF(AND(ISNUMBER(AU181),ISNUMBER(AU133)),IFERROR(AU181/AU133,""),"")</f>
        <v>0.285502644784336</v>
      </c>
      <c r="AV227" s="26" t="n">
        <f aca="false">IF(AND(ISNUMBER(AV181),ISNUMBER(AV133)),IFERROR(AV181/AV133,""),"")</f>
        <v>0.322836563228834</v>
      </c>
      <c r="AW227" s="26" t="n">
        <f aca="false">IF(AND(ISNUMBER(AW181),ISNUMBER(AW133)),IFERROR(AW181/AW133,""),"")</f>
        <v>0.279102931404075</v>
      </c>
      <c r="AX227" s="26" t="n">
        <f aca="false">IF(AND(ISNUMBER(AX181),ISNUMBER(AX133)),IFERROR(AX181/AX133,""),"")</f>
        <v>0.317960363336086</v>
      </c>
      <c r="AY227" s="26" t="n">
        <f aca="false">IF(AND(ISNUMBER(AY181),ISNUMBER(AY133)),IFERROR(AY181/AY133,""),"")</f>
        <v>0.347854175787798</v>
      </c>
      <c r="AZ227" s="26" t="n">
        <f aca="false">IF(AND(ISNUMBER(AZ181),ISNUMBER(AZ133)),IFERROR(AZ181/AZ133,""),"")</f>
        <v>0.368125971343011</v>
      </c>
      <c r="BA227" s="26" t="n">
        <f aca="false">IF(AND(ISNUMBER(BA181),ISNUMBER(BA133)),IFERROR(BA181/BA133,""),"")</f>
        <v>0.335620973420635</v>
      </c>
      <c r="BB227" s="26" t="n">
        <f aca="false">IF(AND(ISNUMBER(BB181),ISNUMBER(BB133)),IFERROR(BB181/BB133,""),"")</f>
        <v>0.343298682238985</v>
      </c>
      <c r="BC227" s="26" t="n">
        <f aca="false">IF(AND(ISNUMBER(BC181),ISNUMBER(BC133)),IFERROR(BC181/BC133,""),"")</f>
        <v>0.381235406026952</v>
      </c>
      <c r="BD227" s="26" t="n">
        <f aca="false">IF(AND(ISNUMBER(BD181),ISNUMBER(BD133)),IFERROR(BD181/BD133,""),"")</f>
        <v>0.430751648147125</v>
      </c>
      <c r="BE227" s="26" t="n">
        <f aca="false">IF(AND(ISNUMBER(BE181),ISNUMBER(BE133)),IFERROR(BE181/BE133,""),"")</f>
        <v>0.324178251881776</v>
      </c>
      <c r="BF227" s="26" t="n">
        <f aca="false">IF(AND(ISNUMBER(BF181),ISNUMBER(BF133)),IFERROR(BF181/BF133,""),"")</f>
        <v>0.261292363448906</v>
      </c>
      <c r="BG227" s="26" t="n">
        <f aca="false">IF(AND(ISNUMBER(BG181),ISNUMBER(BG133)),IFERROR(BG181/BG133,""),"")</f>
        <v>0.355721413111572</v>
      </c>
      <c r="BH227" s="26" t="n">
        <f aca="false">IF(AND(ISNUMBER(BH181),ISNUMBER(BH133)),IFERROR(BH181/BH133,""),"")</f>
        <v>0.240293740155184</v>
      </c>
      <c r="BI227" s="26" t="n">
        <f aca="false">IF(AND(ISNUMBER(BI181),ISNUMBER(BI133)),IFERROR(BI181/BI133,""),"")</f>
        <v>0.220519732650534</v>
      </c>
      <c r="BJ227" s="26" t="n">
        <f aca="false">IF(AND(ISNUMBER(BJ181),ISNUMBER(BJ133)),IFERROR(BJ181/BJ133,""),"")</f>
        <v>0.217350897615023</v>
      </c>
      <c r="BK227" s="26" t="n">
        <f aca="false">IF(AND(ISNUMBER(BK181),ISNUMBER(BK133)),IFERROR(BK181/BK133,""),"")</f>
        <v>0.166746144259104</v>
      </c>
      <c r="BL227" s="26" t="n">
        <f aca="false">IF(AND(ISNUMBER(BL181),ISNUMBER(BL133)),IFERROR(BL181/BL133,""),"")</f>
        <v>0.212180873283043</v>
      </c>
      <c r="BM227" s="26" t="n">
        <f aca="false">IF(AND(ISNUMBER(BM181),ISNUMBER(BM133)),IFERROR(BM181/BM133,""),"")</f>
        <v>0.212969171193606</v>
      </c>
      <c r="BN227" s="26" t="n">
        <f aca="false">IF(AND(ISNUMBER(BN181),ISNUMBER(BN133)),IFERROR(BN181/BN133,""),"")</f>
        <v>0.281170307633447</v>
      </c>
      <c r="BO227" s="26" t="n">
        <f aca="false">IF(AND(ISNUMBER(BO181),ISNUMBER(BO133)),IFERROR(BO181/BO133,""),"")</f>
        <v>0.328572613780562</v>
      </c>
      <c r="BP227" s="26" t="n">
        <f aca="false">IF(AND(ISNUMBER(BP181),ISNUMBER(BP133)),IFERROR(BP181/BP133,""),"")</f>
        <v>0.269357003781643</v>
      </c>
      <c r="BQ227" s="26" t="n">
        <f aca="false">IF(AND(ISNUMBER(BQ181),ISNUMBER(BQ133)),IFERROR(BQ181/BQ133,""),"")</f>
        <v>0.274627542573021</v>
      </c>
      <c r="BR227" s="26" t="n">
        <f aca="false">IF(AND(ISNUMBER(BR181),ISNUMBER(BR133)),IFERROR(BR181/BR133,""),"")</f>
        <v>0.275544951031663</v>
      </c>
      <c r="BS227" s="26" t="n">
        <f aca="false">IF(AND(ISNUMBER(BS181),ISNUMBER(BS133)),IFERROR(BS181/BS133,""),"")</f>
        <v>0.317684869834153</v>
      </c>
      <c r="BT227" s="26" t="n">
        <f aca="false">IF(AND(ISNUMBER(BT181),ISNUMBER(BT133)),IFERROR(BT181/BT133,""),"")</f>
        <v>0.326579112476401</v>
      </c>
      <c r="BU227" s="26" t="n">
        <f aca="false">IF(AND(ISNUMBER(BU181),ISNUMBER(BU133)),IFERROR(BU181/BU133,""),"")</f>
        <v>0.300523276520744</v>
      </c>
      <c r="BV227" s="26" t="n">
        <f aca="false">IF(AND(ISNUMBER(BV181),ISNUMBER(BV133)),IFERROR(BV181/BV133,""),"")</f>
        <v>0.305462719049172</v>
      </c>
      <c r="BW227" s="26" t="n">
        <f aca="false">IF(AND(ISNUMBER(BW181),ISNUMBER(BW133)),IFERROR(BW181/BW133,""),"")</f>
        <v>0.296628427553358</v>
      </c>
      <c r="BX227" s="26" t="n">
        <f aca="false">IF(AND(ISNUMBER(BX181),ISNUMBER(BX133)),IFERROR(BX181/BX133,""),"")</f>
        <v>0.356700715209102</v>
      </c>
      <c r="BY227" s="27" t="n">
        <f aca="false">IF(AND(ISNUMBER(BY181),ISNUMBER(BY133)),IFERROR(BY181/BY133,""),"")</f>
        <v>0.380000146977094</v>
      </c>
      <c r="BZ227" s="27" t="n">
        <f aca="false">IF(AND(ISNUMBER(BZ181),ISNUMBER(BZ133)),IFERROR(BZ181/BZ133,""),"")</f>
        <v>0.357010246967104</v>
      </c>
      <c r="CA227" s="27" t="n">
        <f aca="false">IF(AND(ISNUMBER(CA181),ISNUMBER(CA133)),IFERROR(CA181/CA133,""),"")</f>
        <v>0.349139768310631</v>
      </c>
      <c r="CB227" s="27" t="n">
        <f aca="false">IF(AND(ISNUMBER(CB181),ISNUMBER(CB133)),IFERROR(CB181/CB133,""),"")</f>
        <v>0.362289546347529</v>
      </c>
      <c r="CC227" s="27" t="n">
        <f aca="false">IF(AND(ISNUMBER(CC181),ISNUMBER(CC133)),IFERROR(CC181/CC133,""),"")</f>
        <v>0.370956928428504</v>
      </c>
      <c r="CD227" s="27" t="n">
        <f aca="false">IF(AND(ISNUMBER(CD181),ISNUMBER(CD133)),IFERROR(CD181/CD133,""),"")</f>
        <v>0.376624376920453</v>
      </c>
      <c r="CE227" s="27" t="n">
        <f aca="false">IF(AND(ISNUMBER(CE181),ISNUMBER(CE133)),IFERROR(CE181/CE133,""),"")</f>
        <v>0.377006487348014</v>
      </c>
    </row>
    <row r="228" customFormat="false" ht="15" hidden="false" customHeight="false" outlineLevel="0" collapsed="false">
      <c r="B228" s="25" t="s">
        <v>315</v>
      </c>
      <c r="C228" s="26" t="n">
        <f aca="false">IF(AND(ISNUMBER(C193),ISNUMBER(C133)),IFERROR(C193/C133,""),"")</f>
        <v>0.408091495588171</v>
      </c>
      <c r="D228" s="26" t="n">
        <f aca="false">IF(AND(ISNUMBER(D193),ISNUMBER(D133)),IFERROR(D193/D133,""),"")</f>
        <v>0.431789274291714</v>
      </c>
      <c r="E228" s="26" t="n">
        <f aca="false">IF(AND(ISNUMBER(E193),ISNUMBER(E133)),IFERROR(E193/E133,""),"")</f>
        <v>0.438375432648006</v>
      </c>
      <c r="F228" s="26" t="n">
        <f aca="false">IF(AND(ISNUMBER(F193),ISNUMBER(F133)),IFERROR(F193/F133,""),"")</f>
        <v>0.445255611780089</v>
      </c>
      <c r="G228" s="26" t="n">
        <f aca="false">IF(AND(ISNUMBER(G193),ISNUMBER(G133)),IFERROR(G193/G133,""),"")</f>
        <v>0.44430434243565</v>
      </c>
      <c r="H228" s="26" t="n">
        <f aca="false">IF(AND(ISNUMBER(H193),ISNUMBER(H133)),IFERROR(H193/H133,""),"")</f>
        <v>0.444200806292561</v>
      </c>
      <c r="I228" s="26" t="n">
        <f aca="false">IF(AND(ISNUMBER(I193),ISNUMBER(I133)),IFERROR(I193/I133,""),"")</f>
        <v>0.415359830830865</v>
      </c>
      <c r="J228" s="26" t="n">
        <f aca="false">IF(AND(ISNUMBER(J193),ISNUMBER(J133)),IFERROR(J193/J133,""),"")</f>
        <v>0.400491966593669</v>
      </c>
      <c r="K228" s="26" t="n">
        <f aca="false">IF(AND(ISNUMBER(K193),ISNUMBER(K133)),IFERROR(K193/K133,""),"")</f>
        <v>0.41603928887309</v>
      </c>
      <c r="L228" s="26" t="n">
        <f aca="false">IF(AND(ISNUMBER(L193),ISNUMBER(L133)),IFERROR(L193/L133,""),"")</f>
        <v>0.411078207491377</v>
      </c>
      <c r="M228" s="26" t="n">
        <f aca="false">IF(AND(ISNUMBER(M193),ISNUMBER(M133)),IFERROR(M193/M133,""),"")</f>
        <v>0.382354066124441</v>
      </c>
      <c r="N228" s="26" t="n">
        <f aca="false">IF(AND(ISNUMBER(N193),ISNUMBER(N133)),IFERROR(N193/N133,""),"")</f>
        <v>0.402774366250112</v>
      </c>
      <c r="O228" s="26" t="n">
        <f aca="false">IF(AND(ISNUMBER(O193),ISNUMBER(O133)),IFERROR(O193/O133,""),"")</f>
        <v>0.375124388990344</v>
      </c>
      <c r="P228" s="26" t="n">
        <f aca="false">IF(AND(ISNUMBER(P193),ISNUMBER(P133)),IFERROR(P193/P133,""),"")</f>
        <v>0.412987945193911</v>
      </c>
      <c r="Q228" s="26" t="n">
        <f aca="false">IF(AND(ISNUMBER(Q193),ISNUMBER(Q133)),IFERROR(Q193/Q133,""),"")</f>
        <v>0.412139569796271</v>
      </c>
      <c r="R228" s="26" t="n">
        <f aca="false">IF(AND(ISNUMBER(R193),ISNUMBER(R133)),IFERROR(R193/R133,""),"")</f>
        <v>0.4011330846366</v>
      </c>
      <c r="S228" s="26" t="n">
        <f aca="false">IF(AND(ISNUMBER(S193),ISNUMBER(S133)),IFERROR(S193/S133,""),"")</f>
        <v>0.401178590711936</v>
      </c>
      <c r="T228" s="26" t="n">
        <f aca="false">IF(AND(ISNUMBER(T193),ISNUMBER(T133)),IFERROR(T193/T133,""),"")</f>
        <v>0.377383786254308</v>
      </c>
      <c r="U228" s="26" t="n">
        <f aca="false">IF(AND(ISNUMBER(U193),ISNUMBER(U133)),IFERROR(U193/U133,""),"")</f>
        <v>0.420421973295344</v>
      </c>
      <c r="V228" s="26" t="n">
        <f aca="false">IF(AND(ISNUMBER(V193),ISNUMBER(V133)),IFERROR(V193/V133,""),"")</f>
        <v>0.423976553540331</v>
      </c>
      <c r="W228" s="26" t="n">
        <f aca="false">IF(AND(ISNUMBER(W193),ISNUMBER(W133)),IFERROR(W193/W133,""),"")</f>
        <v>0.405543671171053</v>
      </c>
      <c r="X228" s="26" t="n">
        <f aca="false">IF(AND(ISNUMBER(X193),ISNUMBER(X133)),IFERROR(X193/X133,""),"")</f>
        <v>0.407638154182536</v>
      </c>
      <c r="Y228" s="26" t="n">
        <f aca="false">IF(AND(ISNUMBER(Y193),ISNUMBER(Y133)),IFERROR(Y193/Y133,""),"")</f>
        <v>0.38312371856888</v>
      </c>
      <c r="Z228" s="26" t="n">
        <f aca="false">IF(AND(ISNUMBER(Z193),ISNUMBER(Z133)),IFERROR(Z193/Z133,""),"")</f>
        <v>0.4239728044563</v>
      </c>
      <c r="AA228" s="26" t="n">
        <f aca="false">IF(AND(ISNUMBER(AA193),ISNUMBER(AA133)),IFERROR(AA193/AA133,""),"")</f>
        <v>0.409918669488703</v>
      </c>
      <c r="AB228" s="26" t="n">
        <f aca="false">IF(AND(ISNUMBER(AB193),ISNUMBER(AB133)),IFERROR(AB193/AB133,""),"")</f>
        <v>0.383814530663418</v>
      </c>
      <c r="AC228" s="26" t="n">
        <f aca="false">IF(AND(ISNUMBER(AC193),ISNUMBER(AC133)),IFERROR(AC193/AC133,""),"")</f>
        <v>0.400521969433527</v>
      </c>
      <c r="AD228" s="26" t="n">
        <f aca="false">IF(AND(ISNUMBER(AD193),ISNUMBER(AD133)),IFERROR(AD193/AD133,""),"")</f>
        <v>0.37003443751473</v>
      </c>
      <c r="AE228" s="26" t="n">
        <f aca="false">IF(AND(ISNUMBER(AE193),ISNUMBER(AE133)),IFERROR(AE193/AE133,""),"")</f>
        <v>0.356866374224671</v>
      </c>
      <c r="AF228" s="26" t="n">
        <f aca="false">IF(AND(ISNUMBER(AF193),ISNUMBER(AF133)),IFERROR(AF193/AF133,""),"")</f>
        <v>0.367819266274421</v>
      </c>
      <c r="AG228" s="26" t="n">
        <f aca="false">IF(AND(ISNUMBER(AG193),ISNUMBER(AG133)),IFERROR(AG193/AG133,""),"")</f>
        <v>0.371153550927516</v>
      </c>
      <c r="AH228" s="26" t="n">
        <f aca="false">IF(AND(ISNUMBER(AH193),ISNUMBER(AH133)),IFERROR(AH193/AH133,""),"")</f>
        <v>0.366586854162707</v>
      </c>
      <c r="AI228" s="26" t="n">
        <f aca="false">IF(AND(ISNUMBER(AI193),ISNUMBER(AI133)),IFERROR(AI193/AI133,""),"")</f>
        <v>0.344811279306626</v>
      </c>
      <c r="AJ228" s="26" t="n">
        <f aca="false">IF(AND(ISNUMBER(AJ193),ISNUMBER(AJ133)),IFERROR(AJ193/AJ133,""),"")</f>
        <v>0.362251911068486</v>
      </c>
      <c r="AK228" s="26" t="n">
        <f aca="false">IF(AND(ISNUMBER(AK193),ISNUMBER(AK133)),IFERROR(AK193/AK133,""),"")</f>
        <v>0.388874480580482</v>
      </c>
      <c r="AL228" s="26" t="n">
        <f aca="false">IF(AND(ISNUMBER(AL193),ISNUMBER(AL133)),IFERROR(AL193/AL133,""),"")</f>
        <v>0.392057530089678</v>
      </c>
      <c r="AM228" s="26" t="n">
        <f aca="false">IF(AND(ISNUMBER(AM193),ISNUMBER(AM133)),IFERROR(AM193/AM133,""),"")</f>
        <v>0.372911041000135</v>
      </c>
      <c r="AN228" s="26" t="n">
        <f aca="false">IF(AND(ISNUMBER(AN193),ISNUMBER(AN133)),IFERROR(AN193/AN133,""),"")</f>
        <v>0.366985857395404</v>
      </c>
      <c r="AO228" s="26" t="n">
        <f aca="false">IF(AND(ISNUMBER(AO193),ISNUMBER(AO133)),IFERROR(AO193/AO133,""),"")</f>
        <v>0.36336476720904</v>
      </c>
      <c r="AP228" s="26" t="n">
        <f aca="false">IF(AND(ISNUMBER(AP193),ISNUMBER(AP133)),IFERROR(AP193/AP133,""),"")</f>
        <v>0.34852256994053</v>
      </c>
      <c r="AQ228" s="26" t="n">
        <f aca="false">IF(AND(ISNUMBER(AQ193),ISNUMBER(AQ133)),IFERROR(AQ193/AQ133,""),"")</f>
        <v>0.280088725657021</v>
      </c>
      <c r="AR228" s="26" t="n">
        <f aca="false">IF(AND(ISNUMBER(AR193),ISNUMBER(AR133)),IFERROR(AR193/AR133,""),"")</f>
        <v>0.342041363950957</v>
      </c>
      <c r="AS228" s="26" t="n">
        <f aca="false">IF(AND(ISNUMBER(AS193),ISNUMBER(AS133)),IFERROR(AS193/AS133,""),"")</f>
        <v>0.235640977334392</v>
      </c>
      <c r="AT228" s="26" t="n">
        <f aca="false">IF(AND(ISNUMBER(AT193),ISNUMBER(AT133)),IFERROR(AT193/AT133,""),"")</f>
        <v>0.349164215977463</v>
      </c>
      <c r="AU228" s="26" t="n">
        <f aca="false">IF(AND(ISNUMBER(AU193),ISNUMBER(AU133)),IFERROR(AU193/AU133,""),"")</f>
        <v>0.331179266655693</v>
      </c>
      <c r="AV228" s="26" t="n">
        <f aca="false">IF(AND(ISNUMBER(AV193),ISNUMBER(AV133)),IFERROR(AV193/AV133,""),"")</f>
        <v>0.361333046092748</v>
      </c>
      <c r="AW228" s="26" t="n">
        <f aca="false">IF(AND(ISNUMBER(AW193),ISNUMBER(AW133)),IFERROR(AW193/AW133,""),"")</f>
        <v>0.321273811206683</v>
      </c>
      <c r="AX228" s="26" t="n">
        <f aca="false">IF(AND(ISNUMBER(AX193),ISNUMBER(AX133)),IFERROR(AX193/AX133,""),"")</f>
        <v>0.351101967595888</v>
      </c>
      <c r="AY228" s="26" t="n">
        <f aca="false">IF(AND(ISNUMBER(AY193),ISNUMBER(AY133)),IFERROR(AY193/AY133,""),"")</f>
        <v>0.378470479566884</v>
      </c>
      <c r="AZ228" s="26" t="n">
        <f aca="false">IF(AND(ISNUMBER(AZ193),ISNUMBER(AZ133)),IFERROR(AZ193/AZ133,""),"")</f>
        <v>0.39466732686403</v>
      </c>
      <c r="BA228" s="26" t="n">
        <f aca="false">IF(AND(ISNUMBER(BA193),ISNUMBER(BA133)),IFERROR(BA193/BA133,""),"")</f>
        <v>0.362056704046636</v>
      </c>
      <c r="BB228" s="26" t="n">
        <f aca="false">IF(AND(ISNUMBER(BB193),ISNUMBER(BB133)),IFERROR(BB193/BB133,""),"")</f>
        <v>0.372250593178048</v>
      </c>
      <c r="BC228" s="26" t="n">
        <f aca="false">IF(AND(ISNUMBER(BC193),ISNUMBER(BC133)),IFERROR(BC193/BC133,""),"")</f>
        <v>0.406049022507272</v>
      </c>
      <c r="BD228" s="26" t="n">
        <f aca="false">IF(AND(ISNUMBER(BD193),ISNUMBER(BD133)),IFERROR(BD193/BD133,""),"")</f>
        <v>0.453300801754146</v>
      </c>
      <c r="BE228" s="26" t="n">
        <f aca="false">IF(AND(ISNUMBER(BE193),ISNUMBER(BE133)),IFERROR(BE193/BE133,""),"")</f>
        <v>0.350074504561573</v>
      </c>
      <c r="BF228" s="26" t="n">
        <f aca="false">IF(AND(ISNUMBER(BF193),ISNUMBER(BF133)),IFERROR(BF193/BF133,""),"")</f>
        <v>0.292604279759534</v>
      </c>
      <c r="BG228" s="26" t="n">
        <f aca="false">IF(AND(ISNUMBER(BG193),ISNUMBER(BG133)),IFERROR(BG193/BG133,""),"")</f>
        <v>0.381541460384501</v>
      </c>
      <c r="BH228" s="26" t="n">
        <f aca="false">IF(AND(ISNUMBER(BH193),ISNUMBER(BH133)),IFERROR(BH193/BH133,""),"")</f>
        <v>0.275851758940552</v>
      </c>
      <c r="BI228" s="26" t="n">
        <f aca="false">IF(AND(ISNUMBER(BI193),ISNUMBER(BI133)),IFERROR(BI193/BI133,""),"")</f>
        <v>0.259550771154146</v>
      </c>
      <c r="BJ228" s="26" t="n">
        <f aca="false">IF(AND(ISNUMBER(BJ193),ISNUMBER(BJ133)),IFERROR(BJ193/BJ133,""),"")</f>
        <v>0.257587237280046</v>
      </c>
      <c r="BK228" s="26" t="n">
        <f aca="false">IF(AND(ISNUMBER(BK193),ISNUMBER(BK133)),IFERROR(BK193/BK133,""),"")</f>
        <v>0.204064511018827</v>
      </c>
      <c r="BL228" s="26" t="n">
        <f aca="false">IF(AND(ISNUMBER(BL193),ISNUMBER(BL133)),IFERROR(BL193/BL133,""),"")</f>
        <v>0.250184672703148</v>
      </c>
      <c r="BM228" s="26" t="n">
        <f aca="false">IF(AND(ISNUMBER(BM193),ISNUMBER(BM133)),IFERROR(BM193/BM133,""),"")</f>
        <v>0.249272876823129</v>
      </c>
      <c r="BN228" s="26" t="n">
        <f aca="false">IF(AND(ISNUMBER(BN193),ISNUMBER(BN133)),IFERROR(BN193/BN133,""),"")</f>
        <v>0.317617313709888</v>
      </c>
      <c r="BO228" s="26" t="n">
        <f aca="false">IF(AND(ISNUMBER(BO193),ISNUMBER(BO133)),IFERROR(BO193/BO133,""),"")</f>
        <v>0.361143715156551</v>
      </c>
      <c r="BP228" s="26" t="n">
        <f aca="false">IF(AND(ISNUMBER(BP193),ISNUMBER(BP133)),IFERROR(BP193/BP133,""),"")</f>
        <v>0.304821777825168</v>
      </c>
      <c r="BQ228" s="26" t="n">
        <f aca="false">IF(AND(ISNUMBER(BQ193),ISNUMBER(BQ133)),IFERROR(BQ193/BQ133,""),"")</f>
        <v>0.309766605160046</v>
      </c>
      <c r="BR228" s="26" t="n">
        <f aca="false">IF(AND(ISNUMBER(BR193),ISNUMBER(BR133)),IFERROR(BR193/BR133,""),"")</f>
        <v>0.313641009793667</v>
      </c>
      <c r="BS228" s="26" t="n">
        <f aca="false">IF(AND(ISNUMBER(BS193),ISNUMBER(BS133)),IFERROR(BS193/BS133,""),"")</f>
        <v>0.353554587143391</v>
      </c>
      <c r="BT228" s="26" t="n">
        <f aca="false">IF(AND(ISNUMBER(BT193),ISNUMBER(BT133)),IFERROR(BT193/BT133,""),"")</f>
        <v>0.363160108600053</v>
      </c>
      <c r="BU228" s="26" t="n">
        <f aca="false">IF(AND(ISNUMBER(BU193),ISNUMBER(BU133)),IFERROR(BU193/BU133,""),"")</f>
        <v>0.340828353733711</v>
      </c>
      <c r="BV228" s="26" t="n">
        <f aca="false">IF(AND(ISNUMBER(BV193),ISNUMBER(BV133)),IFERROR(BV193/BV133,""),"")</f>
        <v>0.343133131336076</v>
      </c>
      <c r="BW228" s="26" t="n">
        <f aca="false">IF(AND(ISNUMBER(BW193),ISNUMBER(BW133)),IFERROR(BW193/BW133,""),"")</f>
        <v>0.334254867197685</v>
      </c>
      <c r="BX228" s="26" t="n">
        <f aca="false">IF(AND(ISNUMBER(BX193),ISNUMBER(BX133)),IFERROR(BX193/BX133,""),"")</f>
        <v>0.387283424981639</v>
      </c>
      <c r="BY228" s="27" t="n">
        <f aca="false">IF(AND(ISNUMBER(BY193),ISNUMBER(BY133)),IFERROR(BY193/BY133,""),"")</f>
        <v>0.410582856749631</v>
      </c>
      <c r="BZ228" s="27" t="n">
        <f aca="false">IF(AND(ISNUMBER(BZ193),ISNUMBER(BZ133)),IFERROR(BZ193/BZ133,""),"")</f>
        <v>0.387592956739641</v>
      </c>
      <c r="CA228" s="27" t="n">
        <f aca="false">IF(AND(ISNUMBER(CA193),ISNUMBER(CA133)),IFERROR(CA193/CA133,""),"")</f>
        <v>0.381343550848238</v>
      </c>
      <c r="CB228" s="27" t="n">
        <f aca="false">IF(AND(ISNUMBER(CB193),ISNUMBER(CB133)),IFERROR(CB193/CB133,""),"")</f>
        <v>0.397289546347529</v>
      </c>
      <c r="CC228" s="27" t="n">
        <f aca="false">IF(AND(ISNUMBER(CC193),ISNUMBER(CC133)),IFERROR(CC193/CC133,""),"")</f>
        <v>0.406306404490039</v>
      </c>
      <c r="CD228" s="27" t="n">
        <f aca="false">IF(AND(ISNUMBER(CD193),ISNUMBER(CD133)),IFERROR(CD193/CD133,""),"")</f>
        <v>0.412769549463846</v>
      </c>
      <c r="CE228" s="27" t="n">
        <f aca="false">IF(AND(ISNUMBER(CE193),ISNUMBER(CE133)),IFERROR(CE193/CE133,""),"")</f>
        <v>0.413996739809897</v>
      </c>
    </row>
    <row r="229" customFormat="false" ht="15" hidden="false" customHeight="false" outlineLevel="0" collapsed="false">
      <c r="B229" s="25" t="s">
        <v>342</v>
      </c>
      <c r="D229" s="26" t="n">
        <f aca="false">IFERROR((D181-C181)/(D133-C133),"")</f>
        <v>0.569600704566031</v>
      </c>
      <c r="E229" s="26" t="n">
        <f aca="false">IFERROR((E181-D181)/(E133-D133),"")</f>
        <v>0.471867972710301</v>
      </c>
      <c r="F229" s="26" t="n">
        <f aca="false">IFERROR((F181-E181)/(F133-E133),"")</f>
        <v>1.89036592338488</v>
      </c>
      <c r="G229" s="26" t="n">
        <f aca="false">IFERROR((G181-F181)/(G133-F133),"")</f>
        <v>0.442332507934302</v>
      </c>
      <c r="H229" s="26" t="n">
        <f aca="false">IFERROR((H181-G181)/(H133-G133),"")</f>
        <v>0.424277386446437</v>
      </c>
      <c r="I229" s="26" t="n">
        <f aca="false">IFERROR((I181-H181)/(I133-H133),"")</f>
        <v>-0.20503338711389</v>
      </c>
      <c r="N229" s="26" t="n">
        <f aca="false">IFERROR((N181-I181)/(N133-I133),"")</f>
        <v>0.0618440147143297</v>
      </c>
      <c r="O229" s="26" t="n">
        <f aca="false">IFERROR((O181-J181)/(O133-J133),"")</f>
        <v>-7.75611368142808</v>
      </c>
      <c r="P229" s="26" t="n">
        <f aca="false">IFERROR((P181-K181)/(P133-K133),"")</f>
        <v>0.369691338907808</v>
      </c>
      <c r="Q229" s="26" t="n">
        <f aca="false">IFERROR((Q181-L181)/(Q133-L133),"")</f>
        <v>0.419901023997011</v>
      </c>
      <c r="R229" s="26" t="n">
        <f aca="false">IFERROR((R181-M181)/(R133-M133),"")</f>
        <v>0.568691042876327</v>
      </c>
      <c r="S229" s="26" t="n">
        <f aca="false">IFERROR((S181-N181)/(S133-N133),"")</f>
        <v>0.383359466532985</v>
      </c>
      <c r="T229" s="26" t="n">
        <f aca="false">IFERROR((T181-O181)/(T133-O133),"")</f>
        <v>0.367646408839775</v>
      </c>
      <c r="U229" s="26" t="n">
        <f aca="false">IFERROR((U181-P181)/(U133-P133),"")</f>
        <v>0.455899398231218</v>
      </c>
      <c r="V229" s="26" t="n">
        <f aca="false">IFERROR((V181-Q181)/(V133-Q133),"")</f>
        <v>0.481454164003215</v>
      </c>
      <c r="W229" s="26" t="n">
        <f aca="false">IFERROR((W181-R181)/(W133-R133),"")</f>
        <v>0.389365003407721</v>
      </c>
      <c r="X229" s="26" t="n">
        <f aca="false">IFERROR((X181-S181)/(X133-S133),"")</f>
        <v>0.421319796954317</v>
      </c>
      <c r="Y229" s="26" t="n">
        <f aca="false">IFERROR((Y181-T181)/(Y133-T133),"")</f>
        <v>0.445441465009821</v>
      </c>
      <c r="Z229" s="26" t="n">
        <f aca="false">IFERROR((Z181-U181)/(Z133-U133),"")</f>
        <v>0.456212611552403</v>
      </c>
      <c r="AA229" s="26" t="n">
        <f aca="false">IFERROR((AA181-V181)/(AA133-V133),"")</f>
        <v>0.712117690034206</v>
      </c>
      <c r="AB229" s="26" t="n">
        <f aca="false">IFERROR((AB181-W181)/(AB133-W133),"")</f>
        <v>2.2690854119425</v>
      </c>
      <c r="AC229" s="26" t="n">
        <f aca="false">IFERROR((AC181-X181)/(AC133-X133),"")</f>
        <v>-2.29652961980454</v>
      </c>
      <c r="AD229" s="26" t="n">
        <f aca="false">IFERROR((AD181-Y181)/(AD133-Y133),"")</f>
        <v>-2.10170139552707</v>
      </c>
      <c r="AE229" s="26" t="n">
        <f aca="false">IFERROR((AE181-Z181)/(AE133-Z133),"")</f>
        <v>2.5422011162244</v>
      </c>
      <c r="AF229" s="26" t="n">
        <f aca="false">IFERROR((AF181-AA181)/(AF133-AA133),"")</f>
        <v>-0.474847388650238</v>
      </c>
      <c r="AG229" s="26" t="n">
        <f aca="false">IFERROR((AG181-AB181)/(AG133-AB133),"")</f>
        <v>0.246129128574071</v>
      </c>
      <c r="AH229" s="26" t="n">
        <f aca="false">IFERROR((AH181-AC181)/(AH133-AC133),"")</f>
        <v>-0.689467753695323</v>
      </c>
      <c r="AI229" s="26" t="n">
        <f aca="false">IFERROR((AI181-AD181)/(AI133-AD133),"")</f>
        <v>0.0632333199672297</v>
      </c>
      <c r="AJ229" s="26" t="n">
        <f aca="false">IFERROR((AJ181-AE181)/(AJ133-AE133),"")</f>
        <v>0.380657972854017</v>
      </c>
      <c r="AK229" s="26" t="n">
        <f aca="false">IFERROR((AK181-AF181)/(AK133-AF133),"")</f>
        <v>0.51406215692928</v>
      </c>
      <c r="AL229" s="26" t="n">
        <f aca="false">IFERROR((AL181-AG181)/(AL133-AG133),"")</f>
        <v>0.54484096956087</v>
      </c>
      <c r="AM229" s="26" t="n">
        <f aca="false">IFERROR((AM181-AH181)/(AM133-AH133),"")</f>
        <v>0.406198377745157</v>
      </c>
      <c r="AN229" s="26" t="n">
        <f aca="false">IFERROR((AN181-AI181)/(AN133-AI133),"")</f>
        <v>0.623451536643027</v>
      </c>
      <c r="AO229" s="26" t="n">
        <f aca="false">IFERROR((AO181-AJ181)/(AO133-AJ133),"")</f>
        <v>0.359288754055526</v>
      </c>
      <c r="AP229" s="26" t="n">
        <f aca="false">IFERROR((AP181-AK181)/(AP133-AK133),"")</f>
        <v>0.836256248659529</v>
      </c>
      <c r="AQ229" s="26" t="n">
        <f aca="false">IFERROR((AQ181-AL181)/(AQ133-AL133),"")</f>
        <v>0.879862140527721</v>
      </c>
      <c r="AR229" s="26" t="n">
        <f aca="false">IFERROR((AR181-AM181)/(AR133-AM133),"")</f>
        <v>1.07552659239016</v>
      </c>
      <c r="AS229" s="26" t="n">
        <f aca="false">IFERROR((AS181-AN181)/(AS133-AN133),"")</f>
        <v>1.03845841565401</v>
      </c>
      <c r="AT229" s="26" t="n">
        <f aca="false">IFERROR((AT181-AO181)/(AT133-AO133),"")</f>
        <v>0.479774154006165</v>
      </c>
      <c r="AU229" s="26" t="n">
        <f aca="false">IFERROR((AU181-AP181)/(AU133-AP133),"")</f>
        <v>0.612482449386293</v>
      </c>
      <c r="AV229" s="26" t="n">
        <f aca="false">IFERROR((AV181-AQ181)/(AV133-AQ133),"")</f>
        <v>1.13418131734586</v>
      </c>
      <c r="AW229" s="26" t="n">
        <f aca="false">IFERROR((AW181-AR181)/(AW133-AR133),"")</f>
        <v>0.637208206695662</v>
      </c>
      <c r="AX229" s="26" t="n">
        <f aca="false">IFERROR((AX181-AS181)/(AX133-AS133),"")</f>
        <v>0.847218192773774</v>
      </c>
      <c r="AY229" s="26" t="n">
        <f aca="false">IFERROR((AY181-AT181)/(AY133-AT133),"")</f>
        <v>0.533071561648715</v>
      </c>
      <c r="AZ229" s="26" t="n">
        <f aca="false">IFERROR((AZ181-AU181)/(AZ133-AU133),"")</f>
        <v>0.559118778906239</v>
      </c>
      <c r="BA229" s="26" t="n">
        <f aca="false">IFERROR((BA181-AV181)/(BA133-AV133),"")</f>
        <v>0.373576563173482</v>
      </c>
      <c r="BB229" s="26" t="n">
        <f aca="false">IFERROR((BB181-AW181)/(BB133-AW133),"")</f>
        <v>0.552611944333309</v>
      </c>
      <c r="BC229" s="26" t="n">
        <f aca="false">IFERROR((BC181-AX181)/(BC133-AX133),"")</f>
        <v>0.599290536562389</v>
      </c>
      <c r="BD229" s="26" t="n">
        <f aca="false">IFERROR((BD181-AY181)/(BD133-AY133),"")</f>
        <v>0.650640673849391</v>
      </c>
      <c r="BE229" s="26" t="n">
        <f aca="false">IFERROR((BE181-AZ181)/(BE133-AZ133),"")</f>
        <v>-0.538579600948747</v>
      </c>
      <c r="BF229" s="26" t="n">
        <f aca="false">IFERROR((BF181-BA181)/(BF133-BA133),"")</f>
        <v>0.983225016162509</v>
      </c>
      <c r="BG229" s="26" t="n">
        <f aca="false">IFERROR((BG181-BB181)/(BG133-BB133),"")</f>
        <v>0.444496336331978</v>
      </c>
      <c r="BH229" s="26" t="n">
        <f aca="false">IFERROR((BH181-BC181)/(BH133-BC133),"")</f>
        <v>0.819379205281198</v>
      </c>
      <c r="BI229" s="26" t="n">
        <f aca="false">IFERROR((BI181-BD181)/(BI133-BD133),"")</f>
        <v>0.812893146180047</v>
      </c>
      <c r="BJ229" s="26" t="n">
        <f aca="false">IFERROR((BJ181-BE181)/(BJ133-BE133),"")</f>
        <v>0.592934276486557</v>
      </c>
      <c r="BK229" s="26" t="n">
        <f aca="false">IFERROR((BK181-BF181)/(BK133-BF133),"")</f>
        <v>0.652386142519944</v>
      </c>
      <c r="BL229" s="26" t="n">
        <f aca="false">IFERROR((BL181-BG181)/(BL133-BG133),"")</f>
        <v>0.73391134053364</v>
      </c>
      <c r="BM229" s="26" t="n">
        <f aca="false">IFERROR((BM181-BH181)/(BM133-BH133),"")</f>
        <v>0.884203360682173</v>
      </c>
      <c r="BN229" s="26" t="n">
        <f aca="false">IFERROR((BN181-BI181)/(BN133-BI133),"")</f>
        <v>2.12312326016518</v>
      </c>
      <c r="BO229" s="26" t="n">
        <f aca="false">IFERROR((BO181-BJ181)/(BO133-BJ133),"")</f>
        <v>1.03182144137684</v>
      </c>
      <c r="BP229" s="26" t="n">
        <f aca="false">IFERROR((BP181-BK181)/(BP133-BK133),"")</f>
        <v>1.23113636363636</v>
      </c>
      <c r="BQ229" s="26" t="n">
        <f aca="false">IFERROR((BQ181-BL181)/(BQ133-BL133),"")</f>
        <v>1.28861139857611</v>
      </c>
      <c r="BR229" s="26" t="n">
        <f aca="false">IFERROR((BR181-BM181)/(BR133-BM133),"")</f>
        <v>2.95527052542478</v>
      </c>
      <c r="BS229" s="26" t="n">
        <f aca="false">IFERROR((BS181-BN181)/(BS133-BN133),"")</f>
        <v>4.62899347303353</v>
      </c>
      <c r="BT229" s="26" t="n">
        <f aca="false">IFERROR((BT181-BO181)/(BT133-BO133),"")</f>
        <v>0.376816561557452</v>
      </c>
      <c r="BU229" s="26" t="n">
        <f aca="false">IFERROR((BU181-BP181)/(BU133-BP133),"")</f>
        <v>-0.472309754065705</v>
      </c>
      <c r="BV229" s="26" t="n">
        <f aca="false">IFERROR((BV181-BQ181)/(BV133-BQ133),"")</f>
        <v>-2.08920346028542</v>
      </c>
      <c r="BW229" s="26" t="n">
        <f aca="false">IFERROR((BW181-BR181)/(BW133-BR133),"")</f>
        <v>-0.830091306073935</v>
      </c>
      <c r="BX229" s="26" t="n">
        <f aca="false">IFERROR((BX181-BS181)/(BX133-BS133),"")</f>
        <v>0.96130546551917</v>
      </c>
      <c r="BY229" s="27" t="n">
        <f aca="false">IFERROR((BY181-BT181)/(BY133-BT133),"")</f>
        <v>1.05223027921452</v>
      </c>
      <c r="BZ229" s="27" t="n">
        <f aca="false">IFERROR((BZ181-BU181)/(BZ133-BU133),"")</f>
        <v>1.06730128196966</v>
      </c>
      <c r="CA229" s="27" t="n">
        <f aca="false">IFERROR((CA181-BV181)/(CA133-BV133),"")</f>
        <v>1.19762287344982</v>
      </c>
      <c r="CB229" s="27" t="n">
        <f aca="false">IFERROR((CB181-CA181)/(CB133-CA133),"")</f>
        <v>0.597136974059499</v>
      </c>
      <c r="CC229" s="27" t="n">
        <f aca="false">IFERROR((CC181-CB181)/(CC133-CB133),"")</f>
        <v>0.510307136541533</v>
      </c>
      <c r="CD229" s="27" t="n">
        <f aca="false">IFERROR((CD181-CC181)/(CD133-CC133),"")</f>
        <v>0.473318382376464</v>
      </c>
      <c r="CE229" s="27" t="n">
        <f aca="false">IFERROR((CE181-CD181)/(CE133-CD133),"")</f>
        <v>0.38338581566479</v>
      </c>
    </row>
    <row r="230" customFormat="false" ht="15" hidden="false" customHeight="false" outlineLevel="0" collapsed="false">
      <c r="B230" s="25" t="s">
        <v>343</v>
      </c>
      <c r="C230" s="26" t="n">
        <f aca="false">IF(AND(ISNUMBER(C139),ISNUMBER(C125)),IFERROR(C139/C125,""),"")</f>
        <v>0.0637328608640929</v>
      </c>
      <c r="D230" s="26" t="n">
        <f aca="false">IF(AND(ISNUMBER(D139),ISNUMBER(D125)),IFERROR(D139/D125,""),"")</f>
        <v>0.0696649076989588</v>
      </c>
      <c r="E230" s="26" t="n">
        <f aca="false">IF(AND(ISNUMBER(E139),ISNUMBER(E125)),IFERROR(E139/E125,""),"")</f>
        <v>0.0666291780933378</v>
      </c>
      <c r="F230" s="26" t="n">
        <f aca="false">IF(AND(ISNUMBER(F139),ISNUMBER(F125)),IFERROR(F139/F125,""),"")</f>
        <v>0.0771804689047614</v>
      </c>
      <c r="G230" s="26" t="n">
        <f aca="false">IF(AND(ISNUMBER(G139),ISNUMBER(G125)),IFERROR(G139/G125,""),"")</f>
        <v>0.0671597494367504</v>
      </c>
      <c r="H230" s="26" t="n">
        <f aca="false">IF(AND(ISNUMBER(H139),ISNUMBER(H125)),IFERROR(H139/H125,""),"")</f>
        <v>0.0670188478597756</v>
      </c>
      <c r="I230" s="26" t="n">
        <f aca="false">IF(AND(ISNUMBER(I139),ISNUMBER(I125)),IFERROR(I139/I125,""),"")</f>
        <v>0.059451825155714</v>
      </c>
      <c r="J230" s="26" t="n">
        <f aca="false">IF(AND(ISNUMBER(J139),ISNUMBER(J125)),IFERROR(J139/J125,""),"")</f>
        <v>0.0563430048155359</v>
      </c>
      <c r="K230" s="26" t="n">
        <f aca="false">IF(AND(ISNUMBER(K139),ISNUMBER(K125)),IFERROR(K139/K125,""),"")</f>
        <v>0.0554931450109512</v>
      </c>
      <c r="L230" s="26" t="n">
        <f aca="false">IF(AND(ISNUMBER(L139),ISNUMBER(L125)),IFERROR(L139/L125,""),"")</f>
        <v>0.0531723885288385</v>
      </c>
      <c r="M230" s="26" t="n">
        <f aca="false">IF(AND(ISNUMBER(M139),ISNUMBER(M125)),IFERROR(M139/M125,""),"")</f>
        <v>0.0491972106789914</v>
      </c>
      <c r="N230" s="26" t="n">
        <f aca="false">IF(AND(ISNUMBER(N139),ISNUMBER(N125)),IFERROR(N139/N125,""),"")</f>
        <v>0.0535324601264923</v>
      </c>
      <c r="O230" s="26" t="n">
        <f aca="false">IF(AND(ISNUMBER(O139),ISNUMBER(O125)),IFERROR(O139/O125,""),"")</f>
        <v>0.0499496433668461</v>
      </c>
      <c r="P230" s="26" t="n">
        <f aca="false">IF(AND(ISNUMBER(P139),ISNUMBER(P125)),IFERROR(P139/P125,""),"")</f>
        <v>0.0572043079512566</v>
      </c>
      <c r="Q230" s="26" t="n">
        <f aca="false">IF(AND(ISNUMBER(Q139),ISNUMBER(Q125)),IFERROR(Q139/Q125,""),"")</f>
        <v>0.0586431413852952</v>
      </c>
      <c r="R230" s="26" t="n">
        <f aca="false">IF(AND(ISNUMBER(R139),ISNUMBER(R125)),IFERROR(R139/R125,""),"")</f>
        <v>0.0559179936149211</v>
      </c>
      <c r="S230" s="26" t="n">
        <f aca="false">IF(AND(ISNUMBER(S139),ISNUMBER(S125)),IFERROR(S139/S125,""),"")</f>
        <v>0.0555615647643028</v>
      </c>
      <c r="T230" s="26" t="n">
        <f aca="false">IF(AND(ISNUMBER(T139),ISNUMBER(T125)),IFERROR(T139/T125,""),"")</f>
        <v>0.0551139238205453</v>
      </c>
      <c r="U230" s="26" t="n">
        <f aca="false">IF(AND(ISNUMBER(U139),ISNUMBER(U125)),IFERROR(U139/U125,""),"")</f>
        <v>0.0646232195082324</v>
      </c>
      <c r="V230" s="26" t="n">
        <f aca="false">IF(AND(ISNUMBER(V139),ISNUMBER(V125)),IFERROR(V139/V125,""),"")</f>
        <v>0.0680590175690422</v>
      </c>
      <c r="W230" s="26" t="n">
        <f aca="false">IF(AND(ISNUMBER(W139),ISNUMBER(W125)),IFERROR(W139/W125,""),"")</f>
        <v>0.0668292818138981</v>
      </c>
      <c r="X230" s="26" t="n">
        <f aca="false">IF(AND(ISNUMBER(X139),ISNUMBER(X125)),IFERROR(X139/X125,""),"")</f>
        <v>0.0636913512857296</v>
      </c>
      <c r="Y230" s="26" t="n">
        <f aca="false">IF(AND(ISNUMBER(Y139),ISNUMBER(Y125)),IFERROR(Y139/Y125,""),"")</f>
        <v>0.0647220849573335</v>
      </c>
      <c r="Z230" s="26" t="n">
        <f aca="false">IF(AND(ISNUMBER(Z139),ISNUMBER(Z125)),IFERROR(Z139/Z125,""),"")</f>
        <v>0.0708379839508617</v>
      </c>
      <c r="AA230" s="26" t="n">
        <f aca="false">IF(AND(ISNUMBER(AA139),ISNUMBER(AA125)),IFERROR(AA139/AA125,""),"")</f>
        <v>0.0629566410410298</v>
      </c>
      <c r="AB230" s="26" t="n">
        <f aca="false">IF(AND(ISNUMBER(AB139),ISNUMBER(AB125)),IFERROR(AB139/AB125,""),"")</f>
        <v>0.0566812348553063</v>
      </c>
      <c r="AC230" s="26" t="n">
        <f aca="false">IF(AND(ISNUMBER(AC139),ISNUMBER(AC125)),IFERROR(AC139/AC125,""),"")</f>
        <v>0.0637176418604621</v>
      </c>
      <c r="AD230" s="26" t="n">
        <f aca="false">IF(AND(ISNUMBER(AD139),ISNUMBER(AD125)),IFERROR(AD139/AD125,""),"")</f>
        <v>0.0550369312982687</v>
      </c>
      <c r="AE230" s="26" t="n">
        <f aca="false">IF(AND(ISNUMBER(AE139),ISNUMBER(AE125)),IFERROR(AE139/AE125,""),"")</f>
        <v>0.0490078484794413</v>
      </c>
      <c r="AF230" s="26" t="n">
        <f aca="false">IF(AND(ISNUMBER(AF139),ISNUMBER(AF125)),IFERROR(AF139/AF125,""),"")</f>
        <v>0.05138526037198</v>
      </c>
      <c r="AG230" s="26" t="n">
        <f aca="false">IF(AND(ISNUMBER(AG139),ISNUMBER(AG125)),IFERROR(AG139/AG125,""),"")</f>
        <v>0.0532543930404319</v>
      </c>
      <c r="AH230" s="26" t="n">
        <f aca="false">IF(AND(ISNUMBER(AH139),ISNUMBER(AH125)),IFERROR(AH139/AH125,""),"")</f>
        <v>0.0521285352852639</v>
      </c>
      <c r="AI230" s="26" t="n">
        <f aca="false">IF(AND(ISNUMBER(AI139),ISNUMBER(AI125)),IFERROR(AI139/AI125,""),"")</f>
        <v>0.0488073987211766</v>
      </c>
      <c r="AJ230" s="26" t="n">
        <f aca="false">IF(AND(ISNUMBER(AJ139),ISNUMBER(AJ125)),IFERROR(AJ139/AJ125,""),"")</f>
        <v>0.0512175175284966</v>
      </c>
      <c r="AK230" s="26" t="n">
        <f aca="false">IF(AND(ISNUMBER(AK139),ISNUMBER(AK125)),IFERROR(AK139/AK125,""),"")</f>
        <v>0.0573109811505394</v>
      </c>
      <c r="AL230" s="26" t="n">
        <f aca="false">IF(AND(ISNUMBER(AL139),ISNUMBER(AL125)),IFERROR(AL139/AL125,""),"")</f>
        <v>0.0617502854099222</v>
      </c>
      <c r="AM230" s="26" t="n">
        <f aca="false">IF(AND(ISNUMBER(AM139),ISNUMBER(AM125)),IFERROR(AM139/AM125,""),"")</f>
        <v>0.0548417754323026</v>
      </c>
      <c r="AN230" s="26" t="n">
        <f aca="false">IF(AND(ISNUMBER(AN139),ISNUMBER(AN125)),IFERROR(AN139/AN125,""),"")</f>
        <v>0.0598606849523221</v>
      </c>
      <c r="AO230" s="26" t="n">
        <f aca="false">IF(AND(ISNUMBER(AO139),ISNUMBER(AO125)),IFERROR(AO139/AO125,""),"")</f>
        <v>0.0582103642001207</v>
      </c>
      <c r="AP230" s="26" t="n">
        <f aca="false">IF(AND(ISNUMBER(AP139),ISNUMBER(AP125)),IFERROR(AP139/AP125,""),"")</f>
        <v>0.0521468144762679</v>
      </c>
      <c r="AQ230" s="26" t="n">
        <f aca="false">IF(AND(ISNUMBER(AQ139),ISNUMBER(AQ125)),IFERROR(AQ139/AQ125,""),"")</f>
        <v>0.0360649203364014</v>
      </c>
      <c r="AR230" s="26" t="n">
        <f aca="false">IF(AND(ISNUMBER(AR139),ISNUMBER(AR125)),IFERROR(AR139/AR125,""),"")</f>
        <v>0.0516003518858999</v>
      </c>
      <c r="AS230" s="26" t="n">
        <f aca="false">IF(AND(ISNUMBER(AS139),ISNUMBER(AS125)),IFERROR(AS139/AS125,""),"")</f>
        <v>0.0287620945869233</v>
      </c>
      <c r="AT230" s="26" t="n">
        <f aca="false">IF(AND(ISNUMBER(AT139),ISNUMBER(AT125)),IFERROR(AT139/AT125,""),"")</f>
        <v>0.0520383169517118</v>
      </c>
      <c r="AU230" s="26" t="n">
        <f aca="false">IF(AND(ISNUMBER(AU139),ISNUMBER(AU125)),IFERROR(AU139/AU125,""),"")</f>
        <v>0.0398217667108503</v>
      </c>
      <c r="AV230" s="26" t="n">
        <f aca="false">IF(AND(ISNUMBER(AV139),ISNUMBER(AV125)),IFERROR(AV139/AV125,""),"")</f>
        <v>0.0454564637675044</v>
      </c>
      <c r="AW230" s="26" t="n">
        <f aca="false">IF(AND(ISNUMBER(AW139),ISNUMBER(AW125)),IFERROR(AW139/AW125,""),"")</f>
        <v>0.0415415312271049</v>
      </c>
      <c r="AX230" s="26" t="n">
        <f aca="false">IF(AND(ISNUMBER(AX139),ISNUMBER(AX125)),IFERROR(AX139/AX125,""),"")</f>
        <v>0.0464894026044424</v>
      </c>
      <c r="AY230" s="26" t="n">
        <f aca="false">IF(AND(ISNUMBER(AY139),ISNUMBER(AY125)),IFERROR(AY139/AY125,""),"")</f>
        <v>0.047102278334405</v>
      </c>
      <c r="AZ230" s="26" t="n">
        <f aca="false">IF(AND(ISNUMBER(AZ139),ISNUMBER(AZ125)),IFERROR(AZ139/AZ125,""),"")</f>
        <v>0.0496143250908608</v>
      </c>
      <c r="BA230" s="26" t="n">
        <f aca="false">IF(AND(ISNUMBER(BA139),ISNUMBER(BA125)),IFERROR(BA139/BA125,""),"")</f>
        <v>0.0442037402289319</v>
      </c>
      <c r="BB230" s="26" t="n">
        <f aca="false">IF(AND(ISNUMBER(BB139),ISNUMBER(BB125)),IFERROR(BB139/BB125,""),"")</f>
        <v>0.0468401669144215</v>
      </c>
      <c r="BC230" s="26" t="n">
        <f aca="false">IF(AND(ISNUMBER(BC139),ISNUMBER(BC125)),IFERROR(BC139/BC125,""),"")</f>
        <v>0.0506860889445687</v>
      </c>
      <c r="BD230" s="26" t="n">
        <f aca="false">IF(AND(ISNUMBER(BD139),ISNUMBER(BD125)),IFERROR(BD139/BD125,""),"")</f>
        <v>0.0690838754279453</v>
      </c>
      <c r="BE230" s="26" t="n">
        <f aca="false">IF(AND(ISNUMBER(BE139),ISNUMBER(BE125)),IFERROR(BE139/BE125,""),"")</f>
        <v>0.047812306329646</v>
      </c>
      <c r="BF230" s="26" t="n">
        <f aca="false">IF(AND(ISNUMBER(BF139),ISNUMBER(BF125)),IFERROR(BF139/BF125,""),"")</f>
        <v>0.0323741454454381</v>
      </c>
      <c r="BG230" s="26" t="n">
        <f aca="false">IF(AND(ISNUMBER(BG139),ISNUMBER(BG125)),IFERROR(BG139/BG125,""),"")</f>
        <v>0.051293729406346</v>
      </c>
      <c r="BH230" s="26" t="n">
        <f aca="false">IF(AND(ISNUMBER(BH139),ISNUMBER(BH125)),IFERROR(BH139/BH125,""),"")</f>
        <v>0.0349185869760847</v>
      </c>
      <c r="BI230" s="26" t="n">
        <f aca="false">IF(AND(ISNUMBER(BI139),ISNUMBER(BI125)),IFERROR(BI139/BI125,""),"")</f>
        <v>0.0299926094382087</v>
      </c>
      <c r="BJ230" s="26" t="n">
        <f aca="false">IF(AND(ISNUMBER(BJ139),ISNUMBER(BJ125)),IFERROR(BJ139/BJ125,""),"")</f>
        <v>0.0261509365288882</v>
      </c>
      <c r="BK230" s="26" t="n">
        <f aca="false">IF(AND(ISNUMBER(BK139),ISNUMBER(BK125)),IFERROR(BK139/BK125,""),"")</f>
        <v>0.025445730783415</v>
      </c>
      <c r="BL230" s="26" t="n">
        <f aca="false">IF(AND(ISNUMBER(BL139),ISNUMBER(BL125)),IFERROR(BL139/BL125,""),"")</f>
        <v>0.0292449445606706</v>
      </c>
      <c r="BM230" s="26" t="n">
        <f aca="false">IF(AND(ISNUMBER(BM139),ISNUMBER(BM125)),IFERROR(BM139/BM125,""),"")</f>
        <v>0.0288132454851889</v>
      </c>
      <c r="BN230" s="26" t="n">
        <f aca="false">IF(AND(ISNUMBER(BN139),ISNUMBER(BN125)),IFERROR(BN139/BN125,""),"")</f>
        <v>0.0397225466325612</v>
      </c>
      <c r="BO230" s="26" t="n">
        <f aca="false">IF(AND(ISNUMBER(BO139),ISNUMBER(BO125)),IFERROR(BO139/BO125,""),"")</f>
        <v>0.038779961680569</v>
      </c>
      <c r="BP230" s="26" t="n">
        <f aca="false">IF(AND(ISNUMBER(BP139),ISNUMBER(BP125)),IFERROR(BP139/BP125,""),"")</f>
        <v>0.0439221288440436</v>
      </c>
      <c r="BQ230" s="26" t="n">
        <f aca="false">IF(AND(ISNUMBER(BQ139),ISNUMBER(BQ125)),IFERROR(BQ139/BQ125,""),"")</f>
        <v>0.0377513490019382</v>
      </c>
      <c r="BR230" s="26" t="n">
        <f aca="false">IF(AND(ISNUMBER(BR139),ISNUMBER(BR125)),IFERROR(BR139/BR125,""),"")</f>
        <v>0.0437025852908761</v>
      </c>
      <c r="BS230" s="26" t="n">
        <f aca="false">IF(AND(ISNUMBER(BS139),ISNUMBER(BS125)),IFERROR(BS139/BS125,""),"")</f>
        <v>0.0521979343620989</v>
      </c>
      <c r="BT230" s="26" t="n">
        <f aca="false">IF(AND(ISNUMBER(BT139),ISNUMBER(BT125)),IFERROR(BT139/BT125,""),"")</f>
        <v>0.0533826978330833</v>
      </c>
      <c r="BU230" s="26" t="n">
        <f aca="false">IF(AND(ISNUMBER(BU139),ISNUMBER(BU125)),IFERROR(BU139/BU125,""),"")</f>
        <v>0.0463506170012325</v>
      </c>
      <c r="BV230" s="26" t="n">
        <f aca="false">IF(AND(ISNUMBER(BV139),ISNUMBER(BV125)),IFERROR(BV139/BV125,""),"")</f>
        <v>0.0489726240689894</v>
      </c>
      <c r="BW230" s="26" t="n">
        <f aca="false">IF(AND(ISNUMBER(BW139),ISNUMBER(BW125)),IFERROR(BW139/BW125,""),"")</f>
        <v>0.0437799375718615</v>
      </c>
      <c r="BX230" s="26" t="n">
        <f aca="false">IF(AND(ISNUMBER(BX139),ISNUMBER(BX125)),IFERROR(BX139/BX125,""),"")</f>
        <v>0.0518317633739744</v>
      </c>
      <c r="BY230" s="27" t="n">
        <f aca="false">IF(AND(ISNUMBER(BY139),ISNUMBER(BY125)),IFERROR(BY139/BY125,""),"")</f>
        <v>0.0547996741715842</v>
      </c>
      <c r="BZ230" s="27" t="n">
        <f aca="false">IF(AND(ISNUMBER(BZ139),ISNUMBER(BZ125)),IFERROR(BZ139/BZ125,""),"")</f>
        <v>0.0498546415129442</v>
      </c>
      <c r="CA230" s="27" t="n">
        <f aca="false">IF(AND(ISNUMBER(CA139),ISNUMBER(CA125)),IFERROR(CA139/CA125,""),"")</f>
        <v>0.0504194950733241</v>
      </c>
      <c r="CB230" s="27" t="n">
        <f aca="false">IF(AND(ISNUMBER(CB139),ISNUMBER(CB125)),IFERROR(CB139/CB125,""),"")</f>
        <v>0.055617995096588</v>
      </c>
      <c r="CC230" s="27" t="n">
        <f aca="false">IF(AND(ISNUMBER(CC139),ISNUMBER(CC125)),IFERROR(CC139/CC125,""),"")</f>
        <v>0.0585984272231418</v>
      </c>
      <c r="CD230" s="27" t="n">
        <f aca="false">IF(AND(ISNUMBER(CD139),ISNUMBER(CD125)),IFERROR(CD139/CD125,""),"")</f>
        <v>0.060977454069205</v>
      </c>
      <c r="CE230" s="27" t="n">
        <f aca="false">IF(AND(ISNUMBER(CE139),ISNUMBER(CE125)),IFERROR(CE139/CE125,""),"")</f>
        <v>0.0609657372121982</v>
      </c>
    </row>
    <row r="231" customFormat="false" ht="15" hidden="false" customHeight="false" outlineLevel="0" collapsed="false">
      <c r="B231" s="25" t="s">
        <v>344</v>
      </c>
      <c r="C231" s="26" t="n">
        <f aca="false">IF(AND(ISNUMBER(C139),ISNUMBER(C133)),IFERROR(C139/C133,""),"")</f>
        <v>0.385984311030314</v>
      </c>
      <c r="D231" s="26" t="n">
        <f aca="false">IF(AND(ISNUMBER(D139),ISNUMBER(D133)),IFERROR(D139/D133,""),"")</f>
        <v>0.409786955549945</v>
      </c>
      <c r="E231" s="26" t="n">
        <f aca="false">IF(AND(ISNUMBER(E139),ISNUMBER(E133)),IFERROR(E139/E133,""),"")</f>
        <v>0.41571009547166</v>
      </c>
      <c r="F231" s="26" t="n">
        <f aca="false">IF(AND(ISNUMBER(F139),ISNUMBER(F133)),IFERROR(F139/F133,""),"")</f>
        <v>0.423175361931866</v>
      </c>
      <c r="G231" s="26" t="n">
        <f aca="false">IF(AND(ISNUMBER(G139),ISNUMBER(G133)),IFERROR(G139/G133,""),"")</f>
        <v>0.424297911821567</v>
      </c>
      <c r="H231" s="26" t="n">
        <f aca="false">IF(AND(ISNUMBER(H139),ISNUMBER(H133)),IFERROR(H139/H133,""),"")</f>
        <v>0.424295841505079</v>
      </c>
      <c r="I231" s="26" t="n">
        <f aca="false">IF(AND(ISNUMBER(I139),ISNUMBER(I133)),IFERROR(I139/I133,""),"")</f>
        <v>0.393183163898319</v>
      </c>
      <c r="J231" s="26" t="n">
        <f aca="false">IF(AND(ISNUMBER(J139),ISNUMBER(J133)),IFERROR(J139/J133,""),"")</f>
        <v>0.370194987294886</v>
      </c>
      <c r="K231" s="26" t="n">
        <f aca="false">IF(AND(ISNUMBER(K139),ISNUMBER(K133)),IFERROR(K139/K133,""),"")</f>
        <v>0.38610924202606</v>
      </c>
      <c r="L231" s="26" t="n">
        <f aca="false">IF(AND(ISNUMBER(L139),ISNUMBER(L133)),IFERROR(L139/L133,""),"")</f>
        <v>0.380644757460512</v>
      </c>
      <c r="M231" s="26" t="n">
        <f aca="false">IF(AND(ISNUMBER(M139),ISNUMBER(M133)),IFERROR(M139/M133,""),"")</f>
        <v>0.348988109299945</v>
      </c>
      <c r="N231" s="26" t="n">
        <f aca="false">IF(AND(ISNUMBER(N139),ISNUMBER(N133)),IFERROR(N139/N133,""),"")</f>
        <v>0.371794487757986</v>
      </c>
      <c r="O231" s="26" t="n">
        <f aca="false">IF(AND(ISNUMBER(O139),ISNUMBER(O133)),IFERROR(O139/O133,""),"")</f>
        <v>0.343304865113126</v>
      </c>
      <c r="P231" s="26" t="n">
        <f aca="false">IF(AND(ISNUMBER(P139),ISNUMBER(P133)),IFERROR(P139/P133,""),"")</f>
        <v>0.384583052643094</v>
      </c>
      <c r="Q231" s="26" t="n">
        <f aca="false">IF(AND(ISNUMBER(Q139),ISNUMBER(Q133)),IFERROR(Q139/Q133,""),"")</f>
        <v>0.385426223169132</v>
      </c>
      <c r="R231" s="26" t="n">
        <f aca="false">IF(AND(ISNUMBER(R139),ISNUMBER(R133)),IFERROR(R139/R133,""),"")</f>
        <v>0.374097278683821</v>
      </c>
      <c r="S231" s="26" t="n">
        <f aca="false">IF(AND(ISNUMBER(S139),ISNUMBER(S133)),IFERROR(S139/S133,""),"")</f>
        <v>0.372782733262537</v>
      </c>
      <c r="T231" s="26" t="n">
        <f aca="false">IF(AND(ISNUMBER(T139),ISNUMBER(T133)),IFERROR(T139/T133,""),"")</f>
        <v>0.346451219744434</v>
      </c>
      <c r="U231" s="26" t="n">
        <f aca="false">IF(AND(ISNUMBER(U139),ISNUMBER(U133)),IFERROR(U139/U133,""),"")</f>
        <v>0.392273868271184</v>
      </c>
      <c r="V231" s="26" t="n">
        <f aca="false">IF(AND(ISNUMBER(V139),ISNUMBER(V133)),IFERROR(V139/V133,""),"")</f>
        <v>0.395380367837574</v>
      </c>
      <c r="W231" s="26" t="n">
        <f aca="false">IF(AND(ISNUMBER(W139),ISNUMBER(W133)),IFERROR(W139/W133,""),"")</f>
        <v>0.375941917771739</v>
      </c>
      <c r="X231" s="26" t="n">
        <f aca="false">IF(AND(ISNUMBER(X139),ISNUMBER(X133)),IFERROR(X139/X133,""),"")</f>
        <v>0.378363485682042</v>
      </c>
      <c r="Y231" s="26" t="n">
        <f aca="false">IF(AND(ISNUMBER(Y139),ISNUMBER(Y133)),IFERROR(Y139/Y133,""),"")</f>
        <v>0.353168185892942</v>
      </c>
      <c r="Z231" s="26" t="n">
        <f aca="false">IF(AND(ISNUMBER(Z139),ISNUMBER(Z133)),IFERROR(Z139/Z133,""),"")</f>
        <v>0.393371086223</v>
      </c>
      <c r="AA231" s="26" t="n">
        <f aca="false">IF(AND(ISNUMBER(AA139),ISNUMBER(AA133)),IFERROR(AA139/AA133,""),"")</f>
        <v>0.378301477987759</v>
      </c>
      <c r="AB231" s="26" t="n">
        <f aca="false">IF(AND(ISNUMBER(AB139),ISNUMBER(AB133)),IFERROR(AB139/AB133,""),"")</f>
        <v>0.344718583263878</v>
      </c>
      <c r="AC231" s="26" t="n">
        <f aca="false">IF(AND(ISNUMBER(AC139),ISNUMBER(AC133)),IFERROR(AC139/AC133,""),"")</f>
        <v>0.36773686207151</v>
      </c>
      <c r="AD231" s="26" t="n">
        <f aca="false">IF(AND(ISNUMBER(AD139),ISNUMBER(AD133)),IFERROR(AD139/AD133,""),"")</f>
        <v>0.33058255330076</v>
      </c>
      <c r="AE231" s="26" t="n">
        <f aca="false">IF(AND(ISNUMBER(AE139),ISNUMBER(AE133)),IFERROR(AE139/AE133,""),"")</f>
        <v>0.316876064197815</v>
      </c>
      <c r="AF231" s="26" t="n">
        <f aca="false">IF(AND(ISNUMBER(AF139),ISNUMBER(AF133)),IFERROR(AF139/AF133,""),"")</f>
        <v>0.327467053747941</v>
      </c>
      <c r="AG231" s="26" t="n">
        <f aca="false">IF(AND(ISNUMBER(AG139),ISNUMBER(AG133)),IFERROR(AG139/AG133,""),"")</f>
        <v>0.333744296501221</v>
      </c>
      <c r="AH231" s="26" t="n">
        <f aca="false">IF(AND(ISNUMBER(AH139),ISNUMBER(AH133)),IFERROR(AH139/AH133,""),"")</f>
        <v>0.32732374738709</v>
      </c>
      <c r="AI231" s="26" t="n">
        <f aca="false">IF(AND(ISNUMBER(AI139),ISNUMBER(AI133)),IFERROR(AI139/AI133,""),"")</f>
        <v>0.306082997164197</v>
      </c>
      <c r="AJ231" s="26" t="n">
        <f aca="false">IF(AND(ISNUMBER(AJ139),ISNUMBER(AJ133)),IFERROR(AJ139/AJ133,""),"")</f>
        <v>0.32615568823038</v>
      </c>
      <c r="AK231" s="26" t="n">
        <f aca="false">IF(AND(ISNUMBER(AK139),ISNUMBER(AK133)),IFERROR(AK139/AK133,""),"")</f>
        <v>0.354405484378512</v>
      </c>
      <c r="AL231" s="26" t="n">
        <f aca="false">IF(AND(ISNUMBER(AL139),ISNUMBER(AL133)),IFERROR(AL139/AL133,""),"")</f>
        <v>0.357975743328155</v>
      </c>
      <c r="AM231" s="26" t="n">
        <f aca="false">IF(AND(ISNUMBER(AM139),ISNUMBER(AM133)),IFERROR(AM139/AM133,""),"")</f>
        <v>0.337154812798148</v>
      </c>
      <c r="AN231" s="26" t="n">
        <f aca="false">IF(AND(ISNUMBER(AN139),ISNUMBER(AN133)),IFERROR(AN139/AN133,""),"")</f>
        <v>0.330804360636417</v>
      </c>
      <c r="AO231" s="26" t="n">
        <f aca="false">IF(AND(ISNUMBER(AO139),ISNUMBER(AO133)),IFERROR(AO139/AO133,""),"")</f>
        <v>0.327286771305608</v>
      </c>
      <c r="AP231" s="26" t="n">
        <f aca="false">IF(AND(ISNUMBER(AP139),ISNUMBER(AP133)),IFERROR(AP139/AP133,""),"")</f>
        <v>0.317453676880355</v>
      </c>
      <c r="AQ231" s="26" t="n">
        <f aca="false">IF(AND(ISNUMBER(AQ139),ISNUMBER(AQ133)),IFERROR(AQ139/AQ133,""),"")</f>
        <v>0.236335713286218</v>
      </c>
      <c r="AR231" s="26" t="n">
        <f aca="false">IF(AND(ISNUMBER(AR139),ISNUMBER(AR133)),IFERROR(AR139/AR133,""),"")</f>
        <v>0.305445209584311</v>
      </c>
      <c r="AS231" s="26" t="n">
        <f aca="false">IF(AND(ISNUMBER(AS139),ISNUMBER(AS133)),IFERROR(AS139/AS133,""),"")</f>
        <v>0.192692000922611</v>
      </c>
      <c r="AT231" s="26" t="n">
        <f aca="false">IF(AND(ISNUMBER(AT139),ISNUMBER(AT133)),IFERROR(AT139/AT133,""),"")</f>
        <v>0.307244004016581</v>
      </c>
      <c r="AU231" s="26" t="n">
        <f aca="false">IF(AND(ISNUMBER(AU139),ISNUMBER(AU133)),IFERROR(AU139/AU133,""),"")</f>
        <v>0.285502644784336</v>
      </c>
      <c r="AV231" s="26" t="n">
        <f aca="false">IF(AND(ISNUMBER(AV139),ISNUMBER(AV133)),IFERROR(AV139/AV133,""),"")</f>
        <v>0.322836563228834</v>
      </c>
      <c r="AW231" s="26" t="n">
        <f aca="false">IF(AND(ISNUMBER(AW139),ISNUMBER(AW133)),IFERROR(AW139/AW133,""),"")</f>
        <v>0.279102931404075</v>
      </c>
      <c r="AX231" s="26" t="n">
        <f aca="false">IF(AND(ISNUMBER(AX139),ISNUMBER(AX133)),IFERROR(AX139/AX133,""),"")</f>
        <v>0.317960363336086</v>
      </c>
      <c r="AY231" s="26" t="n">
        <f aca="false">IF(AND(ISNUMBER(AY139),ISNUMBER(AY133)),IFERROR(AY139/AY133,""),"")</f>
        <v>0.347854175787798</v>
      </c>
      <c r="AZ231" s="26" t="n">
        <f aca="false">IF(AND(ISNUMBER(AZ139),ISNUMBER(AZ133)),IFERROR(AZ139/AZ133,""),"")</f>
        <v>0.368125971343011</v>
      </c>
      <c r="BA231" s="26" t="n">
        <f aca="false">IF(AND(ISNUMBER(BA139),ISNUMBER(BA133)),IFERROR(BA139/BA133,""),"")</f>
        <v>0.335620973420635</v>
      </c>
      <c r="BB231" s="26" t="n">
        <f aca="false">IF(AND(ISNUMBER(BB139),ISNUMBER(BB133)),IFERROR(BB139/BB133,""),"")</f>
        <v>0.343298682238985</v>
      </c>
      <c r="BC231" s="26" t="n">
        <f aca="false">IF(AND(ISNUMBER(BC139),ISNUMBER(BC133)),IFERROR(BC139/BC133,""),"")</f>
        <v>0.381235406026952</v>
      </c>
      <c r="BD231" s="26" t="n">
        <f aca="false">IF(AND(ISNUMBER(BD139),ISNUMBER(BD133)),IFERROR(BD139/BD133,""),"")</f>
        <v>0.455272471362808</v>
      </c>
      <c r="BE231" s="26" t="n">
        <f aca="false">IF(AND(ISNUMBER(BE139),ISNUMBER(BE133)),IFERROR(BE139/BE133,""),"")</f>
        <v>0.324178251881776</v>
      </c>
      <c r="BF231" s="26" t="n">
        <f aca="false">IF(AND(ISNUMBER(BF139),ISNUMBER(BF133)),IFERROR(BF139/BF133,""),"")</f>
        <v>0.213537557897039</v>
      </c>
      <c r="BG231" s="26" t="n">
        <f aca="false">IF(AND(ISNUMBER(BG139),ISNUMBER(BG133)),IFERROR(BG139/BG133,""),"")</f>
        <v>0.352552072998352</v>
      </c>
      <c r="BH231" s="26" t="n">
        <f aca="false">IF(AND(ISNUMBER(BH139),ISNUMBER(BH133)),IFERROR(BH139/BH133,""),"")</f>
        <v>0.234865235400502</v>
      </c>
      <c r="BI231" s="26" t="n">
        <f aca="false">IF(AND(ISNUMBER(BI139),ISNUMBER(BI133)),IFERROR(BI139/BI133,""),"")</f>
        <v>0.199284443482755</v>
      </c>
      <c r="BJ231" s="26" t="n">
        <f aca="false">IF(AND(ISNUMBER(BJ139),ISNUMBER(BJ133)),IFERROR(BJ139/BJ133,""),"")</f>
        <v>0.1788173250647</v>
      </c>
      <c r="BK231" s="26" t="n">
        <f aca="false">IF(AND(ISNUMBER(BK139),ISNUMBER(BK133)),IFERROR(BK139/BK133,""),"")</f>
        <v>0.173658270061087</v>
      </c>
      <c r="BL231" s="26" t="n">
        <f aca="false">IF(AND(ISNUMBER(BL139),ISNUMBER(BL133)),IFERROR(BL139/BL133,""),"")</f>
        <v>0.19757560446716</v>
      </c>
      <c r="BM231" s="26" t="n">
        <f aca="false">IF(AND(ISNUMBER(BM139),ISNUMBER(BM133)),IFERROR(BM139/BM133,""),"")</f>
        <v>0.193290853831897</v>
      </c>
      <c r="BN231" s="26" t="n">
        <f aca="false">IF(AND(ISNUMBER(BN139),ISNUMBER(BN133)),IFERROR(BN139/BN133,""),"")</f>
        <v>0.25907429201538</v>
      </c>
      <c r="BO231" s="26" t="n">
        <f aca="false">IF(AND(ISNUMBER(BO139),ISNUMBER(BO133)),IFERROR(BO139/BO133,""),"")</f>
        <v>0.244975539032142</v>
      </c>
      <c r="BP231" s="26" t="n">
        <f aca="false">IF(AND(ISNUMBER(BP139),ISNUMBER(BP133)),IFERROR(BP139/BP133,""),"")</f>
        <v>0.268467463114736</v>
      </c>
      <c r="BQ231" s="26" t="n">
        <f aca="false">IF(AND(ISNUMBER(BQ139),ISNUMBER(BQ133)),IFERROR(BQ139/BQ133,""),"")</f>
        <v>0.242002752969786</v>
      </c>
      <c r="BR231" s="26" t="n">
        <f aca="false">IF(AND(ISNUMBER(BR139),ISNUMBER(BR133)),IFERROR(BR139/BR133,""),"")</f>
        <v>0.262748704478463</v>
      </c>
      <c r="BS231" s="26" t="n">
        <f aca="false">IF(AND(ISNUMBER(BS139),ISNUMBER(BS133)),IFERROR(BS139/BS133,""),"")</f>
        <v>0.311467606036083</v>
      </c>
      <c r="BT231" s="26" t="n">
        <f aca="false">IF(AND(ISNUMBER(BT139),ISNUMBER(BT133)),IFERROR(BT139/BT133,""),"")</f>
        <v>0.312764755118775</v>
      </c>
      <c r="BU231" s="26" t="n">
        <f aca="false">IF(AND(ISNUMBER(BU139),ISNUMBER(BU133)),IFERROR(BU139/BU133,""),"")</f>
        <v>0.276026081636008</v>
      </c>
      <c r="BV231" s="26" t="n">
        <f aca="false">IF(AND(ISNUMBER(BV139),ISNUMBER(BV133)),IFERROR(BV139/BV133,""),"")</f>
        <v>0.291257451244042</v>
      </c>
      <c r="BW231" s="26" t="n">
        <f aca="false">IF(AND(ISNUMBER(BW139),ISNUMBER(BW133)),IFERROR(BW139/BW133,""),"")</f>
        <v>0.265992220962221</v>
      </c>
      <c r="BX231" s="26" t="n">
        <f aca="false">IF(AND(ISNUMBER(BX139),ISNUMBER(BX133)),IFERROR(BX139/BX133,""),"")</f>
        <v>0.346551196125567</v>
      </c>
      <c r="BY231" s="27" t="n">
        <f aca="false">IF(AND(ISNUMBER(BY139),ISNUMBER(BY133)),IFERROR(BY139/BY133,""),"")</f>
        <v>0.366971861651128</v>
      </c>
      <c r="BZ231" s="27" t="n">
        <f aca="false">IF(AND(ISNUMBER(BZ139),ISNUMBER(BZ133)),IFERROR(BZ139/BZ133,""),"")</f>
        <v>0.33361416424567</v>
      </c>
      <c r="CA231" s="27" t="n">
        <f aca="false">IF(AND(ISNUMBER(CA139),ISNUMBER(CA133)),IFERROR(CA139/CA133,""),"")</f>
        <v>0.330237090375418</v>
      </c>
      <c r="CB231" s="27" t="n">
        <f aca="false">IF(AND(ISNUMBER(CB139),ISNUMBER(CB133)),IFERROR(CB139/CB133,""),"")</f>
        <v>0.362289546347529</v>
      </c>
      <c r="CC231" s="27" t="n">
        <f aca="false">IF(AND(ISNUMBER(CC139),ISNUMBER(CC133)),IFERROR(CC139/CC133,""),"")</f>
        <v>0.370956928428504</v>
      </c>
      <c r="CD231" s="27" t="n">
        <f aca="false">IF(AND(ISNUMBER(CD139),ISNUMBER(CD133)),IFERROR(CD139/CD133,""),"")</f>
        <v>0.376624376920453</v>
      </c>
      <c r="CE231" s="27" t="n">
        <f aca="false">IF(AND(ISNUMBER(CE139),ISNUMBER(CE133)),IFERROR(CE139/CE133,""),"")</f>
        <v>0.377006487348014</v>
      </c>
    </row>
    <row r="232" customFormat="false" ht="15" hidden="false" customHeight="false" outlineLevel="0" collapsed="false">
      <c r="B232" s="25" t="s">
        <v>345</v>
      </c>
      <c r="C232" s="26" t="n">
        <f aca="false">IF(AND(ISNUMBER(C149),ISNUMBER(C125)),IFERROR(C149/C125,""),"")</f>
        <v>0.0407134078094701</v>
      </c>
      <c r="D232" s="26" t="n">
        <f aca="false">IF(AND(ISNUMBER(D149),ISNUMBER(D125)),IFERROR(D149/D125,""),"")</f>
        <v>0.0443208196360334</v>
      </c>
      <c r="E232" s="26" t="n">
        <f aca="false">IF(AND(ISNUMBER(E149),ISNUMBER(E125)),IFERROR(E149/E125,""),"")</f>
        <v>0.0418688846473336</v>
      </c>
      <c r="F232" s="26" t="n">
        <f aca="false">IF(AND(ISNUMBER(F149),ISNUMBER(F125)),IFERROR(F149/F125,""),"")</f>
        <v>0.0476205621900153</v>
      </c>
      <c r="G232" s="26" t="n">
        <f aca="false">IF(AND(ISNUMBER(G149),ISNUMBER(G125)),IFERROR(G149/G125,""),"")</f>
        <v>0.0417309976327068</v>
      </c>
      <c r="H232" s="26" t="n">
        <f aca="false">IF(AND(ISNUMBER(H149),ISNUMBER(H125)),IFERROR(H149/H125,""),"")</f>
        <v>0.0417567291187814</v>
      </c>
      <c r="I232" s="26" t="n">
        <f aca="false">IF(AND(ISNUMBER(I149),ISNUMBER(I125)),IFERROR(I149/I125,""),"")</f>
        <v>0.0522755606005503</v>
      </c>
      <c r="J232" s="26" t="n">
        <f aca="false">IF(AND(ISNUMBER(J149),ISNUMBER(J125)),IFERROR(J149/J125,""),"")</f>
        <v>0.0345136221986884</v>
      </c>
      <c r="K232" s="26" t="n">
        <f aca="false">IF(AND(ISNUMBER(K149),ISNUMBER(K125)),IFERROR(K149/K125,""),"")</f>
        <v>0.0340216199317452</v>
      </c>
      <c r="L232" s="26" t="n">
        <f aca="false">IF(AND(ISNUMBER(L149),ISNUMBER(L125)),IFERROR(L149/L125,""),"")</f>
        <v>0.0324835339113236</v>
      </c>
      <c r="M232" s="26" t="n">
        <f aca="false">IF(AND(ISNUMBER(M149),ISNUMBER(M125)),IFERROR(M149/M125,""),"")</f>
        <v>0.0294815981061136</v>
      </c>
      <c r="N232" s="26" t="n">
        <f aca="false">IF(AND(ISNUMBER(N149),ISNUMBER(N125)),IFERROR(N149/N125,""),"")</f>
        <v>0.0326146111425308</v>
      </c>
      <c r="O232" s="26" t="n">
        <f aca="false">IF(AND(ISNUMBER(O149),ISNUMBER(O125)),IFERROR(O149/O125,""),"")</f>
        <v>0.0296529767691248</v>
      </c>
      <c r="P232" s="26" t="n">
        <f aca="false">IF(AND(ISNUMBER(P149),ISNUMBER(P125)),IFERROR(P149/P125,""),"")</f>
        <v>0.0338563449101577</v>
      </c>
      <c r="Q232" s="26" t="n">
        <f aca="false">IF(AND(ISNUMBER(Q149),ISNUMBER(Q125)),IFERROR(Q149/Q125,""),"")</f>
        <v>0.0360449817469303</v>
      </c>
      <c r="R232" s="26" t="n">
        <f aca="false">IF(AND(ISNUMBER(R149),ISNUMBER(R125)),IFERROR(R149/R125,""),"")</f>
        <v>0.0336431945411686</v>
      </c>
      <c r="S232" s="26" t="n">
        <f aca="false">IF(AND(ISNUMBER(S149),ISNUMBER(S125)),IFERROR(S149/S125,""),"")</f>
        <v>0.0333859512354317</v>
      </c>
      <c r="T232" s="26" t="n">
        <f aca="false">IF(AND(ISNUMBER(T149),ISNUMBER(T125)),IFERROR(T149/T125,""),"")</f>
        <v>0.0322567549963797</v>
      </c>
      <c r="U232" s="26" t="n">
        <f aca="false">IF(AND(ISNUMBER(U149),ISNUMBER(U125)),IFERROR(U149/U125,""),"")</f>
        <v>0.0387036936741769</v>
      </c>
      <c r="V232" s="26" t="n">
        <f aca="false">IF(AND(ISNUMBER(V149),ISNUMBER(V125)),IFERROR(V149/V125,""),"")</f>
        <v>0.0407784975256292</v>
      </c>
      <c r="W232" s="26" t="n">
        <f aca="false">IF(AND(ISNUMBER(W149),ISNUMBER(W125)),IFERROR(W149/W125,""),"")</f>
        <v>0.0394234803025863</v>
      </c>
      <c r="X232" s="26" t="n">
        <f aca="false">IF(AND(ISNUMBER(X149),ISNUMBER(X125)),IFERROR(X149/X125,""),"")</f>
        <v>0.0378224861168867</v>
      </c>
      <c r="Y232" s="26" t="n">
        <f aca="false">IF(AND(ISNUMBER(Y149),ISNUMBER(Y125)),IFERROR(Y149/Y125,""),"")</f>
        <v>0.0387004573604652</v>
      </c>
      <c r="Z232" s="26" t="n">
        <f aca="false">IF(AND(ISNUMBER(Z149),ISNUMBER(Z125)),IFERROR(Z149/Z125,""),"")</f>
        <v>0.0433640094783197</v>
      </c>
      <c r="AA232" s="26" t="n">
        <f aca="false">IF(AND(ISNUMBER(AA149),ISNUMBER(AA125)),IFERROR(AA149/AA125,""),"")</f>
        <v>0.0384497790958455</v>
      </c>
      <c r="AB232" s="26" t="n">
        <f aca="false">IF(AND(ISNUMBER(AB149),ISNUMBER(AB125)),IFERROR(AB149/AB125,""),"")</f>
        <v>0.0358137321649498</v>
      </c>
      <c r="AC232" s="26" t="n">
        <f aca="false">IF(AND(ISNUMBER(AC149),ISNUMBER(AC125)),IFERROR(AC149/AC125,""),"")</f>
        <v>0.0390572024783459</v>
      </c>
      <c r="AD232" s="26" t="n">
        <f aca="false">IF(AND(ISNUMBER(AD149),ISNUMBER(AD125)),IFERROR(AD149/AD125,""),"")</f>
        <v>0.0357468613886753</v>
      </c>
      <c r="AE232" s="26" t="n">
        <f aca="false">IF(AND(ISNUMBER(AE149),ISNUMBER(AE125)),IFERROR(AE149/AE125,""),"")</f>
        <v>0.0299381296802333</v>
      </c>
      <c r="AF232" s="26" t="n">
        <f aca="false">IF(AND(ISNUMBER(AF149),ISNUMBER(AF125)),IFERROR(AF149/AF125,""),"")</f>
        <v>0.031493603695754</v>
      </c>
      <c r="AG232" s="26" t="n">
        <f aca="false">IF(AND(ISNUMBER(AG149),ISNUMBER(AG125)),IFERROR(AG149/AG125,""),"")</f>
        <v>0.0385263244023793</v>
      </c>
      <c r="AH232" s="26" t="n">
        <f aca="false">IF(AND(ISNUMBER(AH149),ISNUMBER(AH125)),IFERROR(AH149/AH125,""),"")</f>
        <v>0.0339552153485887</v>
      </c>
      <c r="AI232" s="26" t="n">
        <f aca="false">IF(AND(ISNUMBER(AI149),ISNUMBER(AI125)),IFERROR(AI149/AI125,""),"")</f>
        <v>0.0362509925924643</v>
      </c>
      <c r="AJ232" s="26" t="n">
        <f aca="false">IF(AND(ISNUMBER(AJ149),ISNUMBER(AJ125)),IFERROR(AJ149/AJ125,""),"")</f>
        <v>0.0372220820353052</v>
      </c>
      <c r="AK232" s="26" t="n">
        <f aca="false">IF(AND(ISNUMBER(AK149),ISNUMBER(AK125)),IFERROR(AK149/AK125,""),"")</f>
        <v>0.0409830145157156</v>
      </c>
      <c r="AL232" s="26" t="n">
        <f aca="false">IF(AND(ISNUMBER(AL149),ISNUMBER(AL125)),IFERROR(AL149/AL125,""),"")</f>
        <v>0.0452281684368044</v>
      </c>
      <c r="AM232" s="26" t="n">
        <f aca="false">IF(AND(ISNUMBER(AM149),ISNUMBER(AM125)),IFERROR(AM149/AM125,""),"")</f>
        <v>0.0399553921996597</v>
      </c>
      <c r="AN232" s="26" t="n">
        <f aca="false">IF(AND(ISNUMBER(AN149),ISNUMBER(AN125)),IFERROR(AN149/AN125,""),"")</f>
        <v>0.0431295501984693</v>
      </c>
      <c r="AO232" s="26" t="n">
        <f aca="false">IF(AND(ISNUMBER(AO149),ISNUMBER(AO125)),IFERROR(AO149/AO125,""),"")</f>
        <v>0.0432813827120066</v>
      </c>
      <c r="AP232" s="26" t="n">
        <f aca="false">IF(AND(ISNUMBER(AP149),ISNUMBER(AP125)),IFERROR(AP149/AP125,""),"")</f>
        <v>0.038093612977979</v>
      </c>
      <c r="AQ232" s="26" t="n">
        <f aca="false">IF(AND(ISNUMBER(AQ149),ISNUMBER(AQ125)),IFERROR(AQ149/AQ125,""),"")</f>
        <v>0.0261264125466676</v>
      </c>
      <c r="AR232" s="26" t="n">
        <f aca="false">IF(AND(ISNUMBER(AR149),ISNUMBER(AR125)),IFERROR(AR149/AR125,""),"")</f>
        <v>0.0376869067248928</v>
      </c>
      <c r="AS232" s="26" t="n">
        <f aca="false">IF(AND(ISNUMBER(AS149),ISNUMBER(AS125)),IFERROR(AS149/AS125,""),"")</f>
        <v>0.0205376703544381</v>
      </c>
      <c r="AT232" s="26" t="n">
        <f aca="false">IF(AND(ISNUMBER(AT149),ISNUMBER(AT125)),IFERROR(AT149/AT125,""),"")</f>
        <v>0.0396761604544404</v>
      </c>
      <c r="AU232" s="26" t="n">
        <f aca="false">IF(AND(ISNUMBER(AU149),ISNUMBER(AU125)),IFERROR(AU149/AU125,""),"")</f>
        <v>0.0323160859685666</v>
      </c>
      <c r="AV232" s="26" t="n">
        <f aca="false">IF(AND(ISNUMBER(AV149),ISNUMBER(AV125)),IFERROR(AV149/AV125,""),"")</f>
        <v>0.0324889679020683</v>
      </c>
      <c r="AW232" s="26" t="n">
        <f aca="false">IF(AND(ISNUMBER(AW149),ISNUMBER(AW125)),IFERROR(AW149/AW125,""),"")</f>
        <v>0.0312468493758231</v>
      </c>
      <c r="AX232" s="26" t="n">
        <f aca="false">IF(AND(ISNUMBER(AX149),ISNUMBER(AX125)),IFERROR(AX149/AX125,""),"")</f>
        <v>0.0360761294698086</v>
      </c>
      <c r="AY232" s="26" t="n">
        <f aca="false">IF(AND(ISNUMBER(AY149),ISNUMBER(AY125)),IFERROR(AY149/AY125,""),"")</f>
        <v>0.0350259528485596</v>
      </c>
      <c r="AZ232" s="26" t="n">
        <f aca="false">IF(AND(ISNUMBER(AZ149),ISNUMBER(AZ125)),IFERROR(AZ149/AZ125,""),"")</f>
        <v>0.039442054570026</v>
      </c>
      <c r="BA232" s="26" t="n">
        <f aca="false">IF(AND(ISNUMBER(BA149),ISNUMBER(BA125)),IFERROR(BA149/BA125,""),"")</f>
        <v>0.0353896307634384</v>
      </c>
      <c r="BB232" s="26" t="n">
        <f aca="false">IF(AND(ISNUMBER(BB149),ISNUMBER(BB125)),IFERROR(BB149/BB125,""),"")</f>
        <v>0.0365440202980348</v>
      </c>
      <c r="BC232" s="26" t="n">
        <f aca="false">IF(AND(ISNUMBER(BC149),ISNUMBER(BC125)),IFERROR(BC149/BC125,""),"")</f>
        <v>0.0396640058991017</v>
      </c>
      <c r="BD232" s="26" t="n">
        <f aca="false">IF(AND(ISNUMBER(BD149),ISNUMBER(BD125)),IFERROR(BD149/BD125,""),"")</f>
        <v>0.0512151622238811</v>
      </c>
      <c r="BE232" s="26" t="n">
        <f aca="false">IF(AND(ISNUMBER(BE149),ISNUMBER(BE125)),IFERROR(BE149/BE125,""),"")</f>
        <v>0.0375368056793126</v>
      </c>
      <c r="BF232" s="26" t="n">
        <f aca="false">IF(AND(ISNUMBER(BF149),ISNUMBER(BF125)),IFERROR(BF149/BF125,""),"")</f>
        <v>0.0189848822368108</v>
      </c>
      <c r="BG232" s="26" t="n">
        <f aca="false">IF(AND(ISNUMBER(BG149),ISNUMBER(BG125)),IFERROR(BG149/BG125,""),"")</f>
        <v>0.0380830983990727</v>
      </c>
      <c r="BH232" s="26" t="n">
        <f aca="false">IF(AND(ISNUMBER(BH149),ISNUMBER(BH125)),IFERROR(BH149/BH125,""),"")</f>
        <v>0.0249131008940363</v>
      </c>
      <c r="BI232" s="26" t="n">
        <f aca="false">IF(AND(ISNUMBER(BI149),ISNUMBER(BI125)),IFERROR(BI149/BI125,""),"")</f>
        <v>0.0220079532214526</v>
      </c>
      <c r="BJ232" s="26" t="n">
        <f aca="false">IF(AND(ISNUMBER(BJ149),ISNUMBER(BJ125)),IFERROR(BJ149/BJ125,""),"")</f>
        <v>0.0188777778545644</v>
      </c>
      <c r="BK232" s="26" t="n">
        <f aca="false">IF(AND(ISNUMBER(BK149),ISNUMBER(BK125)),IFERROR(BK149/BK125,""),"")</f>
        <v>0.00733629298936699</v>
      </c>
      <c r="BL232" s="26" t="n">
        <f aca="false">IF(AND(ISNUMBER(BL149),ISNUMBER(BL125)),IFERROR(BL149/BL125,""),"")</f>
        <v>0.0184769728745747</v>
      </c>
      <c r="BM232" s="26" t="n">
        <f aca="false">IF(AND(ISNUMBER(BM149),ISNUMBER(BM125)),IFERROR(BM149/BM125,""),"")</f>
        <v>0.0210556327511817</v>
      </c>
      <c r="BN232" s="26" t="n">
        <f aca="false">IF(AND(ISNUMBER(BN149),ISNUMBER(BN125)),IFERROR(BN149/BN125,""),"")</f>
        <v>0.0281599822275675</v>
      </c>
      <c r="BO232" s="26" t="n">
        <f aca="false">IF(AND(ISNUMBER(BO149),ISNUMBER(BO125)),IFERROR(BO149/BO125,""),"")</f>
        <v>0.0209335877627571</v>
      </c>
      <c r="BP232" s="26" t="n">
        <f aca="false">IF(AND(ISNUMBER(BP149),ISNUMBER(BP125)),IFERROR(BP149/BP125,""),"")</f>
        <v>0.0356793963470355</v>
      </c>
      <c r="BQ232" s="26" t="n">
        <f aca="false">IF(AND(ISNUMBER(BQ149),ISNUMBER(BQ125)),IFERROR(BQ149/BQ125,""),"")</f>
        <v>0.0262731258684083</v>
      </c>
      <c r="BR232" s="26" t="n">
        <f aca="false">IF(AND(ISNUMBER(BR149),ISNUMBER(BR125)),IFERROR(BR149/BR125,""),"")</f>
        <v>0.0334348141961183</v>
      </c>
      <c r="BS232" s="26" t="n">
        <f aca="false">IF(AND(ISNUMBER(BS149),ISNUMBER(BS125)),IFERROR(BS149/BS125,""),"")</f>
        <v>0.036859522553011</v>
      </c>
      <c r="BT232" s="26" t="n">
        <f aca="false">IF(AND(ISNUMBER(BT149),ISNUMBER(BT125)),IFERROR(BT149/BT125,""),"")</f>
        <v>0.0393988560367003</v>
      </c>
      <c r="BU232" s="26" t="n">
        <f aca="false">IF(AND(ISNUMBER(BU149),ISNUMBER(BU125)),IFERROR(BU149/BU125,""),"")</f>
        <v>0.0348412348305515</v>
      </c>
      <c r="BV232" s="26" t="n">
        <f aca="false">IF(AND(ISNUMBER(BV149),ISNUMBER(BV125)),IFERROR(BV149/BV125,""),"")</f>
        <v>0.0361664246561106</v>
      </c>
      <c r="BW232" s="26" t="n">
        <f aca="false">IF(AND(ISNUMBER(BW149),ISNUMBER(BW125)),IFERROR(BW149/BW125,""),"")</f>
        <v>0.036689614132702</v>
      </c>
      <c r="BX232" s="26" t="n">
        <f aca="false">IF(AND(ISNUMBER(BX149),ISNUMBER(BX125)),IFERROR(BX149/BX125,""),"")</f>
        <v>0.0378561593223322</v>
      </c>
      <c r="BY232" s="27" t="n">
        <f aca="false">IF(AND(ISNUMBER(BY149),ISNUMBER(BY125)),IFERROR(BY149/BY125,""),"")</f>
        <v>0.0408734608814544</v>
      </c>
      <c r="BZ232" s="27" t="n">
        <f aca="false">IF(AND(ISNUMBER(BZ149),ISNUMBER(BZ125)),IFERROR(BZ149/BZ125,""),"")</f>
        <v>0.0367228193167649</v>
      </c>
      <c r="CA232" s="27" t="n">
        <f aca="false">IF(AND(ISNUMBER(CA149),ISNUMBER(CA125)),IFERROR(CA149/CA125,""),"")</f>
        <v>0.0381402524308361</v>
      </c>
      <c r="CB232" s="27" t="n">
        <f aca="false">IF(AND(ISNUMBER(CB149),ISNUMBER(CB125)),IFERROR(CB149/CB125,""),"")</f>
        <v>0.0420342658225502</v>
      </c>
      <c r="CC232" s="27" t="n">
        <f aca="false">IF(AND(ISNUMBER(CC149),ISNUMBER(CC125)),IFERROR(CC149/CC125,""),"")</f>
        <v>0.0439934833538061</v>
      </c>
      <c r="CD232" s="27" t="n">
        <f aca="false">IF(AND(ISNUMBER(CD149),ISNUMBER(CD125)),IFERROR(CD149/CD125,""),"")</f>
        <v>0.0456534333536757</v>
      </c>
      <c r="CE232" s="27" t="n">
        <f aca="false">IF(AND(ISNUMBER(CE149),ISNUMBER(CE125)),IFERROR(CE149/CE125,""),"")</f>
        <v>0.0456189689769653</v>
      </c>
    </row>
    <row r="233" customFormat="false" ht="15" hidden="false" customHeight="false" outlineLevel="0" collapsed="false">
      <c r="B233" s="25" t="s">
        <v>346</v>
      </c>
      <c r="C233" s="26" t="n">
        <f aca="false">IF(AND(ISNUMBER(C136),ISNUMBER(C133)),IFERROR(C136/C133,""),"")</f>
        <v>0.476606031717879</v>
      </c>
      <c r="D233" s="26" t="n">
        <f aca="false">IF(AND(ISNUMBER(D136),ISNUMBER(D133)),IFERROR(D136/D133,""),"")</f>
        <v>0.456661880174758</v>
      </c>
      <c r="E233" s="26" t="n">
        <f aca="false">IF(AND(ISNUMBER(E136),ISNUMBER(E133)),IFERROR(E136/E133,""),"")</f>
        <v>0.437700505395418</v>
      </c>
      <c r="F233" s="26" t="n">
        <f aca="false">IF(AND(ISNUMBER(F136),ISNUMBER(F133)),IFERROR(F136/F133,""),"")</f>
        <v>0.432406460683711</v>
      </c>
      <c r="G233" s="26" t="n">
        <f aca="false">IF(AND(ISNUMBER(G136),ISNUMBER(G133)),IFERROR(G136/G133,""),"")</f>
        <v>0.43056776055227</v>
      </c>
      <c r="H233" s="26" t="n">
        <f aca="false">IF(AND(ISNUMBER(H136),ISNUMBER(H133)),IFERROR(H136/H133,""),"")</f>
        <v>0.426441422514697</v>
      </c>
      <c r="I233" s="26" t="n">
        <f aca="false">IF(AND(ISNUMBER(I136),ISNUMBER(I133)),IFERROR(I136/I133,""),"")</f>
        <v>0.445982145716247</v>
      </c>
      <c r="J233" s="26" t="n">
        <f aca="false">IF(AND(ISNUMBER(J136),ISNUMBER(J133)),IFERROR(J136/J133,""),"")</f>
        <v>0.466611223509069</v>
      </c>
      <c r="K233" s="26" t="n">
        <f aca="false">IF(AND(ISNUMBER(K136),ISNUMBER(K133)),IFERROR(K136/K133,""),"")</f>
        <v>0.435903783733458</v>
      </c>
      <c r="L233" s="26" t="n">
        <f aca="false">IF(AND(ISNUMBER(L136),ISNUMBER(L133)),IFERROR(L136/L133,""),"")</f>
        <v>0.441151204603437</v>
      </c>
      <c r="M233" s="26" t="n">
        <f aca="false">IF(AND(ISNUMBER(M136),ISNUMBER(M133)),IFERROR(M136/M133,""),"")</f>
        <v>0.458121561877764</v>
      </c>
      <c r="N233" s="26" t="n">
        <f aca="false">IF(AND(ISNUMBER(N136),ISNUMBER(N133)),IFERROR(N136/N133,""),"")</f>
        <v>0.450227793224207</v>
      </c>
      <c r="O233" s="26" t="n">
        <f aca="false">IF(AND(ISNUMBER(O136),ISNUMBER(O133)),IFERROR(O136/O133,""),"")</f>
        <v>0.481802574168644</v>
      </c>
      <c r="P233" s="26" t="n">
        <f aca="false">IF(AND(ISNUMBER(P136),ISNUMBER(P133)),IFERROR(P136/P133,""),"")</f>
        <v>0.458673760212807</v>
      </c>
      <c r="Q233" s="26" t="n">
        <f aca="false">IF(AND(ISNUMBER(Q136),ISNUMBER(Q133)),IFERROR(Q136/Q133,""),"")</f>
        <v>0.463680235952415</v>
      </c>
      <c r="R233" s="26" t="n">
        <f aca="false">IF(AND(ISNUMBER(R136),ISNUMBER(R133)),IFERROR(R136/R133,""),"")</f>
        <v>0.468532290720104</v>
      </c>
      <c r="S233" s="26" t="n">
        <f aca="false">IF(AND(ISNUMBER(S136),ISNUMBER(S133)),IFERROR(S136/S133,""),"")</f>
        <v>0.467720999456081</v>
      </c>
      <c r="T233" s="26" t="n">
        <f aca="false">IF(AND(ISNUMBER(T136),ISNUMBER(T133)),IFERROR(T136/T133,""),"")</f>
        <v>0.48588676658224</v>
      </c>
      <c r="U233" s="26" t="n">
        <f aca="false">IF(AND(ISNUMBER(U136),ISNUMBER(U133)),IFERROR(U136/U133,""),"")</f>
        <v>0.452039149478269</v>
      </c>
      <c r="V233" s="26" t="n">
        <f aca="false">IF(AND(ISNUMBER(V136),ISNUMBER(V133)),IFERROR(V136/V133,""),"")</f>
        <v>0.448671792040097</v>
      </c>
      <c r="W233" s="26" t="n">
        <f aca="false">IF(AND(ISNUMBER(W136),ISNUMBER(W133)),IFERROR(W136/W133,""),"")</f>
        <v>0.469868267291779</v>
      </c>
      <c r="X233" s="26" t="n">
        <f aca="false">IF(AND(ISNUMBER(X136),ISNUMBER(X133)),IFERROR(X136/X133,""),"")</f>
        <v>0.463486563690224</v>
      </c>
      <c r="Y233" s="26" t="n">
        <f aca="false">IF(AND(ISNUMBER(Y136),ISNUMBER(Y133)),IFERROR(Y136/Y133,""),"")</f>
        <v>0.492596767465185</v>
      </c>
      <c r="Z233" s="26" t="n">
        <f aca="false">IF(AND(ISNUMBER(Z136),ISNUMBER(Z133)),IFERROR(Z136/Z133,""),"")</f>
        <v>0.454803396077177</v>
      </c>
      <c r="AA233" s="26" t="n">
        <f aca="false">IF(AND(ISNUMBER(AA136),ISNUMBER(AA133)),IFERROR(AA136/AA133,""),"")</f>
        <v>0.459982953182132</v>
      </c>
      <c r="AB233" s="26" t="n">
        <f aca="false">IF(AND(ISNUMBER(AB136),ISNUMBER(AB133)),IFERROR(AB136/AB133,""),"")</f>
        <v>0.463575392330762</v>
      </c>
      <c r="AC233" s="26" t="n">
        <f aca="false">IF(AND(ISNUMBER(AC136),ISNUMBER(AC133)),IFERROR(AC136/AC133,""),"")</f>
        <v>0.467584152642689</v>
      </c>
      <c r="AD233" s="26" t="n">
        <f aca="false">IF(AND(ISNUMBER(AD136),ISNUMBER(AD133)),IFERROR(AD136/AD133,""),"")</f>
        <v>0.510941561753605</v>
      </c>
      <c r="AE233" s="26" t="n">
        <f aca="false">IF(AND(ISNUMBER(AE136),ISNUMBER(AE133)),IFERROR(AE136/AE133,""),"")</f>
        <v>0.495338878925877</v>
      </c>
      <c r="AF233" s="26" t="n">
        <f aca="false">IF(AND(ISNUMBER(AF136),ISNUMBER(AF133)),IFERROR(AF136/AF133,""),"")</f>
        <v>0.493737433610734</v>
      </c>
      <c r="AG233" s="26" t="n">
        <f aca="false">IF(AND(ISNUMBER(AG136),ISNUMBER(AG133)),IFERROR(AG136/AG133,""),"")</f>
        <v>0.493154218808608</v>
      </c>
      <c r="AH233" s="26" t="n">
        <f aca="false">IF(AND(ISNUMBER(AH136),ISNUMBER(AH133)),IFERROR(AH136/AH133,""),"")</f>
        <v>0.498100546863454</v>
      </c>
      <c r="AI233" s="26" t="n">
        <f aca="false">IF(AND(ISNUMBER(AI136),ISNUMBER(AI133)),IFERROR(AI136/AI133,""),"")</f>
        <v>0.524498941566482</v>
      </c>
      <c r="AJ233" s="26" t="n">
        <f aca="false">IF(AND(ISNUMBER(AJ136),ISNUMBER(AJ133)),IFERROR(AJ136/AJ133,""),"")</f>
        <v>0.507280154523644</v>
      </c>
      <c r="AK233" s="26" t="n">
        <f aca="false">IF(AND(ISNUMBER(AK136),ISNUMBER(AK133)),IFERROR(AK136/AK133,""),"")</f>
        <v>0.483109140054521</v>
      </c>
      <c r="AL233" s="26" t="n">
        <f aca="false">IF(AND(ISNUMBER(AL136),ISNUMBER(AL133)),IFERROR(AL136/AL133,""),"")</f>
        <v>0.475376970311705</v>
      </c>
      <c r="AM233" s="26" t="n">
        <f aca="false">IF(AND(ISNUMBER(AM136),ISNUMBER(AM133)),IFERROR(AM136/AM133,""),"")</f>
        <v>0.49664520827211</v>
      </c>
      <c r="AN233" s="26" t="n">
        <f aca="false">IF(AND(ISNUMBER(AN136),ISNUMBER(AN133)),IFERROR(AN136/AN133,""),"")</f>
        <v>0.501028285209193</v>
      </c>
      <c r="AO233" s="26" t="n">
        <f aca="false">IF(AND(ISNUMBER(AO136),ISNUMBER(AO133)),IFERROR(AO136/AO133,""),"")</f>
        <v>0.48745425882028</v>
      </c>
      <c r="AP233" s="26" t="n">
        <f aca="false">IF(AND(ISNUMBER(AP136),ISNUMBER(AP133)),IFERROR(AP136/AP133,""),"")</f>
        <v>0.506074063315499</v>
      </c>
      <c r="AQ233" s="26" t="n">
        <f aca="false">IF(AND(ISNUMBER(AQ136),ISNUMBER(AQ133)),IFERROR(AQ136/AQ133,""),"")</f>
        <v>0.516496994971176</v>
      </c>
      <c r="AR233" s="26" t="n">
        <f aca="false">IF(AND(ISNUMBER(AR136),ISNUMBER(AR133)),IFERROR(AR136/AR133,""),"")</f>
        <v>0.50207747717791</v>
      </c>
      <c r="AS233" s="26" t="n">
        <f aca="false">IF(AND(ISNUMBER(AS136),ISNUMBER(AS133)),IFERROR(AS136/AS133,""),"")</f>
        <v>0.581421350006075</v>
      </c>
      <c r="AT233" s="26" t="n">
        <f aca="false">IF(AND(ISNUMBER(AT136),ISNUMBER(AT133)),IFERROR(AT136/AT133,""),"")</f>
        <v>0.489025198021655</v>
      </c>
      <c r="AU233" s="26" t="n">
        <f aca="false">IF(AND(ISNUMBER(AU136),ISNUMBER(AU133)),IFERROR(AU136/AU133,""),"")</f>
        <v>0.514029999677569</v>
      </c>
      <c r="AV233" s="26" t="n">
        <f aca="false">IF(AND(ISNUMBER(AV136),ISNUMBER(AV133)),IFERROR(AV136/AV133,""),"")</f>
        <v>0.48278273684079</v>
      </c>
      <c r="AW233" s="26" t="n">
        <f aca="false">IF(AND(ISNUMBER(AW136),ISNUMBER(AW133)),IFERROR(AW136/AW133,""),"")</f>
        <v>0.515229927822782</v>
      </c>
      <c r="AX233" s="26" t="n">
        <f aca="false">IF(AND(ISNUMBER(AX136),ISNUMBER(AX133)),IFERROR(AX136/AX133,""),"")</f>
        <v>0.513731883026282</v>
      </c>
      <c r="AY233" s="26" t="n">
        <f aca="false">IF(AND(ISNUMBER(AY136),ISNUMBER(AY133)),IFERROR(AY136/AY133,""),"")</f>
        <v>0.484400194346856</v>
      </c>
      <c r="AZ233" s="26" t="n">
        <f aca="false">IF(AND(ISNUMBER(AZ136),ISNUMBER(AZ133)),IFERROR(AZ136/AZ133,""),"")</f>
        <v>0.473683711762254</v>
      </c>
      <c r="BA233" s="26" t="n">
        <f aca="false">IF(AND(ISNUMBER(BA136),ISNUMBER(BA133)),IFERROR(BA136/BA133,""),"")</f>
        <v>0.490451817675435</v>
      </c>
      <c r="BB233" s="26" t="n">
        <f aca="false">IF(AND(ISNUMBER(BB136),ISNUMBER(BB133)),IFERROR(BB136/BB133,""),"")</f>
        <v>0.489710157295685</v>
      </c>
      <c r="BC233" s="26" t="n">
        <f aca="false">IF(AND(ISNUMBER(BC136),ISNUMBER(BC133)),IFERROR(BC136/BC133,""),"")</f>
        <v>0.456149662986815</v>
      </c>
      <c r="BD233" s="26" t="n">
        <f aca="false">IF(AND(ISNUMBER(BD136),ISNUMBER(BD133)),IFERROR(BD136/BD133,""),"")</f>
        <v>0.431134543670931</v>
      </c>
      <c r="BE233" s="26" t="n">
        <f aca="false">IF(AND(ISNUMBER(BE136),ISNUMBER(BE133)),IFERROR(BE136/BE133,""),"")</f>
        <v>0.493178493091702</v>
      </c>
      <c r="BF233" s="26" t="n">
        <f aca="false">IF(AND(ISNUMBER(BF136),ISNUMBER(BF133)),IFERROR(BF136/BF133,""),"")</f>
        <v>0.556267199879194</v>
      </c>
      <c r="BG233" s="26" t="n">
        <f aca="false">IF(AND(ISNUMBER(BG136),ISNUMBER(BG133)),IFERROR(BG136/BG133,""),"")</f>
        <v>0.479514368482265</v>
      </c>
      <c r="BH233" s="26" t="n">
        <f aca="false">IF(AND(ISNUMBER(BH136),ISNUMBER(BH133)),IFERROR(BH136/BH133,""),"")</f>
        <v>0.558756781984715</v>
      </c>
      <c r="BI233" s="26" t="n">
        <f aca="false">IF(AND(ISNUMBER(BI136),ISNUMBER(BI133)),IFERROR(BI136/BI133,""),"")</f>
        <v>0.566910995708464</v>
      </c>
      <c r="BJ233" s="26" t="n">
        <f aca="false">IF(AND(ISNUMBER(BJ136),ISNUMBER(BJ133)),IFERROR(BJ136/BJ133,""),"")</f>
        <v>0.54112395230992</v>
      </c>
      <c r="BK233" s="26" t="n">
        <f aca="false">IF(AND(ISNUMBER(BK136),ISNUMBER(BK133)),IFERROR(BK136/BK133,""),"")</f>
        <v>0.584879643983493</v>
      </c>
      <c r="BL233" s="26" t="n">
        <f aca="false">IF(AND(ISNUMBER(BL136),ISNUMBER(BL133)),IFERROR(BL136/BL133,""),"")</f>
        <v>0.56274687016242</v>
      </c>
      <c r="BM233" s="26" t="n">
        <f aca="false">IF(AND(ISNUMBER(BM136),ISNUMBER(BM133)),IFERROR(BM136/BM133,""),"")</f>
        <v>0.576357435965269</v>
      </c>
      <c r="BN233" s="26" t="n">
        <f aca="false">IF(AND(ISNUMBER(BN136),ISNUMBER(BN133)),IFERROR(BN136/BN133,""),"")</f>
        <v>0.525483373071927</v>
      </c>
      <c r="BO233" s="26" t="n">
        <f aca="false">IF(AND(ISNUMBER(BO136),ISNUMBER(BO133)),IFERROR(BO136/BO133,""),"")</f>
        <v>0.491747738533539</v>
      </c>
      <c r="BP233" s="26" t="n">
        <f aca="false">IF(AND(ISNUMBER(BP136),ISNUMBER(BP133)),IFERROR(BP136/BP133,""),"")</f>
        <v>0.51762941063914</v>
      </c>
      <c r="BQ233" s="26" t="n">
        <f aca="false">IF(AND(ISNUMBER(BQ136),ISNUMBER(BQ133)),IFERROR(BQ136/BQ133,""),"")</f>
        <v>0.526669666048707</v>
      </c>
      <c r="BR233" s="26" t="n">
        <f aca="false">IF(AND(ISNUMBER(BR136),ISNUMBER(BR133)),IFERROR(BR136/BR133,""),"")</f>
        <v>0.517841649234573</v>
      </c>
      <c r="BS233" s="26" t="n">
        <f aca="false">IF(AND(ISNUMBER(BS136),ISNUMBER(BS133)),IFERROR(BS136/BS133,""),"")</f>
        <v>0.483708893572273</v>
      </c>
      <c r="BT233" s="26" t="n">
        <f aca="false">IF(AND(ISNUMBER(BT136),ISNUMBER(BT133)),IFERROR(BT136/BT133,""),"")</f>
        <v>0.49470808424577</v>
      </c>
      <c r="BU233" s="26" t="n">
        <f aca="false">IF(AND(ISNUMBER(BU136),ISNUMBER(BU133)),IFERROR(BU136/BU133,""),"")</f>
        <v>0.512897746471156</v>
      </c>
      <c r="BV233" s="26" t="n">
        <f aca="false">IF(AND(ISNUMBER(BV136),ISNUMBER(BV133)),IFERROR(BV136/BV133,""),"")</f>
        <v>0.501997867671035</v>
      </c>
      <c r="BW233" s="26" t="n">
        <f aca="false">IF(AND(ISNUMBER(BW136),ISNUMBER(BW133)),IFERROR(BW136/BW133,""),"")</f>
        <v>0.534029883738359</v>
      </c>
      <c r="BX233" s="26" t="n">
        <f aca="false">IF(AND(ISNUMBER(BX136),ISNUMBER(BX133)),IFERROR(BX136/BX133,""),"")</f>
        <v>0.45865527680137</v>
      </c>
      <c r="BY233" s="27" t="n">
        <f aca="false">IF(AND(ISNUMBER(BY136),ISNUMBER(BY133)),IFERROR(BY136/BY133,""),"")</f>
        <v>0.463194021356447</v>
      </c>
      <c r="BZ233" s="27" t="n">
        <f aca="false">IF(AND(ISNUMBER(BZ136),ISNUMBER(BZ133)),IFERROR(BZ136/BZ133,""),"")</f>
        <v>0.480199095053425</v>
      </c>
      <c r="CA233" s="27" t="n">
        <f aca="false">IF(AND(ISNUMBER(CA136),ISNUMBER(CA133)),IFERROR(CA136/CA133,""),"")</f>
        <v>0.482531987816507</v>
      </c>
      <c r="CB233" s="27" t="n">
        <f aca="false">IF(AND(ISNUMBER(CB136),ISNUMBER(CB133)),IFERROR(CB136/CB133,""),"")</f>
        <v>0.447710453652471</v>
      </c>
      <c r="CC233" s="27" t="n">
        <f aca="false">IF(AND(ISNUMBER(CC136),ISNUMBER(CC133)),IFERROR(CC136/CC133,""),"")</f>
        <v>0.436383170436485</v>
      </c>
      <c r="CD233" s="27" t="n">
        <f aca="false">IF(AND(ISNUMBER(CD136),ISNUMBER(CD133)),IFERROR(CD136/CD133,""),"")</f>
        <v>0.429351428680906</v>
      </c>
      <c r="CE233" s="27" t="n">
        <f aca="false">IF(AND(ISNUMBER(CE136),ISNUMBER(CE133)),IFERROR(CE136/CE133,""),"")</f>
        <v>0.421918166605004</v>
      </c>
    </row>
    <row r="234" customFormat="false" ht="15" hidden="false" customHeight="false" outlineLevel="0" collapsed="false">
      <c r="B234" s="25" t="s">
        <v>347</v>
      </c>
      <c r="C234" s="26" t="n">
        <f aca="false">IF(AND(ISNUMBER(C137),ISNUMBER(C133)),IFERROR(C137/C133,""),"")</f>
        <v>0.137409657251807</v>
      </c>
      <c r="D234" s="26" t="n">
        <f aca="false">IF(AND(ISNUMBER(D137),ISNUMBER(D133)),IFERROR(D137/D133,""),"")</f>
        <v>0.133551164275297</v>
      </c>
      <c r="E234" s="26" t="n">
        <f aca="false">IF(AND(ISNUMBER(E137),ISNUMBER(E133)),IFERROR(E137/E133,""),"")</f>
        <v>0.146589399132922</v>
      </c>
      <c r="F234" s="26" t="n">
        <f aca="false">IF(AND(ISNUMBER(F137),ISNUMBER(F133)),IFERROR(F137/F133,""),"")</f>
        <v>0.144418177384423</v>
      </c>
      <c r="G234" s="26" t="n">
        <f aca="false">IF(AND(ISNUMBER(G137),ISNUMBER(G133)),IFERROR(G137/G133,""),"")</f>
        <v>0.145134327626163</v>
      </c>
      <c r="H234" s="26" t="n">
        <f aca="false">IF(AND(ISNUMBER(H137),ISNUMBER(H133)),IFERROR(H137/H133,""),"")</f>
        <v>0.149262735980224</v>
      </c>
      <c r="I234" s="26" t="n">
        <f aca="false">IF(AND(ISNUMBER(I137),ISNUMBER(I133)),IFERROR(I137/I133,""),"")</f>
        <v>0.160834690385434</v>
      </c>
      <c r="J234" s="26" t="n">
        <f aca="false">IF(AND(ISNUMBER(J137),ISNUMBER(J133)),IFERROR(J137/J133,""),"")</f>
        <v>0.163193789196045</v>
      </c>
      <c r="K234" s="26" t="n">
        <f aca="false">IF(AND(ISNUMBER(K137),ISNUMBER(K133)),IFERROR(K137/K133,""),"")</f>
        <v>0.177986974240481</v>
      </c>
      <c r="L234" s="26" t="n">
        <f aca="false">IF(AND(ISNUMBER(L137),ISNUMBER(L133)),IFERROR(L137/L133,""),"")</f>
        <v>0.178204037936051</v>
      </c>
      <c r="M234" s="26" t="n">
        <f aca="false">IF(AND(ISNUMBER(M137),ISNUMBER(M133)),IFERROR(M137/M133,""),"")</f>
        <v>0.192890328822292</v>
      </c>
      <c r="N234" s="26" t="n">
        <f aca="false">IF(AND(ISNUMBER(N137),ISNUMBER(N133)),IFERROR(N137/N133,""),"")</f>
        <v>0.177977719017807</v>
      </c>
      <c r="O234" s="26" t="n">
        <f aca="false">IF(AND(ISNUMBER(O137),ISNUMBER(O133)),IFERROR(O137/O133,""),"")</f>
        <v>0.17489256071823</v>
      </c>
      <c r="P234" s="26" t="n">
        <f aca="false">IF(AND(ISNUMBER(P137),ISNUMBER(P133)),IFERROR(P137/P133,""),"")</f>
        <v>0.156743187144099</v>
      </c>
      <c r="Q234" s="26" t="n">
        <f aca="false">IF(AND(ISNUMBER(Q137),ISNUMBER(Q133)),IFERROR(Q137/Q133,""),"")</f>
        <v>0.150893540878453</v>
      </c>
      <c r="R234" s="26" t="n">
        <f aca="false">IF(AND(ISNUMBER(R137),ISNUMBER(R133)),IFERROR(R137/R133,""),"")</f>
        <v>0.157370430596075</v>
      </c>
      <c r="S234" s="26" t="n">
        <f aca="false">IF(AND(ISNUMBER(S137),ISNUMBER(S133)),IFERROR(S137/S133,""),"")</f>
        <v>0.159496267281382</v>
      </c>
      <c r="T234" s="26" t="n">
        <f aca="false">IF(AND(ISNUMBER(T137),ISNUMBER(T133)),IFERROR(T137/T133,""),"")</f>
        <v>0.167662013673326</v>
      </c>
      <c r="U234" s="26" t="n">
        <f aca="false">IF(AND(ISNUMBER(U137),ISNUMBER(U133)),IFERROR(U137/U133,""),"")</f>
        <v>0.155686982250547</v>
      </c>
      <c r="V234" s="26" t="n">
        <f aca="false">IF(AND(ISNUMBER(V137),ISNUMBER(V133)),IFERROR(V137/V133,""),"")</f>
        <v>0.155947840122329</v>
      </c>
      <c r="W234" s="26" t="n">
        <f aca="false">IF(AND(ISNUMBER(W137),ISNUMBER(W133)),IFERROR(W137/W133,""),"")</f>
        <v>0.154189814936481</v>
      </c>
      <c r="X234" s="26" t="n">
        <f aca="false">IF(AND(ISNUMBER(X137),ISNUMBER(X133)),IFERROR(X137/X133,""),"")</f>
        <v>0.158149950627733</v>
      </c>
      <c r="Y234" s="26" t="n">
        <f aca="false">IF(AND(ISNUMBER(Y137),ISNUMBER(Y133)),IFERROR(Y137/Y133,""),"")</f>
        <v>0.154235046641874</v>
      </c>
      <c r="Z234" s="26" t="n">
        <f aca="false">IF(AND(ISNUMBER(Z137),ISNUMBER(Z133)),IFERROR(Z137/Z133,""),"")</f>
        <v>0.151825517699822</v>
      </c>
      <c r="AA234" s="26" t="n">
        <f aca="false">IF(AND(ISNUMBER(AA137),ISNUMBER(AA133)),IFERROR(AA137/AA133,""),"")</f>
        <v>0.161715568830108</v>
      </c>
      <c r="AB234" s="26" t="n">
        <f aca="false">IF(AND(ISNUMBER(AB137),ISNUMBER(AB133)),IFERROR(AB137/AB133,""),"")</f>
        <v>0.19170602440536</v>
      </c>
      <c r="AC234" s="26" t="n">
        <f aca="false">IF(AND(ISNUMBER(AC137),ISNUMBER(AC133)),IFERROR(AC137/AC133,""),"")</f>
        <v>0.164678985285801</v>
      </c>
      <c r="AD234" s="26" t="n">
        <f aca="false">IF(AND(ISNUMBER(AD137),ISNUMBER(AD133)),IFERROR(AD137/AD133,""),"")</f>
        <v>0.158475884945635</v>
      </c>
      <c r="AE234" s="26" t="n">
        <f aca="false">IF(AND(ISNUMBER(AE137),ISNUMBER(AE133)),IFERROR(AE137/AE133,""),"")</f>
        <v>0.187785056876308</v>
      </c>
      <c r="AF234" s="26" t="n">
        <f aca="false">IF(AND(ISNUMBER(AF137),ISNUMBER(AF133)),IFERROR(AF137/AF133,""),"")</f>
        <v>0.178795512641325</v>
      </c>
      <c r="AG234" s="26" t="n">
        <f aca="false">IF(AND(ISNUMBER(AG137),ISNUMBER(AG133)),IFERROR(AG137/AG133,""),"")</f>
        <v>0.173101484690171</v>
      </c>
      <c r="AH234" s="26" t="n">
        <f aca="false">IF(AND(ISNUMBER(AH137),ISNUMBER(AH133)),IFERROR(AH137/AH133,""),"")</f>
        <v>0.174575705749457</v>
      </c>
      <c r="AI234" s="26" t="n">
        <f aca="false">IF(AND(ISNUMBER(AI137),ISNUMBER(AI133)),IFERROR(AI137/AI133,""),"")</f>
        <v>0.169418061269321</v>
      </c>
      <c r="AJ234" s="26" t="n">
        <f aca="false">IF(AND(ISNUMBER(AJ137),ISNUMBER(AJ133)),IFERROR(AJ137/AJ133,""),"")</f>
        <v>0.166564157245976</v>
      </c>
      <c r="AK234" s="26" t="n">
        <f aca="false">IF(AND(ISNUMBER(AK137),ISNUMBER(AK133)),IFERROR(AK137/AK133,""),"")</f>
        <v>0.162485375566967</v>
      </c>
      <c r="AL234" s="26" t="n">
        <f aca="false">IF(AND(ISNUMBER(AL137),ISNUMBER(AL133)),IFERROR(AL137/AL133,""),"")</f>
        <v>0.16664728636014</v>
      </c>
      <c r="AM234" s="26" t="n">
        <f aca="false">IF(AND(ISNUMBER(AM137),ISNUMBER(AM133)),IFERROR(AM137/AM133,""),"")</f>
        <v>0.166199978929742</v>
      </c>
      <c r="AN234" s="26" t="n">
        <f aca="false">IF(AND(ISNUMBER(AN137),ISNUMBER(AN133)),IFERROR(AN137/AN133,""),"")</f>
        <v>0.16816735415439</v>
      </c>
      <c r="AO234" s="26" t="n">
        <f aca="false">IF(AND(ISNUMBER(AO137),ISNUMBER(AO133)),IFERROR(AO137/AO133,""),"")</f>
        <v>0.185258969874111</v>
      </c>
      <c r="AP234" s="26" t="n">
        <f aca="false">IF(AND(ISNUMBER(AP137),ISNUMBER(AP133)),IFERROR(AP137/AP133,""),"")</f>
        <v>0.176472259804146</v>
      </c>
      <c r="AQ234" s="26" t="n">
        <f aca="false">IF(AND(ISNUMBER(AQ137),ISNUMBER(AQ133)),IFERROR(AQ137/AQ133,""),"")</f>
        <v>0.247167291742606</v>
      </c>
      <c r="AR234" s="26" t="n">
        <f aca="false">IF(AND(ISNUMBER(AR137),ISNUMBER(AR133)),IFERROR(AR137/AR133,""),"")</f>
        <v>0.192477313237779</v>
      </c>
      <c r="AS234" s="26" t="n">
        <f aca="false">IF(AND(ISNUMBER(AS137),ISNUMBER(AS133)),IFERROR(AS137/AS133,""),"")</f>
        <v>0.225886649071314</v>
      </c>
      <c r="AT234" s="26" t="n">
        <f aca="false">IF(AND(ISNUMBER(AT137),ISNUMBER(AT133)),IFERROR(AT137/AT133,""),"")</f>
        <v>0.203730797961764</v>
      </c>
      <c r="AU234" s="26" t="n">
        <f aca="false">IF(AND(ISNUMBER(AU137),ISNUMBER(AU133)),IFERROR(AU137/AU133,""),"")</f>
        <v>0.200467355538095</v>
      </c>
      <c r="AV234" s="26" t="n">
        <f aca="false">IF(AND(ISNUMBER(AV137),ISNUMBER(AV133)),IFERROR(AV137/AV133,""),"")</f>
        <v>0.194380699930375</v>
      </c>
      <c r="AW234" s="26" t="n">
        <f aca="false">IF(AND(ISNUMBER(AW137),ISNUMBER(AW133)),IFERROR(AW137/AW133,""),"")</f>
        <v>0.205667140773143</v>
      </c>
      <c r="AX234" s="26" t="n">
        <f aca="false">IF(AND(ISNUMBER(AX137),ISNUMBER(AX133)),IFERROR(AX137/AX133,""),"")</f>
        <v>0.168307753637632</v>
      </c>
      <c r="AY234" s="26" t="n">
        <f aca="false">IF(AND(ISNUMBER(AY137),ISNUMBER(AY133)),IFERROR(AY137/AY133,""),"")</f>
        <v>0.167745629865346</v>
      </c>
      <c r="AZ234" s="26" t="n">
        <f aca="false">IF(AND(ISNUMBER(AZ137),ISNUMBER(AZ133)),IFERROR(AZ137/AZ133,""),"")</f>
        <v>0.158190316894735</v>
      </c>
      <c r="BA234" s="26" t="n">
        <f aca="false">IF(AND(ISNUMBER(BA137),ISNUMBER(BA133)),IFERROR(BA137/BA133,""),"")</f>
        <v>0.17392720890393</v>
      </c>
      <c r="BB234" s="26" t="n">
        <f aca="false">IF(AND(ISNUMBER(BB137),ISNUMBER(BB133)),IFERROR(BB137/BB133,""),"")</f>
        <v>0.16699116046533</v>
      </c>
      <c r="BC234" s="26" t="n">
        <f aca="false">IF(AND(ISNUMBER(BC137),ISNUMBER(BC133)),IFERROR(BC137/BC133,""),"")</f>
        <v>0.162614930986233</v>
      </c>
      <c r="BD234" s="26" t="n">
        <f aca="false">IF(AND(ISNUMBER(BD137),ISNUMBER(BD133)),IFERROR(BD137/BD133,""),"")</f>
        <v>0.113592984966262</v>
      </c>
      <c r="BE234" s="26" t="n">
        <f aca="false">IF(AND(ISNUMBER(BE137),ISNUMBER(BE133)),IFERROR(BE137/BE133,""),"")</f>
        <v>0.182643255026522</v>
      </c>
      <c r="BF234" s="26" t="n">
        <f aca="false">IF(AND(ISNUMBER(BF137),ISNUMBER(BF133)),IFERROR(BF137/BF133,""),"")</f>
        <v>0.230195242223767</v>
      </c>
      <c r="BG234" s="26" t="n">
        <f aca="false">IF(AND(ISNUMBER(BG137),ISNUMBER(BG133)),IFERROR(BG137/BG133,""),"")</f>
        <v>0.167933558519383</v>
      </c>
      <c r="BH234" s="26" t="n">
        <f aca="false">IF(AND(ISNUMBER(BH137),ISNUMBER(BH133)),IFERROR(BH137/BH133,""),"")</f>
        <v>0.206377982614783</v>
      </c>
      <c r="BI234" s="26" t="n">
        <f aca="false">IF(AND(ISNUMBER(BI137),ISNUMBER(BI133)),IFERROR(BI137/BI133,""),"")</f>
        <v>0.23380456080878</v>
      </c>
      <c r="BJ234" s="26" t="n">
        <f aca="false">IF(AND(ISNUMBER(BJ137),ISNUMBER(BJ133)),IFERROR(BJ137/BJ133,""),"")</f>
        <v>0.28005872262538</v>
      </c>
      <c r="BK234" s="26" t="n">
        <f aca="false">IF(AND(ISNUMBER(BK137),ISNUMBER(BK133)),IFERROR(BK137/BK133,""),"")</f>
        <v>0.24146208595542</v>
      </c>
      <c r="BL234" s="26" t="n">
        <f aca="false">IF(AND(ISNUMBER(BL137),ISNUMBER(BL133)),IFERROR(BL137/BL133,""),"")</f>
        <v>0.23967752537042</v>
      </c>
      <c r="BM234" s="26" t="n">
        <f aca="false">IF(AND(ISNUMBER(BM137),ISNUMBER(BM133)),IFERROR(BM137/BM133,""),"")</f>
        <v>0.230351710202835</v>
      </c>
      <c r="BN234" s="26" t="n">
        <f aca="false">IF(AND(ISNUMBER(BN137),ISNUMBER(BN133)),IFERROR(BN137/BN133,""),"")</f>
        <v>0.215442334912694</v>
      </c>
      <c r="BO234" s="26" t="n">
        <f aca="false">IF(AND(ISNUMBER(BO137),ISNUMBER(BO133)),IFERROR(BO137/BO133,""),"")</f>
        <v>0.263276722434319</v>
      </c>
      <c r="BP234" s="26" t="n">
        <f aca="false">IF(AND(ISNUMBER(BP137),ISNUMBER(BP133)),IFERROR(BP137/BP133,""),"")</f>
        <v>0.213903126246124</v>
      </c>
      <c r="BQ234" s="26" t="n">
        <f aca="false">IF(AND(ISNUMBER(BQ137),ISNUMBER(BQ133)),IFERROR(BQ137/BQ133,""),"")</f>
        <v>0.231327580981507</v>
      </c>
      <c r="BR234" s="26" t="n">
        <f aca="false">IF(AND(ISNUMBER(BR137),ISNUMBER(BR133)),IFERROR(BR137/BR133,""),"")</f>
        <v>0.219409646286964</v>
      </c>
      <c r="BS234" s="26" t="n">
        <f aca="false">IF(AND(ISNUMBER(BS137),ISNUMBER(BS133)),IFERROR(BS137/BS133,""),"")</f>
        <v>0.204823500391644</v>
      </c>
      <c r="BT234" s="26" t="n">
        <f aca="false">IF(AND(ISNUMBER(BT137),ISNUMBER(BT133)),IFERROR(BT137/BT133,""),"")</f>
        <v>0.192527160635455</v>
      </c>
      <c r="BU234" s="26" t="n">
        <f aca="false">IF(AND(ISNUMBER(BU137),ISNUMBER(BU133)),IFERROR(BU137/BU133,""),"")</f>
        <v>0.211076171892836</v>
      </c>
      <c r="BV234" s="26" t="n">
        <f aca="false">IF(AND(ISNUMBER(BV137),ISNUMBER(BV133)),IFERROR(BV137/BV133,""),"")</f>
        <v>0.206744681084923</v>
      </c>
      <c r="BW234" s="26" t="n">
        <f aca="false">IF(AND(ISNUMBER(BW137),ISNUMBER(BW133)),IFERROR(BW137/BW133,""),"")</f>
        <v>0.19997789529942</v>
      </c>
      <c r="BX234" s="26" t="n">
        <f aca="false">IF(AND(ISNUMBER(BX137),ISNUMBER(BX133)),IFERROR(BX137/BX133,""),"")</f>
        <v>0.194793527073063</v>
      </c>
      <c r="BY234" s="27" t="n">
        <f aca="false">IF(AND(ISNUMBER(BY137),ISNUMBER(BY133)),IFERROR(BY137/BY133,""),"")</f>
        <v>0.169834116992425</v>
      </c>
      <c r="BZ234" s="27" t="n">
        <f aca="false">IF(AND(ISNUMBER(BZ137),ISNUMBER(BZ133)),IFERROR(BZ137/BZ133,""),"")</f>
        <v>0.186186740700905</v>
      </c>
      <c r="CA234" s="27" t="n">
        <f aca="false">IF(AND(ISNUMBER(CA137),ISNUMBER(CA133)),IFERROR(CA137/CA133,""),"")</f>
        <v>0.187230921808075</v>
      </c>
      <c r="CB234" s="27" t="n">
        <f aca="false">IF(AND(ISNUMBER(CB137),ISNUMBER(CB133)),IFERROR(CB137/CB133,""),"")</f>
        <v>0.19</v>
      </c>
      <c r="CC234" s="27" t="n">
        <f aca="false">IF(AND(ISNUMBER(CC137),ISNUMBER(CC133)),IFERROR(CC137/CC133,""),"")</f>
        <v>0.192659901135011</v>
      </c>
      <c r="CD234" s="27" t="n">
        <f aca="false">IF(AND(ISNUMBER(CD137),ISNUMBER(CD133)),IFERROR(CD137/CD133,""),"")</f>
        <v>0.194024194398641</v>
      </c>
      <c r="CE234" s="27" t="n">
        <f aca="false">IF(AND(ISNUMBER(CE137),ISNUMBER(CE133)),IFERROR(CE137/CE133,""),"")</f>
        <v>0.201075346046983</v>
      </c>
    </row>
    <row r="235" customFormat="false" ht="15" hidden="false" customHeight="false" outlineLevel="0" collapsed="false">
      <c r="B235" s="25" t="s">
        <v>348</v>
      </c>
      <c r="D235" s="26" t="str">
        <f aca="false">IF(AND(ISNUMBER(D113),ISNUMBER(C113)),IFERROR(D113/C113-1,""),"")</f>
        <v/>
      </c>
      <c r="E235" s="26" t="str">
        <f aca="false">IF(AND(ISNUMBER(E113),ISNUMBER(D113)),IFERROR(E113/D113-1,""),"")</f>
        <v/>
      </c>
      <c r="F235" s="26" t="str">
        <f aca="false">IF(AND(ISNUMBER(F113),ISNUMBER(E113)),IFERROR(F113/E113-1,""),"")</f>
        <v/>
      </c>
      <c r="G235" s="26" t="str">
        <f aca="false">IF(AND(ISNUMBER(G113),ISNUMBER(F113)),IFERROR(G113/F113-1,""),"")</f>
        <v/>
      </c>
      <c r="H235" s="26" t="str">
        <f aca="false">IF(AND(ISNUMBER(H113),ISNUMBER(G113)),IFERROR(H113/G113-1,""),"")</f>
        <v/>
      </c>
      <c r="I235" s="26" t="str">
        <f aca="false">IF(AND(ISNUMBER(I113),ISNUMBER(H113)),IFERROR(I113/H113-1,""),"")</f>
        <v/>
      </c>
      <c r="N235" s="26" t="str">
        <f aca="false">IF(AND(ISNUMBER(N113),ISNUMBER(I113)),IFERROR(N113/I113-1,""),"")</f>
        <v/>
      </c>
      <c r="O235" s="26" t="str">
        <f aca="false">IF(AND(ISNUMBER(O113),ISNUMBER(J113)),IFERROR(O113/J113-1,""),"")</f>
        <v/>
      </c>
      <c r="P235" s="26" t="str">
        <f aca="false">IF(AND(ISNUMBER(P113),ISNUMBER(K113)),IFERROR(P113/K113-1,""),"")</f>
        <v/>
      </c>
      <c r="Q235" s="26" t="str">
        <f aca="false">IF(AND(ISNUMBER(Q113),ISNUMBER(L113)),IFERROR(Q113/L113-1,""),"")</f>
        <v/>
      </c>
      <c r="R235" s="26" t="str">
        <f aca="false">IF(AND(ISNUMBER(R113),ISNUMBER(M113)),IFERROR(R113/M113-1,""),"")</f>
        <v/>
      </c>
      <c r="S235" s="26" t="str">
        <f aca="false">IF(AND(ISNUMBER(S113),ISNUMBER(N113)),IFERROR(S113/N113-1,""),"")</f>
        <v/>
      </c>
      <c r="T235" s="26" t="str">
        <f aca="false">IF(AND(ISNUMBER(T113),ISNUMBER(O113)),IFERROR(T113/O113-1,""),"")</f>
        <v/>
      </c>
      <c r="U235" s="26" t="str">
        <f aca="false">IF(AND(ISNUMBER(U113),ISNUMBER(P113)),IFERROR(U113/P113-1,""),"")</f>
        <v/>
      </c>
      <c r="V235" s="26" t="str">
        <f aca="false">IF(AND(ISNUMBER(V113),ISNUMBER(Q113)),IFERROR(V113/Q113-1,""),"")</f>
        <v/>
      </c>
      <c r="W235" s="26" t="str">
        <f aca="false">IF(AND(ISNUMBER(W113),ISNUMBER(R113)),IFERROR(W113/R113-1,""),"")</f>
        <v/>
      </c>
      <c r="X235" s="26" t="n">
        <f aca="false">IF(AND(ISNUMBER(X113),ISNUMBER(S113)),IFERROR(X113/S113-1,""),"")</f>
        <v>0.110613755702849</v>
      </c>
      <c r="Y235" s="26" t="n">
        <f aca="false">IF(AND(ISNUMBER(Y113),ISNUMBER(T113)),IFERROR(Y113/T113-1,""),"")</f>
        <v>0.0545961002785516</v>
      </c>
      <c r="Z235" s="26" t="n">
        <f aca="false">IF(AND(ISNUMBER(Z113),ISNUMBER(U113)),IFERROR(Z113/U113-1,""),"")</f>
        <v>0.0522957198443579</v>
      </c>
      <c r="AA235" s="26" t="n">
        <f aca="false">IF(AND(ISNUMBER(AA113),ISNUMBER(V113)),IFERROR(AA113/V113-1,""),"")</f>
        <v>0.0453020134228188</v>
      </c>
      <c r="AB235" s="26" t="n">
        <f aca="false">IF(AND(ISNUMBER(AB113),ISNUMBER(W113)),IFERROR(AB113/W113-1,""),"")</f>
        <v>0.0696154430764553</v>
      </c>
      <c r="AC235" s="26" t="n">
        <f aca="false">IF(AND(ISNUMBER(AC113),ISNUMBER(X113)),IFERROR(AC113/X113-1,""),"")</f>
        <v>0.059525654937219</v>
      </c>
      <c r="AD235" s="26" t="n">
        <f aca="false">IF(AND(ISNUMBER(AD113),ISNUMBER(Y113)),IFERROR(AD113/Y113-1,""),"")</f>
        <v>0.0775790506376877</v>
      </c>
      <c r="AE235" s="26" t="n">
        <f aca="false">IF(AND(ISNUMBER(AE113),ISNUMBER(Z113)),IFERROR(AE113/Z113-1,""),"")</f>
        <v>0.0812010057683774</v>
      </c>
      <c r="AF235" s="26" t="n">
        <f aca="false">IF(AND(ISNUMBER(AF113),ISNUMBER(AA113)),IFERROR(AF113/AA113-1,""),"")</f>
        <v>0.0873340143003065</v>
      </c>
      <c r="AG235" s="26" t="n">
        <f aca="false">IF(AND(ISNUMBER(AG113),ISNUMBER(AB113)),IFERROR(AG113/AB113-1,""),"")</f>
        <v>0.0683529913315333</v>
      </c>
      <c r="AH235" s="26" t="n">
        <f aca="false">IF(AND(ISNUMBER(AH113),ISNUMBER(AC113)),IFERROR(AH113/AC113-1,""),"")</f>
        <v>0.0743964886613022</v>
      </c>
      <c r="AI235" s="26" t="n">
        <f aca="false">IF(AND(ISNUMBER(AI113),ISNUMBER(AD113)),IFERROR(AI113/AD113-1,""),"")</f>
        <v>0.0566566286154493</v>
      </c>
      <c r="AJ235" s="26" t="n">
        <f aca="false">IF(AND(ISNUMBER(AJ113),ISNUMBER(AE113)),IFERROR(AJ113/AE113-1,""),"")</f>
        <v>0.041655266757866</v>
      </c>
      <c r="AK235" s="26" t="n">
        <f aca="false">IF(AND(ISNUMBER(AK113),ISNUMBER(AF113)),IFERROR(AK113/AF113-1,""),"")</f>
        <v>0.0260350265047307</v>
      </c>
      <c r="AL235" s="26" t="n">
        <f aca="false">IF(AND(ISNUMBER(AL113),ISNUMBER(AG113)),IFERROR(AL113/AG113-1,""),"")</f>
        <v>0.0137669592976855</v>
      </c>
      <c r="AM235" s="26" t="n">
        <f aca="false">IF(AND(ISNUMBER(AM113),ISNUMBER(AH113)),IFERROR(AM113/AH113-1,""),"")</f>
        <v>0.0352011983386669</v>
      </c>
      <c r="AN235" s="26" t="n">
        <f aca="false">IF(AND(ISNUMBER(AN113),ISNUMBER(AI113)),IFERROR(AN113/AI113-1,""),"")</f>
        <v>0.0194194061505832</v>
      </c>
      <c r="AO235" s="26" t="n">
        <f aca="false">IF(AND(ISNUMBER(AO113),ISNUMBER(AJ113)),IFERROR(AO113/AJ113-1,""),"")</f>
        <v>0.0317158053713311</v>
      </c>
      <c r="AP235" s="26" t="n">
        <f aca="false">IF(AND(ISNUMBER(AP113),ISNUMBER(AK113)),IFERROR(AP113/AK113-1,""),"")</f>
        <v>0.0321103917336996</v>
      </c>
      <c r="AQ235" s="26" t="n">
        <f aca="false">IF(AND(ISNUMBER(AQ113),ISNUMBER(AL113)),IFERROR(AQ113/AL113-1,""),"")</f>
        <v>0.0194843534737257</v>
      </c>
      <c r="AR235" s="26" t="n">
        <f aca="false">IF(AND(ISNUMBER(AR113),ISNUMBER(AM113)),IFERROR(AR113/AM113-1,""),"")</f>
        <v>0.0228229413312286</v>
      </c>
      <c r="AS235" s="26" t="n">
        <f aca="false">IF(AND(ISNUMBER(AS113),ISNUMBER(AN113)),IFERROR(AS113/AN113-1,""),"")</f>
        <v>0.00448605422274229</v>
      </c>
      <c r="AT235" s="26" t="n">
        <f aca="false">IF(AND(ISNUMBER(AT113),ISNUMBER(AO113)),IFERROR(AT113/AO113-1,""),"")</f>
        <v>-0.0266038696537678</v>
      </c>
      <c r="AU235" s="26" t="n">
        <f aca="false">IF(AND(ISNUMBER(AU113),ISNUMBER(AP113)),IFERROR(AU113/AP113-1,""),"")</f>
        <v>-0.05563299961982</v>
      </c>
      <c r="AV235" s="26" t="n">
        <f aca="false">IF(AND(ISNUMBER(AV113),ISNUMBER(AQ113)),IFERROR(AV113/AQ113-1,""),"")</f>
        <v>-0.0481981981981982</v>
      </c>
      <c r="AW235" s="26" t="n">
        <f aca="false">IF(AND(ISNUMBER(AW113),ISNUMBER(AR113)),IFERROR(AW113/AR113-1,""),"")</f>
        <v>-0.0277795640151759</v>
      </c>
      <c r="AX235" s="26" t="n">
        <f aca="false">IF(AND(ISNUMBER(AX113),ISNUMBER(AS113)),IFERROR(AX113/AS113-1,""),"")</f>
        <v>-0.0293203883495146</v>
      </c>
      <c r="AY235" s="26" t="n">
        <f aca="false">IF(AND(ISNUMBER(AY113),ISNUMBER(AT113)),IFERROR(AY113/AT113-1,""),"")</f>
        <v>0.00725774813652413</v>
      </c>
      <c r="AZ235" s="26" t="n">
        <f aca="false">IF(AND(ISNUMBER(AZ113),ISNUMBER(AU113)),IFERROR(AZ113/AU113-1,""),"")</f>
        <v>0.0713902308105208</v>
      </c>
      <c r="BA235" s="26" t="n">
        <f aca="false">IF(AND(ISNUMBER(BA113),ISNUMBER(AV113)),IFERROR(BA113/AV113-1,""),"")</f>
        <v>0.119194104523021</v>
      </c>
      <c r="BB235" s="26" t="n">
        <f aca="false">IF(AND(ISNUMBER(BB113),ISNUMBER(AW113)),IFERROR(BB113/AW113-1,""),"")</f>
        <v>0.042463125868113</v>
      </c>
      <c r="BC235" s="26" t="n">
        <f aca="false">IF(AND(ISNUMBER(BC113),ISNUMBER(AX113)),IFERROR(BC113/AX113-1,""),"")</f>
        <v>0.150763486030539</v>
      </c>
      <c r="BD235" s="26" t="n">
        <f aca="false">IF(AND(ISNUMBER(BD113),ISNUMBER(AY113)),IFERROR(BD113/AY113-1,""),"")</f>
        <v>0.161506004543979</v>
      </c>
      <c r="BE235" s="26" t="n">
        <f aca="false">IF(AND(ISNUMBER(BE113),ISNUMBER(AZ113)),IFERROR(BE113/AZ113-1,""),"")</f>
        <v>0.130072645290581</v>
      </c>
      <c r="BF235" s="26" t="n">
        <f aca="false">IF(AND(ISNUMBER(BF113),ISNUMBER(BA113)),IFERROR(BF113/BA113-1,""),"")</f>
        <v>0.0675365470581129</v>
      </c>
      <c r="BG235" s="26" t="n">
        <f aca="false">IF(AND(ISNUMBER(BG113),ISNUMBER(BB113)),IFERROR(BG113/BB113-1,""),"")</f>
        <v>0.116743861430112</v>
      </c>
      <c r="BH235" s="26" t="n">
        <f aca="false">IF(AND(ISNUMBER(BH113),ISNUMBER(BC113)),IFERROR(BH113/BC113-1,""),"")</f>
        <v>-0.0206281144976243</v>
      </c>
      <c r="BI235" s="26" t="n">
        <f aca="false">IF(AND(ISNUMBER(BI113),ISNUMBER(BD113)),IFERROR(BI113/BD113-1,""),"")</f>
        <v>-0.101045101436316</v>
      </c>
      <c r="BJ235" s="26" t="n">
        <f aca="false">IF(AND(ISNUMBER(BJ113),ISNUMBER(BE113)),IFERROR(BJ113/BE113-1,""),"")</f>
        <v>-0.136769188140759</v>
      </c>
      <c r="BK235" s="26" t="n">
        <f aca="false">IF(AND(ISNUMBER(BK113),ISNUMBER(BF113)),IFERROR(BK113/BF113-1,""),"")</f>
        <v>-0.133148483476686</v>
      </c>
      <c r="BL235" s="26" t="n">
        <f aca="false">IF(AND(ISNUMBER(BL113),ISNUMBER(BG113)),IFERROR(BL113/BG113-1,""),"")</f>
        <v>-0.0886313277654679</v>
      </c>
      <c r="BM235" s="26" t="n">
        <f aca="false">IF(AND(ISNUMBER(BM113),ISNUMBER(BH113)),IFERROR(BM113/BH113-1,""),"")</f>
        <v>-0.113122707371909</v>
      </c>
      <c r="BN235" s="26" t="n">
        <f aca="false">IF(AND(ISNUMBER(BN113),ISNUMBER(BI113)),IFERROR(BN113/BI113-1,""),"")</f>
        <v>-0.100155424308362</v>
      </c>
      <c r="BO235" s="26" t="n">
        <f aca="false">IF(AND(ISNUMBER(BO113),ISNUMBER(BJ113)),IFERROR(BO113/BJ113-1,""),"")</f>
        <v>-0.0957822430506516</v>
      </c>
      <c r="BP235" s="26" t="n">
        <f aca="false">IF(AND(ISNUMBER(BP113),ISNUMBER(BK113)),IFERROR(BP113/BK113-1,""),"")</f>
        <v>-0.0946536980220641</v>
      </c>
      <c r="BQ235" s="26" t="n">
        <f aca="false">IF(AND(ISNUMBER(BQ113),ISNUMBER(BL113)),IFERROR(BQ113/BL113-1,""),"")</f>
        <v>-0.103173118882863</v>
      </c>
      <c r="BR235" s="26" t="n">
        <f aca="false">IF(AND(ISNUMBER(BR113),ISNUMBER(BM113)),IFERROR(BR113/BM113-1,""),"")</f>
        <v>-0.109606404269513</v>
      </c>
      <c r="BS235" s="26" t="n">
        <f aca="false">IF(AND(ISNUMBER(BS113),ISNUMBER(BN113)),IFERROR(BS113/BN113-1,""),"")</f>
        <v>-0.111648473124223</v>
      </c>
      <c r="BT235" s="26" t="n">
        <f aca="false">IF(AND(ISNUMBER(BT113),ISNUMBER(BO113)),IFERROR(BT113/BO113-1,""),"")</f>
        <v>-0.108342208022719</v>
      </c>
      <c r="BU235" s="26" t="n">
        <f aca="false">IF(AND(ISNUMBER(BU113),ISNUMBER(BP113)),IFERROR(BU113/BP113-1,""),"")</f>
        <v>-0.128632201312279</v>
      </c>
      <c r="BV235" s="26" t="n">
        <f aca="false">IF(AND(ISNUMBER(BV113),ISNUMBER(BQ113)),IFERROR(BV113/BQ113-1,""),"")</f>
        <v>-0.114903378284443</v>
      </c>
      <c r="BW235" s="26" t="n">
        <f aca="false">IF(AND(ISNUMBER(BW113),ISNUMBER(BR113)),IFERROR(BW113/BR113-1,""),"")</f>
        <v>-0.123023900501985</v>
      </c>
      <c r="BX235" s="26" t="n">
        <f aca="false">IF(AND(ISNUMBER(BX113),ISNUMBER(BS113)),IFERROR(BX113/BS113-1,""),"")</f>
        <v>-0.107870586405351</v>
      </c>
      <c r="BY235" s="27" t="n">
        <f aca="false">IFERROR(BY113/BT113-1,"")</f>
        <v>-0.107870586405351</v>
      </c>
      <c r="BZ235" s="27" t="n">
        <f aca="false">IFERROR(BZ113/BU113-1,"")</f>
        <v>-0.107870586405351</v>
      </c>
      <c r="CA235" s="27" t="n">
        <f aca="false">IFERROR(CA113/BV113-1,"")</f>
        <v>-0.113295427852302</v>
      </c>
      <c r="CB235" s="27" t="n">
        <f aca="false">IFERROR(CB113/CA113-1,"")</f>
        <v>-0.0194855645058482</v>
      </c>
      <c r="CC235" s="27" t="n">
        <f aca="false">IFERROR(CC113/CB113-1,"")</f>
        <v>-0.00449573095889966</v>
      </c>
      <c r="CD235" s="27" t="n">
        <f aca="false">IFERROR(CD113/CC113-1,"")</f>
        <v>0.00149428421569331</v>
      </c>
      <c r="CE235" s="27" t="n">
        <f aca="false">IFERROR(CE113/CD113-1,"")</f>
        <v>0.00148889382700657</v>
      </c>
    </row>
    <row r="237" customFormat="false" ht="15" hidden="false" customHeight="false" outlineLevel="0" collapsed="false">
      <c r="B237" s="8" t="s">
        <v>349</v>
      </c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10"/>
    </row>
    <row r="238" customFormat="false" ht="15" hidden="false" customHeight="false" outlineLevel="0" collapsed="false">
      <c r="B238" s="28" t="s">
        <v>271</v>
      </c>
      <c r="C238" s="37" t="n">
        <v>266.925</v>
      </c>
      <c r="D238" s="37" t="n">
        <v>324.261</v>
      </c>
      <c r="E238" s="37" t="n">
        <v>359.177</v>
      </c>
      <c r="F238" s="37" t="n">
        <v>360.83</v>
      </c>
      <c r="G238" s="37" t="n">
        <v>387.026</v>
      </c>
      <c r="H238" s="37" t="n">
        <v>431.612</v>
      </c>
      <c r="I238" s="37" t="n">
        <v>593.804</v>
      </c>
      <c r="J238" s="37" t="n">
        <v>103.343</v>
      </c>
      <c r="K238" s="37" t="n">
        <v>111.872</v>
      </c>
      <c r="L238" s="37" t="n">
        <v>107.737</v>
      </c>
      <c r="M238" s="37" t="n">
        <v>92.952</v>
      </c>
      <c r="N238" s="37" t="n">
        <v>415.904</v>
      </c>
      <c r="O238" s="37" t="n">
        <v>93.187</v>
      </c>
      <c r="P238" s="37" t="n">
        <v>118.596</v>
      </c>
      <c r="Q238" s="37" t="n">
        <v>124.981</v>
      </c>
      <c r="R238" s="37" t="n">
        <v>112.947</v>
      </c>
      <c r="S238" s="37" t="n">
        <v>449.711</v>
      </c>
      <c r="T238" s="37" t="n">
        <v>106.476</v>
      </c>
      <c r="U238" s="37" t="n">
        <v>137.208</v>
      </c>
      <c r="V238" s="37" t="n">
        <v>139.432</v>
      </c>
      <c r="W238" s="37" t="n">
        <v>126.583</v>
      </c>
      <c r="X238" s="37" t="n">
        <v>509.699</v>
      </c>
      <c r="Y238" s="37" t="n">
        <v>118.963</v>
      </c>
      <c r="Z238" s="37" t="n">
        <v>143.09</v>
      </c>
      <c r="AA238" s="37" t="n">
        <v>129.028</v>
      </c>
      <c r="AB238" s="37" t="n">
        <v>122.303</v>
      </c>
      <c r="AC238" s="37" t="n">
        <v>513.384</v>
      </c>
      <c r="AD238" s="37" t="n">
        <v>122.08</v>
      </c>
      <c r="AE238" s="37" t="n">
        <v>111.071</v>
      </c>
      <c r="AF238" s="37" t="n">
        <v>119.186</v>
      </c>
      <c r="AG238" s="37" t="n">
        <v>152.556</v>
      </c>
      <c r="AH238" s="37" t="n">
        <v>504.893</v>
      </c>
      <c r="AI238" s="37" t="n">
        <v>142.297</v>
      </c>
      <c r="AJ238" s="37" t="n">
        <v>159.163</v>
      </c>
      <c r="AK238" s="37" t="n">
        <v>175.895</v>
      </c>
      <c r="AL238" s="37" t="n">
        <v>187.15</v>
      </c>
      <c r="AM238" s="37" t="n">
        <v>664.505</v>
      </c>
      <c r="AN238" s="37" t="n">
        <v>161.788</v>
      </c>
      <c r="AO238" s="37" t="n">
        <v>169.18</v>
      </c>
      <c r="AP238" s="37" t="n">
        <v>146.894</v>
      </c>
      <c r="AQ238" s="37" t="n">
        <v>99.106</v>
      </c>
      <c r="AR238" s="37" t="n">
        <v>576.968</v>
      </c>
      <c r="AS238" s="37" t="n">
        <v>78.146</v>
      </c>
      <c r="AT238" s="37" t="n">
        <v>143.939</v>
      </c>
      <c r="AU238" s="37" t="n">
        <v>136.529</v>
      </c>
      <c r="AV238" s="37" t="n">
        <v>147.807</v>
      </c>
      <c r="AW238" s="37" t="n">
        <v>506.421</v>
      </c>
      <c r="AX238" s="37" t="n">
        <v>173.305</v>
      </c>
      <c r="AY238" s="37" t="n">
        <v>193.789</v>
      </c>
      <c r="AZ238" s="37" t="n">
        <v>247.053</v>
      </c>
      <c r="BA238" s="37" t="n">
        <v>230.098</v>
      </c>
      <c r="BB238" s="37" t="n">
        <v>844.245</v>
      </c>
      <c r="BC238" s="37" t="n">
        <v>270.348</v>
      </c>
      <c r="BD238" s="37" t="n">
        <v>348.185</v>
      </c>
      <c r="BE238" s="37" t="n">
        <v>225.798</v>
      </c>
      <c r="BF238" s="37" t="n">
        <v>96.193</v>
      </c>
      <c r="BG238" s="37" t="n">
        <v>940.524</v>
      </c>
      <c r="BH238" s="37" t="n">
        <v>114.891</v>
      </c>
      <c r="BI238" s="37" t="n">
        <v>97.316</v>
      </c>
      <c r="BJ238" s="37" t="n">
        <v>81.949</v>
      </c>
      <c r="BK238" s="37" t="n">
        <v>30.973</v>
      </c>
      <c r="BL238" s="37" t="n">
        <v>325.129</v>
      </c>
      <c r="BM238" s="37" t="n">
        <v>92.904</v>
      </c>
      <c r="BN238" s="37" t="n">
        <v>126.251</v>
      </c>
      <c r="BO238" s="37" t="n">
        <v>97.229</v>
      </c>
      <c r="BP238" s="37" t="n">
        <v>149.306</v>
      </c>
      <c r="BQ238" s="37" t="n">
        <v>465.69</v>
      </c>
      <c r="BR238" s="37" t="n">
        <v>135.302</v>
      </c>
      <c r="BS238" s="37" t="n">
        <v>152.471</v>
      </c>
      <c r="BT238" s="37" t="n">
        <v>162.987</v>
      </c>
      <c r="BU238" s="37" t="n">
        <v>136.321</v>
      </c>
      <c r="BV238" s="37" t="n">
        <v>587.081</v>
      </c>
      <c r="BW238" s="37" t="n">
        <v>147.233</v>
      </c>
      <c r="BX238" s="37" t="n">
        <v>186.786</v>
      </c>
      <c r="BY238" s="6"/>
      <c r="BZ238" s="6"/>
      <c r="CA238" s="49" t="n">
        <f aca="false">CA149</f>
        <v>716.93424</v>
      </c>
      <c r="CB238" s="49" t="n">
        <f aca="false">CB149</f>
        <v>829.79979227077</v>
      </c>
      <c r="CC238" s="49" t="n">
        <f aca="false">CC149</f>
        <v>896.522032694338</v>
      </c>
      <c r="CD238" s="49" t="n">
        <f aca="false">CD149</f>
        <v>960.914103024663</v>
      </c>
      <c r="CE238" s="49" t="n">
        <f aca="false">CE149</f>
        <v>1018.93060730814</v>
      </c>
    </row>
    <row r="239" customFormat="false" ht="15" hidden="false" customHeight="false" outlineLevel="0" collapsed="false">
      <c r="B239" s="28" t="s">
        <v>350</v>
      </c>
    </row>
    <row r="240" customFormat="false" ht="15" hidden="false" customHeight="false" outlineLevel="0" collapsed="false">
      <c r="B240" s="28" t="s">
        <v>351</v>
      </c>
      <c r="C240" s="37" t="n">
        <v>23.932</v>
      </c>
      <c r="D240" s="37" t="n">
        <v>27.366</v>
      </c>
      <c r="E240" s="37" t="n">
        <v>31.164</v>
      </c>
      <c r="F240" s="37" t="n">
        <v>30.514</v>
      </c>
      <c r="G240" s="37" t="n">
        <v>29.369</v>
      </c>
      <c r="H240" s="37" t="n">
        <v>32.498</v>
      </c>
      <c r="I240" s="37" t="n">
        <v>38.09</v>
      </c>
      <c r="J240" s="37" t="n">
        <v>13.807</v>
      </c>
      <c r="K240" s="37" t="n">
        <v>14.145</v>
      </c>
      <c r="L240" s="37" t="n">
        <v>14.1</v>
      </c>
      <c r="M240" s="37" t="n">
        <v>14.83</v>
      </c>
      <c r="N240" s="37" t="n">
        <v>56.882</v>
      </c>
      <c r="O240" s="37" t="n">
        <v>14.549</v>
      </c>
      <c r="P240" s="37" t="n">
        <v>14.8</v>
      </c>
      <c r="Q240" s="37" t="n">
        <v>14.093</v>
      </c>
      <c r="R240" s="37" t="n">
        <v>13.567</v>
      </c>
      <c r="S240" s="37" t="n">
        <v>57.009</v>
      </c>
      <c r="T240" s="37" t="n">
        <v>16.243</v>
      </c>
      <c r="U240" s="37" t="n">
        <v>16.439</v>
      </c>
      <c r="V240" s="37" t="n">
        <v>16.831</v>
      </c>
      <c r="W240" s="37" t="n">
        <v>16.896</v>
      </c>
      <c r="X240" s="37" t="n">
        <v>66.409</v>
      </c>
      <c r="Y240" s="37" t="n">
        <v>16.875</v>
      </c>
      <c r="Z240" s="37" t="n">
        <v>18.184</v>
      </c>
      <c r="AA240" s="37" t="n">
        <v>17.657</v>
      </c>
      <c r="AB240" s="37" t="n">
        <v>21.953</v>
      </c>
      <c r="AC240" s="37" t="n">
        <v>74.669</v>
      </c>
      <c r="AD240" s="37" t="n">
        <v>22.431</v>
      </c>
      <c r="AE240" s="37" t="n">
        <v>22.946</v>
      </c>
      <c r="AF240" s="37" t="n">
        <v>23.963</v>
      </c>
      <c r="AG240" s="37" t="n">
        <v>23.637</v>
      </c>
      <c r="AH240" s="37" t="n">
        <v>92.977</v>
      </c>
      <c r="AI240" s="37" t="n">
        <v>24.241</v>
      </c>
      <c r="AJ240" s="37" t="n">
        <v>24.238</v>
      </c>
      <c r="AK240" s="37" t="n">
        <v>23.923</v>
      </c>
      <c r="AL240" s="37" t="n">
        <v>24.327</v>
      </c>
      <c r="AM240" s="37" t="n">
        <v>96.729</v>
      </c>
      <c r="AN240" s="37" t="n">
        <v>24.56</v>
      </c>
      <c r="AO240" s="37" t="n">
        <v>25.082</v>
      </c>
      <c r="AP240" s="37" t="n">
        <v>25.48</v>
      </c>
      <c r="AQ240" s="37" t="n">
        <v>25.327</v>
      </c>
      <c r="AR240" s="37" t="n">
        <v>100.449</v>
      </c>
      <c r="AS240" s="37" t="n">
        <v>24.393</v>
      </c>
      <c r="AT240" s="37" t="n">
        <v>25.758</v>
      </c>
      <c r="AU240" s="37" t="n">
        <v>26.916</v>
      </c>
      <c r="AV240" s="37" t="n">
        <v>24.66</v>
      </c>
      <c r="AW240" s="37" t="n">
        <v>101.727</v>
      </c>
      <c r="AX240" s="37" t="n">
        <v>23.278</v>
      </c>
      <c r="AY240" s="37" t="n">
        <v>22.937</v>
      </c>
      <c r="AZ240" s="37" t="n">
        <v>22.406</v>
      </c>
      <c r="BA240" s="37" t="n">
        <v>22.638</v>
      </c>
      <c r="BB240" s="37" t="n">
        <v>91.259</v>
      </c>
      <c r="BC240" s="37" t="n">
        <v>22.486</v>
      </c>
      <c r="BD240" s="37" t="n">
        <v>23.262</v>
      </c>
      <c r="BE240" s="37" t="n">
        <v>22.975</v>
      </c>
      <c r="BF240" s="37" t="n">
        <v>24.053</v>
      </c>
      <c r="BG240" s="37" t="n">
        <v>92.776</v>
      </c>
      <c r="BH240" s="37" t="n">
        <v>24.38</v>
      </c>
      <c r="BI240" s="37" t="n">
        <v>25.975</v>
      </c>
      <c r="BJ240" s="37" t="n">
        <v>25.544</v>
      </c>
      <c r="BK240" s="37" t="n">
        <v>23.086</v>
      </c>
      <c r="BL240" s="37" t="n">
        <v>98.985</v>
      </c>
      <c r="BM240" s="37" t="n">
        <v>23.878</v>
      </c>
      <c r="BN240" s="37" t="n">
        <v>25.054</v>
      </c>
      <c r="BO240" s="37" t="n">
        <v>23.948</v>
      </c>
      <c r="BP240" s="37" t="n">
        <v>24.28</v>
      </c>
      <c r="BQ240" s="37" t="n">
        <v>97.16</v>
      </c>
      <c r="BR240" s="37" t="n">
        <v>25.642</v>
      </c>
      <c r="BS240" s="37" t="n">
        <v>24.866</v>
      </c>
      <c r="BT240" s="37" t="n">
        <v>25.829</v>
      </c>
      <c r="BU240" s="37" t="n">
        <v>26.481</v>
      </c>
      <c r="BV240" s="37" t="n">
        <v>102.818</v>
      </c>
      <c r="BW240" s="37" t="n">
        <v>24.852</v>
      </c>
      <c r="BX240" s="37" t="n">
        <v>22.569</v>
      </c>
      <c r="BY240" s="6"/>
      <c r="BZ240" s="6"/>
      <c r="CA240" s="49" t="n">
        <f aca="false">CA152</f>
        <v>92.4219840633376</v>
      </c>
      <c r="CB240" s="49" t="n">
        <f aca="false">CB152</f>
        <v>106.071186374676</v>
      </c>
      <c r="CC240" s="49" t="n">
        <f aca="false">CC152</f>
        <v>113.793661272926</v>
      </c>
      <c r="CD240" s="49" t="n">
        <f aca="false">CD152</f>
        <v>123.174919503953</v>
      </c>
      <c r="CE240" s="49" t="n">
        <f aca="false">CE152</f>
        <v>133.605225437526</v>
      </c>
    </row>
    <row r="241" customFormat="false" ht="15" hidden="false" customHeight="false" outlineLevel="0" collapsed="false">
      <c r="B241" s="28" t="s">
        <v>352</v>
      </c>
      <c r="C241" s="37" t="n">
        <v>47.292</v>
      </c>
      <c r="D241" s="37" t="n">
        <v>38.002</v>
      </c>
      <c r="E241" s="37" t="n">
        <v>20.804</v>
      </c>
      <c r="F241" s="37" t="n">
        <v>21.267</v>
      </c>
      <c r="G241" s="37" t="n">
        <v>37.047</v>
      </c>
      <c r="H241" s="37" t="n">
        <v>38.601</v>
      </c>
      <c r="I241" s="37" t="n">
        <v>59.381</v>
      </c>
      <c r="J241" s="37" t="n">
        <v>5.115</v>
      </c>
      <c r="K241" s="37" t="n">
        <v>4.77</v>
      </c>
      <c r="L241" s="37" t="n">
        <v>0.971</v>
      </c>
      <c r="M241" s="37" t="n">
        <v>-1.762</v>
      </c>
      <c r="N241" s="37" t="n">
        <v>9.094</v>
      </c>
      <c r="O241" s="37" t="n">
        <v>4.793</v>
      </c>
      <c r="P241" s="37" t="n">
        <v>11.63</v>
      </c>
      <c r="Q241" s="37" t="n">
        <v>17.138</v>
      </c>
      <c r="R241" s="37" t="n">
        <v>14.3</v>
      </c>
      <c r="S241" s="37" t="n">
        <v>47.861</v>
      </c>
      <c r="T241" s="37" t="n">
        <v>15.336</v>
      </c>
      <c r="U241" s="37" t="n">
        <v>15.683</v>
      </c>
      <c r="V241" s="37" t="n">
        <v>12.493</v>
      </c>
      <c r="W241" s="37" t="n">
        <v>14.149</v>
      </c>
      <c r="X241" s="37" t="n">
        <v>57.661</v>
      </c>
      <c r="Y241" s="37" t="n">
        <v>15.179</v>
      </c>
      <c r="Z241" s="37" t="n">
        <v>10.606</v>
      </c>
      <c r="AA241" s="37" t="n">
        <v>4.841</v>
      </c>
      <c r="AB241" s="37" t="n">
        <v>6.939</v>
      </c>
      <c r="AC241" s="37" t="n">
        <v>37.565</v>
      </c>
      <c r="AD241" s="37" t="n">
        <v>12.318</v>
      </c>
      <c r="AE241" s="37" t="n">
        <v>4.524</v>
      </c>
      <c r="AF241" s="37" t="n">
        <v>7.667</v>
      </c>
      <c r="AG241" s="37" t="n">
        <v>17.296</v>
      </c>
      <c r="AH241" s="37" t="n">
        <v>41.805</v>
      </c>
      <c r="AI241" s="37" t="n">
        <v>18.134</v>
      </c>
      <c r="AJ241" s="37" t="n">
        <v>26.57</v>
      </c>
      <c r="AK241" s="37" t="n">
        <v>23.771</v>
      </c>
      <c r="AL241" s="37" t="n">
        <v>19.316</v>
      </c>
      <c r="AM241" s="37" t="n">
        <v>87.791</v>
      </c>
      <c r="AN241" s="37" t="n">
        <v>17.123</v>
      </c>
      <c r="AO241" s="37" t="n">
        <v>14.684</v>
      </c>
      <c r="AP241" s="37" t="n">
        <v>8.85</v>
      </c>
      <c r="AQ241" s="37" t="n">
        <v>-1.574</v>
      </c>
      <c r="AR241" s="37" t="n">
        <v>39.083</v>
      </c>
      <c r="AS241" s="37" t="n">
        <v>11.397</v>
      </c>
      <c r="AT241" s="37" t="n">
        <v>10.954</v>
      </c>
      <c r="AU241" s="37" t="n">
        <v>10.776</v>
      </c>
      <c r="AV241" s="37" t="n">
        <v>10.868</v>
      </c>
      <c r="AW241" s="37" t="n">
        <v>43.995</v>
      </c>
      <c r="AX241" s="37" t="n">
        <v>23.989</v>
      </c>
      <c r="AY241" s="37" t="n">
        <v>29.161</v>
      </c>
      <c r="AZ241" s="37" t="n">
        <v>40.812</v>
      </c>
      <c r="BA241" s="37" t="n">
        <v>36.015</v>
      </c>
      <c r="BB241" s="37" t="n">
        <v>129.977</v>
      </c>
      <c r="BC241" s="37" t="n">
        <v>24.606</v>
      </c>
      <c r="BD241" s="37" t="n">
        <v>27.929</v>
      </c>
      <c r="BE241" s="37" t="n">
        <v>25.811</v>
      </c>
      <c r="BF241" s="37" t="n">
        <v>12.331</v>
      </c>
      <c r="BG241" s="37" t="n">
        <v>90.677</v>
      </c>
      <c r="BH241" s="37" t="n">
        <v>15.607</v>
      </c>
      <c r="BI241" s="37" t="n">
        <v>6.035</v>
      </c>
      <c r="BJ241" s="37" t="n">
        <v>15.667</v>
      </c>
      <c r="BK241" s="37" t="n">
        <v>20.86</v>
      </c>
      <c r="BL241" s="37" t="n">
        <v>58.169</v>
      </c>
      <c r="BM241" s="37" t="n">
        <v>22.673</v>
      </c>
      <c r="BN241" s="37" t="n">
        <v>19.572</v>
      </c>
      <c r="BO241" s="37" t="n">
        <v>22.004</v>
      </c>
      <c r="BP241" s="37" t="n">
        <v>20.341</v>
      </c>
      <c r="BQ241" s="37" t="n">
        <v>84.59</v>
      </c>
      <c r="BR241" s="37" t="n">
        <v>23.146</v>
      </c>
      <c r="BS241" s="37" t="n">
        <v>20.882</v>
      </c>
      <c r="BT241" s="37" t="n">
        <v>18.746</v>
      </c>
      <c r="BU241" s="37" t="n">
        <v>17.296</v>
      </c>
      <c r="BV241" s="37" t="n">
        <v>80.07</v>
      </c>
      <c r="BW241" s="37" t="n">
        <v>28.295</v>
      </c>
      <c r="BX241" s="37" t="n">
        <v>24.71</v>
      </c>
      <c r="BY241" s="6"/>
      <c r="BZ241" s="6"/>
      <c r="CA241" s="49" t="n">
        <f aca="false">CA153</f>
        <v>102.274986096197</v>
      </c>
      <c r="CB241" s="49" t="n">
        <f aca="false">CB153</f>
        <v>90.9181597497221</v>
      </c>
      <c r="CC241" s="49" t="n">
        <f aca="false">CC153</f>
        <v>96.5731382339369</v>
      </c>
      <c r="CD241" s="49" t="n">
        <f aca="false">CD153</f>
        <v>102.23350243196</v>
      </c>
      <c r="CE241" s="49" t="n">
        <f aca="false">CE153</f>
        <v>108.357107517879</v>
      </c>
    </row>
    <row r="242" customFormat="false" ht="15" hidden="false" customHeight="false" outlineLevel="0" collapsed="false">
      <c r="B242" s="28" t="s">
        <v>353</v>
      </c>
      <c r="J242" s="37" t="n">
        <v>27.303</v>
      </c>
      <c r="K242" s="37" t="n">
        <v>-1.31</v>
      </c>
      <c r="L242" s="37" t="n">
        <v>2.703</v>
      </c>
      <c r="M242" s="37" t="n">
        <v>-3.47</v>
      </c>
      <c r="N242" s="37" t="n">
        <v>25.226</v>
      </c>
      <c r="O242" s="37" t="n">
        <v>6.757</v>
      </c>
      <c r="P242" s="37" t="n">
        <v>-0.863</v>
      </c>
      <c r="Q242" s="37" t="n">
        <v>-4.993</v>
      </c>
      <c r="R242" s="37" t="n">
        <v>-4.018</v>
      </c>
      <c r="S242" s="37" t="n">
        <v>-3.117</v>
      </c>
      <c r="T242" s="37" t="n">
        <v>0.426</v>
      </c>
      <c r="U242" s="37" t="n">
        <v>-2.206</v>
      </c>
      <c r="V242" s="37" t="n">
        <v>-6.576</v>
      </c>
      <c r="W242" s="37" t="n">
        <v>-8.739</v>
      </c>
      <c r="X242" s="37" t="n">
        <v>-17.095</v>
      </c>
      <c r="Y242" s="37" t="n">
        <v>15.35</v>
      </c>
      <c r="Z242" s="37" t="n">
        <v>1.654</v>
      </c>
      <c r="AA242" s="37" t="n">
        <v>4.828</v>
      </c>
      <c r="AB242" s="37" t="n">
        <v>-6.823</v>
      </c>
      <c r="AC242" s="37" t="n">
        <v>15.009</v>
      </c>
      <c r="AD242" s="37" t="n">
        <v>-2.048</v>
      </c>
      <c r="AE242" s="37" t="n">
        <v>-2.94</v>
      </c>
      <c r="AF242" s="37" t="n">
        <v>-1.791</v>
      </c>
      <c r="AG242" s="37" t="n">
        <v>-21.952</v>
      </c>
      <c r="AH242" s="37" t="n">
        <v>-28.731</v>
      </c>
      <c r="AI242" s="37" t="n">
        <v>-0.026</v>
      </c>
      <c r="AJ242" s="37" t="n">
        <v>-8.988</v>
      </c>
      <c r="AK242" s="37" t="n">
        <v>3.22</v>
      </c>
      <c r="AL242" s="37" t="n">
        <v>-9.521</v>
      </c>
      <c r="AM242" s="37" t="n">
        <v>-15.315</v>
      </c>
      <c r="AN242" s="37" t="n">
        <v>-0.364</v>
      </c>
      <c r="AO242" s="37" t="n">
        <v>-4.958</v>
      </c>
      <c r="AP242" s="37" t="n">
        <v>1.962</v>
      </c>
      <c r="AQ242" s="37" t="n">
        <v>0.953</v>
      </c>
      <c r="AR242" s="37" t="n">
        <v>-2.407</v>
      </c>
      <c r="AS242" s="37" t="n">
        <v>1.622</v>
      </c>
      <c r="AT242" s="37" t="n">
        <v>-2.351</v>
      </c>
      <c r="AU242" s="37" t="n">
        <v>-8.739</v>
      </c>
      <c r="AV242" s="37" t="n">
        <v>-23.516</v>
      </c>
      <c r="AW242" s="37" t="n">
        <v>-32.984</v>
      </c>
      <c r="AX242" s="37" t="n">
        <v>3.869</v>
      </c>
      <c r="AY242" s="37" t="n">
        <v>-6.343</v>
      </c>
      <c r="AZ242" s="37" t="n">
        <v>-9.209</v>
      </c>
      <c r="BA242" s="37" t="n">
        <v>-98.505</v>
      </c>
      <c r="BB242" s="37" t="n">
        <v>-110.188</v>
      </c>
      <c r="BC242" s="37" t="n">
        <v>-2.916</v>
      </c>
      <c r="BD242" s="37" t="n">
        <v>-2.928</v>
      </c>
      <c r="BE242" s="37" t="n">
        <v>-70.518</v>
      </c>
      <c r="BF242" s="37" t="n">
        <v>17.796</v>
      </c>
      <c r="BG242" s="37" t="n">
        <v>-58.566</v>
      </c>
      <c r="BH242" s="37" t="n">
        <v>-10.272</v>
      </c>
      <c r="BI242" s="37" t="n">
        <v>-11.553</v>
      </c>
      <c r="BJ242" s="37" t="n">
        <v>-13.444</v>
      </c>
      <c r="BK242" s="37" t="n">
        <v>-2.477</v>
      </c>
      <c r="BL242" s="37" t="n">
        <v>-37.746</v>
      </c>
      <c r="BM242" s="37" t="n">
        <v>-6.805</v>
      </c>
      <c r="BN242" s="37" t="n">
        <v>-6.587</v>
      </c>
      <c r="BO242" s="37" t="n">
        <v>6.359</v>
      </c>
      <c r="BP242" s="37" t="n">
        <v>-73.034</v>
      </c>
      <c r="BQ242" s="37" t="n">
        <v>-80.067</v>
      </c>
      <c r="BR242" s="37" t="n">
        <v>15.675</v>
      </c>
      <c r="BS242" s="37" t="n">
        <v>-0.256</v>
      </c>
      <c r="BT242" s="37" t="n">
        <v>15.145</v>
      </c>
      <c r="BU242" s="37" t="n">
        <v>-21.102</v>
      </c>
      <c r="BV242" s="37" t="n">
        <v>9.462</v>
      </c>
      <c r="BW242" s="37" t="n">
        <v>22.236</v>
      </c>
      <c r="BX242" s="37" t="n">
        <v>2.667</v>
      </c>
      <c r="BY242" s="6"/>
      <c r="BZ242" s="6"/>
      <c r="CA242" s="49" t="n">
        <f aca="false">BW242+BX242</f>
        <v>24.903</v>
      </c>
      <c r="CB242" s="48" t="n">
        <v>0</v>
      </c>
      <c r="CC242" s="48" t="n">
        <v>0</v>
      </c>
      <c r="CD242" s="48" t="n">
        <v>0</v>
      </c>
      <c r="CE242" s="48" t="n">
        <v>0</v>
      </c>
    </row>
    <row r="243" customFormat="false" ht="15" hidden="false" customHeight="false" outlineLevel="0" collapsed="false">
      <c r="B243" s="28" t="s">
        <v>354</v>
      </c>
      <c r="C243" s="37" t="n">
        <v>10.36</v>
      </c>
      <c r="D243" s="37" t="n">
        <v>16.866</v>
      </c>
      <c r="E243" s="37" t="n">
        <v>29.592</v>
      </c>
      <c r="F243" s="37" t="n">
        <v>26.651</v>
      </c>
      <c r="G243" s="37" t="n">
        <v>37.633</v>
      </c>
      <c r="H243" s="37" t="n">
        <v>31.67</v>
      </c>
      <c r="I243" s="37" t="n">
        <v>12.032</v>
      </c>
      <c r="J243" s="37" t="n">
        <v>25.847</v>
      </c>
      <c r="K243" s="37" t="n">
        <v>4.543</v>
      </c>
      <c r="L243" s="37" t="n">
        <v>6.113</v>
      </c>
      <c r="M243" s="37" t="n">
        <v>6.293</v>
      </c>
      <c r="N243" s="37" t="n">
        <v>42.796</v>
      </c>
      <c r="O243" s="37" t="n">
        <v>10.523</v>
      </c>
      <c r="P243" s="37" t="n">
        <v>5.803</v>
      </c>
      <c r="Q243" s="37" t="n">
        <v>5.793</v>
      </c>
      <c r="R243" s="37" t="n">
        <v>0.531</v>
      </c>
      <c r="S243" s="37" t="n">
        <v>22.65</v>
      </c>
      <c r="T243" s="37" t="n">
        <v>8.833</v>
      </c>
      <c r="U243" s="37" t="n">
        <v>6.26</v>
      </c>
      <c r="V243" s="37" t="n">
        <v>4.18</v>
      </c>
      <c r="W243" s="37" t="n">
        <v>0.813</v>
      </c>
      <c r="X243" s="37" t="n">
        <v>20.086</v>
      </c>
      <c r="Y243" s="37" t="n">
        <v>13.912</v>
      </c>
      <c r="Z243" s="37" t="n">
        <v>3.336</v>
      </c>
      <c r="AA243" s="37" t="n">
        <v>2.697</v>
      </c>
      <c r="AB243" s="37" t="n">
        <v>3.653</v>
      </c>
      <c r="AC243" s="37" t="n">
        <v>23.598</v>
      </c>
      <c r="AD243" s="37" t="n">
        <v>-5.726</v>
      </c>
      <c r="AE243" s="37" t="n">
        <v>2.812</v>
      </c>
      <c r="AF243" s="37" t="n">
        <v>2.182</v>
      </c>
      <c r="AG243" s="37" t="n">
        <v>0.564</v>
      </c>
      <c r="AH243" s="37" t="n">
        <v>-0.168</v>
      </c>
      <c r="AI243" s="37" t="n">
        <v>0.406</v>
      </c>
      <c r="AJ243" s="37" t="n">
        <v>1.147</v>
      </c>
      <c r="AK243" s="37" t="n">
        <v>1.435</v>
      </c>
      <c r="AL243" s="37" t="n">
        <v>2.258</v>
      </c>
      <c r="AM243" s="37" t="n">
        <v>5.246</v>
      </c>
      <c r="AN243" s="37" t="n">
        <v>-2.684</v>
      </c>
      <c r="AO243" s="37" t="n">
        <v>0.555</v>
      </c>
      <c r="AP243" s="37" t="n">
        <v>-4.137</v>
      </c>
      <c r="AQ243" s="37" t="n">
        <v>3.627</v>
      </c>
      <c r="AR243" s="37" t="n">
        <v>-2.639</v>
      </c>
      <c r="AS243" s="37" t="n">
        <v>1.938</v>
      </c>
      <c r="AT243" s="37" t="n">
        <v>-4.563</v>
      </c>
      <c r="AU243" s="37" t="n">
        <v>-1.801</v>
      </c>
      <c r="AV243" s="37" t="n">
        <v>4.126</v>
      </c>
      <c r="AW243" s="37" t="n">
        <v>-0.3</v>
      </c>
      <c r="AX243" s="37" t="n">
        <v>-9.103</v>
      </c>
      <c r="AY243" s="37" t="n">
        <v>-0.3</v>
      </c>
      <c r="AZ243" s="37" t="n">
        <v>2.552</v>
      </c>
      <c r="BA243" s="37" t="n">
        <v>4.399</v>
      </c>
      <c r="BB243" s="37" t="n">
        <v>-2.452</v>
      </c>
      <c r="BC243" s="37" t="n">
        <v>-3.293</v>
      </c>
      <c r="BD243" s="37" t="n">
        <v>-6.402</v>
      </c>
      <c r="BE243" s="37" t="n">
        <v>-5.152</v>
      </c>
      <c r="BF243" s="37" t="n">
        <v>-3.291</v>
      </c>
      <c r="BG243" s="37" t="n">
        <v>-18.138</v>
      </c>
      <c r="BH243" s="37" t="n">
        <v>-13.648</v>
      </c>
      <c r="BI243" s="37" t="n">
        <v>-3.394</v>
      </c>
      <c r="BJ243" s="37" t="n">
        <v>3.111</v>
      </c>
      <c r="BK243" s="37" t="n">
        <v>-3.435</v>
      </c>
      <c r="BL243" s="37" t="n">
        <v>-17.366</v>
      </c>
      <c r="BM243" s="37" t="n">
        <v>1.243</v>
      </c>
      <c r="BN243" s="37" t="n">
        <v>0.781</v>
      </c>
      <c r="BO243" s="37" t="n">
        <v>-3.778</v>
      </c>
      <c r="BP243" s="37" t="n">
        <v>-0.969</v>
      </c>
      <c r="BQ243" s="37" t="n">
        <v>-2.723</v>
      </c>
      <c r="BR243" s="37" t="n">
        <v>-5.717</v>
      </c>
      <c r="BS243" s="37" t="n">
        <v>4.167</v>
      </c>
      <c r="BT243" s="37" t="n">
        <v>-7.5</v>
      </c>
      <c r="BU243" s="37" t="n">
        <v>-11.929</v>
      </c>
      <c r="BV243" s="37" t="n">
        <v>-20.979</v>
      </c>
      <c r="BW243" s="37" t="n">
        <v>-22.17</v>
      </c>
      <c r="BX243" s="37" t="n">
        <v>-1.456</v>
      </c>
      <c r="BY243" s="6"/>
      <c r="BZ243" s="6"/>
      <c r="CA243" s="49" t="n">
        <f aca="false">BW243+BX243</f>
        <v>-23.626</v>
      </c>
      <c r="CB243" s="48" t="n">
        <v>0</v>
      </c>
      <c r="CC243" s="48" t="n">
        <v>0</v>
      </c>
      <c r="CD243" s="48" t="n">
        <v>0</v>
      </c>
      <c r="CE243" s="48" t="n">
        <v>0</v>
      </c>
    </row>
    <row r="244" customFormat="false" ht="15" hidden="false" customHeight="false" outlineLevel="0" collapsed="false">
      <c r="B244" s="28" t="s">
        <v>355</v>
      </c>
      <c r="C244" s="43" t="n">
        <f aca="false">IF(ISNUMBER(C245),C245-C238-N(C240)-N(C241)-N(C242)-N(C243),"")</f>
        <v>-5.13200000000001</v>
      </c>
      <c r="D244" s="43" t="n">
        <f aca="false">IF(ISNUMBER(D245),D245-D238-N(D240)-N(D241)-N(D242)-N(D243),"")</f>
        <v>-98.065</v>
      </c>
      <c r="E244" s="43" t="n">
        <f aca="false">IF(ISNUMBER(E245),E245-E238-N(E240)-N(E241)-N(E242)-N(E243),"")</f>
        <v>6.84199999999998</v>
      </c>
      <c r="F244" s="43" t="n">
        <f aca="false">IF(ISNUMBER(F245),F245-F238-N(F240)-N(F241)-N(F242)-N(F243),"")</f>
        <v>-66.691</v>
      </c>
      <c r="G244" s="43" t="n">
        <f aca="false">IF(ISNUMBER(G245),G245-G238-N(G240)-N(G241)-N(G242)-N(G243),"")</f>
        <v>-146.296</v>
      </c>
      <c r="H244" s="43" t="n">
        <f aca="false">IF(ISNUMBER(H245),H245-H238-N(H240)-N(H241)-N(H242)-N(H243),"")</f>
        <v>-104.669</v>
      </c>
      <c r="I244" s="43" t="n">
        <f aca="false">IF(ISNUMBER(I245),I245-I238-N(I240)-N(I241)-N(I242)-N(I243),"")</f>
        <v>-242.965</v>
      </c>
      <c r="J244" s="43" t="n">
        <f aca="false">IF(ISNUMBER(J245),J245-J238-N(J240)-N(J241)-N(J242)-N(J243),"")</f>
        <v>-233.465</v>
      </c>
      <c r="K244" s="43" t="n">
        <f aca="false">IF(ISNUMBER(K245),K245-K238-N(K240)-N(K241)-N(K242)-N(K243),"")</f>
        <v>-17.699</v>
      </c>
      <c r="L244" s="43" t="n">
        <f aca="false">IF(ISNUMBER(L245),L245-L238-N(L240)-N(L241)-N(L242)-N(L243),"")</f>
        <v>-6.96599999999999</v>
      </c>
      <c r="M244" s="43" t="n">
        <f aca="false">IF(ISNUMBER(M245),M245-M238-N(M240)-N(M241)-N(M242)-N(M243),"")</f>
        <v>56.005</v>
      </c>
      <c r="N244" s="43" t="n">
        <f aca="false">IF(ISNUMBER(N245),N245-N238-N(N240)-N(N241)-N(N242)-N(N243),"")</f>
        <v>-202.125</v>
      </c>
      <c r="O244" s="43" t="n">
        <f aca="false">IF(ISNUMBER(O245),O245-O238-N(O240)-N(O241)-N(O242)-N(O243),"")</f>
        <v>-115.369</v>
      </c>
      <c r="P244" s="43" t="n">
        <f aca="false">IF(ISNUMBER(P245),P245-P238-N(P240)-N(P241)-N(P242)-N(P243),"")</f>
        <v>-36.038</v>
      </c>
      <c r="Q244" s="43" t="n">
        <f aca="false">IF(ISNUMBER(Q245),Q245-Q238-N(Q240)-N(Q241)-N(Q242)-N(Q243),"")</f>
        <v>19.942</v>
      </c>
      <c r="R244" s="43" t="n">
        <f aca="false">IF(ISNUMBER(R245),R245-R238-N(R240)-N(R241)-N(R242)-N(R243),"")</f>
        <v>70.777</v>
      </c>
      <c r="S244" s="43" t="n">
        <f aca="false">IF(ISNUMBER(S245),S245-S238-N(S240)-N(S241)-N(S242)-N(S243),"")</f>
        <v>-60.688</v>
      </c>
      <c r="T244" s="43" t="n">
        <f aca="false">IF(ISNUMBER(T245),T245-T238-N(T240)-N(T241)-N(T242)-N(T243),"")</f>
        <v>-46.919</v>
      </c>
      <c r="U244" s="43" t="n">
        <f aca="false">IF(ISNUMBER(U245),U245-U238-N(U240)-N(U241)-N(U242)-N(U243),"")</f>
        <v>-22.583</v>
      </c>
      <c r="V244" s="43" t="n">
        <f aca="false">IF(ISNUMBER(V245),V245-V238-N(V240)-N(V241)-N(V242)-N(V243),"")</f>
        <v>46.887</v>
      </c>
      <c r="W244" s="43" t="n">
        <f aca="false">IF(ISNUMBER(W245),W245-W238-N(W240)-N(W241)-N(W242)-N(W243),"")</f>
        <v>104.191</v>
      </c>
      <c r="X244" s="43" t="n">
        <f aca="false">IF(ISNUMBER(X245),X245-X238-N(X240)-N(X241)-N(X242)-N(X243),"")</f>
        <v>81.576</v>
      </c>
      <c r="Y244" s="43" t="n">
        <f aca="false">IF(ISNUMBER(Y245),Y245-Y238-N(Y240)-N(Y241)-N(Y242)-N(Y243),"")</f>
        <v>-76.129</v>
      </c>
      <c r="Z244" s="43" t="n">
        <f aca="false">IF(ISNUMBER(Z245),Z245-Z238-N(Z240)-N(Z241)-N(Z242)-N(Z243),"")</f>
        <v>-33.759</v>
      </c>
      <c r="AA244" s="43" t="n">
        <f aca="false">IF(ISNUMBER(AA245),AA245-AA238-N(AA240)-N(AA241)-N(AA242)-N(AA243),"")</f>
        <v>-29.484</v>
      </c>
      <c r="AB244" s="43" t="n">
        <f aca="false">IF(ISNUMBER(AB245),AB245-AB238-N(AB240)-N(AB241)-N(AB242)-N(AB243),"")</f>
        <v>4.55500000000002</v>
      </c>
      <c r="AC244" s="43" t="n">
        <f aca="false">IF(ISNUMBER(AC245),AC245-AC238-N(AC240)-N(AC241)-N(AC242)-N(AC243),"")</f>
        <v>-134.817</v>
      </c>
      <c r="AD244" s="43" t="n">
        <f aca="false">IF(ISNUMBER(AD245),AD245-AD238-N(AD240)-N(AD241)-N(AD242)-N(AD243),"")</f>
        <v>-56.359</v>
      </c>
      <c r="AE244" s="43" t="n">
        <f aca="false">IF(ISNUMBER(AE245),AE245-AE238-N(AE240)-N(AE241)-N(AE242)-N(AE243),"")</f>
        <v>-81.098</v>
      </c>
      <c r="AF244" s="43" t="n">
        <f aca="false">IF(ISNUMBER(AF245),AF245-AF238-N(AF240)-N(AF241)-N(AF242)-N(AF243),"")</f>
        <v>-82.869</v>
      </c>
      <c r="AG244" s="43" t="n">
        <f aca="false">IF(ISNUMBER(AG245),AG245-AG238-N(AG240)-N(AG241)-N(AG242)-N(AG243),"")</f>
        <v>-9.94900000000002</v>
      </c>
      <c r="AH244" s="43" t="n">
        <f aca="false">IF(ISNUMBER(AH245),AH245-AH238-N(AH240)-N(AH241)-N(AH242)-N(AH243),"")</f>
        <v>-230.275</v>
      </c>
      <c r="AI244" s="43" t="n">
        <f aca="false">IF(ISNUMBER(AI245),AI245-AI238-N(AI240)-N(AI241)-N(AI242)-N(AI243),"")</f>
        <v>15.518</v>
      </c>
      <c r="AJ244" s="43" t="n">
        <f aca="false">IF(ISNUMBER(AJ245),AJ245-AJ238-N(AJ240)-N(AJ241)-N(AJ242)-N(AJ243),"")</f>
        <v>-94.23</v>
      </c>
      <c r="AK244" s="43" t="n">
        <f aca="false">IF(ISNUMBER(AK245),AK245-AK238-N(AK240)-N(AK241)-N(AK242)-N(AK243),"")</f>
        <v>-7.831</v>
      </c>
      <c r="AL244" s="43" t="n">
        <f aca="false">IF(ISNUMBER(AL245),AL245-AL238-N(AL240)-N(AL241)-N(AL242)-N(AL243),"")</f>
        <v>40.483</v>
      </c>
      <c r="AM244" s="43" t="n">
        <f aca="false">IF(ISNUMBER(AM245),AM245-AM238-N(AM240)-N(AM241)-N(AM242)-N(AM243),"")</f>
        <v>-46.06</v>
      </c>
      <c r="AN244" s="43" t="n">
        <f aca="false">IF(ISNUMBER(AN245),AN245-AN238-N(AN240)-N(AN241)-N(AN242)-N(AN243),"")</f>
        <v>56.508</v>
      </c>
      <c r="AO244" s="43" t="n">
        <f aca="false">IF(ISNUMBER(AO245),AO245-AO238-N(AO240)-N(AO241)-N(AO242)-N(AO243),"")</f>
        <v>-4.94800000000001</v>
      </c>
      <c r="AP244" s="43" t="n">
        <f aca="false">IF(ISNUMBER(AP245),AP245-AP238-N(AP240)-N(AP241)-N(AP242)-N(AP243),"")</f>
        <v>-11.717</v>
      </c>
      <c r="AQ244" s="43" t="n">
        <f aca="false">IF(ISNUMBER(AQ245),AQ245-AQ238-N(AQ240)-N(AQ241)-N(AQ242)-N(AQ243),"")</f>
        <v>84.122</v>
      </c>
      <c r="AR244" s="43" t="n">
        <f aca="false">IF(ISNUMBER(AR245),AR245-AR238-N(AR240)-N(AR241)-N(AR242)-N(AR243),"")</f>
        <v>123.965</v>
      </c>
      <c r="AS244" s="43" t="n">
        <f aca="false">IF(ISNUMBER(AS245),AS245-AS238-N(AS240)-N(AS241)-N(AS242)-N(AS243),"")</f>
        <v>-58.997</v>
      </c>
      <c r="AT244" s="43" t="n">
        <f aca="false">IF(ISNUMBER(AT245),AT245-AT238-N(AT240)-N(AT241)-N(AT242)-N(AT243),"")</f>
        <v>273.407</v>
      </c>
      <c r="AU244" s="43" t="n">
        <f aca="false">IF(ISNUMBER(AU245),AU245-AU238-N(AU240)-N(AU241)-N(AU242)-N(AU243),"")</f>
        <v>-332.275</v>
      </c>
      <c r="AV244" s="43" t="n">
        <f aca="false">IF(ISNUMBER(AV245),AV245-AV238-N(AV240)-N(AV241)-N(AV242)-N(AV243),"")</f>
        <v>-1.80299999999999</v>
      </c>
      <c r="AW244" s="43" t="n">
        <f aca="false">IF(ISNUMBER(AW245),AW245-AW238-N(AW240)-N(AW241)-N(AW242)-N(AW243),"")</f>
        <v>-119.668</v>
      </c>
      <c r="AX244" s="43" t="n">
        <f aca="false">IF(ISNUMBER(AX245),AX245-AX238-N(AX240)-N(AX241)-N(AX242)-N(AX243),"")</f>
        <v>-272.03</v>
      </c>
      <c r="AY244" s="43" t="n">
        <f aca="false">IF(ISNUMBER(AY245),AY245-AY238-N(AY240)-N(AY241)-N(AY242)-N(AY243),"")</f>
        <v>-89.954</v>
      </c>
      <c r="AZ244" s="43" t="n">
        <f aca="false">IF(ISNUMBER(AZ245),AZ245-AZ238-N(AZ240)-N(AZ241)-N(AZ242)-N(AZ243),"")</f>
        <v>-377.112</v>
      </c>
      <c r="BA244" s="43" t="n">
        <f aca="false">IF(ISNUMBER(BA245),BA245-BA238-N(BA240)-N(BA241)-N(BA242)-N(BA243),"")</f>
        <v>-118.79</v>
      </c>
      <c r="BB244" s="43" t="n">
        <f aca="false">IF(ISNUMBER(BB245),BB245-BB238-N(BB240)-N(BB241)-N(BB242)-N(BB243),"")</f>
        <v>-857.886</v>
      </c>
      <c r="BC244" s="43" t="n">
        <f aca="false">IF(ISNUMBER(BC245),BC245-BC238-N(BC240)-N(BC241)-N(BC242)-N(BC243),"")</f>
        <v>-325.159</v>
      </c>
      <c r="BD244" s="43" t="n">
        <f aca="false">IF(ISNUMBER(BD245),BD245-BD238-N(BD240)-N(BD241)-N(BD242)-N(BD243),"")</f>
        <v>-124.789</v>
      </c>
      <c r="BE244" s="43" t="n">
        <f aca="false">IF(ISNUMBER(BE245),BE245-BE238-N(BE240)-N(BE241)-N(BE242)-N(BE243),"")</f>
        <v>426.546</v>
      </c>
      <c r="BF244" s="43" t="n">
        <f aca="false">IF(ISNUMBER(BF245),BF245-BF238-N(BF240)-N(BF241)-N(BF242)-N(BF243),"")</f>
        <v>626.3</v>
      </c>
      <c r="BG244" s="43" t="n">
        <f aca="false">IF(ISNUMBER(BG245),BG245-BG238-N(BG240)-N(BG241)-N(BG242)-N(BG243),"")</f>
        <v>602.898</v>
      </c>
      <c r="BH244" s="43" t="n">
        <f aca="false">IF(ISNUMBER(BH245),BH245-BH238-N(BH240)-N(BH241)-N(BH242)-N(BH243),"")</f>
        <v>123.586</v>
      </c>
      <c r="BI244" s="43" t="n">
        <f aca="false">IF(ISNUMBER(BI245),BI245-BI238-N(BI240)-N(BI241)-N(BI242)-N(BI243),"")</f>
        <v>110.453</v>
      </c>
      <c r="BJ244" s="43" t="n">
        <f aca="false">IF(ISNUMBER(BJ245),BJ245-BJ238-N(BJ240)-N(BJ241)-N(BJ242)-N(BJ243),"")</f>
        <v>92.412</v>
      </c>
      <c r="BK244" s="43" t="n">
        <f aca="false">IF(ISNUMBER(BK245),BK245-BK238-N(BK240)-N(BK241)-N(BK242)-N(BK243),"")</f>
        <v>-21.676</v>
      </c>
      <c r="BL244" s="43" t="n">
        <f aca="false">IF(ISNUMBER(BL245),BL245-BL238-N(BL240)-N(BL241)-N(BL242)-N(BL243),"")</f>
        <v>304.775</v>
      </c>
      <c r="BM244" s="43" t="n">
        <f aca="false">IF(ISNUMBER(BM245),BM245-BM238-N(BM240)-N(BM241)-N(BM242)-N(BM243),"")</f>
        <v>-167.216</v>
      </c>
      <c r="BN244" s="43" t="n">
        <f aca="false">IF(ISNUMBER(BN245),BN245-BN238-N(BN240)-N(BN241)-N(BN242)-N(BN243),"")</f>
        <v>1.35099999999999</v>
      </c>
      <c r="BO244" s="43" t="n">
        <f aca="false">IF(ISNUMBER(BO245),BO245-BO238-N(BO240)-N(BO241)-N(BO242)-N(BO243),"")</f>
        <v>-37.707</v>
      </c>
      <c r="BP244" s="43" t="n">
        <f aca="false">IF(ISNUMBER(BP245),BP245-BP238-N(BP240)-N(BP241)-N(BP242)-N(BP243),"")</f>
        <v>148.006</v>
      </c>
      <c r="BQ244" s="43" t="n">
        <f aca="false">IF(ISNUMBER(BQ245),BQ245-BQ238-N(BQ240)-N(BQ241)-N(BQ242)-N(BQ243),"")</f>
        <v>-55.566</v>
      </c>
      <c r="BR244" s="43" t="n">
        <f aca="false">IF(ISNUMBER(BR245),BR245-BR238-N(BR240)-N(BR241)-N(BR242)-N(BR243),"")</f>
        <v>-87.517</v>
      </c>
      <c r="BS244" s="43" t="n">
        <f aca="false">IF(ISNUMBER(BS245),BS245-BS238-N(BS240)-N(BS241)-N(BS242)-N(BS243),"")</f>
        <v>24.998</v>
      </c>
      <c r="BT244" s="43" t="n">
        <f aca="false">IF(ISNUMBER(BT245),BT245-BT238-N(BT240)-N(BT241)-N(BT242)-N(BT243),"")</f>
        <v>60.239</v>
      </c>
      <c r="BU244" s="43" t="n">
        <f aca="false">IF(ISNUMBER(BU245),BU245-BU238-N(BU240)-N(BU241)-N(BU242)-N(BU243),"")</f>
        <v>158.347</v>
      </c>
      <c r="BV244" s="43" t="n">
        <f aca="false">IF(ISNUMBER(BV245),BV245-BV238-N(BV240)-N(BV241)-N(BV242)-N(BV243),"")</f>
        <v>156.067</v>
      </c>
      <c r="BW244" s="43" t="n">
        <f aca="false">IF(ISNUMBER(BW245),BW245-BW238-N(BW240)-N(BW241)-N(BW242)-N(BW243),"")</f>
        <v>-131.847</v>
      </c>
      <c r="BX244" s="43" t="n">
        <f aca="false">IF(ISNUMBER(BX245),BX245-BX238-N(BX240)-N(BX241)-N(BX242)-N(BX243),"")</f>
        <v>-199.378</v>
      </c>
      <c r="BY244" s="6"/>
      <c r="BZ244" s="6"/>
      <c r="CA244" s="49" t="n">
        <f aca="false">-(CA278-BV278)-(CA279-BV279)+(CA288-BV288)+(CA289-BV289)+(CA290-BV290)</f>
        <v>-139.052978665947</v>
      </c>
      <c r="CB244" s="49" t="n">
        <f aca="false">-(CB278-CA278)-(CB279-CA279)+(CB288-CA288)+(CB289-CA289)+(CB290-CA290)</f>
        <v>-1.88429376964277</v>
      </c>
      <c r="CC244" s="49" t="n">
        <f aca="false">-(CC278-CB278)-(CC279-CB279)+(CC288-CB288)+(CC289-CB289)+(CC290-CB290)</f>
        <v>-38.3116071674487</v>
      </c>
      <c r="CD244" s="49" t="n">
        <f aca="false">-(CD278-CC278)-(CD279-CC279)+(CD288-CC288)+(CD289-CC289)+(CD290-CC290)</f>
        <v>-39.9738562558274</v>
      </c>
      <c r="CE244" s="49" t="n">
        <f aca="false">-(CE278-CD278)-(CE279-CD279)+(CE288-CD288)+(CE289-CD289)+(CE290-CD290)</f>
        <v>-72.4136110659434</v>
      </c>
      <c r="CF244" s="23" t="s">
        <v>356</v>
      </c>
    </row>
    <row r="245" customFormat="false" ht="15" hidden="false" customHeight="false" outlineLevel="0" collapsed="false">
      <c r="B245" s="18" t="s">
        <v>357</v>
      </c>
      <c r="C245" s="31" t="n">
        <v>343.377</v>
      </c>
      <c r="D245" s="31" t="n">
        <v>308.43</v>
      </c>
      <c r="E245" s="31" t="n">
        <v>447.579</v>
      </c>
      <c r="F245" s="31" t="n">
        <v>372.571</v>
      </c>
      <c r="G245" s="31" t="n">
        <v>344.779</v>
      </c>
      <c r="H245" s="31" t="n">
        <v>429.712</v>
      </c>
      <c r="I245" s="31" t="n">
        <v>460.342</v>
      </c>
      <c r="J245" s="31" t="n">
        <v>-58.05</v>
      </c>
      <c r="K245" s="31" t="n">
        <v>116.321</v>
      </c>
      <c r="L245" s="31" t="n">
        <v>124.658</v>
      </c>
      <c r="M245" s="31" t="n">
        <v>164.848</v>
      </c>
      <c r="N245" s="31" t="n">
        <v>347.777</v>
      </c>
      <c r="O245" s="31" t="n">
        <v>14.44</v>
      </c>
      <c r="P245" s="31" t="n">
        <v>113.928</v>
      </c>
      <c r="Q245" s="31" t="n">
        <v>176.954</v>
      </c>
      <c r="R245" s="31" t="n">
        <v>208.104</v>
      </c>
      <c r="S245" s="31" t="n">
        <v>513.426</v>
      </c>
      <c r="T245" s="31" t="n">
        <v>100.395</v>
      </c>
      <c r="U245" s="31" t="n">
        <v>150.801</v>
      </c>
      <c r="V245" s="31" t="n">
        <v>213.247</v>
      </c>
      <c r="W245" s="31" t="n">
        <v>253.893</v>
      </c>
      <c r="X245" s="31" t="n">
        <v>718.336</v>
      </c>
      <c r="Y245" s="31" t="n">
        <v>104.15</v>
      </c>
      <c r="Z245" s="31" t="n">
        <v>143.111</v>
      </c>
      <c r="AA245" s="31" t="n">
        <v>129.567</v>
      </c>
      <c r="AB245" s="31" t="n">
        <v>152.58</v>
      </c>
      <c r="AC245" s="31" t="n">
        <v>529.408</v>
      </c>
      <c r="AD245" s="31" t="n">
        <v>92.696</v>
      </c>
      <c r="AE245" s="31" t="n">
        <v>57.315</v>
      </c>
      <c r="AF245" s="31" t="n">
        <v>68.338</v>
      </c>
      <c r="AG245" s="31" t="n">
        <v>162.152</v>
      </c>
      <c r="AH245" s="31" t="n">
        <v>380.501</v>
      </c>
      <c r="AI245" s="31" t="n">
        <v>200.57</v>
      </c>
      <c r="AJ245" s="31" t="n">
        <v>107.9</v>
      </c>
      <c r="AK245" s="31" t="n">
        <v>220.413</v>
      </c>
      <c r="AL245" s="31" t="n">
        <v>264.013</v>
      </c>
      <c r="AM245" s="31" t="n">
        <v>792.896</v>
      </c>
      <c r="AN245" s="31" t="n">
        <v>256.931</v>
      </c>
      <c r="AO245" s="31" t="n">
        <v>199.595</v>
      </c>
      <c r="AP245" s="31" t="n">
        <v>167.332</v>
      </c>
      <c r="AQ245" s="31" t="n">
        <v>211.561</v>
      </c>
      <c r="AR245" s="31" t="n">
        <v>835.419</v>
      </c>
      <c r="AS245" s="31" t="n">
        <v>58.499</v>
      </c>
      <c r="AT245" s="31" t="n">
        <v>447.144</v>
      </c>
      <c r="AU245" s="31" t="n">
        <v>-168.594</v>
      </c>
      <c r="AV245" s="31" t="n">
        <v>162.142</v>
      </c>
      <c r="AW245" s="31" t="n">
        <v>499.191</v>
      </c>
      <c r="AX245" s="31" t="n">
        <v>-56.692</v>
      </c>
      <c r="AY245" s="31" t="n">
        <v>149.29</v>
      </c>
      <c r="AZ245" s="31" t="n">
        <v>-73.498</v>
      </c>
      <c r="BA245" s="31" t="n">
        <v>75.855</v>
      </c>
      <c r="BB245" s="31" t="n">
        <v>94.955</v>
      </c>
      <c r="BC245" s="31" t="n">
        <v>-13.928</v>
      </c>
      <c r="BD245" s="31" t="n">
        <v>265.257</v>
      </c>
      <c r="BE245" s="31" t="n">
        <v>625.46</v>
      </c>
      <c r="BF245" s="31" t="n">
        <v>773.382</v>
      </c>
      <c r="BG245" s="31" t="n">
        <v>1650.171</v>
      </c>
      <c r="BH245" s="31" t="n">
        <v>254.544</v>
      </c>
      <c r="BI245" s="31" t="n">
        <v>224.832</v>
      </c>
      <c r="BJ245" s="31" t="n">
        <v>205.239</v>
      </c>
      <c r="BK245" s="31" t="n">
        <v>47.331</v>
      </c>
      <c r="BL245" s="31" t="n">
        <v>731.946</v>
      </c>
      <c r="BM245" s="31" t="n">
        <v>-33.323</v>
      </c>
      <c r="BN245" s="31" t="n">
        <v>166.422</v>
      </c>
      <c r="BO245" s="31" t="n">
        <v>108.055</v>
      </c>
      <c r="BP245" s="31" t="n">
        <v>267.93</v>
      </c>
      <c r="BQ245" s="31" t="n">
        <v>509.084</v>
      </c>
      <c r="BR245" s="31" t="n">
        <v>106.531</v>
      </c>
      <c r="BS245" s="31" t="n">
        <v>227.128</v>
      </c>
      <c r="BT245" s="31" t="n">
        <v>275.446</v>
      </c>
      <c r="BU245" s="31" t="n">
        <v>305.414</v>
      </c>
      <c r="BV245" s="31" t="n">
        <v>914.519</v>
      </c>
      <c r="BW245" s="31" t="n">
        <v>68.599</v>
      </c>
      <c r="BX245" s="31" t="n">
        <v>35.898</v>
      </c>
      <c r="BY245" s="45"/>
      <c r="BZ245" s="45"/>
      <c r="CA245" s="32" t="n">
        <f aca="false">SUM(CA238:CA244)</f>
        <v>773.855231493588</v>
      </c>
      <c r="CB245" s="32" t="n">
        <f aca="false">SUM(CB238:CB244)</f>
        <v>1024.90484462553</v>
      </c>
      <c r="CC245" s="32" t="n">
        <f aca="false">SUM(CC238:CC244)</f>
        <v>1068.57722503375</v>
      </c>
      <c r="CD245" s="32" t="n">
        <f aca="false">SUM(CD238:CD244)</f>
        <v>1146.34866870475</v>
      </c>
      <c r="CE245" s="32" t="n">
        <f aca="false">SUM(CE238:CE244)</f>
        <v>1188.4793291976</v>
      </c>
      <c r="CH245" s="33" t="n">
        <f aca="false">IFERROR((CE245/BV245)^(1/5)-1,"n/m")</f>
        <v>0.053803847713837</v>
      </c>
      <c r="CI245" s="33" t="n">
        <f aca="false">IFERROR((BV245/AW245)^(1/5)-1,"n/m")</f>
        <v>0.128717340588752</v>
      </c>
      <c r="CJ245" s="33" t="n">
        <f aca="false">IFERROR((BV245/X245)^(1/10)-1,"n/m")</f>
        <v>0.0244399589768149</v>
      </c>
      <c r="CK245" s="33" t="n">
        <f aca="false">IFERROR((BV245/C245)^(1/19)-1,"n/m")</f>
        <v>0.052908439821453</v>
      </c>
    </row>
    <row r="246" customFormat="false" ht="15" hidden="false" customHeight="false" outlineLevel="0" collapsed="false">
      <c r="B246" s="28" t="s">
        <v>358</v>
      </c>
      <c r="C246" s="37" t="n">
        <v>-41.543</v>
      </c>
      <c r="D246" s="37" t="n">
        <v>-43.713</v>
      </c>
      <c r="E246" s="37" t="n">
        <v>-23.748</v>
      </c>
      <c r="F246" s="37" t="n">
        <v>-34.466</v>
      </c>
      <c r="G246" s="37" t="n">
        <v>-17.718</v>
      </c>
      <c r="H246" s="37" t="n">
        <v>-35.932</v>
      </c>
      <c r="I246" s="37" t="n">
        <v>-36.096</v>
      </c>
      <c r="J246" s="37" t="n">
        <v>-8.745</v>
      </c>
      <c r="K246" s="37" t="n">
        <v>-9.571</v>
      </c>
      <c r="L246" s="37" t="n">
        <v>-9.545</v>
      </c>
      <c r="M246" s="37" t="n">
        <v>-12.493</v>
      </c>
      <c r="N246" s="37" t="n">
        <v>-40.354</v>
      </c>
      <c r="O246" s="37" t="n">
        <v>-11.124</v>
      </c>
      <c r="P246" s="37" t="n">
        <v>-3.736</v>
      </c>
      <c r="Q246" s="37" t="n">
        <v>-4.431</v>
      </c>
      <c r="R246" s="37" t="n">
        <v>-3.073</v>
      </c>
      <c r="S246" s="37" t="n">
        <v>-22.364</v>
      </c>
      <c r="T246" s="37" t="n">
        <v>-3.895</v>
      </c>
      <c r="U246" s="37" t="n">
        <v>-7.647</v>
      </c>
      <c r="V246" s="37" t="n">
        <v>-7.775</v>
      </c>
      <c r="W246" s="37" t="n">
        <v>-8.798</v>
      </c>
      <c r="X246" s="37" t="n">
        <v>-28.115</v>
      </c>
      <c r="Y246" s="37" t="n">
        <v>-13.121</v>
      </c>
      <c r="Z246" s="37" t="n">
        <v>-20.362</v>
      </c>
      <c r="AA246" s="37" t="n">
        <v>-22.642</v>
      </c>
      <c r="AB246" s="37" t="n">
        <v>-17.327</v>
      </c>
      <c r="AC246" s="37" t="n">
        <v>-73.452</v>
      </c>
      <c r="AD246" s="37" t="n">
        <v>-13.537</v>
      </c>
      <c r="AE246" s="37" t="n">
        <v>-10.568</v>
      </c>
      <c r="AF246" s="37" t="n">
        <v>-8.027</v>
      </c>
      <c r="AG246" s="37" t="n">
        <v>-7.99</v>
      </c>
      <c r="AH246" s="37" t="n">
        <v>-40.122</v>
      </c>
      <c r="AI246" s="37" t="n">
        <v>-11.719</v>
      </c>
      <c r="AJ246" s="37" t="n">
        <v>-8.85</v>
      </c>
      <c r="AK246" s="37" t="n">
        <v>-15.225</v>
      </c>
      <c r="AL246" s="37" t="n">
        <v>-9.206</v>
      </c>
      <c r="AM246" s="37" t="n">
        <v>-45</v>
      </c>
      <c r="AN246" s="37" t="n">
        <v>-8.619</v>
      </c>
      <c r="AO246" s="37" t="n">
        <v>-8.155</v>
      </c>
      <c r="AP246" s="37" t="n">
        <v>-9.887</v>
      </c>
      <c r="AQ246" s="37" t="n">
        <v>-9.629</v>
      </c>
      <c r="AR246" s="37" t="n">
        <v>-36.29</v>
      </c>
      <c r="AS246" s="37" t="n">
        <v>-7.841</v>
      </c>
      <c r="AT246" s="37" t="n">
        <v>-3.78</v>
      </c>
      <c r="AU246" s="37" t="n">
        <v>-5.825</v>
      </c>
      <c r="AV246" s="37" t="n">
        <v>-5.687</v>
      </c>
      <c r="AW246" s="37" t="n">
        <v>-23.133</v>
      </c>
      <c r="AX246" s="37" t="n">
        <v>-5.435</v>
      </c>
      <c r="AY246" s="37" t="n">
        <v>-7.421</v>
      </c>
      <c r="AZ246" s="37" t="n">
        <v>-13.647</v>
      </c>
      <c r="BA246" s="37" t="n">
        <v>-7.694</v>
      </c>
      <c r="BB246" s="37" t="n">
        <v>-34.197</v>
      </c>
      <c r="BC246" s="37" t="n">
        <v>-10.046</v>
      </c>
      <c r="BD246" s="37" t="n">
        <v>-26.735</v>
      </c>
      <c r="BE246" s="37" t="n">
        <v>-13.938</v>
      </c>
      <c r="BF246" s="37" t="n">
        <v>-11.196</v>
      </c>
      <c r="BG246" s="37" t="n">
        <v>-61.915</v>
      </c>
      <c r="BH246" s="37" t="n">
        <v>-11.371</v>
      </c>
      <c r="BI246" s="37" t="n">
        <v>-10.308</v>
      </c>
      <c r="BJ246" s="37" t="n">
        <v>-4.21</v>
      </c>
      <c r="BK246" s="37" t="n">
        <v>-4.1</v>
      </c>
      <c r="BL246" s="37" t="n">
        <v>-29.989</v>
      </c>
      <c r="BM246" s="37" t="n">
        <v>-8.62</v>
      </c>
      <c r="BN246" s="37" t="n">
        <v>-6.618</v>
      </c>
      <c r="BO246" s="37" t="n">
        <v>-4.739</v>
      </c>
      <c r="BP246" s="37" t="n">
        <v>-2.676</v>
      </c>
      <c r="BQ246" s="37" t="n">
        <v>-22.653</v>
      </c>
      <c r="BR246" s="37" t="n">
        <v>-3.348</v>
      </c>
      <c r="BS246" s="37" t="n">
        <v>-7.292</v>
      </c>
      <c r="BT246" s="37" t="n">
        <v>-5.975</v>
      </c>
      <c r="BU246" s="37" t="n">
        <v>-3.013</v>
      </c>
      <c r="BV246" s="37" t="n">
        <v>-19.628</v>
      </c>
      <c r="BW246" s="37" t="n">
        <v>-2.635</v>
      </c>
      <c r="BX246" s="37" t="n">
        <v>-4.975</v>
      </c>
      <c r="BY246" s="6"/>
      <c r="BZ246" s="6"/>
      <c r="CA246" s="49" t="n">
        <f aca="false">-CHOOSE(MATCH($CF$2,{"Bull","Base","Bear"},0),$CO$14,$CP$14,$CQ$14)*(1-CA271)</f>
        <v>-17.5</v>
      </c>
      <c r="CB246" s="49" t="n">
        <f aca="false">-CB133*CB270*(1-CB271)</f>
        <v>-21.2142372749352</v>
      </c>
      <c r="CC246" s="49" t="n">
        <f aca="false">-CC133*CC270*(1-CC271)</f>
        <v>-22.5337322545853</v>
      </c>
      <c r="CD246" s="49" t="n">
        <f aca="false">-CD133*CD270*(1-CD271)</f>
        <v>-23.8544839007906</v>
      </c>
      <c r="CE246" s="49" t="n">
        <f aca="false">-CE133*CE270*(1-CE271)</f>
        <v>-25.2833250875051</v>
      </c>
    </row>
    <row r="247" customFormat="false" ht="15" hidden="false" customHeight="false" outlineLevel="0" collapsed="false">
      <c r="B247" s="28" t="s">
        <v>359</v>
      </c>
      <c r="G247" s="37" t="n">
        <v>-10.959</v>
      </c>
      <c r="H247" s="37" t="n">
        <v>-16.874</v>
      </c>
      <c r="I247" s="37" t="n">
        <v>-14.56</v>
      </c>
      <c r="J247" s="37" t="n">
        <v>-1.432</v>
      </c>
      <c r="K247" s="37" t="n">
        <v>-2.829</v>
      </c>
      <c r="L247" s="37" t="n">
        <v>-2.114</v>
      </c>
      <c r="M247" s="37" t="n">
        <v>-1.477</v>
      </c>
      <c r="N247" s="37" t="n">
        <v>-7.852</v>
      </c>
      <c r="O247" s="37" t="n">
        <v>-1.471</v>
      </c>
      <c r="P247" s="37" t="n">
        <v>-2.493</v>
      </c>
      <c r="Q247" s="37" t="n">
        <v>-1.881</v>
      </c>
      <c r="R247" s="37" t="n">
        <v>-1.293</v>
      </c>
      <c r="S247" s="37" t="n">
        <v>-7.138</v>
      </c>
      <c r="T247" s="37" t="n">
        <v>-2.771</v>
      </c>
      <c r="U247" s="37" t="n">
        <v>-5.292</v>
      </c>
      <c r="V247" s="37" t="n">
        <v>-5.431</v>
      </c>
      <c r="W247" s="37" t="n">
        <v>-3.033</v>
      </c>
      <c r="X247" s="37" t="n">
        <v>-16.527</v>
      </c>
      <c r="Y247" s="37" t="n">
        <v>-4.704</v>
      </c>
      <c r="Z247" s="37" t="n">
        <v>-5.789</v>
      </c>
      <c r="AA247" s="37" t="n">
        <v>-4.493</v>
      </c>
      <c r="AB247" s="37" t="n">
        <v>-2.999</v>
      </c>
      <c r="AC247" s="37" t="n">
        <v>-17.985</v>
      </c>
      <c r="AD247" s="37" t="n">
        <v>-3.183</v>
      </c>
      <c r="AE247" s="37" t="n">
        <v>-5.682</v>
      </c>
      <c r="AF247" s="37" t="n">
        <v>-5.421</v>
      </c>
      <c r="AG247" s="37" t="n">
        <v>-3.537</v>
      </c>
      <c r="AH247" s="37" t="n">
        <v>-17.823</v>
      </c>
      <c r="AI247" s="37" t="n">
        <v>-3.744</v>
      </c>
      <c r="AJ247" s="37" t="n">
        <v>-5.77</v>
      </c>
      <c r="AK247" s="37" t="n">
        <v>-4.279</v>
      </c>
      <c r="AL247" s="37" t="n">
        <v>-5.078</v>
      </c>
      <c r="AM247" s="37" t="n">
        <v>-18.871</v>
      </c>
      <c r="AN247" s="37" t="n">
        <v>-5.246</v>
      </c>
      <c r="AO247" s="37" t="n">
        <v>-9.544</v>
      </c>
      <c r="AP247" s="37" t="n">
        <v>-9.492</v>
      </c>
      <c r="AQ247" s="37" t="n">
        <v>-9.893</v>
      </c>
      <c r="AR247" s="37" t="n">
        <v>-34.175</v>
      </c>
      <c r="AS247" s="37" t="n">
        <v>-6.862</v>
      </c>
      <c r="AT247" s="37" t="n">
        <v>-6.556</v>
      </c>
      <c r="AU247" s="37" t="n">
        <v>-9.397</v>
      </c>
      <c r="AV247" s="37" t="n">
        <v>-8.061</v>
      </c>
      <c r="AW247" s="37" t="n">
        <v>-30.876</v>
      </c>
      <c r="AX247" s="37" t="n">
        <v>-8.071</v>
      </c>
      <c r="AY247" s="37" t="n">
        <v>-8.91</v>
      </c>
      <c r="AZ247" s="37" t="n">
        <v>-9.081</v>
      </c>
      <c r="BA247" s="37" t="n">
        <v>-10.663</v>
      </c>
      <c r="BB247" s="37" t="n">
        <v>-36.725</v>
      </c>
      <c r="BC247" s="37" t="n">
        <v>-16.183</v>
      </c>
      <c r="BD247" s="37" t="n">
        <v>-16.439</v>
      </c>
      <c r="BE247" s="37" t="n">
        <v>-17.313</v>
      </c>
      <c r="BF247" s="37" t="n">
        <v>-16.647</v>
      </c>
      <c r="BG247" s="37" t="n">
        <v>-66.582</v>
      </c>
      <c r="BH247" s="37" t="n">
        <v>-15.579</v>
      </c>
      <c r="BI247" s="37" t="n">
        <v>-14.043</v>
      </c>
      <c r="BJ247" s="37" t="n">
        <v>-12.464</v>
      </c>
      <c r="BK247" s="37" t="n">
        <v>-12.036</v>
      </c>
      <c r="BL247" s="37" t="n">
        <v>-54.122</v>
      </c>
      <c r="BM247" s="37" t="n">
        <v>-13.854</v>
      </c>
      <c r="BN247" s="37" t="n">
        <v>-12.719</v>
      </c>
      <c r="BO247" s="37" t="n">
        <v>-12.549</v>
      </c>
      <c r="BP247" s="37" t="n">
        <v>-12.513</v>
      </c>
      <c r="BQ247" s="37" t="n">
        <v>-51.635</v>
      </c>
      <c r="BR247" s="37" t="n">
        <v>-12.734</v>
      </c>
      <c r="BS247" s="37" t="n">
        <v>-12.867</v>
      </c>
      <c r="BT247" s="37" t="n">
        <v>-12.645</v>
      </c>
      <c r="BU247" s="37" t="n">
        <v>-12.669</v>
      </c>
      <c r="BV247" s="37" t="n">
        <v>-50.915</v>
      </c>
      <c r="BW247" s="37" t="n">
        <v>-12.381</v>
      </c>
      <c r="BX247" s="37" t="n">
        <v>-13.261</v>
      </c>
      <c r="BY247" s="6"/>
      <c r="BZ247" s="6"/>
      <c r="CA247" s="49" t="n">
        <f aca="false">-CHOOSE(MATCH($CF$2,{"Bull","Base","Bear"},0),$CO$14,$CP$14,$CQ$14)*CA271</f>
        <v>-52.5</v>
      </c>
      <c r="CB247" s="49" t="n">
        <f aca="false">-CB133*CB270*CB271</f>
        <v>-54.5508958498333</v>
      </c>
      <c r="CC247" s="49" t="n">
        <f aca="false">-CC133*CC270*CC271</f>
        <v>-57.9438829403622</v>
      </c>
      <c r="CD247" s="49" t="n">
        <f aca="false">-CD133*CD270*CD271</f>
        <v>-61.3401014591758</v>
      </c>
      <c r="CE247" s="49" t="n">
        <f aca="false">-CE133*CE270*CE271</f>
        <v>-65.0142645107275</v>
      </c>
    </row>
    <row r="248" customFormat="false" ht="15" hidden="false" customHeight="false" outlineLevel="0" collapsed="false">
      <c r="B248" s="28" t="s">
        <v>360</v>
      </c>
      <c r="C248" s="37" t="n">
        <v>-39.724</v>
      </c>
      <c r="D248" s="37" t="n">
        <v>-22.22</v>
      </c>
      <c r="E248" s="37" t="n">
        <v>-59.661</v>
      </c>
      <c r="F248" s="37" t="n">
        <v>-41.145</v>
      </c>
      <c r="I248" s="37" t="n">
        <v>-583.631</v>
      </c>
      <c r="L248" s="37" t="n">
        <v>0</v>
      </c>
      <c r="M248" s="37" t="n">
        <v>0</v>
      </c>
      <c r="N248" s="37" t="n">
        <v>19.126</v>
      </c>
      <c r="Q248" s="37" t="n">
        <v>0</v>
      </c>
      <c r="R248" s="37" t="n">
        <v>0</v>
      </c>
      <c r="S248" s="37" t="n">
        <v>0</v>
      </c>
      <c r="T248" s="37" t="n">
        <v>-369.143</v>
      </c>
      <c r="U248" s="37" t="n">
        <v>0</v>
      </c>
      <c r="V248" s="37" t="n">
        <v>2.035</v>
      </c>
      <c r="W248" s="37" t="n">
        <v>-2.725</v>
      </c>
      <c r="X248" s="37" t="n">
        <v>-369.833</v>
      </c>
      <c r="Y248" s="37" t="n">
        <v>0</v>
      </c>
      <c r="Z248" s="37" t="n">
        <v>0</v>
      </c>
      <c r="AA248" s="37" t="n">
        <v>-220.203</v>
      </c>
      <c r="AB248" s="37" t="n">
        <v>0</v>
      </c>
      <c r="AC248" s="37" t="n">
        <v>-220.203</v>
      </c>
      <c r="AD248" s="37" t="n">
        <v>-1.78</v>
      </c>
      <c r="AE248" s="37" t="n">
        <v>0</v>
      </c>
      <c r="AF248" s="37" t="n">
        <v>-46.666</v>
      </c>
      <c r="AG248" s="37" t="n">
        <v>-0.622</v>
      </c>
      <c r="AH248" s="37" t="n">
        <v>-49.068</v>
      </c>
      <c r="AI248" s="37" t="n">
        <v>0</v>
      </c>
      <c r="AJ248" s="37" t="n">
        <v>-1.315</v>
      </c>
      <c r="AK248" s="37" t="n">
        <v>0</v>
      </c>
      <c r="AL248" s="37" t="n">
        <v>-4</v>
      </c>
      <c r="AM248" s="37" t="n">
        <v>-5.315</v>
      </c>
      <c r="AN248" s="37" t="n">
        <v>-44.143</v>
      </c>
      <c r="AO248" s="37" t="n">
        <v>-14.236</v>
      </c>
      <c r="AP248" s="37" t="n">
        <v>-0.809</v>
      </c>
      <c r="AQ248" s="37" t="n">
        <v>-0.012</v>
      </c>
      <c r="AR248" s="37" t="n">
        <v>-59.2</v>
      </c>
      <c r="AS248" s="37" t="n">
        <v>-223.617</v>
      </c>
      <c r="AT248" s="37" t="n">
        <v>0.387</v>
      </c>
      <c r="AU248" s="37" t="n">
        <v>0</v>
      </c>
      <c r="AV248" s="37" t="n">
        <v>0</v>
      </c>
      <c r="AW248" s="37" t="n">
        <v>-223.23</v>
      </c>
      <c r="AX248" s="37" t="n">
        <v>0</v>
      </c>
      <c r="AY248" s="37" t="n">
        <v>-14.749</v>
      </c>
      <c r="AZ248" s="37" t="n">
        <v>0</v>
      </c>
      <c r="BA248" s="37" t="n">
        <v>-0.001</v>
      </c>
      <c r="BB248" s="37" t="n">
        <v>-14.75</v>
      </c>
      <c r="BE248" s="37" t="n">
        <v>0</v>
      </c>
      <c r="BF248" s="37" t="n">
        <v>0</v>
      </c>
      <c r="BG248" s="37" t="n">
        <v>0</v>
      </c>
      <c r="BV248" s="37" t="n">
        <v>-11.864</v>
      </c>
      <c r="BW248" s="37" t="n">
        <v>-0.15</v>
      </c>
      <c r="BX248" s="37" t="n">
        <v>-78.798</v>
      </c>
      <c r="BY248" s="6"/>
      <c r="BZ248" s="6"/>
      <c r="CA248" s="49" t="n">
        <f aca="false">BW248+BX248</f>
        <v>-78.948</v>
      </c>
      <c r="CB248" s="49" t="n">
        <f aca="false">-CB80</f>
        <v>-0</v>
      </c>
      <c r="CC248" s="49" t="n">
        <f aca="false">-CC80</f>
        <v>-100</v>
      </c>
      <c r="CD248" s="49" t="n">
        <f aca="false">-CD80</f>
        <v>-150</v>
      </c>
      <c r="CE248" s="49" t="n">
        <f aca="false">-CE80</f>
        <v>-150</v>
      </c>
    </row>
    <row r="249" customFormat="false" ht="15" hidden="false" customHeight="false" outlineLevel="0" collapsed="false">
      <c r="B249" s="28" t="s">
        <v>361</v>
      </c>
      <c r="BR249" s="37" t="n">
        <v>27.737</v>
      </c>
      <c r="BS249" s="37" t="n">
        <v>0</v>
      </c>
      <c r="BT249" s="37" t="n">
        <v>0</v>
      </c>
      <c r="BU249" s="37" t="n">
        <v>0</v>
      </c>
      <c r="BV249" s="37" t="n">
        <v>27.737</v>
      </c>
      <c r="BW249" s="37" t="n">
        <v>11.828</v>
      </c>
      <c r="BX249" s="37" t="n">
        <v>0</v>
      </c>
      <c r="BY249" s="6"/>
      <c r="BZ249" s="6"/>
      <c r="CA249" s="49" t="n">
        <f aca="false">BW249+BX249</f>
        <v>11.828</v>
      </c>
      <c r="CB249" s="48" t="n">
        <v>0</v>
      </c>
      <c r="CC249" s="48" t="n">
        <v>0</v>
      </c>
      <c r="CD249" s="48" t="n">
        <v>0</v>
      </c>
      <c r="CE249" s="48" t="n">
        <v>0</v>
      </c>
    </row>
    <row r="250" customFormat="false" ht="15" hidden="false" customHeight="false" outlineLevel="0" collapsed="false">
      <c r="B250" s="28" t="s">
        <v>362</v>
      </c>
      <c r="C250" s="43" t="n">
        <f aca="false">IF(ISNUMBER(C251),C251-N(C246)-N(C247)-N(C248)-N(C249),"")</f>
        <v>0.0300000000000011</v>
      </c>
      <c r="D250" s="43" t="n">
        <f aca="false">IF(ISNUMBER(D251),D251-N(D246)-N(D247)-N(D248)-N(D249),"")</f>
        <v>10.211</v>
      </c>
      <c r="E250" s="43" t="n">
        <f aca="false">IF(ISNUMBER(E251),E251-N(E246)-N(E247)-N(E248)-N(E249),"")</f>
        <v>114.889</v>
      </c>
      <c r="F250" s="43" t="n">
        <f aca="false">IF(ISNUMBER(F251),F251-N(F246)-N(F247)-N(F248)-N(F249),"")</f>
        <v>-48.277</v>
      </c>
      <c r="G250" s="43" t="n">
        <f aca="false">IF(ISNUMBER(G251),G251-N(G246)-N(G247)-N(G248)-N(G249),"")</f>
        <v>37.275</v>
      </c>
      <c r="H250" s="43" t="n">
        <f aca="false">IF(ISNUMBER(H251),H251-N(H246)-N(H247)-N(H248)-N(H249),"")</f>
        <v>14.493</v>
      </c>
      <c r="I250" s="43" t="n">
        <f aca="false">IF(ISNUMBER(I251),I251-N(I246)-N(I247)-N(I248)-N(I249),"")</f>
        <v>275.221</v>
      </c>
      <c r="J250" s="43" t="n">
        <f aca="false">IF(ISNUMBER(J251),J251-N(J246)-N(J247)-N(J248)-N(J249),"")</f>
        <v>0.0429999999999988</v>
      </c>
      <c r="K250" s="43" t="n">
        <f aca="false">IF(ISNUMBER(K251),K251-N(K246)-N(K247)-N(K248)-N(K249),"")</f>
        <v>19.19</v>
      </c>
      <c r="L250" s="43" t="n">
        <f aca="false">IF(ISNUMBER(L251),L251-N(L246)-N(L247)-N(L248)-N(L249),"")</f>
        <v>0.114</v>
      </c>
      <c r="M250" s="43" t="n">
        <f aca="false">IF(ISNUMBER(M251),M251-N(M246)-N(M247)-N(M248)-N(M249),"")</f>
        <v>0</v>
      </c>
      <c r="N250" s="43" t="n">
        <f aca="false">IF(ISNUMBER(N251),N251-N(N246)-N(N247)-N(N248)-N(N249),"")</f>
        <v>0.220999999999997</v>
      </c>
      <c r="O250" s="43" t="n">
        <f aca="false">IF(ISNUMBER(O251),O251-N(O246)-N(O247)-N(O248)-N(O249),"")</f>
        <v>0.268000000000001</v>
      </c>
      <c r="P250" s="43" t="n">
        <f aca="false">IF(ISNUMBER(P251),P251-N(P246)-N(P247)-N(P248)-N(P249),"")</f>
        <v>0</v>
      </c>
      <c r="Q250" s="43" t="n">
        <f aca="false">IF(ISNUMBER(Q251),Q251-N(Q246)-N(Q247)-N(Q248)-N(Q249),"")</f>
        <v>0.16</v>
      </c>
      <c r="R250" s="43" t="n">
        <f aca="false">IF(ISNUMBER(R251),R251-N(R246)-N(R247)-N(R248)-N(R249),"")</f>
        <v>-359.822</v>
      </c>
      <c r="S250" s="43" t="n">
        <f aca="false">IF(ISNUMBER(S251),S251-N(S246)-N(S247)-N(S248)-N(S249),"")</f>
        <v>-359.394</v>
      </c>
      <c r="T250" s="43" t="n">
        <f aca="false">IF(ISNUMBER(T251),T251-N(T246)-N(T247)-N(T248)-N(T249),"")</f>
        <v>359.85</v>
      </c>
      <c r="U250" s="43" t="n">
        <f aca="false">IF(ISNUMBER(U251),U251-N(U246)-N(U247)-N(U248)-N(U249),"")</f>
        <v>-0.100999999999999</v>
      </c>
      <c r="V250" s="43" t="n">
        <f aca="false">IF(ISNUMBER(V251),V251-N(V246)-N(V247)-N(V248)-N(V249),"")</f>
        <v>0.174</v>
      </c>
      <c r="W250" s="43" t="n">
        <f aca="false">IF(ISNUMBER(W251),W251-N(W246)-N(W247)-N(W248)-N(W249),"")</f>
        <v>0.106000000000001</v>
      </c>
      <c r="X250" s="43" t="n">
        <f aca="false">IF(ISNUMBER(X251),X251-N(X246)-N(X247)-N(X248)-N(X249),"")</f>
        <v>360.029</v>
      </c>
      <c r="Y250" s="43" t="n">
        <f aca="false">IF(ISNUMBER(Y251),Y251-N(Y246)-N(Y247)-N(Y248)-N(Y249),"")</f>
        <v>-0.769999999999999</v>
      </c>
      <c r="Z250" s="43" t="n">
        <f aca="false">IF(ISNUMBER(Z251),Z251-N(Z246)-N(Z247)-N(Z248)-N(Z249),"")</f>
        <v>0.364999999999997</v>
      </c>
      <c r="AA250" s="43" t="n">
        <f aca="false">IF(ISNUMBER(AA251),AA251-N(AA246)-N(AA247)-N(AA248)-N(AA249),"")</f>
        <v>-0.330000000000013</v>
      </c>
      <c r="AB250" s="43" t="n">
        <f aca="false">IF(ISNUMBER(AB251),AB251-N(AB246)-N(AB247)-N(AB248)-N(AB249),"")</f>
        <v>-0.612999999999998</v>
      </c>
      <c r="AC250" s="43" t="n">
        <f aca="false">IF(ISNUMBER(AC251),AC251-N(AC246)-N(AC247)-N(AC248)-N(AC249),"")</f>
        <v>-1.34799999999998</v>
      </c>
      <c r="AD250" s="43" t="n">
        <f aca="false">IF(ISNUMBER(AD251),AD251-N(AD246)-N(AD247)-N(AD248)-N(AD249),"")</f>
        <v>0.0560000000000016</v>
      </c>
      <c r="AE250" s="43" t="n">
        <f aca="false">IF(ISNUMBER(AE251),AE251-N(AE246)-N(AE247)-N(AE248)-N(AE249),"")</f>
        <v>-1.151</v>
      </c>
      <c r="AF250" s="43" t="n">
        <f aca="false">IF(ISNUMBER(AF251),AF251-N(AF246)-N(AF247)-N(AF248)-N(AF249),"")</f>
        <v>1.299</v>
      </c>
      <c r="AG250" s="43" t="n">
        <f aca="false">IF(ISNUMBER(AG251),AG251-N(AG246)-N(AG247)-N(AG248)-N(AG249),"")</f>
        <v>-0.725</v>
      </c>
      <c r="AH250" s="43" t="n">
        <f aca="false">IF(ISNUMBER(AH251),AH251-N(AH246)-N(AH247)-N(AH248)-N(AH249),"")</f>
        <v>-0.521000000000008</v>
      </c>
      <c r="AI250" s="43" t="n">
        <f aca="false">IF(ISNUMBER(AI251),AI251-N(AI246)-N(AI247)-N(AI248)-N(AI249),"")</f>
        <v>-0.726</v>
      </c>
      <c r="AJ250" s="43" t="n">
        <f aca="false">IF(ISNUMBER(AJ251),AJ251-N(AJ246)-N(AJ247)-N(AJ248)-N(AJ249),"")</f>
        <v>-0.82</v>
      </c>
      <c r="AK250" s="43" t="n">
        <f aca="false">IF(ISNUMBER(AK251),AK251-N(AK246)-N(AK247)-N(AK248)-N(AK249),"")</f>
        <v>-0.0589999999999993</v>
      </c>
      <c r="AL250" s="43" t="n">
        <f aca="false">IF(ISNUMBER(AL251),AL251-N(AL246)-N(AL247)-N(AL248)-N(AL249),"")</f>
        <v>-2.017</v>
      </c>
      <c r="AM250" s="43" t="n">
        <f aca="false">IF(ISNUMBER(AM251),AM251-N(AM246)-N(AM247)-N(AM248)-N(AM249),"")</f>
        <v>-3.62200000000001</v>
      </c>
      <c r="AN250" s="43" t="n">
        <f aca="false">IF(ISNUMBER(AN251),AN251-N(AN246)-N(AN247)-N(AN248)-N(AN249),"")</f>
        <v>0.00800000000000267</v>
      </c>
      <c r="AO250" s="43" t="n">
        <f aca="false">IF(ISNUMBER(AO251),AO251-N(AO246)-N(AO247)-N(AO248)-N(AO249),"")</f>
        <v>0</v>
      </c>
      <c r="AP250" s="43" t="n">
        <f aca="false">IF(ISNUMBER(AP251),AP251-N(AP246)-N(AP247)-N(AP248)-N(AP249),"")</f>
        <v>16.617</v>
      </c>
      <c r="AQ250" s="43" t="n">
        <f aca="false">IF(ISNUMBER(AQ251),AQ251-N(AQ246)-N(AQ247)-N(AQ248)-N(AQ249),"")</f>
        <v>0.0110000000000006</v>
      </c>
      <c r="AR250" s="43" t="n">
        <f aca="false">IF(ISNUMBER(AR251),AR251-N(AR246)-N(AR247)-N(AR248)-N(AR249),"")</f>
        <v>16.636</v>
      </c>
      <c r="AS250" s="43" t="n">
        <f aca="false">IF(ISNUMBER(AS251),AS251-N(AS246)-N(AS247)-N(AS248)-N(AS249),"")</f>
        <v>0</v>
      </c>
      <c r="AT250" s="43" t="n">
        <f aca="false">IF(ISNUMBER(AT251),AT251-N(AT246)-N(AT247)-N(AT248)-N(AT249),"")</f>
        <v>5.525</v>
      </c>
      <c r="AU250" s="43" t="n">
        <f aca="false">IF(ISNUMBER(AU251),AU251-N(AU246)-N(AU247)-N(AU248)-N(AU249),"")</f>
        <v>0</v>
      </c>
      <c r="AV250" s="43" t="n">
        <f aca="false">IF(ISNUMBER(AV251),AV251-N(AV246)-N(AV247)-N(AV248)-N(AV249),"")</f>
        <v>0</v>
      </c>
      <c r="AW250" s="43" t="n">
        <f aca="false">IF(ISNUMBER(AW251),AW251-N(AW246)-N(AW247)-N(AW248)-N(AW249),"")</f>
        <v>5.52500000000001</v>
      </c>
      <c r="AX250" s="43" t="n">
        <f aca="false">IF(ISNUMBER(AX251),AX251-N(AX246)-N(AX247)-N(AX248)-N(AX249),"")</f>
        <v>0</v>
      </c>
      <c r="AY250" s="43" t="n">
        <f aca="false">IF(ISNUMBER(AY251),AY251-N(AY246)-N(AY247)-N(AY248)-N(AY249),"")</f>
        <v>0</v>
      </c>
      <c r="AZ250" s="43" t="n">
        <f aca="false">IF(ISNUMBER(AZ251),AZ251-N(AZ246)-N(AZ247)-N(AZ248)-N(AZ249),"")</f>
        <v>0</v>
      </c>
      <c r="BA250" s="43" t="n">
        <f aca="false">IF(ISNUMBER(BA251),BA251-N(BA246)-N(BA247)-N(BA248)-N(BA249),"")</f>
        <v>-1.22211268882566E-015</v>
      </c>
      <c r="BB250" s="43" t="n">
        <f aca="false">IF(ISNUMBER(BB251),BB251-N(BB246)-N(BB247)-N(BB248)-N(BB249),"")</f>
        <v>0</v>
      </c>
      <c r="BC250" s="43" t="n">
        <f aca="false">IF(ISNUMBER(BC251),BC251-N(BC246)-N(BC247)-N(BC248)-N(BC249),"")</f>
        <v>2.25</v>
      </c>
      <c r="BD250" s="43" t="n">
        <f aca="false">IF(ISNUMBER(BD251),BD251-N(BD246)-N(BD247)-N(BD248)-N(BD249),"")</f>
        <v>60.958</v>
      </c>
      <c r="BE250" s="43" t="n">
        <f aca="false">IF(ISNUMBER(BE251),BE251-N(BE246)-N(BE247)-N(BE248)-N(BE249),"")</f>
        <v>0</v>
      </c>
      <c r="BF250" s="43" t="n">
        <f aca="false">IF(ISNUMBER(BF251),BF251-N(BF246)-N(BF247)-N(BF248)-N(BF249),"")</f>
        <v>0.370999999999995</v>
      </c>
      <c r="BG250" s="43" t="n">
        <f aca="false">IF(ISNUMBER(BG251),BG251-N(BG246)-N(BG247)-N(BG248)-N(BG249),"")</f>
        <v>63.579</v>
      </c>
      <c r="BH250" s="43" t="n">
        <f aca="false">IF(ISNUMBER(BH251),BH251-N(BH246)-N(BH247)-N(BH248)-N(BH249),"")</f>
        <v>0</v>
      </c>
      <c r="BI250" s="43" t="n">
        <f aca="false">IF(ISNUMBER(BI251),BI251-N(BI246)-N(BI247)-N(BI248)-N(BI249),"")</f>
        <v>0</v>
      </c>
      <c r="BJ250" s="43" t="n">
        <f aca="false">IF(ISNUMBER(BJ251),BJ251-N(BJ246)-N(BJ247)-N(BJ248)-N(BJ249),"")</f>
        <v>1.324</v>
      </c>
      <c r="BK250" s="43" t="n">
        <f aca="false">IF(ISNUMBER(BK251),BK251-N(BK246)-N(BK247)-N(BK248)-N(BK249),"")</f>
        <v>0</v>
      </c>
      <c r="BL250" s="43" t="n">
        <f aca="false">IF(ISNUMBER(BL251),BL251-N(BL246)-N(BL247)-N(BL248)-N(BL249),"")</f>
        <v>1.324</v>
      </c>
      <c r="BM250" s="43" t="n">
        <f aca="false">IF(ISNUMBER(BM251),BM251-N(BM246)-N(BM247)-N(BM248)-N(BM249),"")</f>
        <v>0</v>
      </c>
      <c r="BN250" s="43" t="n">
        <f aca="false">IF(ISNUMBER(BN251),BN251-N(BN246)-N(BN247)-N(BN248)-N(BN249),"")</f>
        <v>0</v>
      </c>
      <c r="BO250" s="43" t="n">
        <f aca="false">IF(ISNUMBER(BO251),BO251-N(BO246)-N(BO247)-N(BO248)-N(BO249),"")</f>
        <v>0</v>
      </c>
      <c r="BP250" s="43" t="n">
        <f aca="false">IF(ISNUMBER(BP251),BP251-N(BP246)-N(BP247)-N(BP248)-N(BP249),"")</f>
        <v>0</v>
      </c>
      <c r="BQ250" s="43" t="n">
        <f aca="false">IF(ISNUMBER(BQ251),BQ251-N(BQ246)-N(BQ247)-N(BQ248)-N(BQ249),"")</f>
        <v>0</v>
      </c>
      <c r="BR250" s="43" t="n">
        <f aca="false">IF(ISNUMBER(BR251),BR251-N(BR246)-N(BR247)-N(BR248)-N(BR249),"")</f>
        <v>0</v>
      </c>
      <c r="BS250" s="43" t="n">
        <f aca="false">IF(ISNUMBER(BS251),BS251-N(BS246)-N(BS247)-N(BS248)-N(BS249),"")</f>
        <v>0</v>
      </c>
      <c r="BT250" s="43" t="n">
        <f aca="false">IF(ISNUMBER(BT251),BT251-N(BT246)-N(BT247)-N(BT248)-N(BT249),"")</f>
        <v>0</v>
      </c>
      <c r="BU250" s="43" t="n">
        <f aca="false">IF(ISNUMBER(BU251),BU251-N(BU246)-N(BU247)-N(BU248)-N(BU249),"")</f>
        <v>-11.864</v>
      </c>
      <c r="BV250" s="43" t="n">
        <f aca="false">IF(ISNUMBER(BV251),BV251-N(BV246)-N(BV247)-N(BV248)-N(BV249),"")</f>
        <v>0</v>
      </c>
      <c r="BW250" s="43" t="n">
        <f aca="false">IF(ISNUMBER(BW251),BW251-N(BW246)-N(BW247)-N(BW248)-N(BW249),"")</f>
        <v>0</v>
      </c>
      <c r="BX250" s="43" t="n">
        <f aca="false">IF(ISNUMBER(BX251),BX251-N(BX246)-N(BX247)-N(BX248)-N(BX249),"")</f>
        <v>0</v>
      </c>
      <c r="BY250" s="6"/>
      <c r="BZ250" s="6"/>
      <c r="CA250" s="48" t="n">
        <v>0</v>
      </c>
      <c r="CB250" s="48" t="n">
        <v>0</v>
      </c>
      <c r="CC250" s="48" t="n">
        <v>0</v>
      </c>
      <c r="CD250" s="48" t="n">
        <v>0</v>
      </c>
      <c r="CE250" s="48" t="n">
        <v>0</v>
      </c>
    </row>
    <row r="251" customFormat="false" ht="15" hidden="false" customHeight="false" outlineLevel="0" collapsed="false">
      <c r="B251" s="18" t="s">
        <v>363</v>
      </c>
      <c r="C251" s="31" t="n">
        <v>-81.237</v>
      </c>
      <c r="D251" s="31" t="n">
        <v>-55.722</v>
      </c>
      <c r="E251" s="31" t="n">
        <v>31.48</v>
      </c>
      <c r="F251" s="31" t="n">
        <v>-123.888</v>
      </c>
      <c r="G251" s="31" t="n">
        <v>8.598</v>
      </c>
      <c r="H251" s="31" t="n">
        <v>-38.313</v>
      </c>
      <c r="I251" s="31" t="n">
        <v>-359.066</v>
      </c>
      <c r="J251" s="31" t="n">
        <v>-10.134</v>
      </c>
      <c r="K251" s="31" t="n">
        <v>6.79</v>
      </c>
      <c r="L251" s="31" t="n">
        <v>-11.545</v>
      </c>
      <c r="M251" s="31" t="n">
        <v>-13.97</v>
      </c>
      <c r="N251" s="31" t="n">
        <v>-28.859</v>
      </c>
      <c r="O251" s="31" t="n">
        <v>-12.327</v>
      </c>
      <c r="P251" s="31" t="n">
        <v>-6.229</v>
      </c>
      <c r="Q251" s="31" t="n">
        <v>-6.152</v>
      </c>
      <c r="R251" s="31" t="n">
        <v>-364.188</v>
      </c>
      <c r="S251" s="31" t="n">
        <v>-388.896</v>
      </c>
      <c r="T251" s="31" t="n">
        <v>-15.959</v>
      </c>
      <c r="U251" s="31" t="n">
        <v>-13.04</v>
      </c>
      <c r="V251" s="31" t="n">
        <v>-10.997</v>
      </c>
      <c r="W251" s="31" t="n">
        <v>-14.45</v>
      </c>
      <c r="X251" s="31" t="n">
        <v>-54.446</v>
      </c>
      <c r="Y251" s="31" t="n">
        <v>-18.595</v>
      </c>
      <c r="Z251" s="31" t="n">
        <v>-25.786</v>
      </c>
      <c r="AA251" s="31" t="n">
        <v>-247.668</v>
      </c>
      <c r="AB251" s="31" t="n">
        <v>-20.939</v>
      </c>
      <c r="AC251" s="31" t="n">
        <v>-312.988</v>
      </c>
      <c r="AD251" s="31" t="n">
        <v>-18.444</v>
      </c>
      <c r="AE251" s="31" t="n">
        <v>-17.401</v>
      </c>
      <c r="AF251" s="31" t="n">
        <v>-58.815</v>
      </c>
      <c r="AG251" s="31" t="n">
        <v>-12.874</v>
      </c>
      <c r="AH251" s="31" t="n">
        <v>-107.534</v>
      </c>
      <c r="AI251" s="31" t="n">
        <v>-16.189</v>
      </c>
      <c r="AJ251" s="31" t="n">
        <v>-16.755</v>
      </c>
      <c r="AK251" s="31" t="n">
        <v>-19.563</v>
      </c>
      <c r="AL251" s="31" t="n">
        <v>-20.301</v>
      </c>
      <c r="AM251" s="31" t="n">
        <v>-72.808</v>
      </c>
      <c r="AN251" s="31" t="n">
        <v>-58</v>
      </c>
      <c r="AO251" s="31" t="n">
        <v>-31.935</v>
      </c>
      <c r="AP251" s="31" t="n">
        <v>-3.571</v>
      </c>
      <c r="AQ251" s="31" t="n">
        <v>-19.523</v>
      </c>
      <c r="AR251" s="31" t="n">
        <v>-113.029</v>
      </c>
      <c r="AS251" s="31" t="n">
        <v>-238.32</v>
      </c>
      <c r="AT251" s="31" t="n">
        <v>-4.424</v>
      </c>
      <c r="AU251" s="31" t="n">
        <v>-15.222</v>
      </c>
      <c r="AV251" s="31" t="n">
        <v>-13.748</v>
      </c>
      <c r="AW251" s="31" t="n">
        <v>-271.714</v>
      </c>
      <c r="AX251" s="31" t="n">
        <v>-13.506</v>
      </c>
      <c r="AY251" s="31" t="n">
        <v>-31.08</v>
      </c>
      <c r="AZ251" s="31" t="n">
        <v>-22.728</v>
      </c>
      <c r="BA251" s="31" t="n">
        <v>-18.358</v>
      </c>
      <c r="BB251" s="31" t="n">
        <v>-85.672</v>
      </c>
      <c r="BC251" s="31" t="n">
        <v>-23.979</v>
      </c>
      <c r="BD251" s="31" t="n">
        <v>17.784</v>
      </c>
      <c r="BE251" s="31" t="n">
        <v>-31.251</v>
      </c>
      <c r="BF251" s="31" t="n">
        <v>-27.472</v>
      </c>
      <c r="BG251" s="31" t="n">
        <v>-64.918</v>
      </c>
      <c r="BH251" s="31" t="n">
        <v>-26.95</v>
      </c>
      <c r="BI251" s="31" t="n">
        <v>-24.351</v>
      </c>
      <c r="BJ251" s="31" t="n">
        <v>-15.35</v>
      </c>
      <c r="BK251" s="31" t="n">
        <v>-16.136</v>
      </c>
      <c r="BL251" s="31" t="n">
        <v>-82.787</v>
      </c>
      <c r="BM251" s="31" t="n">
        <v>-22.474</v>
      </c>
      <c r="BN251" s="31" t="n">
        <v>-19.337</v>
      </c>
      <c r="BO251" s="31" t="n">
        <v>-17.288</v>
      </c>
      <c r="BP251" s="31" t="n">
        <v>-15.189</v>
      </c>
      <c r="BQ251" s="31" t="n">
        <v>-74.288</v>
      </c>
      <c r="BR251" s="31" t="n">
        <v>11.655</v>
      </c>
      <c r="BS251" s="31" t="n">
        <v>-20.159</v>
      </c>
      <c r="BT251" s="31" t="n">
        <v>-18.62</v>
      </c>
      <c r="BU251" s="31" t="n">
        <v>-27.546</v>
      </c>
      <c r="BV251" s="31" t="n">
        <v>-54.67</v>
      </c>
      <c r="BW251" s="31" t="n">
        <v>-3.338</v>
      </c>
      <c r="BX251" s="31" t="n">
        <v>-97.034</v>
      </c>
      <c r="BY251" s="45"/>
      <c r="BZ251" s="45"/>
      <c r="CA251" s="32" t="n">
        <f aca="false">SUM(CA246:CA250)</f>
        <v>-137.12</v>
      </c>
      <c r="CB251" s="32" t="n">
        <f aca="false">SUM(CB246:CB250)</f>
        <v>-75.7651331247685</v>
      </c>
      <c r="CC251" s="32" t="n">
        <f aca="false">SUM(CC246:CC250)</f>
        <v>-180.477615194947</v>
      </c>
      <c r="CD251" s="32" t="n">
        <f aca="false">SUM(CD246:CD250)</f>
        <v>-235.194585359966</v>
      </c>
      <c r="CE251" s="32" t="n">
        <f aca="false">SUM(CE246:CE250)</f>
        <v>-240.297589598233</v>
      </c>
    </row>
    <row r="252" customFormat="false" ht="15" hidden="false" customHeight="false" outlineLevel="0" collapsed="false">
      <c r="B252" s="28" t="s">
        <v>364</v>
      </c>
      <c r="AK252" s="37" t="n">
        <v>10.578</v>
      </c>
      <c r="AL252" s="37" t="n">
        <v>4.861</v>
      </c>
      <c r="AM252" s="37" t="n">
        <v>51.285</v>
      </c>
      <c r="AN252" s="37" t="n">
        <v>19.615</v>
      </c>
      <c r="AO252" s="37" t="n">
        <v>8.337</v>
      </c>
      <c r="AP252" s="37" t="n">
        <v>12.49</v>
      </c>
      <c r="AQ252" s="37" t="n">
        <v>22.65</v>
      </c>
      <c r="AR252" s="37" t="n">
        <v>63.092</v>
      </c>
      <c r="AS252" s="37" t="n">
        <v>11.269</v>
      </c>
      <c r="AT252" s="37" t="n">
        <v>9.026</v>
      </c>
      <c r="AU252" s="37" t="n">
        <v>80.247</v>
      </c>
      <c r="AV252" s="37" t="n">
        <v>7.115</v>
      </c>
      <c r="AW252" s="37" t="n">
        <v>107.657</v>
      </c>
      <c r="AX252" s="37" t="n">
        <v>17.709</v>
      </c>
      <c r="AY252" s="37" t="n">
        <v>18.965</v>
      </c>
      <c r="AZ252" s="37" t="n">
        <v>6.509</v>
      </c>
      <c r="BA252" s="37" t="n">
        <v>27.486</v>
      </c>
      <c r="BB252" s="37" t="n">
        <v>70.669</v>
      </c>
      <c r="BC252" s="37" t="n">
        <v>25.366</v>
      </c>
      <c r="BD252" s="37" t="n">
        <v>28.208</v>
      </c>
      <c r="BE252" s="37" t="n">
        <v>39.841</v>
      </c>
      <c r="BF252" s="37" t="n">
        <v>6.644</v>
      </c>
      <c r="BG252" s="37" t="n">
        <v>100.059</v>
      </c>
      <c r="BH252" s="37" t="n">
        <v>19.673</v>
      </c>
      <c r="BI252" s="37" t="n">
        <v>17.011</v>
      </c>
      <c r="BJ252" s="37" t="n">
        <v>9.377</v>
      </c>
      <c r="BK252" s="37" t="n">
        <v>10.853</v>
      </c>
      <c r="BL252" s="37" t="n">
        <v>56.914</v>
      </c>
      <c r="BM252" s="37" t="n">
        <v>5.405</v>
      </c>
      <c r="BN252" s="37" t="n">
        <v>13.621</v>
      </c>
      <c r="BO252" s="37" t="n">
        <v>60.888</v>
      </c>
      <c r="BP252" s="37" t="n">
        <v>34.976</v>
      </c>
      <c r="BQ252" s="37" t="n">
        <v>114.89</v>
      </c>
      <c r="BR252" s="37" t="n">
        <v>16.808</v>
      </c>
      <c r="BS252" s="37" t="n">
        <v>10.218</v>
      </c>
      <c r="BT252" s="37" t="n">
        <v>85.05</v>
      </c>
      <c r="BU252" s="37" t="n">
        <v>47.121</v>
      </c>
      <c r="BV252" s="37" t="n">
        <v>159.197</v>
      </c>
      <c r="BW252" s="37" t="n">
        <v>40.362</v>
      </c>
      <c r="BX252" s="37" t="n">
        <v>15.072</v>
      </c>
      <c r="BY252" s="6"/>
      <c r="BZ252" s="6"/>
      <c r="CA252" s="49" t="n">
        <f aca="false">BW252+BX252</f>
        <v>55.434</v>
      </c>
      <c r="CB252" s="49" t="n">
        <f aca="false">CB333</f>
        <v>60</v>
      </c>
      <c r="CC252" s="49" t="n">
        <f aca="false">CC333</f>
        <v>60</v>
      </c>
      <c r="CD252" s="49" t="n">
        <f aca="false">CD333</f>
        <v>60</v>
      </c>
      <c r="CE252" s="49" t="n">
        <f aca="false">CE333</f>
        <v>60</v>
      </c>
    </row>
    <row r="253" customFormat="false" ht="15" hidden="false" customHeight="false" outlineLevel="0" collapsed="false">
      <c r="B253" s="28" t="s">
        <v>365</v>
      </c>
      <c r="C253" s="37" t="n">
        <v>-67.085</v>
      </c>
      <c r="D253" s="37" t="n">
        <v>-153.582</v>
      </c>
      <c r="E253" s="37" t="n">
        <v>-177.519</v>
      </c>
      <c r="F253" s="37" t="n">
        <v>-249.165</v>
      </c>
      <c r="G253" s="37" t="n">
        <v>-133.324</v>
      </c>
      <c r="H253" s="37" t="n">
        <v>-231.338</v>
      </c>
      <c r="I253" s="37" t="n">
        <v>-236.981</v>
      </c>
      <c r="J253" s="37" t="n">
        <v>-84.51</v>
      </c>
      <c r="K253" s="37" t="n">
        <v>-49.533</v>
      </c>
      <c r="L253" s="37" t="n">
        <v>-566.588</v>
      </c>
      <c r="M253" s="37" t="n">
        <v>-91.652</v>
      </c>
      <c r="N253" s="37" t="n">
        <v>-792.283</v>
      </c>
      <c r="O253" s="37" t="n">
        <v>-8.264</v>
      </c>
      <c r="P253" s="37" t="n">
        <v>-44.476</v>
      </c>
      <c r="Q253" s="37" t="n">
        <v>-74.366</v>
      </c>
      <c r="R253" s="37" t="n">
        <v>-37.597</v>
      </c>
      <c r="S253" s="37" t="n">
        <v>-164.703</v>
      </c>
      <c r="T253" s="37" t="n">
        <v>-40.34</v>
      </c>
      <c r="U253" s="37" t="n">
        <v>-49.915</v>
      </c>
      <c r="V253" s="37" t="n">
        <v>-68.804</v>
      </c>
      <c r="W253" s="37" t="n">
        <v>-66.615</v>
      </c>
      <c r="X253" s="37" t="n">
        <v>-225.674</v>
      </c>
      <c r="Y253" s="37" t="n">
        <v>-46.529</v>
      </c>
      <c r="Z253" s="37" t="n">
        <v>-19.72</v>
      </c>
      <c r="AA253" s="37" t="n">
        <v>-63.053</v>
      </c>
      <c r="AB253" s="37" t="n">
        <v>-61.03</v>
      </c>
      <c r="AC253" s="37" t="n">
        <v>-190.332</v>
      </c>
      <c r="AD253" s="37" t="n">
        <v>-32.131</v>
      </c>
      <c r="AE253" s="37" t="n">
        <v>-38.175</v>
      </c>
      <c r="AF253" s="37" t="n">
        <v>-57.161</v>
      </c>
      <c r="AG253" s="37" t="n">
        <v>-37.945</v>
      </c>
      <c r="AH253" s="37" t="n">
        <v>-165.412</v>
      </c>
      <c r="AI253" s="37" t="n">
        <v>-41.294</v>
      </c>
      <c r="AJ253" s="37" t="n">
        <v>-97.096</v>
      </c>
      <c r="AK253" s="37" t="n">
        <v>-84.307</v>
      </c>
      <c r="AL253" s="37" t="n">
        <v>-99.558</v>
      </c>
      <c r="AM253" s="37" t="n">
        <v>-322.255</v>
      </c>
      <c r="AN253" s="37" t="n">
        <v>-79.666</v>
      </c>
      <c r="AO253" s="37" t="n">
        <v>-106.636</v>
      </c>
      <c r="AP253" s="37" t="n">
        <v>-69.353</v>
      </c>
      <c r="AQ253" s="37" t="n">
        <v>-68.904</v>
      </c>
      <c r="AR253" s="37" t="n">
        <v>-324.559</v>
      </c>
      <c r="AS253" s="37" t="n">
        <v>-82.358</v>
      </c>
      <c r="AT253" s="37" t="n">
        <v>-1.171</v>
      </c>
      <c r="AU253" s="37" t="n">
        <v>-1.569</v>
      </c>
      <c r="AV253" s="37" t="n">
        <v>-110.27</v>
      </c>
      <c r="AW253" s="37" t="n">
        <v>-195.368</v>
      </c>
      <c r="AX253" s="37" t="n">
        <v>-150.916</v>
      </c>
      <c r="AY253" s="37" t="n">
        <v>-135.071</v>
      </c>
      <c r="AZ253" s="37" t="n">
        <v>-168.06</v>
      </c>
      <c r="BA253" s="37" t="n">
        <v>-154.429</v>
      </c>
      <c r="BB253" s="37" t="n">
        <v>-608.476</v>
      </c>
      <c r="BC253" s="37" t="n">
        <v>-177.741</v>
      </c>
      <c r="BD253" s="37" t="n">
        <v>-336.742</v>
      </c>
      <c r="BE253" s="37" t="n">
        <v>-535.692</v>
      </c>
      <c r="BF253" s="37" t="n">
        <v>-438.113</v>
      </c>
      <c r="BG253" s="37" t="n">
        <v>-1488.288</v>
      </c>
      <c r="BH253" s="37" t="n">
        <v>-51.23</v>
      </c>
      <c r="BI253" s="37" t="n">
        <v>-33.377</v>
      </c>
      <c r="BJ253" s="37" t="n">
        <v>-3.031</v>
      </c>
      <c r="BK253" s="37" t="n">
        <v>-1.54</v>
      </c>
      <c r="BL253" s="37" t="n">
        <v>-89.178</v>
      </c>
      <c r="BM253" s="37" t="n">
        <v>-16.13</v>
      </c>
      <c r="BN253" s="37" t="n">
        <v>-3.678</v>
      </c>
      <c r="BO253" s="37" t="n">
        <v>-4.094</v>
      </c>
      <c r="BP253" s="37" t="n">
        <v>-8.315</v>
      </c>
      <c r="BQ253" s="37" t="n">
        <v>-32.217</v>
      </c>
      <c r="BR253" s="37" t="n">
        <v>-97.529</v>
      </c>
      <c r="BS253" s="37" t="n">
        <v>-85.827</v>
      </c>
      <c r="BT253" s="37" t="n">
        <v>-114.883</v>
      </c>
      <c r="BU253" s="37" t="n">
        <v>-133.33</v>
      </c>
      <c r="BV253" s="37" t="n">
        <v>-431.569</v>
      </c>
      <c r="BW253" s="37" t="n">
        <v>-280.739</v>
      </c>
      <c r="BX253" s="37" t="n">
        <v>-226.01</v>
      </c>
      <c r="BY253" s="6"/>
      <c r="BZ253" s="6"/>
      <c r="CA253" s="49" t="n">
        <f aca="false">BW253+BX253-CA357</f>
        <v>-756.749</v>
      </c>
      <c r="CB253" s="49" t="n">
        <f aca="false">-CB357-CB334</f>
        <v>-922.036243432077</v>
      </c>
      <c r="CC253" s="49" t="n">
        <f aca="false">-CC357-CC334</f>
        <v>-780.536621270391</v>
      </c>
      <c r="CD253" s="49" t="n">
        <f aca="false">-CD357-CD334</f>
        <v>-797.339087420252</v>
      </c>
      <c r="CE253" s="49" t="n">
        <f aca="false">-CE357-CE334</f>
        <v>-821.923335393804</v>
      </c>
    </row>
    <row r="254" customFormat="false" ht="15" hidden="false" customHeight="false" outlineLevel="0" collapsed="false">
      <c r="B254" s="28" t="s">
        <v>366</v>
      </c>
      <c r="C254" s="37" t="n">
        <v>-90.838</v>
      </c>
      <c r="D254" s="37" t="n">
        <v>-125.183</v>
      </c>
      <c r="E254" s="37" t="n">
        <v>-151.195</v>
      </c>
      <c r="F254" s="37" t="n">
        <v>-162.865</v>
      </c>
      <c r="G254" s="37" t="n">
        <v>-168.902</v>
      </c>
      <c r="H254" s="37" t="n">
        <v>-194.697</v>
      </c>
      <c r="I254" s="37" t="n">
        <v>-275.353</v>
      </c>
      <c r="J254" s="37" t="n">
        <v>-56.473</v>
      </c>
      <c r="K254" s="37" t="n">
        <v>-56.558</v>
      </c>
      <c r="L254" s="37" t="n">
        <v>-54.099</v>
      </c>
      <c r="M254" s="37" t="n">
        <v>-53.127</v>
      </c>
      <c r="N254" s="37" t="n">
        <v>-220.257</v>
      </c>
      <c r="O254" s="37" t="n">
        <v>-52.42</v>
      </c>
      <c r="P254" s="37" t="n">
        <v>-52.489</v>
      </c>
      <c r="Q254" s="37" t="n">
        <v>-52.681</v>
      </c>
      <c r="R254" s="37" t="n">
        <v>-57.418</v>
      </c>
      <c r="S254" s="37" t="n">
        <v>-215.008</v>
      </c>
      <c r="T254" s="37" t="n">
        <v>-57.335</v>
      </c>
      <c r="U254" s="37" t="n">
        <v>-57.182</v>
      </c>
      <c r="V254" s="37" t="n">
        <v>-56.931</v>
      </c>
      <c r="W254" s="37" t="n">
        <v>-64.167</v>
      </c>
      <c r="X254" s="37" t="n">
        <v>-235.615</v>
      </c>
      <c r="Y254" s="37" t="n">
        <v>-63.888</v>
      </c>
      <c r="Z254" s="37" t="n">
        <v>-63.632</v>
      </c>
      <c r="AA254" s="37" t="n">
        <v>-63.609</v>
      </c>
      <c r="AB254" s="37" t="n">
        <v>-54.301</v>
      </c>
      <c r="AC254" s="37" t="n">
        <v>-245.43</v>
      </c>
      <c r="AD254" s="37" t="n">
        <v>-64.597</v>
      </c>
      <c r="AE254" s="37" t="n">
        <v>-64.209</v>
      </c>
      <c r="AF254" s="37" t="n">
        <v>-63.959</v>
      </c>
      <c r="AG254" s="37" t="n">
        <v>-65.457</v>
      </c>
      <c r="AH254" s="37" t="n">
        <v>-258.222</v>
      </c>
      <c r="AI254" s="37" t="n">
        <v>-65.382</v>
      </c>
      <c r="AJ254" s="37" t="n">
        <v>-65.177</v>
      </c>
      <c r="AK254" s="37" t="n">
        <v>-64.599</v>
      </c>
      <c r="AL254" s="37" t="n">
        <v>-70.061</v>
      </c>
      <c r="AM254" s="37" t="n">
        <v>-265.219</v>
      </c>
      <c r="AN254" s="37" t="n">
        <v>-69.742</v>
      </c>
      <c r="AO254" s="37" t="n">
        <v>-69.268</v>
      </c>
      <c r="AP254" s="37" t="n">
        <v>-68.855</v>
      </c>
      <c r="AQ254" s="37" t="n">
        <v>-69.921</v>
      </c>
      <c r="AR254" s="37" t="n">
        <v>-277.786</v>
      </c>
      <c r="AS254" s="37" t="n">
        <v>-69.871</v>
      </c>
      <c r="AT254" s="37" t="n">
        <v>-67.233</v>
      </c>
      <c r="AU254" s="37" t="n">
        <v>-70.324</v>
      </c>
      <c r="AV254" s="37" t="n">
        <v>-2.528</v>
      </c>
      <c r="AW254" s="37" t="n">
        <v>-209.956</v>
      </c>
      <c r="AX254" s="37" t="n">
        <v>-70.03</v>
      </c>
      <c r="AY254" s="37" t="n">
        <v>-69.726</v>
      </c>
      <c r="AZ254" s="37" t="n">
        <v>-69.17</v>
      </c>
      <c r="BA254" s="37" t="n">
        <v>-68.395</v>
      </c>
      <c r="BB254" s="37" t="n">
        <v>-277.321</v>
      </c>
      <c r="BC254" s="37" t="n">
        <v>-72.855</v>
      </c>
      <c r="BD254" s="37" t="n">
        <v>-72.413</v>
      </c>
      <c r="BE254" s="37" t="n">
        <v>-70.99</v>
      </c>
      <c r="BF254" s="37" t="n">
        <v>-69.059</v>
      </c>
      <c r="BG254" s="37" t="n">
        <v>-285.317</v>
      </c>
      <c r="BH254" s="37" t="n">
        <v>-73.435</v>
      </c>
      <c r="BI254" s="37" t="n">
        <v>-72.76</v>
      </c>
      <c r="BJ254" s="37" t="n">
        <v>-72.747</v>
      </c>
      <c r="BK254" s="37" t="n">
        <v>-72.627</v>
      </c>
      <c r="BL254" s="37" t="n">
        <v>-291.569</v>
      </c>
      <c r="BM254" s="37" t="n">
        <v>-74.58</v>
      </c>
      <c r="BN254" s="37" t="n">
        <v>-72.703</v>
      </c>
      <c r="BO254" s="37" t="n">
        <v>-72.973</v>
      </c>
      <c r="BP254" s="37" t="n">
        <v>-74.516</v>
      </c>
      <c r="BQ254" s="37" t="n">
        <v>-294.772</v>
      </c>
      <c r="BR254" s="37" t="n">
        <v>-77.49</v>
      </c>
      <c r="BS254" s="37" t="n">
        <v>-74.865</v>
      </c>
      <c r="BT254" s="37" t="n">
        <v>-74.698</v>
      </c>
      <c r="BU254" s="37" t="n">
        <v>-74.323</v>
      </c>
      <c r="BV254" s="37" t="n">
        <v>-301.376</v>
      </c>
      <c r="BW254" s="37" t="n">
        <v>-79.03</v>
      </c>
      <c r="BX254" s="37" t="n">
        <v>-75.27</v>
      </c>
      <c r="BY254" s="6"/>
      <c r="BZ254" s="6"/>
      <c r="CA254" s="49" t="n">
        <f aca="false">-CA161*CA155</f>
        <v>-298.715737102976</v>
      </c>
      <c r="CB254" s="49" t="n">
        <f aca="false">-CB161*CB360</f>
        <v>-300.484730864261</v>
      </c>
      <c r="CC254" s="49" t="n">
        <f aca="false">-CC161*CC360</f>
        <v>-297.456743753045</v>
      </c>
      <c r="CD254" s="49" t="n">
        <f aca="false">-CD161*CD360</f>
        <v>-297.173003124554</v>
      </c>
      <c r="CE254" s="49" t="n">
        <f aca="false">-CE161*CE360</f>
        <v>-297.117258733959</v>
      </c>
      <c r="CF254" s="23" t="s">
        <v>367</v>
      </c>
    </row>
    <row r="255" customFormat="false" ht="15" hidden="false" customHeight="false" outlineLevel="0" collapsed="false">
      <c r="B255" s="28" t="s">
        <v>368</v>
      </c>
      <c r="C255" s="43" t="n">
        <f aca="false">IF(ISNUMBER(C256),C256-N(C252)-N(C253)-N(C254),"")</f>
        <v>12.078</v>
      </c>
      <c r="D255" s="43" t="n">
        <f aca="false">IF(ISNUMBER(D256),D256-N(D252)-N(D253)-N(D254),"")</f>
        <v>16.667</v>
      </c>
      <c r="E255" s="43" t="n">
        <f aca="false">IF(ISNUMBER(E256),E256-N(E252)-N(E253)-N(E254),"")</f>
        <v>2.67399999999998</v>
      </c>
      <c r="F255" s="43" t="n">
        <f aca="false">IF(ISNUMBER(F256),F256-N(F252)-N(F253)-N(F254),"")</f>
        <v>9.96599999999998</v>
      </c>
      <c r="G255" s="43" t="n">
        <f aca="false">IF(ISNUMBER(G256),G256-N(G252)-N(G253)-N(G254),"")</f>
        <v>13.092</v>
      </c>
      <c r="H255" s="43" t="n">
        <f aca="false">IF(ISNUMBER(H256),H256-N(H252)-N(H253)-N(H254),"")</f>
        <v>10.937</v>
      </c>
      <c r="I255" s="43" t="n">
        <f aca="false">IF(ISNUMBER(I256),I256-N(I252)-N(I253)-N(I254),"")</f>
        <v>247.996</v>
      </c>
      <c r="J255" s="43" t="n">
        <f aca="false">IF(ISNUMBER(J256),J256-N(J252)-N(J253)-N(J254),"")</f>
        <v>159.61</v>
      </c>
      <c r="K255" s="43" t="n">
        <f aca="false">IF(ISNUMBER(K256),K256-N(K252)-N(K253)-N(K254),"")</f>
        <v>-23.776</v>
      </c>
      <c r="L255" s="43" t="n">
        <f aca="false">IF(ISNUMBER(L256),L256-N(L252)-N(L253)-N(L254),"")</f>
        <v>485.773</v>
      </c>
      <c r="M255" s="43" t="n">
        <f aca="false">IF(ISNUMBER(M256),M256-N(M252)-N(M253)-N(M254),"")</f>
        <v>26.029</v>
      </c>
      <c r="N255" s="43" t="n">
        <f aca="false">IF(ISNUMBER(N256),N256-N(N252)-N(N253)-N(N254),"")</f>
        <v>647.636</v>
      </c>
      <c r="O255" s="43" t="n">
        <f aca="false">IF(ISNUMBER(O256),O256-N(O252)-N(O253)-N(O254),"")</f>
        <v>39.253</v>
      </c>
      <c r="P255" s="43" t="n">
        <f aca="false">IF(ISNUMBER(P256),P256-N(P252)-N(P253)-N(P254),"")</f>
        <v>-9.055</v>
      </c>
      <c r="Q255" s="43" t="n">
        <f aca="false">IF(ISNUMBER(Q256),Q256-N(Q252)-N(Q253)-N(Q254),"")</f>
        <v>-53.996</v>
      </c>
      <c r="R255" s="43" t="n">
        <f aca="false">IF(ISNUMBER(R256),R256-N(R252)-N(R253)-N(R254),"")</f>
        <v>259.872</v>
      </c>
      <c r="S255" s="43" t="n">
        <f aca="false">IF(ISNUMBER(S256),S256-N(S252)-N(S253)-N(S254),"")</f>
        <v>236.074</v>
      </c>
      <c r="T255" s="43" t="n">
        <f aca="false">IF(ISNUMBER(T256),T256-N(T252)-N(T253)-N(T254),"")</f>
        <v>29.842</v>
      </c>
      <c r="U255" s="43" t="n">
        <f aca="false">IF(ISNUMBER(U256),U256-N(U252)-N(U253)-N(U254),"")</f>
        <v>1.198</v>
      </c>
      <c r="V255" s="43" t="n">
        <f aca="false">IF(ISNUMBER(V256),V256-N(V252)-N(V253)-N(V254),"")</f>
        <v>-98.742</v>
      </c>
      <c r="W255" s="43" t="n">
        <f aca="false">IF(ISNUMBER(W256),W256-N(W252)-N(W253)-N(W254),"")</f>
        <v>-78.75</v>
      </c>
      <c r="X255" s="43" t="n">
        <f aca="false">IF(ISNUMBER(X256),X256-N(X252)-N(X253)-N(X254),"")</f>
        <v>-146.452</v>
      </c>
      <c r="Y255" s="43" t="n">
        <f aca="false">IF(ISNUMBER(Y256),Y256-N(Y252)-N(Y253)-N(Y254),"")</f>
        <v>33.827</v>
      </c>
      <c r="Z255" s="43" t="n">
        <f aca="false">IF(ISNUMBER(Z256),Z256-N(Z252)-N(Z253)-N(Z254),"")</f>
        <v>-3.72300000000001</v>
      </c>
      <c r="AA255" s="43" t="n">
        <f aca="false">IF(ISNUMBER(AA256),AA256-N(AA252)-N(AA253)-N(AA254),"")</f>
        <v>262.103</v>
      </c>
      <c r="AB255" s="43" t="n">
        <f aca="false">IF(ISNUMBER(AB256),AB256-N(AB252)-N(AB253)-N(AB254),"")</f>
        <v>16.255</v>
      </c>
      <c r="AC255" s="43" t="n">
        <f aca="false">IF(ISNUMBER(AC256),AC256-N(AC252)-N(AC253)-N(AC254),"")</f>
        <v>308.462</v>
      </c>
      <c r="AD255" s="43" t="n">
        <f aca="false">IF(ISNUMBER(AD256),AD256-N(AD252)-N(AD253)-N(AD254),"")</f>
        <v>0</v>
      </c>
      <c r="AE255" s="43" t="n">
        <f aca="false">IF(ISNUMBER(AE256),AE256-N(AE252)-N(AE253)-N(AE254),"")</f>
        <v>102</v>
      </c>
      <c r="AF255" s="43" t="n">
        <f aca="false">IF(ISNUMBER(AF256),AF256-N(AF252)-N(AF253)-N(AF254),"")</f>
        <v>127</v>
      </c>
      <c r="AG255" s="43" t="n">
        <f aca="false">IF(ISNUMBER(AG256),AG256-N(AG252)-N(AG253)-N(AG254),"")</f>
        <v>-4</v>
      </c>
      <c r="AH255" s="43" t="n">
        <f aca="false">IF(ISNUMBER(AH256),AH256-N(AH252)-N(AH253)-N(AH254),"")</f>
        <v>225</v>
      </c>
      <c r="AI255" s="43" t="n">
        <f aca="false">IF(ISNUMBER(AI256),AI256-N(AI252)-N(AI253)-N(AI254),"")</f>
        <v>-64</v>
      </c>
      <c r="AJ255" s="43" t="n">
        <f aca="false">IF(ISNUMBER(AJ256),AJ256-N(AJ252)-N(AJ253)-N(AJ254),"")</f>
        <v>41.858</v>
      </c>
      <c r="AK255" s="43" t="n">
        <f aca="false">IF(ISNUMBER(AK256),AK256-N(AK252)-N(AK253)-N(AK254),"")</f>
        <v>-66</v>
      </c>
      <c r="AL255" s="43" t="n">
        <f aca="false">IF(ISNUMBER(AL256),AL256-N(AL252)-N(AL253)-N(AL254),"")</f>
        <v>5.00000000000001</v>
      </c>
      <c r="AM255" s="43" t="n">
        <f aca="false">IF(ISNUMBER(AM256),AM256-N(AM252)-N(AM253)-N(AM254),"")</f>
        <v>-118.988</v>
      </c>
      <c r="AN255" s="43" t="n">
        <f aca="false">IF(ISNUMBER(AN256),AN256-N(AN252)-N(AN253)-N(AN254),"")</f>
        <v>-5.00000000000001</v>
      </c>
      <c r="AO255" s="43" t="n">
        <f aca="false">IF(ISNUMBER(AO256),AO256-N(AO252)-N(AO253)-N(AO254),"")</f>
        <v>-88</v>
      </c>
      <c r="AP255" s="43" t="n">
        <f aca="false">IF(ISNUMBER(AP256),AP256-N(AP252)-N(AP253)-N(AP254),"")</f>
        <v>-1</v>
      </c>
      <c r="AQ255" s="43" t="n">
        <f aca="false">IF(ISNUMBER(AQ256),AQ256-N(AQ252)-N(AQ253)-N(AQ254),"")</f>
        <v>-18</v>
      </c>
      <c r="AR255" s="43" t="n">
        <f aca="false">IF(ISNUMBER(AR256),AR256-N(AR252)-N(AR253)-N(AR254),"")</f>
        <v>-112</v>
      </c>
      <c r="AS255" s="43" t="n">
        <f aca="false">IF(ISNUMBER(AS256),AS256-N(AS252)-N(AS253)-N(AS254),"")</f>
        <v>178</v>
      </c>
      <c r="AT255" s="43" t="n">
        <f aca="false">IF(ISNUMBER(AT256),AT256-N(AT252)-N(AT253)-N(AT254),"")</f>
        <v>-321</v>
      </c>
      <c r="AU255" s="43" t="n">
        <f aca="false">IF(ISNUMBER(AU256),AU256-N(AU252)-N(AU253)-N(AU254),"")</f>
        <v>60</v>
      </c>
      <c r="AV255" s="43" t="n">
        <f aca="false">IF(ISNUMBER(AV256),AV256-N(AV252)-N(AV253)-N(AV254),"")</f>
        <v>-60</v>
      </c>
      <c r="AW255" s="43" t="n">
        <f aca="false">IF(ISNUMBER(AW256),AW256-N(AW252)-N(AW253)-N(AW254),"")</f>
        <v>-143</v>
      </c>
      <c r="AX255" s="43" t="n">
        <f aca="false">IF(ISNUMBER(AX256),AX256-N(AX252)-N(AX253)-N(AX254),"")</f>
        <v>250</v>
      </c>
      <c r="AY255" s="43" t="n">
        <f aca="false">IF(ISNUMBER(AY256),AY256-N(AY252)-N(AY253)-N(AY254),"")</f>
        <v>20.962</v>
      </c>
      <c r="AZ255" s="43" t="n">
        <f aca="false">IF(ISNUMBER(AZ256),AZ256-N(AZ252)-N(AZ253)-N(AZ254),"")</f>
        <v>358.739</v>
      </c>
      <c r="BA255" s="43" t="n">
        <f aca="false">IF(ISNUMBER(BA256),BA256-N(BA252)-N(BA253)-N(BA254),"")</f>
        <v>193</v>
      </c>
      <c r="BB255" s="43" t="n">
        <f aca="false">IF(ISNUMBER(BB256),BB256-N(BB252)-N(BB253)-N(BB254),"")</f>
        <v>822.701</v>
      </c>
      <c r="BC255" s="43" t="n">
        <f aca="false">IF(ISNUMBER(BC256),BC256-N(BC252)-N(BC253)-N(BC254),"")</f>
        <v>247</v>
      </c>
      <c r="BD255" s="43" t="n">
        <f aca="false">IF(ISNUMBER(BD256),BD256-N(BD252)-N(BD253)-N(BD254),"")</f>
        <v>102</v>
      </c>
      <c r="BE255" s="43" t="n">
        <f aca="false">IF(ISNUMBER(BE256),BE256-N(BE252)-N(BE253)-N(BE254),"")</f>
        <v>-70</v>
      </c>
      <c r="BF255" s="43" t="n">
        <f aca="false">IF(ISNUMBER(BF256),BF256-N(BF252)-N(BF253)-N(BF254),"")</f>
        <v>-225</v>
      </c>
      <c r="BG255" s="43" t="n">
        <f aca="false">IF(ISNUMBER(BG256),BG256-N(BG252)-N(BG253)-N(BG254),"")</f>
        <v>54</v>
      </c>
      <c r="BH255" s="43" t="n">
        <f aca="false">IF(ISNUMBER(BH256),BH256-N(BH252)-N(BH253)-N(BH254),"")</f>
        <v>-101</v>
      </c>
      <c r="BI255" s="43" t="n">
        <f aca="false">IF(ISNUMBER(BI256),BI256-N(BI252)-N(BI253)-N(BI254),"")</f>
        <v>-137</v>
      </c>
      <c r="BJ255" s="43" t="n">
        <f aca="false">IF(ISNUMBER(BJ256),BJ256-N(BJ252)-N(BJ253)-N(BJ254),"")</f>
        <v>-153</v>
      </c>
      <c r="BK255" s="43" t="n">
        <f aca="false">IF(ISNUMBER(BK256),BK256-N(BK252)-N(BK253)-N(BK254),"")</f>
        <v>-2.99999999999999</v>
      </c>
      <c r="BL255" s="43" t="n">
        <f aca="false">IF(ISNUMBER(BL256),BL256-N(BL252)-N(BL253)-N(BL254),"")</f>
        <v>-394</v>
      </c>
      <c r="BM255" s="43" t="n">
        <f aca="false">IF(ISNUMBER(BM256),BM256-N(BM252)-N(BM253)-N(BM254),"")</f>
        <v>120</v>
      </c>
      <c r="BN255" s="43" t="n">
        <f aca="false">IF(ISNUMBER(BN256),BN256-N(BN252)-N(BN253)-N(BN254),"")</f>
        <v>-92</v>
      </c>
      <c r="BO255" s="43" t="n">
        <f aca="false">IF(ISNUMBER(BO256),BO256-N(BO252)-N(BO253)-N(BO254),"")</f>
        <v>-48</v>
      </c>
      <c r="BP255" s="43" t="n">
        <f aca="false">IF(ISNUMBER(BP256),BP256-N(BP252)-N(BP253)-N(BP254),"")</f>
        <v>-184</v>
      </c>
      <c r="BQ255" s="43" t="n">
        <f aca="false">IF(ISNUMBER(BQ256),BQ256-N(BQ252)-N(BQ253)-N(BQ254),"")</f>
        <v>-204</v>
      </c>
      <c r="BR255" s="43" t="n">
        <f aca="false">IF(ISNUMBER(BR256),BR256-N(BR252)-N(BR253)-N(BR254),"")</f>
        <v>12</v>
      </c>
      <c r="BS255" s="43" t="n">
        <f aca="false">IF(ISNUMBER(BS256),BS256-N(BS252)-N(BS253)-N(BS254),"")</f>
        <v>-36</v>
      </c>
      <c r="BT255" s="43" t="n">
        <f aca="false">IF(ISNUMBER(BT256),BT256-N(BT252)-N(BT253)-N(BT254),"")</f>
        <v>-171</v>
      </c>
      <c r="BU255" s="43" t="n">
        <f aca="false">IF(ISNUMBER(BU256),BU256-N(BU252)-N(BU253)-N(BU254),"")</f>
        <v>-94</v>
      </c>
      <c r="BV255" s="43" t="n">
        <f aca="false">IF(ISNUMBER(BV256),BV256-N(BV252)-N(BV253)-N(BV254),"")</f>
        <v>-289</v>
      </c>
      <c r="BW255" s="43" t="n">
        <f aca="false">IF(ISNUMBER(BW256),BW256-N(BW252)-N(BW253)-N(BW254),"")</f>
        <v>253</v>
      </c>
      <c r="BX255" s="43" t="n">
        <f aca="false">IF(ISNUMBER(BX256),BX256-N(BX252)-N(BX253)-N(BX254),"")</f>
        <v>342</v>
      </c>
      <c r="BY255" s="6"/>
      <c r="BZ255" s="6"/>
      <c r="CA255" s="49" t="n">
        <f aca="false">CA347</f>
        <v>352.215505609388</v>
      </c>
      <c r="CB255" s="49" t="n">
        <f aca="false">CB347</f>
        <v>213.381262795581</v>
      </c>
      <c r="CC255" s="49" t="n">
        <f aca="false">CC347</f>
        <v>129.89375518463</v>
      </c>
      <c r="CD255" s="49" t="n">
        <f aca="false">CD347</f>
        <v>123.358007200024</v>
      </c>
      <c r="CE255" s="49" t="n">
        <f aca="false">CE347</f>
        <v>110.858854528396</v>
      </c>
    </row>
    <row r="256" customFormat="false" ht="15" hidden="false" customHeight="false" outlineLevel="0" collapsed="false">
      <c r="B256" s="18" t="s">
        <v>369</v>
      </c>
      <c r="C256" s="31" t="n">
        <v>-145.845</v>
      </c>
      <c r="D256" s="31" t="n">
        <v>-262.098</v>
      </c>
      <c r="E256" s="31" t="n">
        <v>-326.04</v>
      </c>
      <c r="F256" s="31" t="n">
        <v>-402.064</v>
      </c>
      <c r="G256" s="31" t="n">
        <v>-289.134</v>
      </c>
      <c r="H256" s="31" t="n">
        <v>-415.098</v>
      </c>
      <c r="I256" s="31" t="n">
        <v>-264.338</v>
      </c>
      <c r="J256" s="31" t="n">
        <v>18.627</v>
      </c>
      <c r="K256" s="31" t="n">
        <v>-129.867</v>
      </c>
      <c r="L256" s="31" t="n">
        <v>-134.914</v>
      </c>
      <c r="M256" s="31" t="n">
        <v>-118.75</v>
      </c>
      <c r="N256" s="31" t="n">
        <v>-364.904</v>
      </c>
      <c r="O256" s="31" t="n">
        <v>-21.431</v>
      </c>
      <c r="P256" s="31" t="n">
        <v>-106.02</v>
      </c>
      <c r="Q256" s="31" t="n">
        <v>-181.043</v>
      </c>
      <c r="R256" s="31" t="n">
        <v>164.857</v>
      </c>
      <c r="S256" s="31" t="n">
        <v>-143.637</v>
      </c>
      <c r="T256" s="31" t="n">
        <v>-67.833</v>
      </c>
      <c r="U256" s="31" t="n">
        <v>-105.899</v>
      </c>
      <c r="V256" s="31" t="n">
        <v>-224.477</v>
      </c>
      <c r="W256" s="31" t="n">
        <v>-209.532</v>
      </c>
      <c r="X256" s="31" t="n">
        <v>-607.741</v>
      </c>
      <c r="Y256" s="31" t="n">
        <v>-76.59</v>
      </c>
      <c r="Z256" s="31" t="n">
        <v>-87.075</v>
      </c>
      <c r="AA256" s="31" t="n">
        <v>135.441</v>
      </c>
      <c r="AB256" s="31" t="n">
        <v>-99.076</v>
      </c>
      <c r="AC256" s="31" t="n">
        <v>-127.3</v>
      </c>
      <c r="AD256" s="31" t="n">
        <v>-96.728</v>
      </c>
      <c r="AE256" s="31" t="n">
        <v>-0.384</v>
      </c>
      <c r="AF256" s="31" t="n">
        <v>5.88</v>
      </c>
      <c r="AG256" s="31" t="n">
        <v>-107.402</v>
      </c>
      <c r="AH256" s="31" t="n">
        <v>-198.634</v>
      </c>
      <c r="AI256" s="31" t="n">
        <v>-170.676</v>
      </c>
      <c r="AJ256" s="31" t="n">
        <v>-120.415</v>
      </c>
      <c r="AK256" s="31" t="n">
        <v>-204.328</v>
      </c>
      <c r="AL256" s="31" t="n">
        <v>-159.758</v>
      </c>
      <c r="AM256" s="31" t="n">
        <v>-655.177</v>
      </c>
      <c r="AN256" s="31" t="n">
        <v>-134.793</v>
      </c>
      <c r="AO256" s="31" t="n">
        <v>-255.567</v>
      </c>
      <c r="AP256" s="31" t="n">
        <v>-126.718</v>
      </c>
      <c r="AQ256" s="31" t="n">
        <v>-134.175</v>
      </c>
      <c r="AR256" s="31" t="n">
        <v>-651.253</v>
      </c>
      <c r="AS256" s="31" t="n">
        <v>37.04</v>
      </c>
      <c r="AT256" s="31" t="n">
        <v>-380.378</v>
      </c>
      <c r="AU256" s="31" t="n">
        <v>68.354</v>
      </c>
      <c r="AV256" s="31" t="n">
        <v>-165.683</v>
      </c>
      <c r="AW256" s="31" t="n">
        <v>-440.667</v>
      </c>
      <c r="AX256" s="31" t="n">
        <v>46.763</v>
      </c>
      <c r="AY256" s="31" t="n">
        <v>-164.87</v>
      </c>
      <c r="AZ256" s="31" t="n">
        <v>128.018</v>
      </c>
      <c r="BA256" s="31" t="n">
        <v>-2.338</v>
      </c>
      <c r="BB256" s="31" t="n">
        <v>7.573</v>
      </c>
      <c r="BC256" s="31" t="n">
        <v>21.77</v>
      </c>
      <c r="BD256" s="31" t="n">
        <v>-278.947</v>
      </c>
      <c r="BE256" s="31" t="n">
        <v>-636.841</v>
      </c>
      <c r="BF256" s="31" t="n">
        <v>-725.528</v>
      </c>
      <c r="BG256" s="31" t="n">
        <v>-1619.546</v>
      </c>
      <c r="BH256" s="31" t="n">
        <v>-205.992</v>
      </c>
      <c r="BI256" s="31" t="n">
        <v>-226.126</v>
      </c>
      <c r="BJ256" s="31" t="n">
        <v>-219.401</v>
      </c>
      <c r="BK256" s="31" t="n">
        <v>-66.314</v>
      </c>
      <c r="BL256" s="31" t="n">
        <v>-717.833</v>
      </c>
      <c r="BM256" s="31" t="n">
        <v>34.695</v>
      </c>
      <c r="BN256" s="31" t="n">
        <v>-154.76</v>
      </c>
      <c r="BO256" s="31" t="n">
        <v>-64.179</v>
      </c>
      <c r="BP256" s="31" t="n">
        <v>-231.855</v>
      </c>
      <c r="BQ256" s="31" t="n">
        <v>-416.099</v>
      </c>
      <c r="BR256" s="31" t="n">
        <v>-146.211</v>
      </c>
      <c r="BS256" s="31" t="n">
        <v>-186.474</v>
      </c>
      <c r="BT256" s="31" t="n">
        <v>-275.531</v>
      </c>
      <c r="BU256" s="31" t="n">
        <v>-254.532</v>
      </c>
      <c r="BV256" s="31" t="n">
        <v>-862.748</v>
      </c>
      <c r="BW256" s="31" t="n">
        <v>-66.407</v>
      </c>
      <c r="BX256" s="31" t="n">
        <v>55.792</v>
      </c>
      <c r="BY256" s="45"/>
      <c r="BZ256" s="45"/>
      <c r="CA256" s="32" t="n">
        <f aca="false">SUM(CA252:CA255)</f>
        <v>-647.815231493588</v>
      </c>
      <c r="CB256" s="32" t="n">
        <f aca="false">SUM(CB252:CB255)</f>
        <v>-949.139711500757</v>
      </c>
      <c r="CC256" s="32" t="n">
        <f aca="false">SUM(CC252:CC255)</f>
        <v>-888.099609838805</v>
      </c>
      <c r="CD256" s="32" t="n">
        <f aca="false">SUM(CD252:CD255)</f>
        <v>-911.154083344782</v>
      </c>
      <c r="CE256" s="32" t="n">
        <f aca="false">SUM(CE252:CE255)</f>
        <v>-948.181739599367</v>
      </c>
    </row>
    <row r="257" customFormat="false" ht="15" hidden="false" customHeight="false" outlineLevel="0" collapsed="false">
      <c r="B257" s="28" t="s">
        <v>370</v>
      </c>
      <c r="C257" s="37" t="n">
        <v>1.669</v>
      </c>
      <c r="D257" s="37" t="n">
        <v>-0.317</v>
      </c>
      <c r="E257" s="37" t="n">
        <v>2.839</v>
      </c>
      <c r="F257" s="37" t="n">
        <v>-4.054</v>
      </c>
      <c r="G257" s="37" t="n">
        <v>-2.944</v>
      </c>
      <c r="H257" s="37" t="n">
        <v>-1.239</v>
      </c>
      <c r="I257" s="37" t="n">
        <v>-0.588</v>
      </c>
      <c r="J257" s="37" t="n">
        <v>-0.562</v>
      </c>
      <c r="K257" s="37" t="n">
        <v>-3.127</v>
      </c>
      <c r="L257" s="37" t="n">
        <v>1.507</v>
      </c>
      <c r="M257" s="37" t="n">
        <v>0.196</v>
      </c>
      <c r="N257" s="37" t="n">
        <v>-1.986</v>
      </c>
      <c r="O257" s="37" t="n">
        <v>0.084</v>
      </c>
      <c r="P257" s="37" t="n">
        <v>-0.277</v>
      </c>
      <c r="Q257" s="37" t="n">
        <v>-6.258</v>
      </c>
      <c r="R257" s="37" t="n">
        <v>-7.549</v>
      </c>
      <c r="S257" s="37" t="n">
        <v>-14</v>
      </c>
      <c r="T257" s="37" t="n">
        <v>-9.76</v>
      </c>
      <c r="U257" s="37" t="n">
        <v>3.806</v>
      </c>
      <c r="V257" s="37" t="n">
        <v>-6.137</v>
      </c>
      <c r="W257" s="37" t="n">
        <v>-4.769</v>
      </c>
      <c r="X257" s="37" t="n">
        <v>-16.86</v>
      </c>
      <c r="Y257" s="37" t="n">
        <v>2.212</v>
      </c>
      <c r="Z257" s="37" t="n">
        <v>-2.573</v>
      </c>
      <c r="AA257" s="37" t="n">
        <v>0.026</v>
      </c>
      <c r="AB257" s="37" t="n">
        <v>-9.348</v>
      </c>
      <c r="AC257" s="37" t="n">
        <v>-9.683</v>
      </c>
      <c r="AD257" s="37" t="n">
        <v>4.604</v>
      </c>
      <c r="AE257" s="37" t="n">
        <v>3.858</v>
      </c>
      <c r="AF257" s="37" t="n">
        <v>8.722</v>
      </c>
      <c r="AG257" s="37" t="n">
        <v>-5.293</v>
      </c>
      <c r="AH257" s="37" t="n">
        <v>11.891</v>
      </c>
      <c r="AI257" s="37" t="n">
        <v>2.187</v>
      </c>
      <c r="AJ257" s="37" t="n">
        <v>-9.937</v>
      </c>
      <c r="AK257" s="37" t="n">
        <v>-9.296</v>
      </c>
      <c r="AL257" s="37" t="n">
        <v>-3.14</v>
      </c>
      <c r="AM257" s="37" t="n">
        <v>-20.186</v>
      </c>
      <c r="AN257" s="37" t="n">
        <v>2.72</v>
      </c>
      <c r="AO257" s="37" t="n">
        <v>-2.259</v>
      </c>
      <c r="AP257" s="37" t="n">
        <v>-7.926</v>
      </c>
      <c r="AQ257" s="37" t="n">
        <v>5.571</v>
      </c>
      <c r="AR257" s="37" t="n">
        <v>-1.894</v>
      </c>
      <c r="AS257" s="37" t="n">
        <v>-10.505</v>
      </c>
      <c r="AT257" s="37" t="n">
        <v>5.322</v>
      </c>
      <c r="AU257" s="37" t="n">
        <v>5.795</v>
      </c>
      <c r="AV257" s="37" t="n">
        <v>8.516</v>
      </c>
      <c r="AW257" s="37" t="n">
        <v>9.128</v>
      </c>
      <c r="AX257" s="37" t="n">
        <v>-2.75</v>
      </c>
      <c r="AY257" s="37" t="n">
        <v>1.852</v>
      </c>
      <c r="AZ257" s="37" t="n">
        <v>-1.946</v>
      </c>
      <c r="BA257" s="37" t="n">
        <v>-0.395</v>
      </c>
      <c r="BB257" s="37" t="n">
        <v>-3.239</v>
      </c>
      <c r="BC257" s="37" t="n">
        <v>1.533</v>
      </c>
      <c r="BD257" s="37" t="n">
        <v>-7.978</v>
      </c>
      <c r="BE257" s="37" t="n">
        <v>-8.761</v>
      </c>
      <c r="BF257" s="37" t="n">
        <v>9.568</v>
      </c>
      <c r="BG257" s="37" t="n">
        <v>-5.638</v>
      </c>
      <c r="BH257" s="37" t="n">
        <v>0.076</v>
      </c>
      <c r="BI257" s="37" t="n">
        <v>-3.36</v>
      </c>
      <c r="BJ257" s="37" t="n">
        <v>-3.424</v>
      </c>
      <c r="BK257" s="37" t="n">
        <v>3.424</v>
      </c>
      <c r="BL257" s="37" t="n">
        <v>-3.284</v>
      </c>
      <c r="BM257" s="37" t="n">
        <v>-2.584</v>
      </c>
      <c r="BN257" s="37" t="n">
        <v>-0.997</v>
      </c>
      <c r="BO257" s="37" t="n">
        <v>2.928</v>
      </c>
      <c r="BP257" s="37" t="n">
        <v>-7.499</v>
      </c>
      <c r="BQ257" s="37" t="n">
        <v>-8.152</v>
      </c>
      <c r="BR257" s="37" t="n">
        <v>1.429</v>
      </c>
      <c r="BS257" s="37" t="n">
        <v>5.556</v>
      </c>
      <c r="BT257" s="37" t="n">
        <v>-0.451</v>
      </c>
      <c r="BU257" s="37" t="n">
        <v>0.698</v>
      </c>
      <c r="BV257" s="37" t="n">
        <v>7.232</v>
      </c>
      <c r="BW257" s="37" t="n">
        <v>-0.06</v>
      </c>
      <c r="BX257" s="37" t="n">
        <v>0.269</v>
      </c>
      <c r="BY257" s="6"/>
      <c r="BZ257" s="6"/>
      <c r="CA257" s="49" t="n">
        <f aca="false">BW257+BX257</f>
        <v>0.209</v>
      </c>
      <c r="CB257" s="48" t="n">
        <v>0</v>
      </c>
      <c r="CC257" s="48" t="n">
        <v>0</v>
      </c>
      <c r="CD257" s="48" t="n">
        <v>0</v>
      </c>
      <c r="CE257" s="48" t="n">
        <v>0</v>
      </c>
    </row>
    <row r="258" customFormat="false" ht="15" hidden="false" customHeight="false" outlineLevel="0" collapsed="false">
      <c r="B258" s="28" t="s">
        <v>371</v>
      </c>
      <c r="C258" s="43" t="n">
        <f aca="false">IF(ISNUMBER(C261),ROUND(C261-C260-(C245+C251+C256+C257),3),"")</f>
        <v>0</v>
      </c>
      <c r="D258" s="43" t="n">
        <f aca="false">IF(ISNUMBER(D261),ROUND(D261-D260-(D245+D251+D256+D257),3),"")</f>
        <v>0</v>
      </c>
      <c r="E258" s="43" t="n">
        <f aca="false">IF(ISNUMBER(E261),ROUND(E261-E260-(E245+E251+E256+E257),3),"")</f>
        <v>0</v>
      </c>
      <c r="F258" s="43" t="n">
        <f aca="false">IF(ISNUMBER(F261),ROUND(F261-F260-(F245+F251+F256+F257),3),"")</f>
        <v>0</v>
      </c>
      <c r="G258" s="43" t="n">
        <f aca="false">IF(ISNUMBER(G261),ROUND(G261-G260-(G245+G251+G256+G257),3),"")</f>
        <v>0</v>
      </c>
      <c r="H258" s="43" t="n">
        <f aca="false">IF(ISNUMBER(H261),ROUND(H261-H260-(H245+H251+H256+H257),3),"")</f>
        <v>0</v>
      </c>
      <c r="I258" s="43" t="n">
        <f aca="false">IF(ISNUMBER(I261),ROUND(I261-I260-(I245+I251+I256+I257),3),"")</f>
        <v>0</v>
      </c>
      <c r="J258" s="43" t="n">
        <f aca="false">IF(ISNUMBER(J261),ROUND(J261-J260-(J245+J251+J256+J257),3),"")</f>
        <v>0</v>
      </c>
      <c r="K258" s="43" t="n">
        <f aca="false">IF(ISNUMBER(K261),ROUND(K261-K260-(K245+K251+K256+K257),3),"")</f>
        <v>0</v>
      </c>
      <c r="L258" s="43" t="n">
        <f aca="false">IF(ISNUMBER(L261),ROUND(L261-L260-(L245+L251+L256+L257),3),"")</f>
        <v>0</v>
      </c>
      <c r="M258" s="43" t="n">
        <f aca="false">IF(ISNUMBER(M261),ROUND(M261-M260-(M245+M251+M256+M257),3),"")</f>
        <v>0</v>
      </c>
      <c r="N258" s="43" t="n">
        <f aca="false">IF(ISNUMBER(N261),ROUND(N261-N260-(N245+N251+N256+N257),3),"")</f>
        <v>0</v>
      </c>
      <c r="O258" s="43" t="n">
        <f aca="false">IF(ISNUMBER(O261),ROUND(O261-O260-(O245+O251+O256+O257),3),"")</f>
        <v>0</v>
      </c>
      <c r="P258" s="43" t="n">
        <f aca="false">IF(ISNUMBER(P261),ROUND(P261-P260-(P245+P251+P256+P257),3),"")</f>
        <v>0</v>
      </c>
      <c r="Q258" s="43" t="n">
        <f aca="false">IF(ISNUMBER(Q261),ROUND(Q261-Q260-(Q245+Q251+Q256+Q257),3),"")</f>
        <v>0</v>
      </c>
      <c r="R258" s="43" t="n">
        <f aca="false">IF(ISNUMBER(R261),ROUND(R261-R260-(R245+R251+R256+R257),3),"")</f>
        <v>-0</v>
      </c>
      <c r="S258" s="43" t="n">
        <f aca="false">IF(ISNUMBER(S261),ROUND(S261-S260-(S245+S251+S256+S257),3),"")</f>
        <v>0</v>
      </c>
      <c r="T258" s="43" t="n">
        <f aca="false">IF(ISNUMBER(T261),ROUND(T261-T260-(T245+T251+T256+T257),3),"")</f>
        <v>0</v>
      </c>
      <c r="U258" s="43" t="n">
        <f aca="false">IF(ISNUMBER(U261),ROUND(U261-U260-(U245+U251+U256+U257),3),"")</f>
        <v>0</v>
      </c>
      <c r="V258" s="43" t="n">
        <f aca="false">IF(ISNUMBER(V261),ROUND(V261-V260-(V245+V251+V256+V257),3),"")</f>
        <v>0</v>
      </c>
      <c r="W258" s="43" t="n">
        <f aca="false">IF(ISNUMBER(W261),ROUND(W261-W260-(W245+W251+W256+W257),3),"")</f>
        <v>0</v>
      </c>
      <c r="X258" s="43" t="n">
        <f aca="false">IF(ISNUMBER(X261),ROUND(X261-X260-(X245+X251+X256+X257),3),"")</f>
        <v>0</v>
      </c>
      <c r="Y258" s="43" t="n">
        <f aca="false">IF(ISNUMBER(Y261),ROUND(Y261-Y260-(Y245+Y251+Y256+Y257),3),"")</f>
        <v>0</v>
      </c>
      <c r="Z258" s="43" t="n">
        <f aca="false">IF(ISNUMBER(Z261),ROUND(Z261-Z260-(Z245+Z251+Z256+Z257),3),"")</f>
        <v>0</v>
      </c>
      <c r="AA258" s="43" t="n">
        <f aca="false">IF(ISNUMBER(AA261),ROUND(AA261-AA260-(AA245+AA251+AA256+AA257),3),"")</f>
        <v>0</v>
      </c>
      <c r="AB258" s="43" t="n">
        <f aca="false">IF(ISNUMBER(AB261),ROUND(AB261-AB260-(AB245+AB251+AB256+AB257),3),"")</f>
        <v>0</v>
      </c>
      <c r="AC258" s="43" t="n">
        <f aca="false">IF(ISNUMBER(AC261),ROUND(AC261-AC260-(AC245+AC251+AC256+AC257),3),"")</f>
        <v>0</v>
      </c>
      <c r="AD258" s="43" t="n">
        <f aca="false">IF(ISNUMBER(AD261),ROUND(AD261-AD260-(AD245+AD251+AD256+AD257),3),"")</f>
        <v>0</v>
      </c>
      <c r="AE258" s="43" t="n">
        <f aca="false">IF(ISNUMBER(AE261),ROUND(AE261-AE260-(AE245+AE251+AE256+AE257),3),"")</f>
        <v>0</v>
      </c>
      <c r="AF258" s="43" t="n">
        <f aca="false">IF(ISNUMBER(AF261),ROUND(AF261-AF260-(AF245+AF251+AF256+AF257),3),"")</f>
        <v>0</v>
      </c>
      <c r="AG258" s="43" t="n">
        <f aca="false">IF(ISNUMBER(AG261),ROUND(AG261-AG260-(AG245+AG251+AG256+AG257),3),"")</f>
        <v>0</v>
      </c>
      <c r="AH258" s="43" t="n">
        <f aca="false">IF(ISNUMBER(AH261),ROUND(AH261-AH260-(AH245+AH251+AH256+AH257),3),"")</f>
        <v>0</v>
      </c>
      <c r="AI258" s="43" t="n">
        <f aca="false">IF(ISNUMBER(AI261),ROUND(AI261-AI260-(AI245+AI251+AI256+AI257),3),"")</f>
        <v>0</v>
      </c>
      <c r="AJ258" s="43" t="n">
        <f aca="false">IF(ISNUMBER(AJ261),ROUND(AJ261-AJ260-(AJ245+AJ251+AJ256+AJ257),3),"")</f>
        <v>0</v>
      </c>
      <c r="AK258" s="43" t="n">
        <f aca="false">IF(ISNUMBER(AK261),ROUND(AK261-AK260-(AK245+AK251+AK256+AK257),3),"")</f>
        <v>0</v>
      </c>
      <c r="AL258" s="43" t="n">
        <f aca="false">IF(ISNUMBER(AL261),ROUND(AL261-AL260-(AL245+AL251+AL256+AL257),3),"")</f>
        <v>0</v>
      </c>
      <c r="AM258" s="43" t="n">
        <f aca="false">IF(ISNUMBER(AM261),ROUND(AM261-AM260-(AM245+AM251+AM256+AM257),3),"")</f>
        <v>0</v>
      </c>
      <c r="AN258" s="43" t="n">
        <f aca="false">IF(ISNUMBER(AN261),ROUND(AN261-AN260-(AN245+AN251+AN256+AN257),3),"")</f>
        <v>0</v>
      </c>
      <c r="AO258" s="43" t="n">
        <f aca="false">IF(ISNUMBER(AO261),ROUND(AO261-AO260-(AO245+AO251+AO256+AO257),3),"")</f>
        <v>0</v>
      </c>
      <c r="AP258" s="43" t="n">
        <f aca="false">IF(ISNUMBER(AP261),ROUND(AP261-AP260-(AP245+AP251+AP256+AP257),3),"")</f>
        <v>0</v>
      </c>
      <c r="AQ258" s="43" t="n">
        <f aca="false">IF(ISNUMBER(AQ261),ROUND(AQ261-AQ260-(AQ245+AQ251+AQ256+AQ257),3),"")</f>
        <v>0</v>
      </c>
      <c r="AR258" s="43" t="n">
        <f aca="false">IF(ISNUMBER(AR261),ROUND(AR261-AR260-(AR245+AR251+AR256+AR257),3),"")</f>
        <v>0</v>
      </c>
      <c r="AS258" s="43" t="n">
        <f aca="false">IF(ISNUMBER(AS261),ROUND(AS261-AS260-(AS245+AS251+AS256+AS257),3),"")</f>
        <v>0</v>
      </c>
      <c r="AT258" s="43" t="n">
        <f aca="false">IF(ISNUMBER(AT261),ROUND(AT261-AT260-(AT245+AT251+AT256+AT257),3),"")</f>
        <v>0</v>
      </c>
      <c r="AU258" s="43" t="n">
        <f aca="false">IF(ISNUMBER(AU261),ROUND(AU261-AU260-(AU245+AU251+AU256+AU257),3),"")</f>
        <v>0</v>
      </c>
      <c r="AV258" s="43" t="n">
        <f aca="false">IF(ISNUMBER(AV261),ROUND(AV261-AV260-(AV245+AV251+AV256+AV257),3),"")</f>
        <v>0</v>
      </c>
      <c r="AW258" s="43" t="n">
        <f aca="false">IF(ISNUMBER(AW261),ROUND(AW261-AW260-(AW245+AW251+AW256+AW257),3),"")</f>
        <v>0</v>
      </c>
      <c r="AX258" s="43" t="n">
        <f aca="false">IF(ISNUMBER(AX261),ROUND(AX261-AX260-(AX245+AX251+AX256+AX257),3),"")</f>
        <v>0</v>
      </c>
      <c r="AY258" s="43" t="n">
        <f aca="false">IF(ISNUMBER(AY261),ROUND(AY261-AY260-(AY245+AY251+AY256+AY257),3),"")</f>
        <v>0</v>
      </c>
      <c r="AZ258" s="43" t="n">
        <f aca="false">IF(ISNUMBER(AZ261),ROUND(AZ261-AZ260-(AZ245+AZ251+AZ256+AZ257),3),"")</f>
        <v>0</v>
      </c>
      <c r="BA258" s="43" t="n">
        <f aca="false">IF(ISNUMBER(BA261),ROUND(BA261-BA260-(BA245+BA251+BA256+BA257),3),"")</f>
        <v>0</v>
      </c>
      <c r="BB258" s="43" t="n">
        <f aca="false">IF(ISNUMBER(BB261),ROUND(BB261-BB260-(BB245+BB251+BB256+BB257),3),"")</f>
        <v>0</v>
      </c>
      <c r="BC258" s="43" t="n">
        <f aca="false">IF(ISNUMBER(BC261),ROUND(BC261-BC260-(BC245+BC251+BC256+BC257),3),"")</f>
        <v>0</v>
      </c>
      <c r="BD258" s="43" t="n">
        <f aca="false">IF(ISNUMBER(BD261),ROUND(BD261-BD260-(BD245+BD251+BD256+BD257),3),"")</f>
        <v>0</v>
      </c>
      <c r="BE258" s="43" t="n">
        <f aca="false">IF(ISNUMBER(BE261),ROUND(BE261-BE260-(BE245+BE251+BE256+BE257),3),"")</f>
        <v>0</v>
      </c>
      <c r="BF258" s="43" t="n">
        <f aca="false">IF(ISNUMBER(BF261),ROUND(BF261-BF260-(BF245+BF251+BF256+BF257),3),"")</f>
        <v>0</v>
      </c>
      <c r="BG258" s="43" t="n">
        <f aca="false">IF(ISNUMBER(BG261),ROUND(BG261-BG260-(BG245+BG251+BG256+BG257),3),"")</f>
        <v>0</v>
      </c>
      <c r="BH258" s="43" t="n">
        <f aca="false">IF(ISNUMBER(BH261),ROUND(BH261-BH260-(BH245+BH251+BH256+BH257),3),"")</f>
        <v>0</v>
      </c>
      <c r="BI258" s="43" t="n">
        <f aca="false">IF(ISNUMBER(BI261),ROUND(BI261-BI260-(BI245+BI251+BI256+BI257),3),"")</f>
        <v>0</v>
      </c>
      <c r="BJ258" s="43" t="n">
        <f aca="false">IF(ISNUMBER(BJ261),ROUND(BJ261-BJ260-(BJ245+BJ251+BJ256+BJ257),3),"")</f>
        <v>-2.486</v>
      </c>
      <c r="BK258" s="43" t="n">
        <f aca="false">IF(ISNUMBER(BK261),ROUND(BK261-BK260-(BK245+BK251+BK256+BK257),3),"")</f>
        <v>2.486</v>
      </c>
      <c r="BL258" s="43" t="n">
        <f aca="false">IF(ISNUMBER(BL261),ROUND(BL261-BL260-(BL245+BL251+BL256+BL257),3),"")</f>
        <v>0</v>
      </c>
      <c r="BM258" s="43" t="n">
        <f aca="false">IF(ISNUMBER(BM261),ROUND(BM261-BM260-(BM245+BM251+BM256+BM257),3),"")</f>
        <v>0</v>
      </c>
      <c r="BN258" s="43" t="n">
        <f aca="false">IF(ISNUMBER(BN261),ROUND(BN261-BN260-(BN245+BN251+BN256+BN257),3),"")</f>
        <v>0</v>
      </c>
      <c r="BO258" s="43" t="n">
        <f aca="false">IF(ISNUMBER(BO261),ROUND(BO261-BO260-(BO245+BO251+BO256+BO257),3),"")</f>
        <v>-10.978</v>
      </c>
      <c r="BP258" s="43" t="n">
        <f aca="false">IF(ISNUMBER(BP261),ROUND(BP261-BP260-(BP245+BP251+BP256+BP257),3),"")</f>
        <v>0.671</v>
      </c>
      <c r="BQ258" s="43" t="n">
        <f aca="false">IF(ISNUMBER(BQ261),ROUND(BQ261-BQ260-(BQ245+BQ251+BQ256+BQ257),3),"")</f>
        <v>-10.307</v>
      </c>
      <c r="BR258" s="43" t="n">
        <f aca="false">IF(ISNUMBER(BR261),ROUND(BR261-BR260-(BR245+BR251+BR256+BR257),3),"")</f>
        <v>10.776</v>
      </c>
      <c r="BS258" s="43" t="n">
        <f aca="false">IF(ISNUMBER(BS261),ROUND(BS261-BS260-(BS245+BS251+BS256+BS257),3),"")</f>
        <v>0</v>
      </c>
      <c r="BT258" s="43" t="n">
        <f aca="false">IF(ISNUMBER(BT261),ROUND(BT261-BT260-(BT245+BT251+BT256+BT257),3),"")</f>
        <v>0</v>
      </c>
      <c r="BU258" s="43" t="n">
        <f aca="false">IF(ISNUMBER(BU261),ROUND(BU261-BU260-(BU245+BU251+BU256+BU257),3),"")</f>
        <v>0</v>
      </c>
      <c r="BV258" s="43" t="n">
        <f aca="false">IF(ISNUMBER(BV261),ROUND(BV261-BV260-(BV245+BV251+BV256+BV257),3),"")</f>
        <v>10.776</v>
      </c>
      <c r="BW258" s="43" t="n">
        <f aca="false">IF(ISNUMBER(BW261),ROUND(BW261-BW260-(BW245+BW251+BW256+BW257),3),"")</f>
        <v>-0</v>
      </c>
      <c r="BX258" s="43" t="n">
        <f aca="false">IF(ISNUMBER(BX261),ROUND(BX261-BX260-(BX245+BX251+BX256+BX257),3),"")</f>
        <v>0</v>
      </c>
      <c r="BY258" s="6"/>
      <c r="BZ258" s="6"/>
      <c r="CA258" s="48" t="n">
        <v>0</v>
      </c>
      <c r="CB258" s="48" t="n">
        <v>0</v>
      </c>
      <c r="CC258" s="48" t="n">
        <v>0</v>
      </c>
      <c r="CD258" s="48" t="n">
        <v>0</v>
      </c>
      <c r="CE258" s="48" t="n">
        <v>0</v>
      </c>
    </row>
    <row r="259" customFormat="false" ht="15" hidden="false" customHeight="false" outlineLevel="0" collapsed="false">
      <c r="B259" s="28" t="s">
        <v>372</v>
      </c>
      <c r="C259" s="43" t="n">
        <f aca="false">IF(ISNUMBER(C245),C245+C251+C256+C257+N(C258),"")</f>
        <v>117.964</v>
      </c>
      <c r="D259" s="43" t="n">
        <f aca="false">IF(ISNUMBER(D245),D245+D251+D256+D257+N(D258),"")</f>
        <v>-9.70700000000002</v>
      </c>
      <c r="E259" s="43" t="n">
        <f aca="false">IF(ISNUMBER(E245),E245+E251+E256+E257+N(E258),"")</f>
        <v>155.858</v>
      </c>
      <c r="F259" s="43" t="n">
        <f aca="false">IF(ISNUMBER(F245),F245+F251+F256+F257+N(F258),"")</f>
        <v>-157.435</v>
      </c>
      <c r="G259" s="43" t="n">
        <f aca="false">IF(ISNUMBER(G245),G245+G251+G256+G257+N(G258),"")</f>
        <v>61.299</v>
      </c>
      <c r="H259" s="43" t="n">
        <f aca="false">IF(ISNUMBER(H245),H245+H251+H256+H257+N(H258),"")</f>
        <v>-24.938</v>
      </c>
      <c r="I259" s="43" t="n">
        <f aca="false">IF(ISNUMBER(I245),I245+I251+I256+I257+N(I258),"")</f>
        <v>-163.65</v>
      </c>
      <c r="J259" s="43" t="n">
        <f aca="false">IF(ISNUMBER(J245),J245+J251+J256+J257+N(J258),"")</f>
        <v>-50.119</v>
      </c>
      <c r="K259" s="43" t="n">
        <f aca="false">IF(ISNUMBER(K245),K245+K251+K256+K257+N(K258),"")</f>
        <v>-9.88299999999999</v>
      </c>
      <c r="L259" s="43" t="n">
        <f aca="false">IF(ISNUMBER(L245),L245+L251+L256+L257+N(L258),"")</f>
        <v>-20.294</v>
      </c>
      <c r="M259" s="43" t="n">
        <f aca="false">IF(ISNUMBER(M245),M245+M251+M256+M257+N(M258),"")</f>
        <v>32.324</v>
      </c>
      <c r="N259" s="43" t="n">
        <f aca="false">IF(ISNUMBER(N245),N245+N251+N256+N257+N(N258),"")</f>
        <v>-47.972</v>
      </c>
      <c r="O259" s="43" t="n">
        <f aca="false">IF(ISNUMBER(O245),O245+O251+O256+O257+N(O258),"")</f>
        <v>-19.234</v>
      </c>
      <c r="P259" s="43" t="n">
        <f aca="false">IF(ISNUMBER(P245),P245+P251+P256+P257+N(P258),"")</f>
        <v>1.402</v>
      </c>
      <c r="Q259" s="43" t="n">
        <f aca="false">IF(ISNUMBER(Q245),Q245+Q251+Q256+Q257+N(Q258),"")</f>
        <v>-16.499</v>
      </c>
      <c r="R259" s="43" t="n">
        <f aca="false">IF(ISNUMBER(R245),R245+R251+R256+R257+N(R258),"")</f>
        <v>1.22400000000002</v>
      </c>
      <c r="S259" s="43" t="n">
        <f aca="false">IF(ISNUMBER(S245),S245+S251+S256+S257+N(S258),"")</f>
        <v>-33.107</v>
      </c>
      <c r="T259" s="43" t="n">
        <f aca="false">IF(ISNUMBER(T245),T245+T251+T256+T257+N(T258),"")</f>
        <v>6.843</v>
      </c>
      <c r="U259" s="43" t="n">
        <f aca="false">IF(ISNUMBER(U245),U245+U251+U256+U257+N(U258),"")</f>
        <v>35.668</v>
      </c>
      <c r="V259" s="43" t="n">
        <f aca="false">IF(ISNUMBER(V245),V245+V251+V256+V257+N(V258),"")</f>
        <v>-28.364</v>
      </c>
      <c r="W259" s="43" t="n">
        <f aca="false">IF(ISNUMBER(W245),W245+W251+W256+W257+N(W258),"")</f>
        <v>25.142</v>
      </c>
      <c r="X259" s="43" t="n">
        <f aca="false">IF(ISNUMBER(X245),X245+X251+X256+X257+N(X258),"")</f>
        <v>39.289</v>
      </c>
      <c r="Y259" s="43" t="n">
        <f aca="false">IF(ISNUMBER(Y245),Y245+Y251+Y256+Y257+N(Y258),"")</f>
        <v>11.177</v>
      </c>
      <c r="Z259" s="43" t="n">
        <f aca="false">IF(ISNUMBER(Z245),Z245+Z251+Z256+Z257+N(Z258),"")</f>
        <v>27.677</v>
      </c>
      <c r="AA259" s="43" t="n">
        <f aca="false">IF(ISNUMBER(AA245),AA245+AA251+AA256+AA257+N(AA258),"")</f>
        <v>17.366</v>
      </c>
      <c r="AB259" s="43" t="n">
        <f aca="false">IF(ISNUMBER(AB245),AB245+AB251+AB256+AB257+N(AB258),"")</f>
        <v>23.217</v>
      </c>
      <c r="AC259" s="43" t="n">
        <f aca="false">IF(ISNUMBER(AC245),AC245+AC251+AC256+AC257+N(AC258),"")</f>
        <v>79.437</v>
      </c>
      <c r="AD259" s="43" t="n">
        <f aca="false">IF(ISNUMBER(AD245),AD245+AD251+AD256+AD257+N(AD258),"")</f>
        <v>-17.872</v>
      </c>
      <c r="AE259" s="43" t="n">
        <f aca="false">IF(ISNUMBER(AE245),AE245+AE251+AE256+AE257+N(AE258),"")</f>
        <v>43.388</v>
      </c>
      <c r="AF259" s="43" t="n">
        <f aca="false">IF(ISNUMBER(AF245),AF245+AF251+AF256+AF257+N(AF258),"")</f>
        <v>24.125</v>
      </c>
      <c r="AG259" s="43" t="n">
        <f aca="false">IF(ISNUMBER(AG245),AG245+AG251+AG256+AG257+N(AG258),"")</f>
        <v>36.583</v>
      </c>
      <c r="AH259" s="43" t="n">
        <f aca="false">IF(ISNUMBER(AH245),AH245+AH251+AH256+AH257+N(AH258),"")</f>
        <v>86.224</v>
      </c>
      <c r="AI259" s="43" t="n">
        <f aca="false">IF(ISNUMBER(AI245),AI245+AI251+AI256+AI257+N(AI258),"")</f>
        <v>15.892</v>
      </c>
      <c r="AJ259" s="43" t="n">
        <f aca="false">IF(ISNUMBER(AJ245),AJ245+AJ251+AJ256+AJ257+N(AJ258),"")</f>
        <v>-39.207</v>
      </c>
      <c r="AK259" s="43" t="n">
        <f aca="false">IF(ISNUMBER(AK245),AK245+AK251+AK256+AK257+N(AK258),"")</f>
        <v>-12.774</v>
      </c>
      <c r="AL259" s="43" t="n">
        <f aca="false">IF(ISNUMBER(AL245),AL245+AL251+AL256+AL257+N(AL258),"")</f>
        <v>80.814</v>
      </c>
      <c r="AM259" s="43" t="n">
        <f aca="false">IF(ISNUMBER(AM245),AM245+AM251+AM256+AM257+N(AM258),"")</f>
        <v>44.7249999999999</v>
      </c>
      <c r="AN259" s="43" t="n">
        <f aca="false">IF(ISNUMBER(AN245),AN245+AN251+AN256+AN257+N(AN258),"")</f>
        <v>66.858</v>
      </c>
      <c r="AO259" s="43" t="n">
        <f aca="false">IF(ISNUMBER(AO245),AO245+AO251+AO256+AO257+N(AO258),"")</f>
        <v>-90.166</v>
      </c>
      <c r="AP259" s="43" t="n">
        <f aca="false">IF(ISNUMBER(AP245),AP245+AP251+AP256+AP257+N(AP258),"")</f>
        <v>29.117</v>
      </c>
      <c r="AQ259" s="43" t="n">
        <f aca="false">IF(ISNUMBER(AQ245),AQ245+AQ251+AQ256+AQ257+N(AQ258),"")</f>
        <v>63.434</v>
      </c>
      <c r="AR259" s="43" t="n">
        <f aca="false">IF(ISNUMBER(AR245),AR245+AR251+AR256+AR257+N(AR258),"")</f>
        <v>69.2429999999999</v>
      </c>
      <c r="AS259" s="43" t="n">
        <f aca="false">IF(ISNUMBER(AS245),AS245+AS251+AS256+AS257+N(AS258),"")</f>
        <v>-153.286</v>
      </c>
      <c r="AT259" s="43" t="n">
        <f aca="false">IF(ISNUMBER(AT245),AT245+AT251+AT256+AT257+N(AT258),"")</f>
        <v>67.664</v>
      </c>
      <c r="AU259" s="43" t="n">
        <f aca="false">IF(ISNUMBER(AU245),AU245+AU251+AU256+AU257+N(AU258),"")</f>
        <v>-109.667</v>
      </c>
      <c r="AV259" s="43" t="n">
        <f aca="false">IF(ISNUMBER(AV245),AV245+AV251+AV256+AV257+N(AV258),"")</f>
        <v>-8.77299999999999</v>
      </c>
      <c r="AW259" s="43" t="n">
        <f aca="false">IF(ISNUMBER(AW245),AW245+AW251+AW256+AW257+N(AW258),"")</f>
        <v>-204.062</v>
      </c>
      <c r="AX259" s="43" t="n">
        <f aca="false">IF(ISNUMBER(AX245),AX245+AX251+AX256+AX257+N(AX258),"")</f>
        <v>-26.185</v>
      </c>
      <c r="AY259" s="43" t="n">
        <f aca="false">IF(ISNUMBER(AY245),AY245+AY251+AY256+AY257+N(AY258),"")</f>
        <v>-44.808</v>
      </c>
      <c r="AZ259" s="43" t="n">
        <f aca="false">IF(ISNUMBER(AZ245),AZ245+AZ251+AZ256+AZ257+N(AZ258),"")</f>
        <v>29.846</v>
      </c>
      <c r="BA259" s="43" t="n">
        <f aca="false">IF(ISNUMBER(BA245),BA245+BA251+BA256+BA257+N(BA258),"")</f>
        <v>54.764</v>
      </c>
      <c r="BB259" s="43" t="n">
        <f aca="false">IF(ISNUMBER(BB245),BB245+BB251+BB256+BB257+N(BB258),"")</f>
        <v>13.617</v>
      </c>
      <c r="BC259" s="43" t="n">
        <f aca="false">IF(ISNUMBER(BC245),BC245+BC251+BC256+BC257+N(BC258),"")</f>
        <v>-14.604</v>
      </c>
      <c r="BD259" s="43" t="n">
        <f aca="false">IF(ISNUMBER(BD245),BD245+BD251+BD256+BD257+N(BD258),"")</f>
        <v>-3.88400000000001</v>
      </c>
      <c r="BE259" s="43" t="n">
        <f aca="false">IF(ISNUMBER(BE245),BE245+BE251+BE256+BE257+N(BE258),"")</f>
        <v>-51.3929999999999</v>
      </c>
      <c r="BF259" s="43" t="n">
        <f aca="false">IF(ISNUMBER(BF245),BF245+BF251+BF256+BF257+N(BF258),"")</f>
        <v>29.9499999999999</v>
      </c>
      <c r="BG259" s="43" t="n">
        <f aca="false">IF(ISNUMBER(BG245),BG245+BG251+BG256+BG257+N(BG258),"")</f>
        <v>-39.9309999999999</v>
      </c>
      <c r="BH259" s="43" t="n">
        <f aca="false">IF(ISNUMBER(BH245),BH245+BH251+BH256+BH257+N(BH258),"")</f>
        <v>21.678</v>
      </c>
      <c r="BI259" s="43" t="n">
        <f aca="false">IF(ISNUMBER(BI245),BI245+BI251+BI256+BI257+N(BI258),"")</f>
        <v>-29.005</v>
      </c>
      <c r="BJ259" s="43" t="n">
        <f aca="false">IF(ISNUMBER(BJ245),BJ245+BJ251+BJ256+BJ257+N(BJ258),"")</f>
        <v>-35.422</v>
      </c>
      <c r="BK259" s="43" t="n">
        <f aca="false">IF(ISNUMBER(BK245),BK245+BK251+BK256+BK257+N(BK258),"")</f>
        <v>-29.209</v>
      </c>
      <c r="BL259" s="43" t="n">
        <f aca="false">IF(ISNUMBER(BL245),BL245+BL251+BL256+BL257+N(BL258),"")</f>
        <v>-71.958</v>
      </c>
      <c r="BM259" s="43" t="n">
        <f aca="false">IF(ISNUMBER(BM245),BM245+BM251+BM256+BM257+N(BM258),"")</f>
        <v>-23.686</v>
      </c>
      <c r="BN259" s="43" t="n">
        <f aca="false">IF(ISNUMBER(BN245),BN245+BN251+BN256+BN257+N(BN258),"")</f>
        <v>-8.67199999999998</v>
      </c>
      <c r="BO259" s="43" t="n">
        <f aca="false">IF(ISNUMBER(BO245),BO245+BO251+BO256+BO257+N(BO258),"")</f>
        <v>18.538</v>
      </c>
      <c r="BP259" s="43" t="n">
        <f aca="false">IF(ISNUMBER(BP245),BP245+BP251+BP256+BP257+N(BP258),"")</f>
        <v>14.058</v>
      </c>
      <c r="BQ259" s="43" t="n">
        <f aca="false">IF(ISNUMBER(BQ245),BQ245+BQ251+BQ256+BQ257+N(BQ258),"")</f>
        <v>0.238000000000003</v>
      </c>
      <c r="BR259" s="43" t="n">
        <f aca="false">IF(ISNUMBER(BR245),BR245+BR251+BR256+BR257+N(BR258),"")</f>
        <v>-15.82</v>
      </c>
      <c r="BS259" s="43" t="n">
        <f aca="false">IF(ISNUMBER(BS245),BS245+BS251+BS256+BS257+N(BS258),"")</f>
        <v>26.051</v>
      </c>
      <c r="BT259" s="43" t="n">
        <f aca="false">IF(ISNUMBER(BT245),BT245+BT251+BT256+BT257+N(BT258),"")</f>
        <v>-19.156</v>
      </c>
      <c r="BU259" s="43" t="n">
        <f aca="false">IF(ISNUMBER(BU245),BU245+BU251+BU256+BU257+N(BU258),"")</f>
        <v>24.034</v>
      </c>
      <c r="BV259" s="43" t="n">
        <f aca="false">IF(ISNUMBER(BV245),BV245+BV251+BV256+BV257+N(BV258),"")</f>
        <v>15.109</v>
      </c>
      <c r="BW259" s="43" t="n">
        <f aca="false">IF(ISNUMBER(BW245),BW245+BW251+BW256+BW257+N(BW258),"")</f>
        <v>-1.20599999999999</v>
      </c>
      <c r="BX259" s="43" t="n">
        <f aca="false">IF(ISNUMBER(BX245),BX245+BX251+BX256+BX257+N(BX258),"")</f>
        <v>-5.075</v>
      </c>
      <c r="BY259" s="6"/>
      <c r="BZ259" s="6"/>
      <c r="CA259" s="49" t="n">
        <f aca="false">CA245+CA251+CA256+CA257+CA258</f>
        <v>-10.8709999999999</v>
      </c>
      <c r="CB259" s="49" t="n">
        <f aca="false">CB245+CB251+CB256+CB257+CB258</f>
        <v>0</v>
      </c>
      <c r="CC259" s="49" t="n">
        <f aca="false">CC245+CC251+CC256+CC257+CC258</f>
        <v>0</v>
      </c>
      <c r="CD259" s="49" t="n">
        <f aca="false">CD245+CD251+CD256+CD257+CD258</f>
        <v>0</v>
      </c>
      <c r="CE259" s="49" t="n">
        <f aca="false">CE245+CE251+CE256+CE257+CE258</f>
        <v>0</v>
      </c>
    </row>
    <row r="260" customFormat="false" ht="15" hidden="false" customHeight="false" outlineLevel="0" collapsed="false">
      <c r="B260" s="28" t="s">
        <v>373</v>
      </c>
      <c r="C260" s="37" t="n">
        <v>230.628</v>
      </c>
      <c r="D260" s="37" t="n">
        <v>348.592</v>
      </c>
      <c r="E260" s="37" t="n">
        <v>338.885</v>
      </c>
      <c r="F260" s="37" t="n">
        <v>494.743</v>
      </c>
      <c r="G260" s="37" t="n">
        <v>337.308</v>
      </c>
      <c r="H260" s="37" t="n">
        <v>398.607</v>
      </c>
      <c r="I260" s="37" t="n">
        <v>373.669</v>
      </c>
      <c r="J260" s="37" t="n">
        <v>210.019</v>
      </c>
      <c r="K260" s="37" t="n">
        <v>159.9</v>
      </c>
      <c r="L260" s="37" t="n">
        <v>150.017</v>
      </c>
      <c r="M260" s="37" t="n">
        <v>129.723</v>
      </c>
      <c r="N260" s="37" t="n">
        <v>210.019</v>
      </c>
      <c r="O260" s="37" t="n">
        <v>162.047</v>
      </c>
      <c r="P260" s="37" t="n">
        <v>142.813</v>
      </c>
      <c r="Q260" s="37" t="n">
        <v>144.215</v>
      </c>
      <c r="R260" s="37" t="n">
        <v>127.716</v>
      </c>
      <c r="S260" s="37" t="n">
        <v>162.047</v>
      </c>
      <c r="T260" s="37" t="n">
        <v>128.94</v>
      </c>
      <c r="U260" s="37" t="n">
        <v>135.783</v>
      </c>
      <c r="V260" s="37" t="n">
        <v>171.451</v>
      </c>
      <c r="W260" s="37" t="n">
        <v>143.087</v>
      </c>
      <c r="X260" s="37" t="n">
        <v>128.94</v>
      </c>
      <c r="Y260" s="37" t="n">
        <v>168.229</v>
      </c>
      <c r="Z260" s="37" t="n">
        <v>179.406</v>
      </c>
      <c r="AA260" s="37" t="n">
        <v>207.083</v>
      </c>
      <c r="AB260" s="37" t="n">
        <v>224.449</v>
      </c>
      <c r="AC260" s="37" t="n">
        <v>168.229</v>
      </c>
      <c r="AD260" s="37" t="n">
        <v>247.666</v>
      </c>
      <c r="AE260" s="37" t="n">
        <v>229.794</v>
      </c>
      <c r="AF260" s="37" t="n">
        <v>273.182</v>
      </c>
      <c r="AG260" s="37" t="n">
        <v>297.307</v>
      </c>
      <c r="AH260" s="37" t="n">
        <v>247.666</v>
      </c>
      <c r="AI260" s="37" t="n">
        <v>333.89</v>
      </c>
      <c r="AJ260" s="37" t="n">
        <v>349.782</v>
      </c>
      <c r="AK260" s="37" t="n">
        <v>310.575</v>
      </c>
      <c r="AL260" s="37" t="n">
        <v>297.801</v>
      </c>
      <c r="AM260" s="37" t="n">
        <v>333.89</v>
      </c>
      <c r="AN260" s="37" t="n">
        <v>378.615</v>
      </c>
      <c r="AO260" s="37" t="n">
        <v>445.473</v>
      </c>
      <c r="AP260" s="37" t="n">
        <v>355.307</v>
      </c>
      <c r="AQ260" s="37" t="n">
        <v>384.424</v>
      </c>
      <c r="AR260" s="37" t="n">
        <v>378.615</v>
      </c>
      <c r="AS260" s="37" t="n">
        <v>447.858</v>
      </c>
      <c r="AT260" s="37" t="n">
        <v>294.572</v>
      </c>
      <c r="AU260" s="37" t="n">
        <v>362.236</v>
      </c>
      <c r="AV260" s="37" t="n">
        <v>252.569</v>
      </c>
      <c r="AW260" s="37" t="n">
        <v>447.858</v>
      </c>
      <c r="AX260" s="37" t="n">
        <v>243.796</v>
      </c>
      <c r="AY260" s="37" t="n">
        <v>217.611</v>
      </c>
      <c r="AZ260" s="37" t="n">
        <v>172.803</v>
      </c>
      <c r="BA260" s="37" t="n">
        <v>202.649</v>
      </c>
      <c r="BB260" s="37" t="n">
        <v>243.796</v>
      </c>
      <c r="BC260" s="37" t="n">
        <v>257.413</v>
      </c>
      <c r="BD260" s="37" t="n">
        <v>242.809</v>
      </c>
      <c r="BE260" s="37" t="n">
        <v>238.925</v>
      </c>
      <c r="BF260" s="37" t="n">
        <v>187.532</v>
      </c>
      <c r="BG260" s="37" t="n">
        <v>257.413</v>
      </c>
      <c r="BH260" s="37" t="n">
        <v>217.482</v>
      </c>
      <c r="BI260" s="37" t="n">
        <v>239.16</v>
      </c>
      <c r="BJ260" s="37" t="n">
        <v>210.155</v>
      </c>
      <c r="BK260" s="37" t="n">
        <v>174.733</v>
      </c>
      <c r="BL260" s="37" t="n">
        <v>217.482</v>
      </c>
      <c r="BM260" s="37" t="n">
        <v>145.524</v>
      </c>
      <c r="BN260" s="37" t="n">
        <v>121.838</v>
      </c>
      <c r="BO260" s="37" t="n">
        <v>113.166</v>
      </c>
      <c r="BP260" s="37" t="n">
        <v>131.704</v>
      </c>
      <c r="BQ260" s="37" t="n">
        <v>145.524</v>
      </c>
      <c r="BR260" s="37" t="n">
        <v>145.762</v>
      </c>
      <c r="BS260" s="37" t="n">
        <v>129.942</v>
      </c>
      <c r="BT260" s="37" t="n">
        <v>155.993</v>
      </c>
      <c r="BU260" s="37" t="n">
        <v>136.837</v>
      </c>
      <c r="BV260" s="37" t="n">
        <v>145.762</v>
      </c>
      <c r="BW260" s="37" t="n">
        <v>160.871</v>
      </c>
      <c r="BX260" s="37" t="n">
        <v>159.665</v>
      </c>
      <c r="BY260" s="6"/>
      <c r="BZ260" s="6"/>
      <c r="CA260" s="49" t="n">
        <f aca="false">BV261</f>
        <v>160.871</v>
      </c>
      <c r="CB260" s="49" t="n">
        <f aca="false">CA261</f>
        <v>150</v>
      </c>
      <c r="CC260" s="49" t="n">
        <f aca="false">CB261</f>
        <v>150</v>
      </c>
      <c r="CD260" s="49" t="n">
        <f aca="false">CC261</f>
        <v>150</v>
      </c>
      <c r="CE260" s="49" t="n">
        <f aca="false">CD261</f>
        <v>150</v>
      </c>
    </row>
    <row r="261" customFormat="false" ht="15" hidden="false" customHeight="false" outlineLevel="0" collapsed="false">
      <c r="B261" s="28" t="s">
        <v>374</v>
      </c>
      <c r="C261" s="37" t="n">
        <v>348.592</v>
      </c>
      <c r="D261" s="37" t="n">
        <v>338.885</v>
      </c>
      <c r="E261" s="37" t="n">
        <v>494.743</v>
      </c>
      <c r="F261" s="37" t="n">
        <v>337.308</v>
      </c>
      <c r="G261" s="37" t="n">
        <v>398.607</v>
      </c>
      <c r="H261" s="37" t="n">
        <v>373.669</v>
      </c>
      <c r="I261" s="37" t="n">
        <v>210.019</v>
      </c>
      <c r="J261" s="37" t="n">
        <v>159.9</v>
      </c>
      <c r="K261" s="37" t="n">
        <v>150.017</v>
      </c>
      <c r="L261" s="37" t="n">
        <v>129.723</v>
      </c>
      <c r="M261" s="37" t="n">
        <v>162.047</v>
      </c>
      <c r="N261" s="37" t="n">
        <v>162.047</v>
      </c>
      <c r="O261" s="37" t="n">
        <v>142.813</v>
      </c>
      <c r="P261" s="37" t="n">
        <v>144.215</v>
      </c>
      <c r="Q261" s="37" t="n">
        <v>127.716</v>
      </c>
      <c r="R261" s="37" t="n">
        <v>128.94</v>
      </c>
      <c r="S261" s="37" t="n">
        <v>128.94</v>
      </c>
      <c r="T261" s="37" t="n">
        <v>135.783</v>
      </c>
      <c r="U261" s="37" t="n">
        <v>171.451</v>
      </c>
      <c r="V261" s="37" t="n">
        <v>143.087</v>
      </c>
      <c r="W261" s="37" t="n">
        <v>168.229</v>
      </c>
      <c r="X261" s="37" t="n">
        <v>168.229</v>
      </c>
      <c r="Y261" s="37" t="n">
        <v>179.406</v>
      </c>
      <c r="Z261" s="37" t="n">
        <v>207.083</v>
      </c>
      <c r="AA261" s="37" t="n">
        <v>224.449</v>
      </c>
      <c r="AB261" s="37" t="n">
        <v>247.666</v>
      </c>
      <c r="AC261" s="37" t="n">
        <v>247.666</v>
      </c>
      <c r="AD261" s="37" t="n">
        <v>229.794</v>
      </c>
      <c r="AE261" s="37" t="n">
        <v>273.182</v>
      </c>
      <c r="AF261" s="37" t="n">
        <v>297.307</v>
      </c>
      <c r="AG261" s="37" t="n">
        <v>333.89</v>
      </c>
      <c r="AH261" s="37" t="n">
        <v>333.89</v>
      </c>
      <c r="AI261" s="37" t="n">
        <v>349.782</v>
      </c>
      <c r="AJ261" s="37" t="n">
        <v>310.575</v>
      </c>
      <c r="AK261" s="37" t="n">
        <v>297.801</v>
      </c>
      <c r="AL261" s="37" t="n">
        <v>378.615</v>
      </c>
      <c r="AM261" s="37" t="n">
        <v>378.615</v>
      </c>
      <c r="AN261" s="37" t="n">
        <v>445.473</v>
      </c>
      <c r="AO261" s="37" t="n">
        <v>355.307</v>
      </c>
      <c r="AP261" s="37" t="n">
        <v>384.424</v>
      </c>
      <c r="AQ261" s="37" t="n">
        <v>447.858</v>
      </c>
      <c r="AR261" s="37" t="n">
        <v>447.858</v>
      </c>
      <c r="AS261" s="37" t="n">
        <v>294.572</v>
      </c>
      <c r="AT261" s="37" t="n">
        <v>362.236</v>
      </c>
      <c r="AU261" s="37" t="n">
        <v>252.569</v>
      </c>
      <c r="AV261" s="37" t="n">
        <v>243.796</v>
      </c>
      <c r="AW261" s="37" t="n">
        <v>243.796</v>
      </c>
      <c r="AX261" s="37" t="n">
        <v>217.611</v>
      </c>
      <c r="AY261" s="37" t="n">
        <v>172.803</v>
      </c>
      <c r="AZ261" s="37" t="n">
        <v>202.649</v>
      </c>
      <c r="BA261" s="37" t="n">
        <v>257.413</v>
      </c>
      <c r="BB261" s="37" t="n">
        <v>257.413</v>
      </c>
      <c r="BC261" s="37" t="n">
        <v>242.809</v>
      </c>
      <c r="BD261" s="37" t="n">
        <v>238.925</v>
      </c>
      <c r="BE261" s="37" t="n">
        <v>187.532</v>
      </c>
      <c r="BF261" s="37" t="n">
        <v>217.482</v>
      </c>
      <c r="BG261" s="37" t="n">
        <v>217.482</v>
      </c>
      <c r="BH261" s="37" t="n">
        <v>239.16</v>
      </c>
      <c r="BI261" s="37" t="n">
        <v>210.155</v>
      </c>
      <c r="BJ261" s="37" t="n">
        <v>174.733</v>
      </c>
      <c r="BK261" s="37" t="n">
        <v>145.524</v>
      </c>
      <c r="BL261" s="37" t="n">
        <v>145.524</v>
      </c>
      <c r="BM261" s="37" t="n">
        <v>121.838</v>
      </c>
      <c r="BN261" s="37" t="n">
        <v>113.166</v>
      </c>
      <c r="BO261" s="37" t="n">
        <v>131.704</v>
      </c>
      <c r="BP261" s="37" t="n">
        <v>145.762</v>
      </c>
      <c r="BQ261" s="37" t="n">
        <v>145.762</v>
      </c>
      <c r="BR261" s="37" t="n">
        <v>129.942</v>
      </c>
      <c r="BS261" s="37" t="n">
        <v>155.993</v>
      </c>
      <c r="BT261" s="37" t="n">
        <v>136.837</v>
      </c>
      <c r="BU261" s="37" t="n">
        <v>160.871</v>
      </c>
      <c r="BV261" s="37" t="n">
        <v>160.871</v>
      </c>
      <c r="BW261" s="37" t="n">
        <v>159.665</v>
      </c>
      <c r="BX261" s="37" t="n">
        <v>154.59</v>
      </c>
      <c r="BY261" s="6"/>
      <c r="BZ261" s="6"/>
      <c r="CA261" s="49" t="n">
        <f aca="false">CA260+CA259</f>
        <v>150</v>
      </c>
      <c r="CB261" s="49" t="n">
        <f aca="false">CB260+CB259</f>
        <v>150</v>
      </c>
      <c r="CC261" s="49" t="n">
        <f aca="false">CC260+CC259</f>
        <v>150</v>
      </c>
      <c r="CD261" s="49" t="n">
        <f aca="false">CD260+CD259</f>
        <v>150</v>
      </c>
      <c r="CE261" s="49" t="n">
        <f aca="false">CE260+CE259</f>
        <v>150</v>
      </c>
    </row>
    <row r="262" customFormat="false" ht="15" hidden="false" customHeight="false" outlineLevel="0" collapsed="false">
      <c r="B262" s="46" t="s">
        <v>375</v>
      </c>
      <c r="C262" s="47" t="n">
        <f aca="false">IF(ISNUMBER(C261),ROUND(C260+C259-C261,1),"")</f>
        <v>0</v>
      </c>
      <c r="D262" s="47" t="n">
        <f aca="false">IF(ISNUMBER(D261),ROUND(D260+D259-D261,1),"")</f>
        <v>0</v>
      </c>
      <c r="E262" s="47" t="n">
        <f aca="false">IF(ISNUMBER(E261),ROUND(E260+E259-E261,1),"")</f>
        <v>0</v>
      </c>
      <c r="F262" s="47" t="n">
        <f aca="false">IF(ISNUMBER(F261),ROUND(F260+F259-F261,1),"")</f>
        <v>0</v>
      </c>
      <c r="G262" s="47" t="n">
        <f aca="false">IF(ISNUMBER(G261),ROUND(G260+G259-G261,1),"")</f>
        <v>0</v>
      </c>
      <c r="H262" s="47" t="n">
        <f aca="false">IF(ISNUMBER(H261),ROUND(H260+H259-H261,1),"")</f>
        <v>0</v>
      </c>
      <c r="I262" s="47" t="n">
        <f aca="false">IF(ISNUMBER(I261),ROUND(I260+I259-I261,1),"")</f>
        <v>0</v>
      </c>
      <c r="J262" s="47" t="n">
        <f aca="false">IF(ISNUMBER(J261),ROUND(J260+J259-J261,1),"")</f>
        <v>0</v>
      </c>
      <c r="K262" s="47" t="n">
        <f aca="false">IF(ISNUMBER(K261),ROUND(K260+K259-K261,1),"")</f>
        <v>0</v>
      </c>
      <c r="L262" s="47" t="n">
        <f aca="false">IF(ISNUMBER(L261),ROUND(L260+L259-L261,1),"")</f>
        <v>0</v>
      </c>
      <c r="M262" s="47" t="n">
        <f aca="false">IF(ISNUMBER(M261),ROUND(M260+M259-M261,1),"")</f>
        <v>0</v>
      </c>
      <c r="N262" s="47" t="n">
        <f aca="false">IF(ISNUMBER(N261),ROUND(N260+N259-N261,1),"")</f>
        <v>0</v>
      </c>
      <c r="O262" s="47" t="n">
        <f aca="false">IF(ISNUMBER(O261),ROUND(O260+O259-O261,1),"")</f>
        <v>0</v>
      </c>
      <c r="P262" s="47" t="n">
        <f aca="false">IF(ISNUMBER(P261),ROUND(P260+P259-P261,1),"")</f>
        <v>0</v>
      </c>
      <c r="Q262" s="47" t="n">
        <f aca="false">IF(ISNUMBER(Q261),ROUND(Q260+Q259-Q261,1),"")</f>
        <v>0</v>
      </c>
      <c r="R262" s="47" t="n">
        <f aca="false">IF(ISNUMBER(R261),ROUND(R260+R259-R261,1),"")</f>
        <v>0</v>
      </c>
      <c r="S262" s="47" t="n">
        <f aca="false">IF(ISNUMBER(S261),ROUND(S260+S259-S261,1),"")</f>
        <v>0</v>
      </c>
      <c r="T262" s="47" t="n">
        <f aca="false">IF(ISNUMBER(T261),ROUND(T260+T259-T261,1),"")</f>
        <v>0</v>
      </c>
      <c r="U262" s="47" t="n">
        <f aca="false">IF(ISNUMBER(U261),ROUND(U260+U259-U261,1),"")</f>
        <v>0</v>
      </c>
      <c r="V262" s="47" t="n">
        <f aca="false">IF(ISNUMBER(V261),ROUND(V260+V259-V261,1),"")</f>
        <v>0</v>
      </c>
      <c r="W262" s="47" t="n">
        <f aca="false">IF(ISNUMBER(W261),ROUND(W260+W259-W261,1),"")</f>
        <v>0</v>
      </c>
      <c r="X262" s="47" t="n">
        <f aca="false">IF(ISNUMBER(X261),ROUND(X260+X259-X261,1),"")</f>
        <v>0</v>
      </c>
      <c r="Y262" s="47" t="n">
        <f aca="false">IF(ISNUMBER(Y261),ROUND(Y260+Y259-Y261,1),"")</f>
        <v>0</v>
      </c>
      <c r="Z262" s="47" t="n">
        <f aca="false">IF(ISNUMBER(Z261),ROUND(Z260+Z259-Z261,1),"")</f>
        <v>0</v>
      </c>
      <c r="AA262" s="47" t="n">
        <f aca="false">IF(ISNUMBER(AA261),ROUND(AA260+AA259-AA261,1),"")</f>
        <v>0</v>
      </c>
      <c r="AB262" s="47" t="n">
        <f aca="false">IF(ISNUMBER(AB261),ROUND(AB260+AB259-AB261,1),"")</f>
        <v>0</v>
      </c>
      <c r="AC262" s="47" t="n">
        <f aca="false">IF(ISNUMBER(AC261),ROUND(AC260+AC259-AC261,1),"")</f>
        <v>0</v>
      </c>
      <c r="AD262" s="47" t="n">
        <f aca="false">IF(ISNUMBER(AD261),ROUND(AD260+AD259-AD261,1),"")</f>
        <v>0</v>
      </c>
      <c r="AE262" s="47" t="n">
        <f aca="false">IF(ISNUMBER(AE261),ROUND(AE260+AE259-AE261,1),"")</f>
        <v>0</v>
      </c>
      <c r="AF262" s="47" t="n">
        <f aca="false">IF(ISNUMBER(AF261),ROUND(AF260+AF259-AF261,1),"")</f>
        <v>0</v>
      </c>
      <c r="AG262" s="47" t="n">
        <f aca="false">IF(ISNUMBER(AG261),ROUND(AG260+AG259-AG261,1),"")</f>
        <v>0</v>
      </c>
      <c r="AH262" s="47" t="n">
        <f aca="false">IF(ISNUMBER(AH261),ROUND(AH260+AH259-AH261,1),"")</f>
        <v>0</v>
      </c>
      <c r="AI262" s="47" t="n">
        <f aca="false">IF(ISNUMBER(AI261),ROUND(AI260+AI259-AI261,1),"")</f>
        <v>0</v>
      </c>
      <c r="AJ262" s="47" t="n">
        <f aca="false">IF(ISNUMBER(AJ261),ROUND(AJ260+AJ259-AJ261,1),"")</f>
        <v>0</v>
      </c>
      <c r="AK262" s="47" t="n">
        <f aca="false">IF(ISNUMBER(AK261),ROUND(AK260+AK259-AK261,1),"")</f>
        <v>0</v>
      </c>
      <c r="AL262" s="47" t="n">
        <f aca="false">IF(ISNUMBER(AL261),ROUND(AL260+AL259-AL261,1),"")</f>
        <v>0</v>
      </c>
      <c r="AM262" s="47" t="n">
        <f aca="false">IF(ISNUMBER(AM261),ROUND(AM260+AM259-AM261,1),"")</f>
        <v>0</v>
      </c>
      <c r="AN262" s="47" t="n">
        <f aca="false">IF(ISNUMBER(AN261),ROUND(AN260+AN259-AN261,1),"")</f>
        <v>0</v>
      </c>
      <c r="AO262" s="47" t="n">
        <f aca="false">IF(ISNUMBER(AO261),ROUND(AO260+AO259-AO261,1),"")</f>
        <v>0</v>
      </c>
      <c r="AP262" s="47" t="n">
        <f aca="false">IF(ISNUMBER(AP261),ROUND(AP260+AP259-AP261,1),"")</f>
        <v>0</v>
      </c>
      <c r="AQ262" s="47" t="n">
        <f aca="false">IF(ISNUMBER(AQ261),ROUND(AQ260+AQ259-AQ261,1),"")</f>
        <v>0</v>
      </c>
      <c r="AR262" s="47" t="n">
        <f aca="false">IF(ISNUMBER(AR261),ROUND(AR260+AR259-AR261,1),"")</f>
        <v>0</v>
      </c>
      <c r="AS262" s="47" t="n">
        <f aca="false">IF(ISNUMBER(AS261),ROUND(AS260+AS259-AS261,1),"")</f>
        <v>0</v>
      </c>
      <c r="AT262" s="47" t="n">
        <f aca="false">IF(ISNUMBER(AT261),ROUND(AT260+AT259-AT261,1),"")</f>
        <v>0</v>
      </c>
      <c r="AU262" s="47" t="n">
        <f aca="false">IF(ISNUMBER(AU261),ROUND(AU260+AU259-AU261,1),"")</f>
        <v>0</v>
      </c>
      <c r="AV262" s="47" t="n">
        <f aca="false">IF(ISNUMBER(AV261),ROUND(AV260+AV259-AV261,1),"")</f>
        <v>0</v>
      </c>
      <c r="AW262" s="47" t="n">
        <f aca="false">IF(ISNUMBER(AW261),ROUND(AW260+AW259-AW261,1),"")</f>
        <v>0</v>
      </c>
      <c r="AX262" s="47" t="n">
        <f aca="false">IF(ISNUMBER(AX261),ROUND(AX260+AX259-AX261,1),"")</f>
        <v>0</v>
      </c>
      <c r="AY262" s="47" t="n">
        <f aca="false">IF(ISNUMBER(AY261),ROUND(AY260+AY259-AY261,1),"")</f>
        <v>0</v>
      </c>
      <c r="AZ262" s="47" t="n">
        <f aca="false">IF(ISNUMBER(AZ261),ROUND(AZ260+AZ259-AZ261,1),"")</f>
        <v>0</v>
      </c>
      <c r="BA262" s="47" t="n">
        <f aca="false">IF(ISNUMBER(BA261),ROUND(BA260+BA259-BA261,1),"")</f>
        <v>0</v>
      </c>
      <c r="BB262" s="47" t="n">
        <f aca="false">IF(ISNUMBER(BB261),ROUND(BB260+BB259-BB261,1),"")</f>
        <v>0</v>
      </c>
      <c r="BC262" s="47" t="n">
        <f aca="false">IF(ISNUMBER(BC261),ROUND(BC260+BC259-BC261,1),"")</f>
        <v>0</v>
      </c>
      <c r="BD262" s="47" t="n">
        <f aca="false">IF(ISNUMBER(BD261),ROUND(BD260+BD259-BD261,1),"")</f>
        <v>0</v>
      </c>
      <c r="BE262" s="47" t="n">
        <f aca="false">IF(ISNUMBER(BE261),ROUND(BE260+BE259-BE261,1),"")</f>
        <v>0</v>
      </c>
      <c r="BF262" s="47" t="n">
        <f aca="false">IF(ISNUMBER(BF261),ROUND(BF260+BF259-BF261,1),"")</f>
        <v>0</v>
      </c>
      <c r="BG262" s="47" t="n">
        <f aca="false">IF(ISNUMBER(BG261),ROUND(BG260+BG259-BG261,1),"")</f>
        <v>0</v>
      </c>
      <c r="BH262" s="47" t="n">
        <f aca="false">IF(ISNUMBER(BH261),ROUND(BH260+BH259-BH261,1),"")</f>
        <v>0</v>
      </c>
      <c r="BI262" s="47" t="n">
        <f aca="false">IF(ISNUMBER(BI261),ROUND(BI260+BI259-BI261,1),"")</f>
        <v>0</v>
      </c>
      <c r="BJ262" s="47" t="n">
        <f aca="false">IF(ISNUMBER(BJ261),ROUND(BJ260+BJ259-BJ261,1),"")</f>
        <v>0</v>
      </c>
      <c r="BK262" s="47" t="n">
        <f aca="false">IF(ISNUMBER(BK261),ROUND(BK260+BK259-BK261,1),"")</f>
        <v>0</v>
      </c>
      <c r="BL262" s="47" t="n">
        <f aca="false">IF(ISNUMBER(BL261),ROUND(BL260+BL259-BL261,1),"")</f>
        <v>0</v>
      </c>
      <c r="BM262" s="47" t="n">
        <f aca="false">IF(ISNUMBER(BM261),ROUND(BM260+BM259-BM261,1),"")</f>
        <v>0</v>
      </c>
      <c r="BN262" s="47" t="n">
        <f aca="false">IF(ISNUMBER(BN261),ROUND(BN260+BN259-BN261,1),"")</f>
        <v>0</v>
      </c>
      <c r="BO262" s="47" t="n">
        <f aca="false">IF(ISNUMBER(BO261),ROUND(BO260+BO259-BO261,1),"")</f>
        <v>0</v>
      </c>
      <c r="BP262" s="47" t="n">
        <f aca="false">IF(ISNUMBER(BP261),ROUND(BP260+BP259-BP261,1),"")</f>
        <v>0</v>
      </c>
      <c r="BQ262" s="47" t="n">
        <f aca="false">IF(ISNUMBER(BQ261),ROUND(BQ260+BQ259-BQ261,1),"")</f>
        <v>0</v>
      </c>
      <c r="BR262" s="47" t="n">
        <f aca="false">IF(ISNUMBER(BR261),ROUND(BR260+BR259-BR261,1),"")</f>
        <v>0</v>
      </c>
      <c r="BS262" s="47" t="n">
        <f aca="false">IF(ISNUMBER(BS261),ROUND(BS260+BS259-BS261,1),"")</f>
        <v>0</v>
      </c>
      <c r="BT262" s="47" t="n">
        <f aca="false">IF(ISNUMBER(BT261),ROUND(BT260+BT259-BT261,1),"")</f>
        <v>0</v>
      </c>
      <c r="BU262" s="47" t="n">
        <f aca="false">IF(ISNUMBER(BU261),ROUND(BU260+BU259-BU261,1),"")</f>
        <v>0</v>
      </c>
      <c r="BV262" s="47" t="n">
        <f aca="false">IF(ISNUMBER(BV261),ROUND(BV260+BV259-BV261,1),"")</f>
        <v>0</v>
      </c>
      <c r="BW262" s="47" t="n">
        <f aca="false">IF(ISNUMBER(BW261),ROUND(BW260+BW259-BW261,1),"")</f>
        <v>0</v>
      </c>
      <c r="BX262" s="47" t="n">
        <f aca="false">IF(ISNUMBER(BX261),ROUND(BX260+BX259-BX261,1),"")</f>
        <v>0</v>
      </c>
      <c r="CA262" s="53" t="n">
        <f aca="false">ROUND(CA260+CA259-CA261,1)</f>
        <v>0</v>
      </c>
      <c r="CB262" s="53" t="n">
        <f aca="false">ROUND(CB260+CB259-CB261,1)</f>
        <v>0</v>
      </c>
      <c r="CC262" s="53" t="n">
        <f aca="false">ROUND(CC260+CC259-CC261,1)</f>
        <v>0</v>
      </c>
      <c r="CD262" s="53" t="n">
        <f aca="false">ROUND(CD260+CD259-CD261,1)</f>
        <v>0</v>
      </c>
      <c r="CE262" s="53" t="n">
        <f aca="false">ROUND(CE260+CE259-CE261,1)</f>
        <v>0</v>
      </c>
    </row>
    <row r="263" customFormat="false" ht="15" hidden="false" customHeight="false" outlineLevel="0" collapsed="false">
      <c r="B263" s="28" t="s">
        <v>376</v>
      </c>
    </row>
    <row r="264" customFormat="false" ht="15" hidden="false" customHeight="false" outlineLevel="0" collapsed="false">
      <c r="B264" s="51" t="s">
        <v>377</v>
      </c>
      <c r="C264" s="52" t="n">
        <f aca="false">IF(ISNUMBER(C245),C245+N(C246)+N(C247),"")</f>
        <v>301.834</v>
      </c>
      <c r="D264" s="52" t="n">
        <f aca="false">IF(ISNUMBER(D245),D245+N(D246)+N(D247),"")</f>
        <v>264.717</v>
      </c>
      <c r="E264" s="52" t="n">
        <f aca="false">IF(ISNUMBER(E245),E245+N(E246)+N(E247),"")</f>
        <v>423.831</v>
      </c>
      <c r="F264" s="52" t="n">
        <f aca="false">IF(ISNUMBER(F245),F245+N(F246)+N(F247),"")</f>
        <v>338.105</v>
      </c>
      <c r="G264" s="52" t="n">
        <f aca="false">IF(ISNUMBER(G245),G245+N(G246)+N(G247),"")</f>
        <v>316.102</v>
      </c>
      <c r="H264" s="52" t="n">
        <f aca="false">IF(ISNUMBER(H245),H245+N(H246)+N(H247),"")</f>
        <v>376.906</v>
      </c>
      <c r="I264" s="52" t="n">
        <f aca="false">IF(ISNUMBER(I245),I245+N(I246)+N(I247),"")</f>
        <v>409.686</v>
      </c>
      <c r="J264" s="52" t="n">
        <f aca="false">IF(ISNUMBER(J245),J245+N(J246)+N(J247),"")</f>
        <v>-68.227</v>
      </c>
      <c r="K264" s="52" t="n">
        <f aca="false">IF(ISNUMBER(K245),K245+N(K246)+N(K247),"")</f>
        <v>103.921</v>
      </c>
      <c r="L264" s="52" t="n">
        <f aca="false">IF(ISNUMBER(L245),L245+N(L246)+N(L247),"")</f>
        <v>112.999</v>
      </c>
      <c r="M264" s="52" t="n">
        <f aca="false">IF(ISNUMBER(M245),M245+N(M246)+N(M247),"")</f>
        <v>150.878</v>
      </c>
      <c r="N264" s="52" t="n">
        <f aca="false">IF(ISNUMBER(N245),N245+N(N246)+N(N247),"")</f>
        <v>299.571</v>
      </c>
      <c r="O264" s="52" t="n">
        <f aca="false">IF(ISNUMBER(O245),O245+N(O246)+N(O247),"")</f>
        <v>1.845</v>
      </c>
      <c r="P264" s="52" t="n">
        <f aca="false">IF(ISNUMBER(P245),P245+N(P246)+N(P247),"")</f>
        <v>107.699</v>
      </c>
      <c r="Q264" s="52" t="n">
        <f aca="false">IF(ISNUMBER(Q245),Q245+N(Q246)+N(Q247),"")</f>
        <v>170.642</v>
      </c>
      <c r="R264" s="52" t="n">
        <f aca="false">IF(ISNUMBER(R245),R245+N(R246)+N(R247),"")</f>
        <v>203.738</v>
      </c>
      <c r="S264" s="52" t="n">
        <f aca="false">IF(ISNUMBER(S245),S245+N(S246)+N(S247),"")</f>
        <v>483.924</v>
      </c>
      <c r="T264" s="52" t="n">
        <f aca="false">IF(ISNUMBER(T245),T245+N(T246)+N(T247),"")</f>
        <v>93.729</v>
      </c>
      <c r="U264" s="52" t="n">
        <f aca="false">IF(ISNUMBER(U245),U245+N(U246)+N(U247),"")</f>
        <v>137.862</v>
      </c>
      <c r="V264" s="52" t="n">
        <f aca="false">IF(ISNUMBER(V245),V245+N(V246)+N(V247),"")</f>
        <v>200.041</v>
      </c>
      <c r="W264" s="52" t="n">
        <f aca="false">IF(ISNUMBER(W245),W245+N(W246)+N(W247),"")</f>
        <v>242.062</v>
      </c>
      <c r="X264" s="52" t="n">
        <f aca="false">IF(ISNUMBER(X245),X245+N(X246)+N(X247),"")</f>
        <v>673.694</v>
      </c>
      <c r="Y264" s="52" t="n">
        <f aca="false">IF(ISNUMBER(Y245),Y245+N(Y246)+N(Y247),"")</f>
        <v>86.325</v>
      </c>
      <c r="Z264" s="52" t="n">
        <f aca="false">IF(ISNUMBER(Z245),Z245+N(Z246)+N(Z247),"")</f>
        <v>116.96</v>
      </c>
      <c r="AA264" s="52" t="n">
        <f aca="false">IF(ISNUMBER(AA245),AA245+N(AA246)+N(AA247),"")</f>
        <v>102.432</v>
      </c>
      <c r="AB264" s="52" t="n">
        <f aca="false">IF(ISNUMBER(AB245),AB245+N(AB246)+N(AB247),"")</f>
        <v>132.254</v>
      </c>
      <c r="AC264" s="52" t="n">
        <f aca="false">IF(ISNUMBER(AC245),AC245+N(AC246)+N(AC247),"")</f>
        <v>437.971</v>
      </c>
      <c r="AD264" s="52" t="n">
        <f aca="false">IF(ISNUMBER(AD245),AD245+N(AD246)+N(AD247),"")</f>
        <v>75.976</v>
      </c>
      <c r="AE264" s="52" t="n">
        <f aca="false">IF(ISNUMBER(AE245),AE245+N(AE246)+N(AE247),"")</f>
        <v>41.065</v>
      </c>
      <c r="AF264" s="52" t="n">
        <f aca="false">IF(ISNUMBER(AF245),AF245+N(AF246)+N(AF247),"")</f>
        <v>54.89</v>
      </c>
      <c r="AG264" s="52" t="n">
        <f aca="false">IF(ISNUMBER(AG245),AG245+N(AG246)+N(AG247),"")</f>
        <v>150.625</v>
      </c>
      <c r="AH264" s="52" t="n">
        <f aca="false">IF(ISNUMBER(AH245),AH245+N(AH246)+N(AH247),"")</f>
        <v>322.556</v>
      </c>
      <c r="AI264" s="52" t="n">
        <f aca="false">IF(ISNUMBER(AI245),AI245+N(AI246)+N(AI247),"")</f>
        <v>185.107</v>
      </c>
      <c r="AJ264" s="52" t="n">
        <f aca="false">IF(ISNUMBER(AJ245),AJ245+N(AJ246)+N(AJ247),"")</f>
        <v>93.28</v>
      </c>
      <c r="AK264" s="52" t="n">
        <f aca="false">IF(ISNUMBER(AK245),AK245+N(AK246)+N(AK247),"")</f>
        <v>200.909</v>
      </c>
      <c r="AL264" s="52" t="n">
        <f aca="false">IF(ISNUMBER(AL245),AL245+N(AL246)+N(AL247),"")</f>
        <v>249.729</v>
      </c>
      <c r="AM264" s="52" t="n">
        <f aca="false">IF(ISNUMBER(AM245),AM245+N(AM246)+N(AM247),"")</f>
        <v>729.025</v>
      </c>
      <c r="AN264" s="52" t="n">
        <f aca="false">IF(ISNUMBER(AN245),AN245+N(AN246)+N(AN247),"")</f>
        <v>243.066</v>
      </c>
      <c r="AO264" s="52" t="n">
        <f aca="false">IF(ISNUMBER(AO245),AO245+N(AO246)+N(AO247),"")</f>
        <v>181.896</v>
      </c>
      <c r="AP264" s="52" t="n">
        <f aca="false">IF(ISNUMBER(AP245),AP245+N(AP246)+N(AP247),"")</f>
        <v>147.953</v>
      </c>
      <c r="AQ264" s="52" t="n">
        <f aca="false">IF(ISNUMBER(AQ245),AQ245+N(AQ246)+N(AQ247),"")</f>
        <v>192.039</v>
      </c>
      <c r="AR264" s="52" t="n">
        <f aca="false">IF(ISNUMBER(AR245),AR245+N(AR246)+N(AR247),"")</f>
        <v>764.954</v>
      </c>
      <c r="AS264" s="52" t="n">
        <f aca="false">IF(ISNUMBER(AS245),AS245+N(AS246)+N(AS247),"")</f>
        <v>43.796</v>
      </c>
      <c r="AT264" s="52" t="n">
        <f aca="false">IF(ISNUMBER(AT245),AT245+N(AT246)+N(AT247),"")</f>
        <v>436.808</v>
      </c>
      <c r="AU264" s="52" t="n">
        <f aca="false">IF(ISNUMBER(AU245),AU245+N(AU246)+N(AU247),"")</f>
        <v>-183.816</v>
      </c>
      <c r="AV264" s="52" t="n">
        <f aca="false">IF(ISNUMBER(AV245),AV245+N(AV246)+N(AV247),"")</f>
        <v>148.394</v>
      </c>
      <c r="AW264" s="52" t="n">
        <f aca="false">IF(ISNUMBER(AW245),AW245+N(AW246)+N(AW247),"")</f>
        <v>445.182</v>
      </c>
      <c r="AX264" s="52" t="n">
        <f aca="false">IF(ISNUMBER(AX245),AX245+N(AX246)+N(AX247),"")</f>
        <v>-70.198</v>
      </c>
      <c r="AY264" s="52" t="n">
        <f aca="false">IF(ISNUMBER(AY245),AY245+N(AY246)+N(AY247),"")</f>
        <v>132.959</v>
      </c>
      <c r="AZ264" s="52" t="n">
        <f aca="false">IF(ISNUMBER(AZ245),AZ245+N(AZ246)+N(AZ247),"")</f>
        <v>-96.226</v>
      </c>
      <c r="BA264" s="52" t="n">
        <f aca="false">IF(ISNUMBER(BA245),BA245+N(BA246)+N(BA247),"")</f>
        <v>57.498</v>
      </c>
      <c r="BB264" s="52" t="n">
        <f aca="false">IF(ISNUMBER(BB245),BB245+N(BB246)+N(BB247),"")</f>
        <v>24.033</v>
      </c>
      <c r="BC264" s="52" t="n">
        <f aca="false">IF(ISNUMBER(BC245),BC245+N(BC246)+N(BC247),"")</f>
        <v>-40.157</v>
      </c>
      <c r="BD264" s="52" t="n">
        <f aca="false">IF(ISNUMBER(BD245),BD245+N(BD246)+N(BD247),"")</f>
        <v>222.083</v>
      </c>
      <c r="BE264" s="52" t="n">
        <f aca="false">IF(ISNUMBER(BE245),BE245+N(BE246)+N(BE247),"")</f>
        <v>594.209</v>
      </c>
      <c r="BF264" s="52" t="n">
        <f aca="false">IF(ISNUMBER(BF245),BF245+N(BF246)+N(BF247),"")</f>
        <v>745.539</v>
      </c>
      <c r="BG264" s="52" t="n">
        <f aca="false">IF(ISNUMBER(BG245),BG245+N(BG246)+N(BG247),"")</f>
        <v>1521.674</v>
      </c>
      <c r="BH264" s="52" t="n">
        <f aca="false">IF(ISNUMBER(BH245),BH245+N(BH246)+N(BH247),"")</f>
        <v>227.594</v>
      </c>
      <c r="BI264" s="52" t="n">
        <f aca="false">IF(ISNUMBER(BI245),BI245+N(BI246)+N(BI247),"")</f>
        <v>200.481</v>
      </c>
      <c r="BJ264" s="52" t="n">
        <f aca="false">IF(ISNUMBER(BJ245),BJ245+N(BJ246)+N(BJ247),"")</f>
        <v>188.565</v>
      </c>
      <c r="BK264" s="52" t="n">
        <f aca="false">IF(ISNUMBER(BK245),BK245+N(BK246)+N(BK247),"")</f>
        <v>31.195</v>
      </c>
      <c r="BL264" s="52" t="n">
        <f aca="false">IF(ISNUMBER(BL245),BL245+N(BL246)+N(BL247),"")</f>
        <v>647.835</v>
      </c>
      <c r="BM264" s="52" t="n">
        <f aca="false">IF(ISNUMBER(BM245),BM245+N(BM246)+N(BM247),"")</f>
        <v>-55.797</v>
      </c>
      <c r="BN264" s="52" t="n">
        <f aca="false">IF(ISNUMBER(BN245),BN245+N(BN246)+N(BN247),"")</f>
        <v>147.085</v>
      </c>
      <c r="BO264" s="52" t="n">
        <f aca="false">IF(ISNUMBER(BO245),BO245+N(BO246)+N(BO247),"")</f>
        <v>90.767</v>
      </c>
      <c r="BP264" s="52" t="n">
        <f aca="false">IF(ISNUMBER(BP245),BP245+N(BP246)+N(BP247),"")</f>
        <v>252.741</v>
      </c>
      <c r="BQ264" s="52" t="n">
        <f aca="false">IF(ISNUMBER(BQ245),BQ245+N(BQ246)+N(BQ247),"")</f>
        <v>434.796</v>
      </c>
      <c r="BR264" s="52" t="n">
        <f aca="false">IF(ISNUMBER(BR245),BR245+N(BR246)+N(BR247),"")</f>
        <v>90.449</v>
      </c>
      <c r="BS264" s="52" t="n">
        <f aca="false">IF(ISNUMBER(BS245),BS245+N(BS246)+N(BS247),"")</f>
        <v>206.969</v>
      </c>
      <c r="BT264" s="52" t="n">
        <f aca="false">IF(ISNUMBER(BT245),BT245+N(BT246)+N(BT247),"")</f>
        <v>256.826</v>
      </c>
      <c r="BU264" s="52" t="n">
        <f aca="false">IF(ISNUMBER(BU245),BU245+N(BU246)+N(BU247),"")</f>
        <v>289.732</v>
      </c>
      <c r="BV264" s="52" t="n">
        <f aca="false">IF(ISNUMBER(BV245),BV245+N(BV246)+N(BV247),"")</f>
        <v>843.976</v>
      </c>
      <c r="BW264" s="52" t="n">
        <f aca="false">IF(ISNUMBER(BW245),BW245+N(BW246)+N(BW247),"")</f>
        <v>53.583</v>
      </c>
      <c r="BX264" s="52" t="n">
        <f aca="false">IF(ISNUMBER(BX245),BX245+N(BX246)+N(BX247),"")</f>
        <v>17.662</v>
      </c>
      <c r="BY264" s="64"/>
      <c r="BZ264" s="64"/>
      <c r="CA264" s="52" t="n">
        <f aca="false">CA245+CA246+CA247</f>
        <v>703.855231493588</v>
      </c>
      <c r="CB264" s="52" t="n">
        <f aca="false">CB245+CB246+CB247</f>
        <v>949.139711500757</v>
      </c>
      <c r="CC264" s="52" t="n">
        <f aca="false">CC245+CC246+CC247</f>
        <v>988.099609838805</v>
      </c>
      <c r="CD264" s="52" t="n">
        <f aca="false">CD245+CD246+CD247</f>
        <v>1061.15408334478</v>
      </c>
      <c r="CE264" s="52" t="n">
        <f aca="false">CE245+CE246+CE247</f>
        <v>1098.18173959937</v>
      </c>
      <c r="CF264" s="6"/>
      <c r="CH264" s="33" t="n">
        <f aca="false">IFERROR((CE264/BV264)^(1/5)-1,"n/m")</f>
        <v>0.054068473935482</v>
      </c>
      <c r="CI264" s="33" t="n">
        <f aca="false">IFERROR((BV264/AW264)^(1/5)-1,"n/m")</f>
        <v>0.136471371767195</v>
      </c>
      <c r="CJ264" s="33" t="n">
        <f aca="false">IFERROR((BV264/X264)^(1/10)-1,"n/m")</f>
        <v>0.0227906324159222</v>
      </c>
      <c r="CK264" s="33" t="n">
        <f aca="false">IFERROR((BV264/C264)^(1/19)-1,"n/m")</f>
        <v>0.0556094267446383</v>
      </c>
    </row>
    <row r="265" customFormat="false" ht="15" hidden="false" customHeight="false" outlineLevel="0" collapsed="false">
      <c r="B265" s="25" t="s">
        <v>378</v>
      </c>
      <c r="D265" s="26" t="n">
        <f aca="false">IF(AND(ISNUMBER(D264),ISNUMBER(C264)),IFERROR(D264/C264-1,""),"")</f>
        <v>-0.122971567152806</v>
      </c>
      <c r="E265" s="26" t="n">
        <f aca="false">IF(AND(ISNUMBER(E264),ISNUMBER(D264)),IFERROR(E264/D264-1,""),"")</f>
        <v>0.601072088305625</v>
      </c>
      <c r="F265" s="26" t="n">
        <f aca="false">IF(AND(ISNUMBER(F264),ISNUMBER(E264)),IFERROR(F264/E264-1,""),"")</f>
        <v>-0.202264581873435</v>
      </c>
      <c r="G265" s="26" t="n">
        <f aca="false">IF(AND(ISNUMBER(G264),ISNUMBER(F264)),IFERROR(G264/F264-1,""),"")</f>
        <v>-0.0650774167788114</v>
      </c>
      <c r="H265" s="26" t="n">
        <f aca="false">IF(AND(ISNUMBER(H264),ISNUMBER(G264)),IFERROR(H264/G264-1,""),"")</f>
        <v>0.192355632042821</v>
      </c>
      <c r="I265" s="26" t="n">
        <f aca="false">IF(AND(ISNUMBER(I264),ISNUMBER(H264)),IFERROR(I264/H264-1,""),"")</f>
        <v>0.0869712872705661</v>
      </c>
      <c r="N265" s="26" t="n">
        <f aca="false">IF(AND(ISNUMBER(N264),ISNUMBER(I264)),IFERROR(N264/I264-1,""),"")</f>
        <v>-0.268779016124544</v>
      </c>
      <c r="O265" s="26" t="n">
        <f aca="false">IF(AND(ISNUMBER(O264),ISNUMBER(J264)),IFERROR(O264/J264-1,""),"")</f>
        <v>-1.02704208011491</v>
      </c>
      <c r="P265" s="26" t="n">
        <f aca="false">IF(AND(ISNUMBER(P264),ISNUMBER(K264)),IFERROR(P264/K264-1,""),"")</f>
        <v>0.0363545385437014</v>
      </c>
      <c r="Q265" s="26" t="n">
        <f aca="false">IF(AND(ISNUMBER(Q264),ISNUMBER(L264)),IFERROR(Q264/L264-1,""),"")</f>
        <v>0.510119558580165</v>
      </c>
      <c r="R265" s="26" t="n">
        <f aca="false">IF(AND(ISNUMBER(R264),ISNUMBER(M264)),IFERROR(R264/M264-1,""),"")</f>
        <v>0.350349288829385</v>
      </c>
      <c r="S265" s="26" t="n">
        <f aca="false">IF(AND(ISNUMBER(S264),ISNUMBER(N264)),IFERROR(S264/N264-1,""),"")</f>
        <v>0.615390007711027</v>
      </c>
      <c r="T265" s="26" t="n">
        <f aca="false">IF(AND(ISNUMBER(T264),ISNUMBER(O264)),IFERROR(T264/O264-1,""),"")</f>
        <v>49.8016260162602</v>
      </c>
      <c r="U265" s="26" t="n">
        <f aca="false">IF(AND(ISNUMBER(U264),ISNUMBER(P264)),IFERROR(U264/P264-1,""),"")</f>
        <v>0.280067595799404</v>
      </c>
      <c r="V265" s="26" t="n">
        <f aca="false">IF(AND(ISNUMBER(V264),ISNUMBER(Q264)),IFERROR(V264/Q264-1,""),"")</f>
        <v>0.172284666143153</v>
      </c>
      <c r="W265" s="26" t="n">
        <f aca="false">IF(AND(ISNUMBER(W264),ISNUMBER(R264)),IFERROR(W264/R264-1,""),"")</f>
        <v>0.188104330070974</v>
      </c>
      <c r="X265" s="26" t="n">
        <f aca="false">IF(AND(ISNUMBER(X264),ISNUMBER(S264)),IFERROR(X264/S264-1,""),"")</f>
        <v>0.392148353873748</v>
      </c>
      <c r="Y265" s="26" t="n">
        <f aca="false">IF(AND(ISNUMBER(Y264),ISNUMBER(T264)),IFERROR(Y264/T264-1,""),"")</f>
        <v>-0.0789936945875874</v>
      </c>
      <c r="Z265" s="26" t="n">
        <f aca="false">IF(AND(ISNUMBER(Z264),ISNUMBER(U264)),IFERROR(Z264/U264-1,""),"")</f>
        <v>-0.151615383499441</v>
      </c>
      <c r="AA265" s="26" t="n">
        <f aca="false">IF(AND(ISNUMBER(AA264),ISNUMBER(V264)),IFERROR(AA264/V264-1,""),"")</f>
        <v>-0.487944971280887</v>
      </c>
      <c r="AB265" s="26" t="n">
        <f aca="false">IF(AND(ISNUMBER(AB264),ISNUMBER(W264)),IFERROR(AB264/W264-1,""),"")</f>
        <v>-0.453635845361932</v>
      </c>
      <c r="AC265" s="26" t="n">
        <f aca="false">IF(AND(ISNUMBER(AC264),ISNUMBER(X264)),IFERROR(AC264/X264-1,""),"")</f>
        <v>-0.349896243695209</v>
      </c>
      <c r="AD265" s="26" t="n">
        <f aca="false">IF(AND(ISNUMBER(AD264),ISNUMBER(Y264)),IFERROR(AD264/Y264-1,""),"")</f>
        <v>-0.119884158702578</v>
      </c>
      <c r="AE265" s="26" t="n">
        <f aca="false">IF(AND(ISNUMBER(AE264),ISNUMBER(Z264)),IFERROR(AE264/Z264-1,""),"")</f>
        <v>-0.648897058823529</v>
      </c>
      <c r="AF265" s="26" t="n">
        <f aca="false">IF(AND(ISNUMBER(AF264),ISNUMBER(AA264)),IFERROR(AF264/AA264-1,""),"")</f>
        <v>-0.464132302405498</v>
      </c>
      <c r="AG265" s="26" t="n">
        <f aca="false">IF(AND(ISNUMBER(AG264),ISNUMBER(AB264)),IFERROR(AG264/AB264-1,""),"")</f>
        <v>0.138906951774615</v>
      </c>
      <c r="AH265" s="26" t="n">
        <f aca="false">IF(AND(ISNUMBER(AH264),ISNUMBER(AC264)),IFERROR(AH264/AC264-1,""),"")</f>
        <v>-0.263522014014627</v>
      </c>
      <c r="AI265" s="26" t="n">
        <f aca="false">IF(AND(ISNUMBER(AI264),ISNUMBER(AD264)),IFERROR(AI264/AD264-1,""),"")</f>
        <v>1.43638780667579</v>
      </c>
      <c r="AJ265" s="26" t="n">
        <f aca="false">IF(AND(ISNUMBER(AJ264),ISNUMBER(AE264)),IFERROR(AJ264/AE264-1,""),"")</f>
        <v>1.2715207597711</v>
      </c>
      <c r="AK265" s="26" t="n">
        <f aca="false">IF(AND(ISNUMBER(AK264),ISNUMBER(AF264)),IFERROR(AK264/AF264-1,""),"")</f>
        <v>2.66021133175442</v>
      </c>
      <c r="AL265" s="26" t="n">
        <f aca="false">IF(AND(ISNUMBER(AL264),ISNUMBER(AG264)),IFERROR(AL264/AG264-1,""),"")</f>
        <v>0.657951867219917</v>
      </c>
      <c r="AM265" s="26" t="n">
        <f aca="false">IF(AND(ISNUMBER(AM264),ISNUMBER(AH264)),IFERROR(AM264/AH264-1,""),"")</f>
        <v>1.26015017547341</v>
      </c>
      <c r="AN265" s="26" t="n">
        <f aca="false">IF(AND(ISNUMBER(AN264),ISNUMBER(AI264)),IFERROR(AN264/AI264-1,""),"")</f>
        <v>0.313110795377808</v>
      </c>
      <c r="AO265" s="26" t="n">
        <f aca="false">IF(AND(ISNUMBER(AO264),ISNUMBER(AJ264)),IFERROR(AO264/AJ264-1,""),"")</f>
        <v>0.95</v>
      </c>
      <c r="AP265" s="26" t="n">
        <f aca="false">IF(AND(ISNUMBER(AP264),ISNUMBER(AK264)),IFERROR(AP264/AK264-1,""),"")</f>
        <v>-0.263582019720371</v>
      </c>
      <c r="AQ265" s="26" t="n">
        <f aca="false">IF(AND(ISNUMBER(AQ264),ISNUMBER(AL264)),IFERROR(AQ264/AL264-1,""),"")</f>
        <v>-0.231010415290174</v>
      </c>
      <c r="AR265" s="26" t="n">
        <f aca="false">IF(AND(ISNUMBER(AR264),ISNUMBER(AM264)),IFERROR(AR264/AM264-1,""),"")</f>
        <v>0.0492836322485513</v>
      </c>
      <c r="AS265" s="26" t="n">
        <f aca="false">IF(AND(ISNUMBER(AS264),ISNUMBER(AN264)),IFERROR(AS264/AN264-1,""),"")</f>
        <v>-0.819818485514222</v>
      </c>
      <c r="AT265" s="26" t="n">
        <f aca="false">IF(AND(ISNUMBER(AT264),ISNUMBER(AO264)),IFERROR(AT264/AO264-1,""),"")</f>
        <v>1.40141619386902</v>
      </c>
      <c r="AU265" s="26" t="n">
        <f aca="false">IF(AND(ISNUMBER(AU264),ISNUMBER(AP264)),IFERROR(AU264/AP264-1,""),"")</f>
        <v>-2.24239454421337</v>
      </c>
      <c r="AV265" s="26" t="n">
        <f aca="false">IF(AND(ISNUMBER(AV264),ISNUMBER(AQ264)),IFERROR(AV264/AQ264-1,""),"")</f>
        <v>-0.227271543800999</v>
      </c>
      <c r="AW265" s="26" t="n">
        <f aca="false">IF(AND(ISNUMBER(AW264),ISNUMBER(AR264)),IFERROR(AW264/AR264-1,""),"")</f>
        <v>-0.418027750688277</v>
      </c>
      <c r="AX265" s="26" t="n">
        <f aca="false">IF(AND(ISNUMBER(AX264),ISNUMBER(AS264)),IFERROR(AX264/AS264-1,""),"")</f>
        <v>-2.6028404420495</v>
      </c>
      <c r="AY265" s="26" t="n">
        <f aca="false">IF(AND(ISNUMBER(AY264),ISNUMBER(AT264)),IFERROR(AY264/AT264-1,""),"")</f>
        <v>-0.695612259848721</v>
      </c>
      <c r="AZ265" s="26" t="n">
        <f aca="false">IF(AND(ISNUMBER(AZ264),ISNUMBER(AU264)),IFERROR(AZ264/AU264-1,""),"")</f>
        <v>-0.476509117813466</v>
      </c>
      <c r="BA265" s="26" t="n">
        <f aca="false">IF(AND(ISNUMBER(BA264),ISNUMBER(AV264)),IFERROR(BA264/AV264-1,""),"")</f>
        <v>-0.612531503969163</v>
      </c>
      <c r="BB265" s="26" t="n">
        <f aca="false">IF(AND(ISNUMBER(BB264),ISNUMBER(AW264)),IFERROR(BB264/AW264-1,""),"")</f>
        <v>-0.94601533754734</v>
      </c>
      <c r="BC265" s="26" t="n">
        <f aca="false">IF(AND(ISNUMBER(BC264),ISNUMBER(AX264)),IFERROR(BC264/AX264-1,""),"")</f>
        <v>-0.427946665147155</v>
      </c>
      <c r="BD265" s="26" t="n">
        <f aca="false">IF(AND(ISNUMBER(BD264),ISNUMBER(AY264)),IFERROR(BD264/AY264-1,""),"")</f>
        <v>0.670311900661106</v>
      </c>
      <c r="BE265" s="26" t="n">
        <f aca="false">IF(AND(ISNUMBER(BE264),ISNUMBER(AZ264)),IFERROR(BE264/AZ264-1,""),"")</f>
        <v>-7.17513977511276</v>
      </c>
      <c r="BF265" s="26" t="n">
        <f aca="false">IF(AND(ISNUMBER(BF264),ISNUMBER(BA264)),IFERROR(BF264/BA264-1,""),"")</f>
        <v>11.9663466555358</v>
      </c>
      <c r="BG265" s="26" t="n">
        <f aca="false">IF(AND(ISNUMBER(BG264),ISNUMBER(BB264)),IFERROR(BG264/BB264-1,""),"")</f>
        <v>62.3160238006075</v>
      </c>
      <c r="BH265" s="26" t="n">
        <f aca="false">IF(AND(ISNUMBER(BH264),ISNUMBER(BC264)),IFERROR(BH264/BC264-1,""),"")</f>
        <v>-6.66760465174191</v>
      </c>
      <c r="BI265" s="26" t="n">
        <f aca="false">IF(AND(ISNUMBER(BI264),ISNUMBER(BD264)),IFERROR(BI264/BD264-1,""),"")</f>
        <v>-0.0972699396171701</v>
      </c>
      <c r="BJ265" s="26" t="n">
        <f aca="false">IF(AND(ISNUMBER(BJ264),ISNUMBER(BE264)),IFERROR(BJ264/BE264-1,""),"")</f>
        <v>-0.682662160956835</v>
      </c>
      <c r="BK265" s="26" t="n">
        <f aca="false">IF(AND(ISNUMBER(BK264),ISNUMBER(BF264)),IFERROR(BK264/BF264-1,""),"")</f>
        <v>-0.958157789196809</v>
      </c>
      <c r="BL265" s="26" t="n">
        <f aca="false">IF(AND(ISNUMBER(BL264),ISNUMBER(BG264)),IFERROR(BL264/BG264-1,""),"")</f>
        <v>-0.574261635540858</v>
      </c>
      <c r="BM265" s="26" t="n">
        <f aca="false">IF(AND(ISNUMBER(BM264),ISNUMBER(BH264)),IFERROR(BM264/BH264-1,""),"")</f>
        <v>-1.24516024148264</v>
      </c>
      <c r="BN265" s="26" t="n">
        <f aca="false">IF(AND(ISNUMBER(BN264),ISNUMBER(BI264)),IFERROR(BN264/BI264-1,""),"")</f>
        <v>-0.266339453614058</v>
      </c>
      <c r="BO265" s="26" t="n">
        <f aca="false">IF(AND(ISNUMBER(BO264),ISNUMBER(BJ264)),IFERROR(BO264/BJ264-1,""),"")</f>
        <v>-0.518643438602074</v>
      </c>
      <c r="BP265" s="26" t="n">
        <f aca="false">IF(AND(ISNUMBER(BP264),ISNUMBER(BK264)),IFERROR(BP264/BK264-1,""),"")</f>
        <v>7.10197146978683</v>
      </c>
      <c r="BQ265" s="26" t="n">
        <f aca="false">IF(AND(ISNUMBER(BQ264),ISNUMBER(BL264)),IFERROR(BQ264/BL264-1,""),"")</f>
        <v>-0.328847623237398</v>
      </c>
      <c r="BR265" s="26" t="n">
        <f aca="false">IF(AND(ISNUMBER(BR264),ISNUMBER(BM264)),IFERROR(BR264/BM264-1,""),"")</f>
        <v>-2.62103697331398</v>
      </c>
      <c r="BS265" s="26" t="n">
        <f aca="false">IF(AND(ISNUMBER(BS264),ISNUMBER(BN264)),IFERROR(BS264/BN264-1,""),"")</f>
        <v>0.407138729306183</v>
      </c>
      <c r="BT265" s="26" t="n">
        <f aca="false">IF(AND(ISNUMBER(BT264),ISNUMBER(BO264)),IFERROR(BT264/BO264-1,""),"")</f>
        <v>1.8295085218196</v>
      </c>
      <c r="BU265" s="26" t="n">
        <f aca="false">IF(AND(ISNUMBER(BU264),ISNUMBER(BP264)),IFERROR(BU264/BP264-1,""),"")</f>
        <v>0.146359316454394</v>
      </c>
      <c r="BV265" s="26" t="n">
        <f aca="false">IF(AND(ISNUMBER(BV264),ISNUMBER(BQ264)),IFERROR(BV264/BQ264-1,""),"")</f>
        <v>0.941085014581551</v>
      </c>
      <c r="BW265" s="26" t="n">
        <f aca="false">IF(AND(ISNUMBER(BW264),ISNUMBER(BR264)),IFERROR(BW264/BR264-1,""),"")</f>
        <v>-0.407588806951984</v>
      </c>
      <c r="BX265" s="26" t="n">
        <f aca="false">IF(AND(ISNUMBER(BX264),ISNUMBER(BS264)),IFERROR(BX264/BS264-1,""),"")</f>
        <v>-0.914663548647382</v>
      </c>
      <c r="BY265" s="6"/>
      <c r="BZ265" s="6"/>
      <c r="CA265" s="27" t="n">
        <f aca="false">IFERROR(CA264/BV264-1,"")</f>
        <v>-0.166024588976952</v>
      </c>
      <c r="CB265" s="27" t="n">
        <f aca="false">IFERROR(CB264/CA264-1,"")</f>
        <v>0.348487116429714</v>
      </c>
      <c r="CC265" s="27" t="n">
        <f aca="false">IFERROR(CC264/CB264-1,"")</f>
        <v>0.0410475906402077</v>
      </c>
      <c r="CD265" s="27" t="n">
        <f aca="false">IFERROR(CD264/CC264-1,"")</f>
        <v>0.0739343207694361</v>
      </c>
      <c r="CE265" s="27" t="n">
        <f aca="false">IFERROR(CE264/CD264-1,"")</f>
        <v>0.0348937603273152</v>
      </c>
    </row>
    <row r="266" customFormat="false" ht="15" hidden="false" customHeight="false" outlineLevel="0" collapsed="false">
      <c r="B266" s="25" t="s">
        <v>379</v>
      </c>
      <c r="C266" s="26" t="n">
        <f aca="false">IF(AND(ISNUMBER(C264),ISNUMBER(C133)),IFERROR(C264/C133,""),"")</f>
        <v>0.278819151923617</v>
      </c>
      <c r="D266" s="26" t="n">
        <f aca="false">IF(AND(ISNUMBER(D264),ISNUMBER(D133)),IFERROR(D264/D133,""),"")</f>
        <v>0.212832997528498</v>
      </c>
      <c r="E266" s="26" t="n">
        <f aca="false">IF(AND(ISNUMBER(E264),ISNUMBER(E133)),IFERROR(E264/E133,""),"")</f>
        <v>0.308249021973682</v>
      </c>
      <c r="F266" s="26" t="n">
        <f aca="false">IF(AND(ISNUMBER(F264),ISNUMBER(F133)),IFERROR(F264/F133,""),"")</f>
        <v>0.24465631758974</v>
      </c>
      <c r="G266" s="26" t="n">
        <f aca="false">IF(AND(ISNUMBER(G264),ISNUMBER(G133)),IFERROR(G264/G133,""),"")</f>
        <v>0.21533156491446</v>
      </c>
      <c r="H266" s="26" t="n">
        <f aca="false">IF(AND(ISNUMBER(H264),ISNUMBER(H133)),IFERROR(H264/H133,""),"")</f>
        <v>0.230854226665964</v>
      </c>
      <c r="I266" s="26" t="n">
        <f aca="false">IF(AND(ISNUMBER(I264),ISNUMBER(I133)),IFERROR(I264/I133,""),"")</f>
        <v>0.238526384062144</v>
      </c>
      <c r="J266" s="26" t="n">
        <f aca="false">IF(AND(ISNUMBER(J264),ISNUMBER(J133)),IFERROR(J264/J133,""),"")</f>
        <v>-0.149711885754912</v>
      </c>
      <c r="K266" s="26" t="n">
        <f aca="false">IF(AND(ISNUMBER(K264),ISNUMBER(K133)),IFERROR(K264/K133,""),"")</f>
        <v>0.219891155771664</v>
      </c>
      <c r="L266" s="26" t="n">
        <f aca="false">IF(AND(ISNUMBER(L264),ISNUMBER(L133)),IFERROR(L264/L133,""),"")</f>
        <v>0.243897121988491</v>
      </c>
      <c r="M266" s="26" t="n">
        <f aca="false">IF(AND(ISNUMBER(M264),ISNUMBER(M133)),IFERROR(M264/M133,""),"")</f>
        <v>0.339459799984251</v>
      </c>
      <c r="N266" s="26" t="n">
        <f aca="false">IF(AND(ISNUMBER(N264),ISNUMBER(N133)),IFERROR(N264/N133,""),"")</f>
        <v>0.163156590481429</v>
      </c>
      <c r="O266" s="26" t="n">
        <f aca="false">IF(AND(ISNUMBER(O264),ISNUMBER(O133)),IFERROR(O264/O133,""),"")</f>
        <v>0.00403512417028442</v>
      </c>
      <c r="P266" s="26" t="n">
        <f aca="false">IF(AND(ISNUMBER(P264),ISNUMBER(P133)),IFERROR(P264/P133,""),"")</f>
        <v>0.206701251542597</v>
      </c>
      <c r="Q266" s="26" t="n">
        <f aca="false">IF(AND(ISNUMBER(Q264),ISNUMBER(Q133)),IFERROR(Q264/Q133,""),"")</f>
        <v>0.323452699577682</v>
      </c>
      <c r="R266" s="26" t="n">
        <f aca="false">IF(AND(ISNUMBER(R264),ISNUMBER(R133)),IFERROR(R264/R133,""),"")</f>
        <v>0.40600140290465</v>
      </c>
      <c r="S266" s="26" t="n">
        <f aca="false">IF(AND(ISNUMBER(S264),ISNUMBER(S133)),IFERROR(S264/S133,""),"")</f>
        <v>0.241039781794853</v>
      </c>
      <c r="T266" s="26" t="n">
        <f aca="false">IF(AND(ISNUMBER(T264),ISNUMBER(T133)),IFERROR(T264/T133,""),"")</f>
        <v>0.178494029822323</v>
      </c>
      <c r="U266" s="26" t="n">
        <f aca="false">IF(AND(ISNUMBER(U264),ISNUMBER(U133)),IFERROR(U264/U133,""),"")</f>
        <v>0.236057792739265</v>
      </c>
      <c r="V266" s="26" t="n">
        <f aca="false">IF(AND(ISNUMBER(V264),ISNUMBER(V133)),IFERROR(V264/V133,""),"")</f>
        <v>0.339873423098161</v>
      </c>
      <c r="W266" s="26" t="n">
        <f aca="false">IF(AND(ISNUMBER(W264),ISNUMBER(W133)),IFERROR(W264/W133,""),"")</f>
        <v>0.424092070983939</v>
      </c>
      <c r="X266" s="26" t="n">
        <f aca="false">IF(AND(ISNUMBER(X264),ISNUMBER(X133)),IFERROR(X264/X133,""),"")</f>
        <v>0.296980356890958</v>
      </c>
      <c r="Y266" s="26" t="n">
        <f aca="false">IF(AND(ISNUMBER(Y264),ISNUMBER(Y133)),IFERROR(Y264/Y133,""),"")</f>
        <v>0.153239191600025</v>
      </c>
      <c r="Z266" s="26" t="n">
        <f aca="false">IF(AND(ISNUMBER(Z264),ISNUMBER(Z133)),IFERROR(Z264/Z133,""),"")</f>
        <v>0.19683111331757</v>
      </c>
      <c r="AA266" s="26" t="n">
        <f aca="false">IF(AND(ISNUMBER(AA264),ISNUMBER(AA133)),IFERROR(AA264/AA133,""),"")</f>
        <v>0.183418030233033</v>
      </c>
      <c r="AB266" s="26" t="n">
        <f aca="false">IF(AND(ISNUMBER(AB264),ISNUMBER(AB133)),IFERROR(AB264/AB133,""),"")</f>
        <v>0.235530243127534</v>
      </c>
      <c r="AC266" s="26" t="n">
        <f aca="false">IF(AND(ISNUMBER(AC264),ISNUMBER(AC133)),IFERROR(AC264/AC133,""),"")</f>
        <v>0.192301038669996</v>
      </c>
      <c r="AD266" s="26" t="n">
        <f aca="false">IF(AND(ISNUMBER(AD264),ISNUMBER(AD133)),IFERROR(AD264/AD133,""),"")</f>
        <v>0.133627406492826</v>
      </c>
      <c r="AE266" s="26" t="n">
        <f aca="false">IF(AND(ISNUMBER(AE264),ISNUMBER(AE133)),IFERROR(AE264/AE133,""),"")</f>
        <v>0.0715681199883581</v>
      </c>
      <c r="AF266" s="26" t="n">
        <f aca="false">IF(AND(ISNUMBER(AF264),ISNUMBER(AF133)),IFERROR(AF264/AF133,""),"")</f>
        <v>0.0924313710962101</v>
      </c>
      <c r="AG266" s="26" t="n">
        <f aca="false">IF(AND(ISNUMBER(AG264),ISNUMBER(AG133)),IFERROR(AG264/AG133,""),"")</f>
        <v>0.238387652746147</v>
      </c>
      <c r="AH266" s="26" t="n">
        <f aca="false">IF(AND(ISNUMBER(AH264),ISNUMBER(AH133)),IFERROR(AH264/AH133,""),"")</f>
        <v>0.136211650936425</v>
      </c>
      <c r="AI266" s="26" t="n">
        <f aca="false">IF(AND(ISNUMBER(AI264),ISNUMBER(AI133)),IFERROR(AI264/AI133,""),"")</f>
        <v>0.29573351439869</v>
      </c>
      <c r="AJ266" s="26" t="n">
        <f aca="false">IF(AND(ISNUMBER(AJ264),ISNUMBER(AJ133)),IFERROR(AJ264/AJ133,""),"")</f>
        <v>0.138916398479187</v>
      </c>
      <c r="AK266" s="26" t="n">
        <f aca="false">IF(AND(ISNUMBER(AK264),ISNUMBER(AK133)),IFERROR(AK264/AK133,""),"")</f>
        <v>0.289475883373389</v>
      </c>
      <c r="AL266" s="26" t="n">
        <f aca="false">IF(AND(ISNUMBER(AL264),ISNUMBER(AL133)),IFERROR(AL264/AL133,""),"")</f>
        <v>0.349866836279373</v>
      </c>
      <c r="AM266" s="26" t="n">
        <f aca="false">IF(AND(ISNUMBER(AM264),ISNUMBER(AM133)),IFERROR(AM264/AM133,""),"")</f>
        <v>0.269486754385479</v>
      </c>
      <c r="AN266" s="26" t="n">
        <f aca="false">IF(AND(ISNUMBER(AN264),ISNUMBER(AN133)),IFERROR(AN264/AN133,""),"")</f>
        <v>0.35808190925162</v>
      </c>
      <c r="AO266" s="26" t="n">
        <f aca="false">IF(AND(ISNUMBER(AO264),ISNUMBER(AO133)),IFERROR(AO264/AO133,""),"")</f>
        <v>0.261639547996594</v>
      </c>
      <c r="AP266" s="26" t="n">
        <f aca="false">IF(AND(ISNUMBER(AP264),ISNUMBER(AP133)),IFERROR(AP264/AP133,""),"")</f>
        <v>0.233573980433544</v>
      </c>
      <c r="AQ266" s="26" t="n">
        <f aca="false">IF(AND(ISNUMBER(AQ264),ISNUMBER(AQ133)),IFERROR(AQ264/AQ133,""),"")</f>
        <v>0.331752072597488</v>
      </c>
      <c r="AR266" s="26" t="n">
        <f aca="false">IF(AND(ISNUMBER(AR264),ISNUMBER(AR133)),IFERROR(AR264/AR133,""),"")</f>
        <v>0.295770421952512</v>
      </c>
      <c r="AS266" s="26" t="n">
        <f aca="false">IF(AND(ISNUMBER(AS264),ISNUMBER(AS133)),IFERROR(AS264/AS133,""),"")</f>
        <v>0.0771120145504998</v>
      </c>
      <c r="AT266" s="26" t="n">
        <f aca="false">IF(AND(ISNUMBER(AT264),ISNUMBER(AT133)),IFERROR(AT264/AT133,""),"")</f>
        <v>0.710889197383689</v>
      </c>
      <c r="AU266" s="26" t="n">
        <f aca="false">IF(AND(ISNUMBER(AU264),ISNUMBER(AU133)),IFERROR(AU264/AU133,""),"")</f>
        <v>-0.311936912093376</v>
      </c>
      <c r="AV266" s="26" t="n">
        <f aca="false">IF(AND(ISNUMBER(AV264),ISNUMBER(AV133)),IFERROR(AV264/AV133,""),"")</f>
        <v>0.231656410304444</v>
      </c>
      <c r="AW266" s="26" t="n">
        <f aca="false">IF(AND(ISNUMBER(AW264),ISNUMBER(AW133)),IFERROR(AW264/AW133,""),"")</f>
        <v>0.184549987832971</v>
      </c>
      <c r="AX266" s="26" t="n">
        <f aca="false">IF(AND(ISNUMBER(AX264),ISNUMBER(AX133)),IFERROR(AX264/AX133,""),"")</f>
        <v>-0.0999430507702383</v>
      </c>
      <c r="AY266" s="26" t="n">
        <f aca="false">IF(AND(ISNUMBER(AY264),ISNUMBER(AY133)),IFERROR(AY264/AY133,""),"")</f>
        <v>0.177473651051288</v>
      </c>
      <c r="AZ266" s="26" t="n">
        <f aca="false">IF(AND(ISNUMBER(AZ264),ISNUMBER(AZ133)),IFERROR(AZ264/AZ133,""),"")</f>
        <v>-0.113985917895455</v>
      </c>
      <c r="BA266" s="26" t="n">
        <f aca="false">IF(AND(ISNUMBER(BA264),ISNUMBER(BA133)),IFERROR(BA264/BA133,""),"")</f>
        <v>0.0671438130370962</v>
      </c>
      <c r="BB266" s="26" t="n">
        <f aca="false">IF(AND(ISNUMBER(BB264),ISNUMBER(BB133)),IFERROR(BB264/BB133,""),"")</f>
        <v>0.00762446745634403</v>
      </c>
      <c r="BC266" s="26" t="n">
        <f aca="false">IF(AND(ISNUMBER(BC264),ISNUMBER(BC133)),IFERROR(BC264/BC133,""),"")</f>
        <v>-0.0443138129058173</v>
      </c>
      <c r="BD266" s="26" t="n">
        <f aca="false">IF(AND(ISNUMBER(BD264),ISNUMBER(BD133)),IFERROR(BD264/BD133,""),"")</f>
        <v>0.215277434464281</v>
      </c>
      <c r="BE266" s="26" t="n">
        <f aca="false">IF(AND(ISNUMBER(BE264),ISNUMBER(BE133)),IFERROR(BE264/BE133,""),"")</f>
        <v>0.66976219406353</v>
      </c>
      <c r="BF266" s="26" t="n">
        <f aca="false">IF(AND(ISNUMBER(BF264),ISNUMBER(BF133)),IFERROR(BF264/BF133,""),"")</f>
        <v>0.970534019636176</v>
      </c>
      <c r="BG266" s="26" t="n">
        <f aca="false">IF(AND(ISNUMBER(BG264),ISNUMBER(BG133)),IFERROR(BG264/BG133,""),"")</f>
        <v>0.423489853129974</v>
      </c>
      <c r="BH266" s="26" t="n">
        <f aca="false">IF(AND(ISNUMBER(BH264),ISNUMBER(BH133)),IFERROR(BH264/BH133,""),"")</f>
        <v>0.331943877253369</v>
      </c>
      <c r="BI266" s="26" t="n">
        <f aca="false">IF(AND(ISNUMBER(BI264),ISNUMBER(BI133)),IFERROR(BI264/BI133,""),"")</f>
        <v>0.301250495870749</v>
      </c>
      <c r="BJ266" s="26" t="n">
        <f aca="false">IF(AND(ISNUMBER(BJ264),ISNUMBER(BJ133)),IFERROR(BJ264/BJ133,""),"")</f>
        <v>0.2970233866636</v>
      </c>
      <c r="BK266" s="26" t="n">
        <f aca="false">IF(AND(ISNUMBER(BK264),ISNUMBER(BK133)),IFERROR(BK264/BK133,""),"")</f>
        <v>0.0504265117850452</v>
      </c>
      <c r="BL266" s="26" t="n">
        <f aca="false">IF(AND(ISNUMBER(BL264),ISNUMBER(BL133)),IFERROR(BL264/BL133,""),"")</f>
        <v>0.248726487824655</v>
      </c>
      <c r="BM266" s="26" t="n">
        <f aca="false">IF(AND(ISNUMBER(BM264),ISNUMBER(BM133)),IFERROR(BM264/BM133,""),"")</f>
        <v>-0.0848328110817678</v>
      </c>
      <c r="BN266" s="26" t="n">
        <f aca="false">IF(AND(ISNUMBER(BN264),ISNUMBER(BN133)),IFERROR(BN264/BN133,""),"")</f>
        <v>0.213970140047628</v>
      </c>
      <c r="BO266" s="26" t="n">
        <f aca="false">IF(AND(ISNUMBER(BO264),ISNUMBER(BO133)),IFERROR(BO264/BO133,""),"")</f>
        <v>0.123450023325304</v>
      </c>
      <c r="BP266" s="26" t="n">
        <f aca="false">IF(AND(ISNUMBER(BP264),ISNUMBER(BP133)),IFERROR(BP264/BP133,""),"")</f>
        <v>0.36916814071394</v>
      </c>
      <c r="BQ266" s="26" t="n">
        <f aca="false">IF(AND(ISNUMBER(BQ264),ISNUMBER(BQ133)),IFERROR(BQ264/BQ133,""),"")</f>
        <v>0.157249113386044</v>
      </c>
      <c r="BR266" s="26" t="n">
        <f aca="false">IF(AND(ISNUMBER(BR264),ISNUMBER(BR133)),IFERROR(BR264/BR133,""),"")</f>
        <v>0.134379159931539</v>
      </c>
      <c r="BS266" s="26" t="n">
        <f aca="false">IF(AND(ISNUMBER(BS264),ISNUMBER(BS133)),IFERROR(BS264/BS133,""),"")</f>
        <v>0.298557046641019</v>
      </c>
      <c r="BT266" s="26" t="n">
        <f aca="false">IF(AND(ISNUMBER(BT264),ISNUMBER(BT133)),IFERROR(BT264/BT133,""),"")</f>
        <v>0.363736532984363</v>
      </c>
      <c r="BU266" s="26" t="n">
        <f aca="false">IF(AND(ISNUMBER(BU264),ISNUMBER(BU133)),IFERROR(BU264/BU133,""),"")</f>
        <v>0.440982992752057</v>
      </c>
      <c r="BV266" s="26" t="n">
        <f aca="false">IF(AND(ISNUMBER(BV264),ISNUMBER(BV133)),IFERROR(BV264/BV133,""),"")</f>
        <v>0.30921554475143</v>
      </c>
      <c r="BW266" s="26" t="n">
        <f aca="false">IF(AND(ISNUMBER(BW264),ISNUMBER(BW133)),IFERROR(BW264/BW133,""),"")</f>
        <v>0.0811257651481544</v>
      </c>
      <c r="BX266" s="26" t="n">
        <f aca="false">IF(AND(ISNUMBER(BX264),ISNUMBER(BX133)),IFERROR(BX264/BX133,""),"")</f>
        <v>0.0239333519430434</v>
      </c>
      <c r="BY266" s="6"/>
      <c r="BZ266" s="6"/>
      <c r="CA266" s="27" t="n">
        <f aca="false">IF(AND(ISNUMBER(CA264),ISNUMBER(CA133)),IFERROR(CA264/CA133,""),"")</f>
        <v>0.245253345756384</v>
      </c>
      <c r="CB266" s="27" t="n">
        <f aca="false">IF(AND(ISNUMBER(CB264),ISNUMBER(CB133)),IFERROR(CB264/CB133,""),"")</f>
        <v>0.313184862335599</v>
      </c>
      <c r="CC266" s="27" t="n">
        <f aca="false">IF(AND(ISNUMBER(CC264),ISNUMBER(CC133)),IFERROR(CC264/CC133,""),"")</f>
        <v>0.306948586711116</v>
      </c>
      <c r="CD266" s="27" t="n">
        <f aca="false">IF(AND(ISNUMBER(CD264),ISNUMBER(CD133)),IFERROR(CD264/CD133,""),"")</f>
        <v>0.311391292903524</v>
      </c>
      <c r="CE266" s="27" t="n">
        <f aca="false">IF(AND(ISNUMBER(CE264),ISNUMBER(CE133)),IFERROR(CE264/CE133,""),"")</f>
        <v>0.304045142424505</v>
      </c>
    </row>
    <row r="267" customFormat="false" ht="15" hidden="false" customHeight="false" outlineLevel="0" collapsed="false">
      <c r="B267" s="25" t="s">
        <v>380</v>
      </c>
      <c r="C267" s="26" t="n">
        <f aca="false">IF(AND(ISNUMBER(C264),ISNUMBER(C209)),IFERROR(C264/C209,""),"")</f>
        <v>1.13078205488433</v>
      </c>
      <c r="D267" s="26" t="n">
        <f aca="false">IF(AND(ISNUMBER(D264),ISNUMBER(D209)),IFERROR(D264/D209,""),"")</f>
        <v>0.816370146271061</v>
      </c>
      <c r="E267" s="26" t="n">
        <f aca="false">IF(AND(ISNUMBER(E264),ISNUMBER(E209)),IFERROR(E264/E209,""),"")</f>
        <v>1.18000595806524</v>
      </c>
      <c r="F267" s="26" t="n">
        <f aca="false">IF(AND(ISNUMBER(F264),ISNUMBER(F209)),IFERROR(F264/F209,""),"")</f>
        <v>0.937020203419894</v>
      </c>
      <c r="G267" s="26" t="n">
        <f aca="false">IF(AND(ISNUMBER(G264),ISNUMBER(G209)),IFERROR(G264/G209,""),"")</f>
        <v>0.816746161756572</v>
      </c>
      <c r="H267" s="26" t="n">
        <f aca="false">IF(AND(ISNUMBER(H264),ISNUMBER(H209)),IFERROR(H264/H209,""),"")</f>
        <v>0.873251902171395</v>
      </c>
      <c r="I267" s="26" t="n">
        <f aca="false">IF(AND(ISNUMBER(I264),ISNUMBER(I209)),IFERROR(I264/I209,""),"")</f>
        <v>0.976973470649196</v>
      </c>
      <c r="J267" s="26" t="n">
        <f aca="false">IF(AND(ISNUMBER(J264),ISNUMBER(J209)),IFERROR(J264/J209,""),"")</f>
        <v>-0.660199529721412</v>
      </c>
      <c r="K267" s="26" t="n">
        <f aca="false">IF(AND(ISNUMBER(K264),ISNUMBER(K209)),IFERROR(K264/K209,""),"")</f>
        <v>0.928927703089242</v>
      </c>
      <c r="L267" s="26" t="n">
        <f aca="false">IF(AND(ISNUMBER(L264),ISNUMBER(L209)),IFERROR(L264/L209,""),"")</f>
        <v>1.04884115949024</v>
      </c>
      <c r="M267" s="26" t="n">
        <f aca="false">IF(AND(ISNUMBER(M264),ISNUMBER(M209)),IFERROR(M264/M209,""),"")</f>
        <v>1.6231818573027</v>
      </c>
      <c r="N267" s="26" t="n">
        <f aca="false">IF(AND(ISNUMBER(N264),ISNUMBER(N209)),IFERROR(N264/N209,""),"")</f>
        <v>0.720288816649997</v>
      </c>
      <c r="O267" s="26" t="n">
        <f aca="false">IF(AND(ISNUMBER(O264),ISNUMBER(O209)),IFERROR(O264/O209,""),"")</f>
        <v>0.0197988989880562</v>
      </c>
      <c r="P267" s="26" t="n">
        <f aca="false">IF(AND(ISNUMBER(P264),ISNUMBER(P209)),IFERROR(P264/P209,""),"")</f>
        <v>0.90811663125232</v>
      </c>
      <c r="Q267" s="26" t="n">
        <f aca="false">IF(AND(ISNUMBER(Q264),ISNUMBER(Q209)),IFERROR(Q264/Q209,""),"")</f>
        <v>1.3653435322169</v>
      </c>
      <c r="R267" s="26" t="n">
        <f aca="false">IF(AND(ISNUMBER(R264),ISNUMBER(R209)),IFERROR(R264/R209,""),"")</f>
        <v>1.80383719797781</v>
      </c>
      <c r="S267" s="26" t="n">
        <f aca="false">IF(AND(ISNUMBER(S264),ISNUMBER(S209)),IFERROR(S264/S209,""),"")</f>
        <v>1.07607774770909</v>
      </c>
      <c r="T267" s="26" t="n">
        <f aca="false">IF(AND(ISNUMBER(T264),ISNUMBER(T209)),IFERROR(T264/T209,""),"")</f>
        <v>0.880282880649163</v>
      </c>
      <c r="U267" s="26" t="n">
        <f aca="false">IF(AND(ISNUMBER(U264),ISNUMBER(U209)),IFERROR(U264/U209,""),"")</f>
        <v>1.00476648591918</v>
      </c>
      <c r="V267" s="26" t="n">
        <f aca="false">IF(AND(ISNUMBER(V264),ISNUMBER(V209)),IFERROR(V264/V209,""),"")</f>
        <v>1.43468500774571</v>
      </c>
      <c r="W267" s="26" t="n">
        <f aca="false">IF(AND(ISNUMBER(W264),ISNUMBER(W209)),IFERROR(W264/W209,""),"")</f>
        <v>1.91227890001027</v>
      </c>
      <c r="X267" s="26" t="n">
        <f aca="false">IF(AND(ISNUMBER(X264),ISNUMBER(X209)),IFERROR(X264/X209,""),"")</f>
        <v>1.32174871836123</v>
      </c>
      <c r="Y267" s="26" t="n">
        <f aca="false">IF(AND(ISNUMBER(Y264),ISNUMBER(Y209)),IFERROR(Y264/Y209,""),"")</f>
        <v>0.725645789026838</v>
      </c>
      <c r="Z267" s="26" t="n">
        <f aca="false">IF(AND(ISNUMBER(Z264),ISNUMBER(Z209)),IFERROR(Z264/Z209,""),"")</f>
        <v>0.817387658117268</v>
      </c>
      <c r="AA267" s="26" t="n">
        <f aca="false">IF(AND(ISNUMBER(AA264),ISNUMBER(AA209)),IFERROR(AA264/AA209,""),"")</f>
        <v>0.793874197848529</v>
      </c>
      <c r="AB267" s="26" t="n">
        <f aca="false">IF(AND(ISNUMBER(AB264),ISNUMBER(AB209)),IFERROR(AB264/AB209,""),"")</f>
        <v>1.08136349885122</v>
      </c>
      <c r="AC267" s="26" t="n">
        <f aca="false">IF(AND(ISNUMBER(AC264),ISNUMBER(AC209)),IFERROR(AC264/AC209,""),"")</f>
        <v>0.853106057064494</v>
      </c>
      <c r="AD267" s="26" t="n">
        <f aca="false">IF(AND(ISNUMBER(AD264),ISNUMBER(AD209)),IFERROR(AD264/AD209,""),"")</f>
        <v>0.622346002621233</v>
      </c>
      <c r="AE267" s="26" t="n">
        <f aca="false">IF(AND(ISNUMBER(AE264),ISNUMBER(AE209)),IFERROR(AE264/AE209,""),"")</f>
        <v>0.369718468367081</v>
      </c>
      <c r="AF267" s="26" t="n">
        <f aca="false">IF(AND(ISNUMBER(AF264),ISNUMBER(AF209)),IFERROR(AF264/AF209,""),"")</f>
        <v>0.460540667528065</v>
      </c>
      <c r="AG267" s="26" t="n">
        <f aca="false">IF(AND(ISNUMBER(AG264),ISNUMBER(AG209)),IFERROR(AG264/AG209,""),"")</f>
        <v>0.987342352972025</v>
      </c>
      <c r="AH267" s="26" t="n">
        <f aca="false">IF(AND(ISNUMBER(AH264),ISNUMBER(AH209)),IFERROR(AH264/AH209,""),"")</f>
        <v>0.638860114915441</v>
      </c>
      <c r="AI267" s="26" t="n">
        <f aca="false">IF(AND(ISNUMBER(AI264),ISNUMBER(AI209)),IFERROR(AI264/AI209,""),"")</f>
        <v>1.30084963140474</v>
      </c>
      <c r="AJ267" s="26" t="n">
        <f aca="false">IF(AND(ISNUMBER(AJ264),ISNUMBER(AJ209)),IFERROR(AJ264/AJ209,""),"")</f>
        <v>0.586065857014507</v>
      </c>
      <c r="AK267" s="26" t="n">
        <f aca="false">IF(AND(ISNUMBER(AK264),ISNUMBER(AK209)),IFERROR(AK264/AK209,""),"")</f>
        <v>1.14220984109838</v>
      </c>
      <c r="AL267" s="26" t="n">
        <f aca="false">IF(AND(ISNUMBER(AL264),ISNUMBER(AL209)),IFERROR(AL264/AL209,""),"")</f>
        <v>1.33437884050227</v>
      </c>
      <c r="AM267" s="26" t="n">
        <f aca="false">IF(AND(ISNUMBER(AM264),ISNUMBER(AM209)),IFERROR(AM264/AM209,""),"")</f>
        <v>1.09709482998623</v>
      </c>
      <c r="AN267" s="26" t="n">
        <f aca="false">IF(AND(ISNUMBER(AN264),ISNUMBER(AN209)),IFERROR(AN264/AN209,""),"")</f>
        <v>1.50237347640121</v>
      </c>
      <c r="AO267" s="26" t="n">
        <f aca="false">IF(AND(ISNUMBER(AO264),ISNUMBER(AO209)),IFERROR(AO264/AO209,""),"")</f>
        <v>1.07516254876463</v>
      </c>
      <c r="AP267" s="26" t="n">
        <f aca="false">IF(AND(ISNUMBER(AP264),ISNUMBER(AP209)),IFERROR(AP264/AP209,""),"")</f>
        <v>1.03928865099086</v>
      </c>
      <c r="AQ267" s="26" t="n">
        <f aca="false">IF(AND(ISNUMBER(AQ264),ISNUMBER(AQ209)),IFERROR(AQ264/AQ209,""),"")</f>
        <v>1.93771315561116</v>
      </c>
      <c r="AR267" s="26" t="n">
        <f aca="false">IF(AND(ISNUMBER(AR264),ISNUMBER(AR209)),IFERROR(AR264/AR209,""),"")</f>
        <v>1.33625856095385</v>
      </c>
      <c r="AS267" s="26" t="n">
        <f aca="false">IF(AND(ISNUMBER(AS264),ISNUMBER(AS209)),IFERROR(AS264/AS209,""),"")</f>
        <v>0.560438154224145</v>
      </c>
      <c r="AT267" s="26" t="n">
        <f aca="false">IF(AND(ISNUMBER(AT264),ISNUMBER(AT209)),IFERROR(AT264/AT209,""),"")</f>
        <v>3.03467441068786</v>
      </c>
      <c r="AU267" s="26" t="n">
        <f aca="false">IF(AND(ISNUMBER(AU264),ISNUMBER(AU209)),IFERROR(AU264/AU209,""),"")</f>
        <v>-1.346351324627</v>
      </c>
      <c r="AV267" s="26" t="n">
        <f aca="false">IF(AND(ISNUMBER(AV264),ISNUMBER(AV209)),IFERROR(AV264/AV209,""),"")</f>
        <v>1.00397139513013</v>
      </c>
      <c r="AW267" s="26" t="n">
        <f aca="false">IF(AND(ISNUMBER(AW264),ISNUMBER(AW209)),IFERROR(AW264/AW209,""),"")</f>
        <v>0.879074919878916</v>
      </c>
      <c r="AX267" s="26" t="n">
        <f aca="false">IF(AND(ISNUMBER(AX264),ISNUMBER(AX209)),IFERROR(AX264/AX209,""),"")</f>
        <v>-0.405054672398373</v>
      </c>
      <c r="AY267" s="26" t="n">
        <f aca="false">IF(AND(ISNUMBER(AY264),ISNUMBER(AY209)),IFERROR(AY264/AY209,""),"")</f>
        <v>0.686101894328369</v>
      </c>
      <c r="AZ267" s="26" t="n">
        <f aca="false">IF(AND(ISNUMBER(AZ264),ISNUMBER(AZ209)),IFERROR(AZ264/AZ209,""),"")</f>
        <v>-0.389495371438519</v>
      </c>
      <c r="BA267" s="26" t="n">
        <f aca="false">IF(AND(ISNUMBER(BA264),ISNUMBER(BA209)),IFERROR(BA264/BA209,""),"")</f>
        <v>0.249884831680414</v>
      </c>
      <c r="BB267" s="26" t="n">
        <f aca="false">IF(AND(ISNUMBER(BB264),ISNUMBER(BB209)),IFERROR(BB264/BB209,""),"")</f>
        <v>0.0284668550006218</v>
      </c>
      <c r="BC267" s="26" t="n">
        <f aca="false">IF(AND(ISNUMBER(BC264),ISNUMBER(BC209)),IFERROR(BC264/BC209,""),"")</f>
        <v>-0.148538180419311</v>
      </c>
      <c r="BD267" s="26" t="n">
        <f aca="false">IF(AND(ISNUMBER(BD264),ISNUMBER(BD209)),IFERROR(BD264/BD209,""),"")</f>
        <v>0.676524865282487</v>
      </c>
      <c r="BE267" s="26" t="n">
        <f aca="false">IF(AND(ISNUMBER(BE264),ISNUMBER(BE209)),IFERROR(BE264/BE209,""),"")</f>
        <v>2.63159549686002</v>
      </c>
      <c r="BF267" s="26" t="n">
        <f aca="false">IF(AND(ISNUMBER(BF264),ISNUMBER(BF209)),IFERROR(BF264/BF209,""),"")</f>
        <v>5.84828208346407</v>
      </c>
      <c r="BG267" s="26" t="n">
        <f aca="false">IF(AND(ISNUMBER(BG264),ISNUMBER(BG209)),IFERROR(BG264/BG209,""),"")</f>
        <v>1.58764543057676</v>
      </c>
      <c r="BH267" s="26" t="n">
        <f aca="false">IF(AND(ISNUMBER(BH264),ISNUMBER(BH209)),IFERROR(BH264/BH209,""),"")</f>
        <v>1.90493488231946</v>
      </c>
      <c r="BI267" s="26" t="n">
        <f aca="false">IF(AND(ISNUMBER(BI264),ISNUMBER(BI209)),IFERROR(BI264/BI209,""),"")</f>
        <v>1.82079995640565</v>
      </c>
      <c r="BJ267" s="26" t="n">
        <f aca="false">IF(AND(ISNUMBER(BJ264),ISNUMBER(BJ209)),IFERROR(BJ264/BJ209,""),"")</f>
        <v>1.77799255103485</v>
      </c>
      <c r="BK267" s="26" t="n">
        <f aca="false">IF(AND(ISNUMBER(BK264),ISNUMBER(BK209)),IFERROR(BK264/BK209,""),"")</f>
        <v>0.524294525958423</v>
      </c>
      <c r="BL267" s="26" t="n">
        <f aca="false">IF(AND(ISNUMBER(BL264),ISNUMBER(BL209)),IFERROR(BL264/BL209,""),"")</f>
        <v>1.63951996396186</v>
      </c>
      <c r="BM267" s="26" t="n">
        <f aca="false">IF(AND(ISNUMBER(BM264),ISNUMBER(BM209)),IFERROR(BM264/BM209,""),"")</f>
        <v>-0.543057637280287</v>
      </c>
      <c r="BN267" s="26" t="n">
        <f aca="false">IF(AND(ISNUMBER(BN264),ISNUMBER(BN209)),IFERROR(BN264/BN209,""),"")</f>
        <v>1.06741899198084</v>
      </c>
      <c r="BO267" s="26" t="n">
        <f aca="false">IF(AND(ISNUMBER(BO264),ISNUMBER(BO209)),IFERROR(BO264/BO209,""),"")</f>
        <v>0.583643050965163</v>
      </c>
      <c r="BP267" s="26" t="n">
        <f aca="false">IF(AND(ISNUMBER(BP264),ISNUMBER(BP209)),IFERROR(BP264/BP209,""),"")</f>
        <v>1.70697130970391</v>
      </c>
      <c r="BQ267" s="26" t="n">
        <f aca="false">IF(AND(ISNUMBER(BQ264),ISNUMBER(BQ209)),IFERROR(BQ264/BQ209,""),"")</f>
        <v>0.799073742246728</v>
      </c>
      <c r="BR267" s="26" t="n">
        <f aca="false">IF(AND(ISNUMBER(BR264),ISNUMBER(BR209)),IFERROR(BR264/BR209,""),"")</f>
        <v>0.63300184058955</v>
      </c>
      <c r="BS267" s="26" t="n">
        <f aca="false">IF(AND(ISNUMBER(BS264),ISNUMBER(BS209)),IFERROR(BS264/BS209,""),"")</f>
        <v>1.32863213845522</v>
      </c>
      <c r="BT267" s="26" t="n">
        <f aca="false">IF(AND(ISNUMBER(BT264),ISNUMBER(BT209)),IFERROR(BT264/BT209,""),"")</f>
        <v>1.50815070584643</v>
      </c>
      <c r="BU267" s="26" t="n">
        <f aca="false">IF(AND(ISNUMBER(BU264),ISNUMBER(BU209)),IFERROR(BU264/BU209,""),"")</f>
        <v>1.94139601578676</v>
      </c>
      <c r="BV267" s="26" t="n">
        <f aca="false">IF(AND(ISNUMBER(BV264),ISNUMBER(BV209)),IFERROR(BV264/BV209,""),"")</f>
        <v>1.36522397427353</v>
      </c>
      <c r="BW267" s="26" t="n">
        <f aca="false">IF(AND(ISNUMBER(BW264),ISNUMBER(BW209)),IFERROR(BW264/BW209,""),"")</f>
        <v>0.329034872796271</v>
      </c>
      <c r="BX267" s="26" t="n">
        <f aca="false">IF(AND(ISNUMBER(BX264),ISNUMBER(BX209)),IFERROR(BX264/BX209,""),"")</f>
        <v>0.091861360184742</v>
      </c>
      <c r="BY267" s="6"/>
      <c r="BZ267" s="6"/>
      <c r="CA267" s="27" t="n">
        <f aca="false">IF(AND(ISNUMBER(CA264),ISNUMBER(CA209)),IFERROR(CA264/CA209,""),"")</f>
        <v>0.928368683088756</v>
      </c>
      <c r="CB267" s="27" t="n">
        <f aca="false">IF(AND(ISNUMBER(CB264),ISNUMBER(CB209)),IFERROR(CB264/CB209,""),"")</f>
        <v>1.14381772608476</v>
      </c>
      <c r="CC267" s="27" t="n">
        <f aca="false">IF(AND(ISNUMBER(CC264),ISNUMBER(CC209)),IFERROR(CC264/CC209,""),"")</f>
        <v>1.10214760352208</v>
      </c>
      <c r="CD267" s="27" t="n">
        <f aca="false">IF(AND(ISNUMBER(CD264),ISNUMBER(CD209)),IFERROR(CD264/CD209,""),"")</f>
        <v>1.10431731619361</v>
      </c>
      <c r="CE267" s="27" t="n">
        <f aca="false">IF(AND(ISNUMBER(CE264),ISNUMBER(CE209)),IFERROR(CE264/CE209,""),"")</f>
        <v>1.07777873362799</v>
      </c>
    </row>
    <row r="268" customFormat="false" ht="15" hidden="false" customHeight="false" outlineLevel="0" collapsed="false">
      <c r="B268" s="28" t="s">
        <v>381</v>
      </c>
      <c r="C268" s="58" t="n">
        <f aca="false">IF(AND(ISNUMBER(C264),ISNUMBER(C156)),IFERROR(C264/C156,""),"")</f>
        <v>1.72686755880014</v>
      </c>
      <c r="D268" s="58" t="n">
        <f aca="false">IF(AND(ISNUMBER(D264),ISNUMBER(D156)),IFERROR(D264/D156,""),"")</f>
        <v>1.52101241094001</v>
      </c>
      <c r="E268" s="58" t="n">
        <f aca="false">IF(AND(ISNUMBER(E264),ISNUMBER(E156)),IFERROR(E264/E156,""),"")</f>
        <v>2.45367706228688</v>
      </c>
      <c r="F268" s="58" t="n">
        <f aca="false">IF(AND(ISNUMBER(F264),ISNUMBER(F156)),IFERROR(F264/F156,""),"")</f>
        <v>1.99832736385451</v>
      </c>
      <c r="G268" s="58" t="n">
        <f aca="false">IF(AND(ISNUMBER(G264),ISNUMBER(G156)),IFERROR(G264/G156,""),"")</f>
        <v>1.90455016508809</v>
      </c>
      <c r="H268" s="58" t="n">
        <f aca="false">IF(AND(ISNUMBER(H264),ISNUMBER(H156)),IFERROR(H264/H156,""),"")</f>
        <v>2.28787005056422</v>
      </c>
      <c r="I268" s="58" t="n">
        <f aca="false">IF(AND(ISNUMBER(I264),ISNUMBER(I156)),IFERROR(I264/I156,""),"")</f>
        <v>2.52976918232003</v>
      </c>
      <c r="J268" s="58" t="n">
        <f aca="false">IF(AND(ISNUMBER(J264),ISNUMBER(J156)),IFERROR(J264/J156,""),"")</f>
        <v>-0.424587715477005</v>
      </c>
      <c r="K268" s="58" t="n">
        <f aca="false">IF(AND(ISNUMBER(K264),ISNUMBER(K156)),IFERROR(K264/K156,""),"")</f>
        <v>0.64984335624105</v>
      </c>
      <c r="L268" s="58" t="n">
        <f aca="false">IF(AND(ISNUMBER(L264),ISNUMBER(L156)),IFERROR(L264/L156,""),"")</f>
        <v>0.719537199765671</v>
      </c>
      <c r="M268" s="58" t="n">
        <f aca="false">IF(AND(ISNUMBER(M264),ISNUMBER(M156)),IFERROR(M264/M156,""),"")</f>
        <v>0.998332561371005</v>
      </c>
      <c r="N268" s="58" t="n">
        <f aca="false">IF(AND(ISNUMBER(N264),ISNUMBER(N156)),IFERROR(N264/N156,""),"")</f>
        <v>1.90712375859435</v>
      </c>
      <c r="O268" s="58" t="n">
        <f aca="false">IF(AND(ISNUMBER(O264),ISNUMBER(O156)),IFERROR(O264/O156,""),"")</f>
        <v>0.012381885536347</v>
      </c>
      <c r="P268" s="58" t="n">
        <f aca="false">IF(AND(ISNUMBER(P264),ISNUMBER(P156)),IFERROR(P264/P156,""),"")</f>
        <v>0.727823806884993</v>
      </c>
      <c r="Q268" s="58" t="n">
        <f aca="false">IF(AND(ISNUMBER(Q264),ISNUMBER(Q156)),IFERROR(Q264/Q156,""),"")</f>
        <v>1.16196818652285</v>
      </c>
      <c r="R268" s="58" t="n">
        <f aca="false">IF(AND(ISNUMBER(R264),ISNUMBER(R156)),IFERROR(R264/R156,""),"")</f>
        <v>1.38928060006819</v>
      </c>
      <c r="S268" s="58" t="n">
        <f aca="false">IF(AND(ISNUMBER(S264),ISNUMBER(S156)),IFERROR(S264/S156,""),"")</f>
        <v>3.27990673842025</v>
      </c>
      <c r="T268" s="58" t="n">
        <f aca="false">IF(AND(ISNUMBER(T264),ISNUMBER(T156)),IFERROR(T264/T156,""),"")</f>
        <v>0.640299761584337</v>
      </c>
      <c r="U268" s="58" t="n">
        <f aca="false">IF(AND(ISNUMBER(U264),ISNUMBER(U156)),IFERROR(U264/U156,""),"")</f>
        <v>0.946340927656011</v>
      </c>
      <c r="V268" s="58" t="n">
        <f aca="false">IF(AND(ISNUMBER(V264),ISNUMBER(V156)),IFERROR(V264/V156,""),"")</f>
        <v>1.38167037338896</v>
      </c>
      <c r="W268" s="58" t="n">
        <f aca="false">IF(AND(ISNUMBER(W264),ISNUMBER(W156)),IFERROR(W264/W156,""),"")</f>
        <v>1.6793068043068</v>
      </c>
      <c r="X268" s="58" t="n">
        <f aca="false">IF(AND(ISNUMBER(X264),ISNUMBER(X156)),IFERROR(X264/X156,""),"")</f>
        <v>4.63500952878933</v>
      </c>
      <c r="Y268" s="58" t="n">
        <f aca="false">IF(AND(ISNUMBER(Y264),ISNUMBER(Y156)),IFERROR(Y264/Y156,""),"")</f>
        <v>0.600906319174707</v>
      </c>
      <c r="Z268" s="58" t="n">
        <f aca="false">IF(AND(ISNUMBER(Z264),ISNUMBER(Z156)),IFERROR(Z264/Z156,""),"")</f>
        <v>0.816668528656016</v>
      </c>
      <c r="AA268" s="58" t="n">
        <f aca="false">IF(AND(ISNUMBER(AA264),ISNUMBER(AA156)),IFERROR(AA264/AA156,""),"")</f>
        <v>0.716894242142172</v>
      </c>
      <c r="AB268" s="58" t="n">
        <f aca="false">IF(AND(ISNUMBER(AB264),ISNUMBER(AB156)),IFERROR(AB264/AB156,""),"")</f>
        <v>0.930291775695676</v>
      </c>
      <c r="AC268" s="58" t="n">
        <f aca="false">IF(AND(ISNUMBER(AC264),ISNUMBER(AC156)),IFERROR(AC264/AC156,""),"")</f>
        <v>3.06292703736599</v>
      </c>
      <c r="AD268" s="58" t="n">
        <f aca="false">IF(AND(ISNUMBER(AD264),ISNUMBER(AD156)),IFERROR(AD264/AD156,""),"")</f>
        <v>0.535577831352479</v>
      </c>
      <c r="AE268" s="58" t="n">
        <f aca="false">IF(AND(ISNUMBER(AE264),ISNUMBER(AE156)),IFERROR(AE264/AE156,""),"")</f>
        <v>0.290033689533644</v>
      </c>
      <c r="AF268" s="58" t="n">
        <f aca="false">IF(AND(ISNUMBER(AF264),ISNUMBER(AF156)),IFERROR(AF264/AF156,""),"")</f>
        <v>0.38923004921218</v>
      </c>
      <c r="AG268" s="58" t="n">
        <f aca="false">IF(AND(ISNUMBER(AG264),ISNUMBER(AG156)),IFERROR(AG264/AG156,""),"")</f>
        <v>1.07035757937523</v>
      </c>
      <c r="AH268" s="58" t="n">
        <f aca="false">IF(AND(ISNUMBER(AH264),ISNUMBER(AH156)),IFERROR(AH264/AH156,""),"")</f>
        <v>2.28145025533661</v>
      </c>
      <c r="AI268" s="58" t="n">
        <f aca="false">IF(AND(ISNUMBER(AI264),ISNUMBER(AI156)),IFERROR(AI264/AI156,""),"")</f>
        <v>1.31030650527359</v>
      </c>
      <c r="AJ268" s="58" t="n">
        <f aca="false">IF(AND(ISNUMBER(AJ264),ISNUMBER(AJ156)),IFERROR(AJ264/AJ156,""),"")</f>
        <v>0.663390488653093</v>
      </c>
      <c r="AK268" s="58" t="n">
        <f aca="false">IF(AND(ISNUMBER(AK264),ISNUMBER(AK156)),IFERROR(AK264/AK156,""),"")</f>
        <v>1.43342608447489</v>
      </c>
      <c r="AL268" s="58" t="n">
        <f aca="false">IF(AND(ISNUMBER(AL264),ISNUMBER(AL156)),IFERROR(AL264/AL156,""),"")</f>
        <v>1.79426218907617</v>
      </c>
      <c r="AM268" s="58" t="n">
        <f aca="false">IF(AND(ISNUMBER(AM264),ISNUMBER(AM156)),IFERROR(AM264/AM156,""),"")</f>
        <v>5.19230084398704</v>
      </c>
      <c r="AN268" s="58" t="n">
        <f aca="false">IF(AND(ISNUMBER(AN264),ISNUMBER(AN156)),IFERROR(AN264/AN156,""),"")</f>
        <v>1.74924256054118</v>
      </c>
      <c r="AO268" s="58" t="n">
        <f aca="false">IF(AND(ISNUMBER(AO264),ISNUMBER(AO156)),IFERROR(AO264/AO156,""),"")</f>
        <v>1.31564633722949</v>
      </c>
      <c r="AP268" s="58" t="n">
        <f aca="false">IF(AND(ISNUMBER(AP264),ISNUMBER(AP156)),IFERROR(AP264/AP156,""),"")</f>
        <v>1.0762096656871</v>
      </c>
      <c r="AQ268" s="58" t="n">
        <f aca="false">IF(AND(ISNUMBER(AQ264),ISNUMBER(AQ156)),IFERROR(AQ264/AQ156,""),"")</f>
        <v>1.40563310179255</v>
      </c>
      <c r="AR268" s="58" t="n">
        <f aca="false">IF(AND(ISNUMBER(AR264),ISNUMBER(AR156)),IFERROR(AR264/AR156,""),"")</f>
        <v>5.55380985225251</v>
      </c>
      <c r="AS268" s="58" t="n">
        <f aca="false">IF(AND(ISNUMBER(AS264),ISNUMBER(AS156)),IFERROR(AS264/AS156,""),"")</f>
        <v>0.322102832263237</v>
      </c>
      <c r="AT268" s="58" t="n">
        <f aca="false">IF(AND(ISNUMBER(AT264),ISNUMBER(AT156)),IFERROR(AT264/AT156,""),"")</f>
        <v>3.22106039377627</v>
      </c>
      <c r="AU268" s="58" t="n">
        <f aca="false">IF(AND(ISNUMBER(AU264),ISNUMBER(AU156)),IFERROR(AU264/AU156,""),"")</f>
        <v>-1.34047021760691</v>
      </c>
      <c r="AV268" s="58" t="n">
        <f aca="false">IF(AND(ISNUMBER(AV264),ISNUMBER(AV156)),IFERROR(AV264/AV156,""),"")</f>
        <v>1.08177815361288</v>
      </c>
      <c r="AW268" s="58" t="n">
        <f aca="false">IF(AND(ISNUMBER(AW264),ISNUMBER(AW156)),IFERROR(AW264/AW156,""),"")</f>
        <v>3.2692383952766</v>
      </c>
      <c r="AX268" s="58" t="n">
        <f aca="false">IF(AND(ISNUMBER(AX264),ISNUMBER(AX156)),IFERROR(AX264/AX156,""),"")</f>
        <v>-0.517131386054735</v>
      </c>
      <c r="AY268" s="58" t="n">
        <f aca="false">IF(AND(ISNUMBER(AY264),ISNUMBER(AY156)),IFERROR(AY264/AY156,""),"")</f>
        <v>0.985933143501216</v>
      </c>
      <c r="AZ268" s="58" t="n">
        <f aca="false">IF(AND(ISNUMBER(AZ264),ISNUMBER(AZ156)),IFERROR(AZ264/AZ156,""),"")</f>
        <v>-0.721139722413742</v>
      </c>
      <c r="BA268" s="58" t="n">
        <f aca="false">IF(AND(ISNUMBER(BA264),ISNUMBER(BA156)),IFERROR(BA264/BA156,""),"")</f>
        <v>0.433564324332476</v>
      </c>
      <c r="BB268" s="58" t="n">
        <f aca="false">IF(AND(ISNUMBER(BB264),ISNUMBER(BB156)),IFERROR(BB264/BB156,""),"")</f>
        <v>0.179573202624146</v>
      </c>
      <c r="BC268" s="58" t="n">
        <f aca="false">IF(AND(ISNUMBER(BC264),ISNUMBER(BC156)),IFERROR(BC264/BC156,""),"")</f>
        <v>-0.303862888275131</v>
      </c>
      <c r="BD268" s="58" t="n">
        <f aca="false">IF(AND(ISNUMBER(BD264),ISNUMBER(BD156)),IFERROR(BD264/BD156,""),"")</f>
        <v>1.70390062759901</v>
      </c>
      <c r="BE268" s="58" t="n">
        <f aca="false">IF(AND(ISNUMBER(BE264),ISNUMBER(BE156)),IFERROR(BE264/BE156,""),"")</f>
        <v>4.67182168409466</v>
      </c>
      <c r="BF268" s="58" t="n">
        <f aca="false">IF(AND(ISNUMBER(BF264),ISNUMBER(BF156)),IFERROR(BF264/BF156,""),"")</f>
        <v>6.1884836310512</v>
      </c>
      <c r="BG268" s="58" t="n">
        <f aca="false">IF(AND(ISNUMBER(BG264),ISNUMBER(BG156)),IFERROR(BG264/BG156,""),"")</f>
        <v>11.9675501376327</v>
      </c>
      <c r="BH268" s="58" t="n">
        <f aca="false">IF(AND(ISNUMBER(BH264),ISNUMBER(BH156)),IFERROR(BH264/BH156,""),"")</f>
        <v>1.89805602581958</v>
      </c>
      <c r="BI268" s="58" t="n">
        <f aca="false">IF(AND(ISNUMBER(BI264),ISNUMBER(BI156)),IFERROR(BI264/BI156,""),"")</f>
        <v>1.67336633084878</v>
      </c>
      <c r="BJ268" s="58" t="n">
        <f aca="false">IF(AND(ISNUMBER(BJ264),ISNUMBER(BJ156)),IFERROR(BJ264/BJ156,""),"")</f>
        <v>1.57464238294461</v>
      </c>
      <c r="BK268" s="58" t="n">
        <f aca="false">IF(AND(ISNUMBER(BK264),ISNUMBER(BK156)),IFERROR(BK264/BK156,""),"")</f>
        <v>0.260799411435212</v>
      </c>
      <c r="BL268" s="58" t="n">
        <f aca="false">IF(AND(ISNUMBER(BL264),ISNUMBER(BL156)),IFERROR(BL264/BL156,""),"")</f>
        <v>5.41319551793578</v>
      </c>
      <c r="BM268" s="58" t="n">
        <f aca="false">IF(AND(ISNUMBER(BM264),ISNUMBER(BM156)),IFERROR(BM264/BM156,""),"")</f>
        <v>-0.466514497842882</v>
      </c>
      <c r="BN268" s="58" t="n">
        <f aca="false">IF(AND(ISNUMBER(BN264),ISNUMBER(BN156)),IFERROR(BN264/BN156,""),"")</f>
        <v>1.2265260173449</v>
      </c>
      <c r="BO268" s="58" t="n">
        <f aca="false">IF(AND(ISNUMBER(BO264),ISNUMBER(BO156)),IFERROR(BO264/BO156,""),"")</f>
        <v>0.749032423109615</v>
      </c>
      <c r="BP268" s="58" t="n">
        <f aca="false">IF(AND(ISNUMBER(BP264),ISNUMBER(BP156)),IFERROR(BP264/BP156,""),"")</f>
        <v>2.0667179105576</v>
      </c>
      <c r="BQ268" s="58" t="n">
        <f aca="false">IF(AND(ISNUMBER(BQ264),ISNUMBER(BQ156)),IFERROR(BQ264/BQ156,""),"")</f>
        <v>3.60291351436455</v>
      </c>
      <c r="BR268" s="58" t="n">
        <f aca="false">IF(AND(ISNUMBER(BR264),ISNUMBER(BR156)),IFERROR(BR264/BR156,""),"")</f>
        <v>0.741798707476298</v>
      </c>
      <c r="BS268" s="58" t="n">
        <f aca="false">IF(AND(ISNUMBER(BS264),ISNUMBER(BS156)),IFERROR(BS264/BS156,""),"")</f>
        <v>1.71013426977897</v>
      </c>
      <c r="BT268" s="58" t="n">
        <f aca="false">IF(AND(ISNUMBER(BT264),ISNUMBER(BT156)),IFERROR(BT264/BT156,""),"")</f>
        <v>2.11642452760221</v>
      </c>
      <c r="BU268" s="58" t="n">
        <f aca="false">IF(AND(ISNUMBER(BU264),ISNUMBER(BU156)),IFERROR(BU264/BU156,""),"")</f>
        <v>2.38152854723898</v>
      </c>
      <c r="BV268" s="58" t="n">
        <f aca="false">IF(AND(ISNUMBER(BV264),ISNUMBER(BV156)),IFERROR(BV264/BV156,""),"")</f>
        <v>6.94619018616978</v>
      </c>
      <c r="BW268" s="58" t="n">
        <f aca="false">IF(AND(ISNUMBER(BW264),ISNUMBER(BW156)),IFERROR(BW264/BW156,""),"")</f>
        <v>0.442798115858194</v>
      </c>
      <c r="BX268" s="58" t="n">
        <f aca="false">IF(AND(ISNUMBER(BX264),ISNUMBER(BX156)),IFERROR(BX264/BX156,""),"")</f>
        <v>0.147489373783935</v>
      </c>
      <c r="BY268" s="6"/>
      <c r="BZ268" s="6"/>
      <c r="CA268" s="59" t="n">
        <f aca="false">IF(AND(ISNUMBER(CA264),ISNUMBER(CA156)),IFERROR(CA264/CA156,""),"")</f>
        <v>5.87872457990331</v>
      </c>
      <c r="CB268" s="59" t="n">
        <f aca="false">IF(AND(ISNUMBER(CB264),ISNUMBER(CB156)),IFERROR(CB264/CB156,""),"")</f>
        <v>8.28113175551698</v>
      </c>
      <c r="CC268" s="59" t="n">
        <f aca="false">IF(AND(ISNUMBER(CC264),ISNUMBER(CC156)),IFERROR(CC264/CC156,""),"")</f>
        <v>8.92667590690436</v>
      </c>
      <c r="CD268" s="59" t="n">
        <f aca="false">IF(AND(ISNUMBER(CD264),ISNUMBER(CD156)),IFERROR(CD264/CD156,""),"")</f>
        <v>9.87695720575207</v>
      </c>
      <c r="CE268" s="59" t="n">
        <f aca="false">IF(AND(ISNUMBER(CE264),ISNUMBER(CE156)),IFERROR(CE264/CE156,""),"")</f>
        <v>10.5247978429286</v>
      </c>
    </row>
    <row r="269" customFormat="false" ht="15" hidden="false" customHeight="false" outlineLevel="0" collapsed="false">
      <c r="B269" s="28" t="s">
        <v>382</v>
      </c>
    </row>
    <row r="270" customFormat="false" ht="15" hidden="false" customHeight="false" outlineLevel="0" collapsed="false">
      <c r="B270" s="25" t="s">
        <v>383</v>
      </c>
      <c r="C270" s="26" t="n">
        <f aca="false">IFERROR(-(N(C246)+N(C247))/C133,"")</f>
        <v>0.0383753454824931</v>
      </c>
      <c r="D270" s="26" t="n">
        <f aca="false">IFERROR(-(N(D246)+N(D247))/D133,"")</f>
        <v>0.0351453394416046</v>
      </c>
      <c r="E270" s="26" t="n">
        <f aca="false">IFERROR(-(N(E246)+N(E247))/E133,"")</f>
        <v>0.0172717374940271</v>
      </c>
      <c r="F270" s="26" t="n">
        <f aca="false">IFERROR(-(N(F246)+N(F247))/F133,"")</f>
        <v>0.0249399584213425</v>
      </c>
      <c r="G270" s="26" t="n">
        <f aca="false">IFERROR(-(N(G246)+N(G247))/G133,"")</f>
        <v>0.0195350339037778</v>
      </c>
      <c r="H270" s="26" t="n">
        <f aca="false">IFERROR(-(N(H246)+N(H247))/H133,"")</f>
        <v>0.0323435771606791</v>
      </c>
      <c r="I270" s="26" t="n">
        <f aca="false">IFERROR(-(N(I246)+N(I247))/I133,"")</f>
        <v>0.0294928128153072</v>
      </c>
      <c r="J270" s="26" t="n">
        <f aca="false">IFERROR(-(N(J246)+N(J247))/J133,"")</f>
        <v>0.022331596894598</v>
      </c>
      <c r="K270" s="26" t="n">
        <f aca="false">IFERROR(-(N(K246)+N(K247))/K133,"")</f>
        <v>0.0262377222271594</v>
      </c>
      <c r="L270" s="26" t="n">
        <f aca="false">IFERROR(-(N(L246)+N(L247))/L133,"")</f>
        <v>0.0251647938943161</v>
      </c>
      <c r="M270" s="26" t="n">
        <f aca="false">IFERROR(-(N(M246)+N(M247))/M133,"")</f>
        <v>0.031431046314108</v>
      </c>
      <c r="N270" s="26" t="n">
        <f aca="false">IFERROR(-(N(N246)+N(N247))/N133,"")</f>
        <v>0.0262546327940548</v>
      </c>
      <c r="O270" s="26" t="n">
        <f aca="false">IFERROR(-(N(O246)+N(O247))/O133,"")</f>
        <v>0.0275460102573075</v>
      </c>
      <c r="P270" s="26" t="n">
        <f aca="false">IFERROR(-(N(P246)+N(P247))/P133,"")</f>
        <v>0.0119550051147999</v>
      </c>
      <c r="Q270" s="26" t="n">
        <f aca="false">IFERROR(-(N(Q246)+N(Q247))/Q133,"")</f>
        <v>0.0119644251692686</v>
      </c>
      <c r="R270" s="26" t="n">
        <f aca="false">IFERROR(-(N(R246)+N(R247))/R133,"")</f>
        <v>0.0087004001466673</v>
      </c>
      <c r="S270" s="26" t="n">
        <f aca="false">IFERROR(-(N(S246)+N(S247))/S133,"")</f>
        <v>0.0146947777802129</v>
      </c>
      <c r="T270" s="26" t="n">
        <f aca="false">IFERROR(-(N(T246)+N(T247))/T133,"")</f>
        <v>0.0126944830606921</v>
      </c>
      <c r="U270" s="26" t="n">
        <f aca="false">IFERROR(-(N(U246)+N(U247))/U133,"")</f>
        <v>0.0221551390539333</v>
      </c>
      <c r="V270" s="26" t="n">
        <f aca="false">IFERROR(-(N(V246)+N(V247))/V133,"")</f>
        <v>0.0224372424924606</v>
      </c>
      <c r="W270" s="26" t="n">
        <f aca="false">IFERROR(-(N(W246)+N(W247))/W133,"")</f>
        <v>0.020727884970838</v>
      </c>
      <c r="X270" s="26" t="n">
        <f aca="false">IFERROR(-(N(X246)+N(X247))/X133,"")</f>
        <v>0.0196792565947242</v>
      </c>
      <c r="Y270" s="26" t="n">
        <f aca="false">IFERROR(-(N(Y246)+N(Y247))/Y133,"")</f>
        <v>0.0316419182191768</v>
      </c>
      <c r="Z270" s="26" t="n">
        <f aca="false">IFERROR(-(N(Z246)+N(Z247))/Z133,"")</f>
        <v>0.0440093232247587</v>
      </c>
      <c r="AA270" s="26" t="n">
        <f aca="false">IFERROR(-(N(AA246)+N(AA247))/AA133,"")</f>
        <v>0.0485888028191712</v>
      </c>
      <c r="AB270" s="26" t="n">
        <f aca="false">IFERROR(-(N(AB246)+N(AB247))/AB133,"")</f>
        <v>0.0361984342387394</v>
      </c>
      <c r="AC270" s="26" t="n">
        <f aca="false">IFERROR(-(N(AC246)+N(AC247))/AC133,"")</f>
        <v>0.0401474756841628</v>
      </c>
      <c r="AD270" s="26" t="n">
        <f aca="false">IFERROR(-(N(AD246)+N(AD247))/AD133,"")</f>
        <v>0.0294073159492478</v>
      </c>
      <c r="AE270" s="26" t="n">
        <f aca="false">IFERROR(-(N(AE246)+N(AE247))/AE133,"")</f>
        <v>0.0283205150325294</v>
      </c>
      <c r="AF270" s="26" t="n">
        <f aca="false">IFERROR(-(N(AF246)+N(AF247))/AF133,"")</f>
        <v>0.0226456017216585</v>
      </c>
      <c r="AG270" s="26" t="n">
        <f aca="false">IFERROR(-(N(AG246)+N(AG247))/AG133,"")</f>
        <v>0.0182432828096586</v>
      </c>
      <c r="AH270" s="26" t="n">
        <f aca="false">IFERROR(-(N(AH246)+N(AH247))/AH133,"")</f>
        <v>0.0244695002217014</v>
      </c>
      <c r="AI270" s="26" t="n">
        <f aca="false">IFERROR(-(N(AI246)+N(AI247))/AI133,"")</f>
        <v>0.0247042377281623</v>
      </c>
      <c r="AJ270" s="26" t="n">
        <f aca="false">IFERROR(-(N(AJ246)+N(AJ247))/AJ133,"")</f>
        <v>0.0217727031064078</v>
      </c>
      <c r="AK270" s="26" t="n">
        <f aca="false">IFERROR(-(N(AK246)+N(AK247))/AK133,"")</f>
        <v>0.0281019647169344</v>
      </c>
      <c r="AL270" s="26" t="n">
        <f aca="false">IFERROR(-(N(AL246)+N(AL247))/AL133,"")</f>
        <v>0.0200116842233564</v>
      </c>
      <c r="AM270" s="26" t="n">
        <f aca="false">IFERROR(-(N(AM246)+N(AM247))/AM133,"")</f>
        <v>0.0236101484713897</v>
      </c>
      <c r="AN270" s="26" t="n">
        <f aca="false">IFERROR(-(N(AN246)+N(AN247))/AN133,"")</f>
        <v>0.0204257513258692</v>
      </c>
      <c r="AO270" s="26" t="n">
        <f aca="false">IFERROR(-(N(AO246)+N(AO247))/AO133,"")</f>
        <v>0.0254582748383236</v>
      </c>
      <c r="AP270" s="26" t="n">
        <f aca="false">IFERROR(-(N(AP246)+N(AP247))/AP133,"")</f>
        <v>0.030593703181562</v>
      </c>
      <c r="AQ270" s="26" t="n">
        <f aca="false">IFERROR(-(N(AQ246)+N(AQ247))/AQ133,"")</f>
        <v>0.0337247327951519</v>
      </c>
      <c r="AR270" s="26" t="n">
        <f aca="false">IFERROR(-(N(AR246)+N(AR247))/AR133,"")</f>
        <v>0.0272453804841647</v>
      </c>
      <c r="AS270" s="26" t="n">
        <f aca="false">IFERROR(-(N(AS246)+N(AS247))/AS133,"")</f>
        <v>0.0258877054967577</v>
      </c>
      <c r="AT270" s="26" t="n">
        <f aca="false">IFERROR(-(N(AT246)+N(AT247))/AT133,"")</f>
        <v>0.0168214655962295</v>
      </c>
      <c r="AU270" s="26" t="n">
        <f aca="false">IFERROR(-(N(AU246)+N(AU247))/AU133,"")</f>
        <v>0.025831830068576</v>
      </c>
      <c r="AV270" s="26" t="n">
        <f aca="false">IFERROR(-(N(AV246)+N(AV247))/AV133,"")</f>
        <v>0.0214618672511388</v>
      </c>
      <c r="AW270" s="26" t="n">
        <f aca="false">IFERROR(-(N(AW246)+N(AW247))/AW133,"")</f>
        <v>0.0223894054406309</v>
      </c>
      <c r="AX270" s="26" t="n">
        <f aca="false">IFERROR(-(N(AX246)+N(AX247))/AX133,"")</f>
        <v>0.019228907429027</v>
      </c>
      <c r="AY270" s="26" t="n">
        <f aca="false">IFERROR(-(N(AY246)+N(AY247))/AY133,"")</f>
        <v>0.0217986160795327</v>
      </c>
      <c r="AZ270" s="26" t="n">
        <f aca="false">IFERROR(-(N(AZ246)+N(AZ247))/AZ133,"")</f>
        <v>0.0269227853379326</v>
      </c>
      <c r="BA270" s="26" t="n">
        <f aca="false">IFERROR(-(N(BA246)+N(BA247))/BA133,"")</f>
        <v>0.0214365538961699</v>
      </c>
      <c r="BB270" s="26" t="n">
        <f aca="false">IFERROR(-(N(BB246)+N(BB247))/BB133,"")</f>
        <v>0.0224999992068752</v>
      </c>
      <c r="BC270" s="26" t="n">
        <f aca="false">IFERROR(-(N(BC246)+N(BC247))/BC133,"")</f>
        <v>0.0289440694948996</v>
      </c>
      <c r="BD270" s="26" t="n">
        <f aca="false">IFERROR(-(N(BD246)+N(BD247))/BD133,"")</f>
        <v>0.0418509654298657</v>
      </c>
      <c r="BE270" s="26" t="n">
        <f aca="false">IFERROR(-(N(BE246)+N(BE247))/BE133,"")</f>
        <v>0.0352245393904828</v>
      </c>
      <c r="BF270" s="26" t="n">
        <f aca="false">IFERROR(-(N(BF246)+N(BF247))/BF133,"")</f>
        <v>0.0362456943348773</v>
      </c>
      <c r="BG270" s="26" t="n">
        <f aca="false">IFERROR(-(N(BG246)+N(BG247))/BG133,"")</f>
        <v>0.0357613888767517</v>
      </c>
      <c r="BH270" s="26" t="n">
        <f aca="false">IFERROR(-(N(BH246)+N(BH247))/BH133,"")</f>
        <v>0.0393063415203314</v>
      </c>
      <c r="BI270" s="26" t="n">
        <f aca="false">IFERROR(-(N(BI246)+N(BI247))/BI133,"")</f>
        <v>0.0365907533629053</v>
      </c>
      <c r="BJ270" s="26" t="n">
        <f aca="false">IFERROR(-(N(BJ246)+N(BJ247))/BJ133,"")</f>
        <v>0.0262645132937124</v>
      </c>
      <c r="BK270" s="26" t="n">
        <f aca="false">IFERROR(-(N(BK246)+N(BK247))/BK133,"")</f>
        <v>0.0260837375913925</v>
      </c>
      <c r="BL270" s="26" t="n">
        <f aca="false">IFERROR(-(N(BL246)+N(BL247))/BL133,"")</f>
        <v>0.0322931512150773</v>
      </c>
      <c r="BM270" s="26" t="n">
        <f aca="false">IFERROR(-(N(BM246)+N(BM247))/BM133,"")</f>
        <v>0.0341690878766179</v>
      </c>
      <c r="BN270" s="26" t="n">
        <f aca="false">IFERROR(-(N(BN246)+N(BN247))/BN133,"")</f>
        <v>0.0281302688792262</v>
      </c>
      <c r="BO270" s="26" t="n">
        <f aca="false">IFERROR(-(N(BO246)+N(BO247))/BO133,"")</f>
        <v>0.0235129948466718</v>
      </c>
      <c r="BP270" s="26" t="n">
        <f aca="false">IFERROR(-(N(BP246)+N(BP247))/BP133,"")</f>
        <v>0.0221859329879364</v>
      </c>
      <c r="BQ270" s="26" t="n">
        <f aca="false">IFERROR(-(N(BQ246)+N(BQ247))/BQ133,"")</f>
        <v>0.0268671334033028</v>
      </c>
      <c r="BR270" s="26" t="n">
        <f aca="false">IFERROR(-(N(BR246)+N(BR247))/BR133,"")</f>
        <v>0.0238928639345821</v>
      </c>
      <c r="BS270" s="26" t="n">
        <f aca="false">IFERROR(-(N(BS246)+N(BS247))/BS133,"")</f>
        <v>0.0290797728318555</v>
      </c>
      <c r="BT270" s="26" t="n">
        <f aca="false">IFERROR(-(N(BT246)+N(BT247))/BT133,"")</f>
        <v>0.0263710615131211</v>
      </c>
      <c r="BU270" s="26" t="n">
        <f aca="false">IFERROR(-(N(BU246)+N(BU247))/BU133,"")</f>
        <v>0.0238685933633073</v>
      </c>
      <c r="BV270" s="26" t="n">
        <f aca="false">IFERROR(-(N(BV246)+N(BV247))/BV133,"")</f>
        <v>0.0258455124001158</v>
      </c>
      <c r="BW270" s="26" t="n">
        <f aca="false">IFERROR(-(N(BW246)+N(BW247))/BW133,"")</f>
        <v>0.0227345331441817</v>
      </c>
      <c r="BX270" s="26" t="n">
        <f aca="false">IFERROR(-(N(BX246)+N(BX247))/BX133,"")</f>
        <v>0.0247111655550527</v>
      </c>
      <c r="BY270" s="6"/>
      <c r="BZ270" s="6"/>
      <c r="CA270" s="27" t="n">
        <f aca="false">IFERROR(-(CA246+CA247)/CA133,"")</f>
        <v>0.0243910017781878</v>
      </c>
      <c r="CB270" s="35" t="n">
        <v>0.025</v>
      </c>
      <c r="CC270" s="35" t="n">
        <v>0.025</v>
      </c>
      <c r="CD270" s="35" t="n">
        <v>0.025</v>
      </c>
      <c r="CE270" s="35" t="n">
        <v>0.025</v>
      </c>
      <c r="CF270" s="23" t="s">
        <v>384</v>
      </c>
    </row>
    <row r="271" customFormat="false" ht="15" hidden="false" customHeight="false" outlineLevel="0" collapsed="false">
      <c r="B271" s="25" t="s">
        <v>385</v>
      </c>
      <c r="C271" s="26" t="n">
        <f aca="false">IFERROR(N(C247)/(N(C246)+N(C247)),"")</f>
        <v>-0</v>
      </c>
      <c r="D271" s="26" t="n">
        <f aca="false">IFERROR(N(D247)/(N(D246)+N(D247)),"")</f>
        <v>-0</v>
      </c>
      <c r="E271" s="26" t="n">
        <f aca="false">IFERROR(N(E247)/(N(E246)+N(E247)),"")</f>
        <v>-0</v>
      </c>
      <c r="F271" s="26" t="n">
        <f aca="false">IFERROR(N(F247)/(N(F246)+N(F247)),"")</f>
        <v>-0</v>
      </c>
      <c r="G271" s="26" t="n">
        <f aca="false">IFERROR(N(G247)/(N(G246)+N(G247)),"")</f>
        <v>0.38215294486871</v>
      </c>
      <c r="H271" s="26" t="n">
        <f aca="false">IFERROR(N(H247)/(N(H246)+N(H247)),"")</f>
        <v>0.319547021171837</v>
      </c>
      <c r="I271" s="26" t="n">
        <f aca="false">IFERROR(N(I247)/(N(I246)+N(I247)),"")</f>
        <v>0.287428932406823</v>
      </c>
      <c r="J271" s="26" t="n">
        <f aca="false">IFERROR(N(J247)/(N(J246)+N(J247)),"")</f>
        <v>0.140709442861354</v>
      </c>
      <c r="K271" s="26" t="n">
        <f aca="false">IFERROR(N(K247)/(N(K246)+N(K247)),"")</f>
        <v>0.228145161290323</v>
      </c>
      <c r="L271" s="26" t="n">
        <f aca="false">IFERROR(N(L247)/(N(L246)+N(L247)),"")</f>
        <v>0.181319152585985</v>
      </c>
      <c r="M271" s="26" t="n">
        <f aca="false">IFERROR(N(M247)/(N(M246)+N(M247)),"")</f>
        <v>0.105726556907659</v>
      </c>
      <c r="N271" s="26" t="n">
        <f aca="false">IFERROR(N(N247)/(N(N246)+N(N247)),"")</f>
        <v>0.162884288262872</v>
      </c>
      <c r="O271" s="26" t="n">
        <f aca="false">IFERROR(N(O247)/(N(O246)+N(O247)),"")</f>
        <v>0.116792377927749</v>
      </c>
      <c r="P271" s="26" t="n">
        <f aca="false">IFERROR(N(P247)/(N(P246)+N(P247)),"")</f>
        <v>0.400224755177396</v>
      </c>
      <c r="Q271" s="26" t="n">
        <f aca="false">IFERROR(N(Q247)/(N(Q246)+N(Q247)),"")</f>
        <v>0.298003802281369</v>
      </c>
      <c r="R271" s="26" t="n">
        <f aca="false">IFERROR(N(R247)/(N(R246)+N(R247)),"")</f>
        <v>0.296152084287678</v>
      </c>
      <c r="S271" s="26" t="n">
        <f aca="false">IFERROR(N(S247)/(N(S246)+N(S247)),"")</f>
        <v>0.241949698325537</v>
      </c>
      <c r="T271" s="26" t="n">
        <f aca="false">IFERROR(N(T247)/(N(T246)+N(T247)),"")</f>
        <v>0.415691569156916</v>
      </c>
      <c r="U271" s="26" t="n">
        <f aca="false">IFERROR(N(U247)/(N(U246)+N(U247)),"")</f>
        <v>0.408996058428008</v>
      </c>
      <c r="V271" s="26" t="n">
        <f aca="false">IFERROR(N(V247)/(N(V246)+N(V247)),"")</f>
        <v>0.411252461002575</v>
      </c>
      <c r="W271" s="26" t="n">
        <f aca="false">IFERROR(N(W247)/(N(W246)+N(W247)),"")</f>
        <v>0.256360409094751</v>
      </c>
      <c r="X271" s="26" t="n">
        <f aca="false">IFERROR(N(X247)/(N(X246)+N(X247)),"")</f>
        <v>0.370211908068635</v>
      </c>
      <c r="Y271" s="26" t="n">
        <f aca="false">IFERROR(N(Y247)/(N(Y246)+N(Y247)),"")</f>
        <v>0.263899018232819</v>
      </c>
      <c r="Z271" s="26" t="n">
        <f aca="false">IFERROR(N(Z247)/(N(Z246)+N(Z247)),"")</f>
        <v>0.221368207716722</v>
      </c>
      <c r="AA271" s="26" t="n">
        <f aca="false">IFERROR(N(AA247)/(N(AA246)+N(AA247)),"")</f>
        <v>0.165579509858117</v>
      </c>
      <c r="AB271" s="26" t="n">
        <f aca="false">IFERROR(N(AB247)/(N(AB246)+N(AB247)),"")</f>
        <v>0.147545016235364</v>
      </c>
      <c r="AC271" s="26" t="n">
        <f aca="false">IFERROR(N(AC247)/(N(AC246)+N(AC247)),"")</f>
        <v>0.19669280488205</v>
      </c>
      <c r="AD271" s="26" t="n">
        <f aca="false">IFERROR(N(AD247)/(N(AD246)+N(AD247)),"")</f>
        <v>0.190370813397129</v>
      </c>
      <c r="AE271" s="26" t="n">
        <f aca="false">IFERROR(N(AE247)/(N(AE246)+N(AE247)),"")</f>
        <v>0.349661538461538</v>
      </c>
      <c r="AF271" s="26" t="n">
        <f aca="false">IFERROR(N(AF247)/(N(AF246)+N(AF247)),"")</f>
        <v>0.403108268887567</v>
      </c>
      <c r="AG271" s="26" t="n">
        <f aca="false">IFERROR(N(AG247)/(N(AG246)+N(AG247)),"")</f>
        <v>0.306844799167173</v>
      </c>
      <c r="AH271" s="26" t="n">
        <f aca="false">IFERROR(N(AH247)/(N(AH246)+N(AH247)),"")</f>
        <v>0.307584778669428</v>
      </c>
      <c r="AI271" s="26" t="n">
        <f aca="false">IFERROR(N(AI247)/(N(AI246)+N(AI247)),"")</f>
        <v>0.242126366164392</v>
      </c>
      <c r="AJ271" s="26" t="n">
        <f aca="false">IFERROR(N(AJ247)/(N(AJ246)+N(AJ247)),"")</f>
        <v>0.394664842681259</v>
      </c>
      <c r="AK271" s="26" t="n">
        <f aca="false">IFERROR(N(AK247)/(N(AK246)+N(AK247)),"")</f>
        <v>0.219390894175554</v>
      </c>
      <c r="AL271" s="26" t="n">
        <f aca="false">IFERROR(N(AL247)/(N(AL246)+N(AL247)),"")</f>
        <v>0.355502660319238</v>
      </c>
      <c r="AM271" s="26" t="n">
        <f aca="false">IFERROR(N(AM247)/(N(AM246)+N(AM247)),"")</f>
        <v>0.295454901285403</v>
      </c>
      <c r="AN271" s="26" t="n">
        <f aca="false">IFERROR(N(AN247)/(N(AN246)+N(AN247)),"")</f>
        <v>0.37836278398846</v>
      </c>
      <c r="AO271" s="26" t="n">
        <f aca="false">IFERROR(N(AO247)/(N(AO246)+N(AO247)),"")</f>
        <v>0.539239505056783</v>
      </c>
      <c r="AP271" s="26" t="n">
        <f aca="false">IFERROR(N(AP247)/(N(AP246)+N(AP247)),"")</f>
        <v>0.489808555653027</v>
      </c>
      <c r="AQ271" s="26" t="n">
        <f aca="false">IFERROR(N(AQ247)/(N(AQ246)+N(AQ247)),"")</f>
        <v>0.506761602294847</v>
      </c>
      <c r="AR271" s="26" t="n">
        <f aca="false">IFERROR(N(AR247)/(N(AR246)+N(AR247)),"")</f>
        <v>0.484992549492656</v>
      </c>
      <c r="AS271" s="26" t="n">
        <f aca="false">IFERROR(N(AS247)/(N(AS246)+N(AS247)),"")</f>
        <v>0.466707474665034</v>
      </c>
      <c r="AT271" s="26" t="n">
        <f aca="false">IFERROR(N(AT247)/(N(AT246)+N(AT247)),"")</f>
        <v>0.634287925696594</v>
      </c>
      <c r="AU271" s="26" t="n">
        <f aca="false">IFERROR(N(AU247)/(N(AU246)+N(AU247)),"")</f>
        <v>0.617330180002628</v>
      </c>
      <c r="AV271" s="26" t="n">
        <f aca="false">IFERROR(N(AV247)/(N(AV246)+N(AV247)),"")</f>
        <v>0.586339831248182</v>
      </c>
      <c r="AW271" s="26" t="n">
        <f aca="false">IFERROR(N(AW247)/(N(AW246)+N(AW247)),"")</f>
        <v>0.571682497361551</v>
      </c>
      <c r="AX271" s="26" t="n">
        <f aca="false">IFERROR(N(AX247)/(N(AX246)+N(AX247)),"")</f>
        <v>0.597586257959425</v>
      </c>
      <c r="AY271" s="26" t="n">
        <f aca="false">IFERROR(N(AY247)/(N(AY246)+N(AY247)),"")</f>
        <v>0.545588145245239</v>
      </c>
      <c r="AZ271" s="26" t="n">
        <f aca="false">IFERROR(N(AZ247)/(N(AZ246)+N(AZ247)),"")</f>
        <v>0.39955121436114</v>
      </c>
      <c r="BA271" s="26" t="n">
        <f aca="false">IFERROR(N(BA247)/(N(BA246)+N(BA247)),"")</f>
        <v>0.580868333605709</v>
      </c>
      <c r="BB271" s="26" t="n">
        <f aca="false">IFERROR(N(BB247)/(N(BB246)+N(BB247)),"")</f>
        <v>0.517822396435521</v>
      </c>
      <c r="BC271" s="26" t="n">
        <f aca="false">IFERROR(N(BC247)/(N(BC246)+N(BC247)),"")</f>
        <v>0.616988829158565</v>
      </c>
      <c r="BD271" s="26" t="n">
        <f aca="false">IFERROR(N(BD247)/(N(BD246)+N(BD247)),"")</f>
        <v>0.380761569463103</v>
      </c>
      <c r="BE271" s="26" t="n">
        <f aca="false">IFERROR(N(BE247)/(N(BE246)+N(BE247)),"")</f>
        <v>0.553998272055294</v>
      </c>
      <c r="BF271" s="26" t="n">
        <f aca="false">IFERROR(N(BF247)/(N(BF246)+N(BF247)),"")</f>
        <v>0.597888158603599</v>
      </c>
      <c r="BG271" s="26" t="n">
        <f aca="false">IFERROR(N(BG247)/(N(BG246)+N(BG247)),"")</f>
        <v>0.518159957041799</v>
      </c>
      <c r="BH271" s="26" t="n">
        <f aca="false">IFERROR(N(BH247)/(N(BH246)+N(BH247)),"")</f>
        <v>0.578070500927644</v>
      </c>
      <c r="BI271" s="26" t="n">
        <f aca="false">IFERROR(N(BI247)/(N(BI246)+N(BI247)),"")</f>
        <v>0.576690895651103</v>
      </c>
      <c r="BJ271" s="26" t="n">
        <f aca="false">IFERROR(N(BJ247)/(N(BJ246)+N(BJ247)),"")</f>
        <v>0.747511095118148</v>
      </c>
      <c r="BK271" s="26" t="n">
        <f aca="false">IFERROR(N(BK247)/(N(BK246)+N(BK247)),"")</f>
        <v>0.745909766980664</v>
      </c>
      <c r="BL271" s="26" t="n">
        <f aca="false">IFERROR(N(BL247)/(N(BL246)+N(BL247)),"")</f>
        <v>0.643459238387369</v>
      </c>
      <c r="BM271" s="26" t="n">
        <f aca="false">IFERROR(N(BM247)/(N(BM246)+N(BM247)),"")</f>
        <v>0.616445670552639</v>
      </c>
      <c r="BN271" s="26" t="n">
        <f aca="false">IFERROR(N(BN247)/(N(BN246)+N(BN247)),"")</f>
        <v>0.657754563789626</v>
      </c>
      <c r="BO271" s="26" t="n">
        <f aca="false">IFERROR(N(BO247)/(N(BO246)+N(BO247)),"")</f>
        <v>0.725879222582138</v>
      </c>
      <c r="BP271" s="26" t="n">
        <f aca="false">IFERROR(N(BP247)/(N(BP246)+N(BP247)),"")</f>
        <v>0.823819869642504</v>
      </c>
      <c r="BQ271" s="26" t="n">
        <f aca="false">IFERROR(N(BQ247)/(N(BQ246)+N(BQ247)),"")</f>
        <v>0.695065151841482</v>
      </c>
      <c r="BR271" s="26" t="n">
        <f aca="false">IFERROR(N(BR247)/(N(BR246)+N(BR247)),"")</f>
        <v>0.791816938191767</v>
      </c>
      <c r="BS271" s="26" t="n">
        <f aca="false">IFERROR(N(BS247)/(N(BS246)+N(BS247)),"")</f>
        <v>0.638275708120443</v>
      </c>
      <c r="BT271" s="26" t="n">
        <f aca="false">IFERROR(N(BT247)/(N(BT246)+N(BT247)),"")</f>
        <v>0.679108485499463</v>
      </c>
      <c r="BU271" s="26" t="n">
        <f aca="false">IFERROR(N(BU247)/(N(BU246)+N(BU247)),"")</f>
        <v>0.80786889427369</v>
      </c>
      <c r="BV271" s="26" t="n">
        <f aca="false">IFERROR(N(BV247)/(N(BV246)+N(BV247)),"")</f>
        <v>0.721758360149129</v>
      </c>
      <c r="BW271" s="26" t="n">
        <f aca="false">IFERROR(N(BW247)/(N(BW246)+N(BW247)),"")</f>
        <v>0.824520511454449</v>
      </c>
      <c r="BX271" s="26" t="n">
        <f aca="false">IFERROR(N(BX247)/(N(BX246)+N(BX247)),"")</f>
        <v>0.727187979820136</v>
      </c>
      <c r="BY271" s="6"/>
      <c r="BZ271" s="6"/>
      <c r="CA271" s="35" t="n">
        <v>0.75</v>
      </c>
      <c r="CB271" s="35" t="n">
        <v>0.72</v>
      </c>
      <c r="CC271" s="35" t="n">
        <v>0.72</v>
      </c>
      <c r="CD271" s="35" t="n">
        <v>0.72</v>
      </c>
      <c r="CE271" s="35" t="n">
        <v>0.72</v>
      </c>
    </row>
    <row r="272" customFormat="false" ht="15" hidden="false" customHeight="false" outlineLevel="0" collapsed="false">
      <c r="B272" s="28" t="s">
        <v>386</v>
      </c>
      <c r="C272" s="65" t="n">
        <f aca="false">IFERROR(-(N(C246)+N(C247))/C152,"")</f>
        <v>1.73587665050978</v>
      </c>
      <c r="D272" s="65" t="n">
        <f aca="false">IFERROR(-(N(D246)+N(D247))/D152,"")</f>
        <v>1.5973470730103</v>
      </c>
      <c r="E272" s="65" t="n">
        <f aca="false">IFERROR(-(N(E246)+N(E247))/E152,"")</f>
        <v>0.762033115132846</v>
      </c>
      <c r="F272" s="65" t="n">
        <f aca="false">IFERROR(-(N(F246)+N(F247))/F152,"")</f>
        <v>1.12951432129514</v>
      </c>
      <c r="G272" s="65" t="n">
        <f aca="false">IFERROR(-(N(G246)+N(G247))/G152,"")</f>
        <v>0.97643774047465</v>
      </c>
      <c r="H272" s="65" t="n">
        <f aca="false">IFERROR(-(N(H246)+N(H247))/H152,"")</f>
        <v>1.62489999384578</v>
      </c>
      <c r="I272" s="65" t="n">
        <f aca="false">IFERROR(-(N(I246)+N(I247))/I152,"")</f>
        <v>1.32990286164348</v>
      </c>
      <c r="J272" s="65" t="n">
        <f aca="false">IFERROR(-(N(J246)+N(J247))/J152,"")</f>
        <v>0.737089881943941</v>
      </c>
      <c r="K272" s="65" t="n">
        <f aca="false">IFERROR(-(N(K246)+N(K247))/K152,"")</f>
        <v>0.876634853305055</v>
      </c>
      <c r="L272" s="65" t="n">
        <f aca="false">IFERROR(-(N(L246)+N(L247))/L152,"")</f>
        <v>0.826879432624114</v>
      </c>
      <c r="M272" s="65" t="n">
        <f aca="false">IFERROR(-(N(M246)+N(M247))/M152,"")</f>
        <v>0.942009440323668</v>
      </c>
      <c r="N272" s="65" t="n">
        <f aca="false">IFERROR(-(N(N246)+N(N247))/N152,"")</f>
        <v>0.847473717520481</v>
      </c>
      <c r="O272" s="65" t="n">
        <f aca="false">IFERROR(-(N(O246)+N(O247))/O152,"")</f>
        <v>0.865695236786033</v>
      </c>
      <c r="P272" s="65" t="n">
        <f aca="false">IFERROR(-(N(P246)+N(P247))/P152,"")</f>
        <v>0.420878378378378</v>
      </c>
      <c r="Q272" s="65" t="n">
        <f aca="false">IFERROR(-(N(Q246)+N(Q247))/Q152,"")</f>
        <v>0.4478819271979</v>
      </c>
      <c r="R272" s="65" t="n">
        <f aca="false">IFERROR(-(N(R246)+N(R247))/R152,"")</f>
        <v>0.32181027493182</v>
      </c>
      <c r="S272" s="65" t="n">
        <f aca="false">IFERROR(-(N(S246)+N(S247))/S152,"")</f>
        <v>0.517497237278325</v>
      </c>
      <c r="T272" s="65" t="n">
        <f aca="false">IFERROR(-(N(T246)+N(T247))/T152,"")</f>
        <v>0.41039216893431</v>
      </c>
      <c r="U272" s="65" t="n">
        <f aca="false">IFERROR(-(N(U246)+N(U247))/U152,"")</f>
        <v>0.787091672242837</v>
      </c>
      <c r="V272" s="65" t="n">
        <f aca="false">IFERROR(-(N(V246)+N(V247))/V152,"")</f>
        <v>0.784623611193631</v>
      </c>
      <c r="W272" s="65" t="n">
        <f aca="false">IFERROR(-(N(W246)+N(W247))/W152,"")</f>
        <v>0.70022490530303</v>
      </c>
      <c r="X272" s="65" t="n">
        <f aca="false">IFERROR(-(N(X246)+N(X247))/X152,"")</f>
        <v>0.672228161845533</v>
      </c>
      <c r="Y272" s="65" t="n">
        <f aca="false">IFERROR(-(N(Y246)+N(Y247))/Y152,"")</f>
        <v>1.0562962962963</v>
      </c>
      <c r="Z272" s="65" t="n">
        <f aca="false">IFERROR(-(N(Z246)+N(Z247))/Z152,"")</f>
        <v>1.43813242410911</v>
      </c>
      <c r="AA272" s="65" t="n">
        <f aca="false">IFERROR(-(N(AA246)+N(AA247))/AA152,"")</f>
        <v>1.53678427818995</v>
      </c>
      <c r="AB272" s="65" t="n">
        <f aca="false">IFERROR(-(N(AB246)+N(AB247))/AB152,"")</f>
        <v>0.925887122488954</v>
      </c>
      <c r="AC272" s="65" t="n">
        <f aca="false">IFERROR(-(N(AC246)+N(AC247))/AC152,"")</f>
        <v>1.22456441093359</v>
      </c>
      <c r="AD272" s="65" t="n">
        <f aca="false">IFERROR(-(N(AD246)+N(AD247))/AD152,"")</f>
        <v>0.745396995229816</v>
      </c>
      <c r="AE272" s="65" t="n">
        <f aca="false">IFERROR(-(N(AE246)+N(AE247))/AE152,"")</f>
        <v>0.708184433016648</v>
      </c>
      <c r="AF272" s="65" t="n">
        <f aca="false">IFERROR(-(N(AF246)+N(AF247))/AF152,"")</f>
        <v>0.56119851437633</v>
      </c>
      <c r="AG272" s="65" t="n">
        <f aca="false">IFERROR(-(N(AG246)+N(AG247))/AG152,"")</f>
        <v>0.487667639717392</v>
      </c>
      <c r="AH272" s="65" t="n">
        <f aca="false">IFERROR(-(N(AH246)+N(AH247))/AH152,"")</f>
        <v>0.623218645471461</v>
      </c>
      <c r="AI272" s="65" t="n">
        <f aca="false">IFERROR(-(N(AI246)+N(AI247))/AI152,"")</f>
        <v>0.637886225815767</v>
      </c>
      <c r="AJ272" s="65" t="n">
        <f aca="false">IFERROR(-(N(AJ246)+N(AJ247))/AJ152,"")</f>
        <v>0.603185081277333</v>
      </c>
      <c r="AK272" s="65" t="n">
        <f aca="false">IFERROR(-(N(AK246)+N(AK247))/AK152,"")</f>
        <v>0.815282364251975</v>
      </c>
      <c r="AL272" s="65" t="n">
        <f aca="false">IFERROR(-(N(AL246)+N(AL247))/AL152,"")</f>
        <v>0.587166522793604</v>
      </c>
      <c r="AM272" s="65" t="n">
        <f aca="false">IFERROR(-(N(AM246)+N(AM247))/AM152,"")</f>
        <v>0.660308697495064</v>
      </c>
      <c r="AN272" s="65" t="n">
        <f aca="false">IFERROR(-(N(AN246)+N(AN247))/AN152,"")</f>
        <v>0.564535830618893</v>
      </c>
      <c r="AO272" s="65" t="n">
        <f aca="false">IFERROR(-(N(AO246)+N(AO247))/AO152,"")</f>
        <v>0.705645482816362</v>
      </c>
      <c r="AP272" s="65" t="n">
        <f aca="false">IFERROR(-(N(AP246)+N(AP247))/AP152,"")</f>
        <v>0.760557299843014</v>
      </c>
      <c r="AQ272" s="65" t="n">
        <f aca="false">IFERROR(-(N(AQ246)+N(AQ247))/AQ152,"")</f>
        <v>0.770797962648557</v>
      </c>
      <c r="AR272" s="65" t="n">
        <f aca="false">IFERROR(-(N(AR246)+N(AR247))/AR152,"")</f>
        <v>0.701500263815469</v>
      </c>
      <c r="AS272" s="65" t="n">
        <f aca="false">IFERROR(-(N(AS246)+N(AS247))/AS152,"")</f>
        <v>0.602754888697577</v>
      </c>
      <c r="AT272" s="65" t="n">
        <f aca="false">IFERROR(-(N(AT246)+N(AT247))/AT152,"")</f>
        <v>0.401273390791211</v>
      </c>
      <c r="AU272" s="65" t="n">
        <f aca="false">IFERROR(-(N(AU246)+N(AU247))/AU152,"")</f>
        <v>0.565537226928221</v>
      </c>
      <c r="AV272" s="65" t="n">
        <f aca="false">IFERROR(-(N(AV246)+N(AV247))/AV152,"")</f>
        <v>0.55750202757502</v>
      </c>
      <c r="AW272" s="65" t="n">
        <f aca="false">IFERROR(-(N(AW246)+N(AW247))/AW152,"")</f>
        <v>0.530920994426259</v>
      </c>
      <c r="AX272" s="65" t="n">
        <f aca="false">IFERROR(-(N(AX246)+N(AX247))/AX152,"")</f>
        <v>0.580204484921385</v>
      </c>
      <c r="AY272" s="65" t="n">
        <f aca="false">IFERROR(-(N(AY246)+N(AY247))/AY152,"")</f>
        <v>0.711993721933993</v>
      </c>
      <c r="AZ272" s="65" t="n">
        <f aca="false">IFERROR(-(N(AZ246)+N(AZ247))/AZ152,"")</f>
        <v>1.01437115058466</v>
      </c>
      <c r="BA272" s="65" t="n">
        <f aca="false">IFERROR(-(N(BA246)+N(BA247))/BA152,"")</f>
        <v>0.810893188444209</v>
      </c>
      <c r="BB272" s="65" t="n">
        <f aca="false">IFERROR(-(N(BB246)+N(BB247))/BB152,"")</f>
        <v>0.77715074677566</v>
      </c>
      <c r="BC272" s="65" t="n">
        <f aca="false">IFERROR(-(N(BC246)+N(BC247))/BC152,"")</f>
        <v>1.16645913012541</v>
      </c>
      <c r="BD272" s="65" t="n">
        <f aca="false">IFERROR(-(N(BD246)+N(BD247))/BD152,"")</f>
        <v>1.85598830711031</v>
      </c>
      <c r="BE272" s="65" t="n">
        <f aca="false">IFERROR(-(N(BE246)+N(BE247))/BE152,"")</f>
        <v>1.36021762785637</v>
      </c>
      <c r="BF272" s="65" t="n">
        <f aca="false">IFERROR(-(N(BF246)+N(BF247))/BF152,"")</f>
        <v>1.15756870244876</v>
      </c>
      <c r="BG272" s="65" t="n">
        <f aca="false">IFERROR(-(N(BG246)+N(BG247))/BG152,"")</f>
        <v>1.38502414417522</v>
      </c>
      <c r="BH272" s="65" t="n">
        <f aca="false">IFERROR(-(N(BH246)+N(BH247))/BH152,"")</f>
        <v>1.10541427399508</v>
      </c>
      <c r="BI272" s="65" t="n">
        <f aca="false">IFERROR(-(N(BI246)+N(BI247))/BI152,"")</f>
        <v>0.937478344562079</v>
      </c>
      <c r="BJ272" s="65" t="n">
        <f aca="false">IFERROR(-(N(BJ246)+N(BJ247))/BJ152,"")</f>
        <v>0.652756028813029</v>
      </c>
      <c r="BK272" s="65" t="n">
        <f aca="false">IFERROR(-(N(BK246)+N(BK247))/BK152,"")</f>
        <v>0.698951745646712</v>
      </c>
      <c r="BL272" s="65" t="n">
        <f aca="false">IFERROR(-(N(BL246)+N(BL247))/BL152,"")</f>
        <v>0.849734808304289</v>
      </c>
      <c r="BM272" s="65" t="n">
        <f aca="false">IFERROR(-(N(BM246)+N(BM247))/BM152,"")</f>
        <v>0.941201105620236</v>
      </c>
      <c r="BN272" s="65" t="n">
        <f aca="false">IFERROR(-(N(BN246)+N(BN247))/BN152,"")</f>
        <v>0.771812884170192</v>
      </c>
      <c r="BO272" s="65" t="n">
        <f aca="false">IFERROR(-(N(BO246)+N(BO247))/BO152,"")</f>
        <v>0.721897444463003</v>
      </c>
      <c r="BP272" s="65" t="n">
        <f aca="false">IFERROR(-(N(BP246)+N(BP247))/BP152,"")</f>
        <v>0.625576606260297</v>
      </c>
      <c r="BQ272" s="65" t="n">
        <f aca="false">IFERROR(-(N(BQ246)+N(BQ247))/BQ152,"")</f>
        <v>0.764594483326472</v>
      </c>
      <c r="BR272" s="65" t="n">
        <f aca="false">IFERROR(-(N(BR246)+N(BR247))/BR152,"")</f>
        <v>0.62717416738164</v>
      </c>
      <c r="BS272" s="65" t="n">
        <f aca="false">IFERROR(-(N(BS246)+N(BS247))/BS152,"")</f>
        <v>0.810705380841309</v>
      </c>
      <c r="BT272" s="65" t="n">
        <f aca="false">IFERROR(-(N(BT246)+N(BT247))/BT152,"")</f>
        <v>0.720895117890743</v>
      </c>
      <c r="BU272" s="65" t="n">
        <f aca="false">IFERROR(-(N(BU246)+N(BU247))/BU152,"")</f>
        <v>0.592198179827046</v>
      </c>
      <c r="BV272" s="65" t="n">
        <f aca="false">IFERROR(-(N(BV246)+N(BV247))/BV152,"")</f>
        <v>0.68609581979809</v>
      </c>
      <c r="BW272" s="65" t="n">
        <f aca="false">IFERROR(-(N(BW246)+N(BW247))/BW152,"")</f>
        <v>0.604216964429422</v>
      </c>
      <c r="BX272" s="65" t="n">
        <f aca="false">IFERROR(-(N(BX246)+N(BX247))/BX152,"")</f>
        <v>0.808010988524082</v>
      </c>
      <c r="BY272" s="6"/>
      <c r="BZ272" s="6"/>
      <c r="CA272" s="66" t="n">
        <f aca="false">IFERROR(-(CA246+CA247)/CA152,"")</f>
        <v>0.757395555932108</v>
      </c>
      <c r="CB272" s="66" t="n">
        <f aca="false">IFERROR(-(CB246+CB247)/CB152,"")</f>
        <v>0.714285714285714</v>
      </c>
      <c r="CC272" s="66" t="n">
        <f aca="false">IFERROR(-(CC246+CC247)/CC152,"")</f>
        <v>0.707224060590926</v>
      </c>
      <c r="CD272" s="66" t="n">
        <f aca="false">IFERROR(-(CD246+CD247)/CD152,"")</f>
        <v>0.691655295599624</v>
      </c>
      <c r="CE272" s="66" t="n">
        <f aca="false">IFERROR(-(CE246+CE247)/CE152,"")</f>
        <v>0.675853727296438</v>
      </c>
    </row>
    <row r="274" customFormat="false" ht="15" hidden="false" customHeight="false" outlineLevel="0" collapsed="false">
      <c r="B274" s="8" t="s">
        <v>387</v>
      </c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10"/>
    </row>
    <row r="275" customFormat="false" ht="15" hidden="false" customHeight="false" outlineLevel="0" collapsed="false">
      <c r="B275" s="28" t="s">
        <v>388</v>
      </c>
    </row>
    <row r="276" customFormat="false" ht="15" hidden="false" customHeight="false" outlineLevel="0" collapsed="false">
      <c r="B276" s="28" t="s">
        <v>389</v>
      </c>
      <c r="C276" s="37" t="n">
        <v>348.592</v>
      </c>
      <c r="D276" s="37" t="n">
        <v>338.885</v>
      </c>
      <c r="E276" s="37" t="n">
        <v>494.743</v>
      </c>
      <c r="F276" s="37" t="n">
        <v>337.308</v>
      </c>
      <c r="G276" s="37" t="n">
        <v>398.607</v>
      </c>
      <c r="H276" s="37" t="n">
        <v>373.669</v>
      </c>
      <c r="I276" s="37" t="n">
        <v>210.019</v>
      </c>
      <c r="J276" s="37" t="n">
        <v>159.9</v>
      </c>
      <c r="K276" s="37" t="n">
        <v>150.017</v>
      </c>
      <c r="L276" s="37" t="n">
        <v>129.723</v>
      </c>
      <c r="M276" s="37" t="n">
        <v>162.047</v>
      </c>
      <c r="N276" s="37" t="n">
        <v>162.047</v>
      </c>
      <c r="O276" s="37" t="n">
        <v>142.813</v>
      </c>
      <c r="P276" s="37" t="n">
        <v>144.215</v>
      </c>
      <c r="Q276" s="37" t="n">
        <v>127.716</v>
      </c>
      <c r="R276" s="37" t="n">
        <v>128.94</v>
      </c>
      <c r="S276" s="37" t="n">
        <v>128.94</v>
      </c>
      <c r="T276" s="37" t="n">
        <v>135.783</v>
      </c>
      <c r="U276" s="37" t="n">
        <v>171.451</v>
      </c>
      <c r="V276" s="37" t="n">
        <v>143.087</v>
      </c>
      <c r="W276" s="37" t="n">
        <v>168.229</v>
      </c>
      <c r="X276" s="37" t="n">
        <v>168.229</v>
      </c>
      <c r="Y276" s="37" t="n">
        <v>179.406</v>
      </c>
      <c r="Z276" s="37" t="n">
        <v>207.083</v>
      </c>
      <c r="AA276" s="37" t="n">
        <v>224.449</v>
      </c>
      <c r="AB276" s="37" t="n">
        <v>247.666</v>
      </c>
      <c r="AC276" s="37" t="n">
        <v>247.666</v>
      </c>
      <c r="AD276" s="37" t="n">
        <v>229.794</v>
      </c>
      <c r="AE276" s="37" t="n">
        <v>273.182</v>
      </c>
      <c r="AF276" s="37" t="n">
        <v>297.307</v>
      </c>
      <c r="AG276" s="37" t="n">
        <v>333.89</v>
      </c>
      <c r="AH276" s="37" t="n">
        <v>333.89</v>
      </c>
      <c r="AI276" s="37" t="n">
        <v>349.782</v>
      </c>
      <c r="AJ276" s="37" t="n">
        <v>310.575</v>
      </c>
      <c r="AK276" s="37" t="n">
        <v>297.801</v>
      </c>
      <c r="AL276" s="37" t="n">
        <v>378.615</v>
      </c>
      <c r="AM276" s="37" t="n">
        <v>378.615</v>
      </c>
      <c r="AN276" s="37" t="n">
        <v>445.473</v>
      </c>
      <c r="AO276" s="37" t="n">
        <v>355.307</v>
      </c>
      <c r="AP276" s="37" t="n">
        <v>384.424</v>
      </c>
      <c r="AQ276" s="37" t="n">
        <v>447.858</v>
      </c>
      <c r="AR276" s="37" t="n">
        <v>447.858</v>
      </c>
      <c r="AS276" s="37" t="n">
        <v>294.572</v>
      </c>
      <c r="AT276" s="37" t="n">
        <v>362.236</v>
      </c>
      <c r="AU276" s="37" t="n">
        <v>252.569</v>
      </c>
      <c r="AV276" s="37" t="n">
        <v>243.796</v>
      </c>
      <c r="AW276" s="37" t="n">
        <v>243.796</v>
      </c>
      <c r="AX276" s="37" t="n">
        <v>217.611</v>
      </c>
      <c r="AY276" s="37" t="n">
        <v>172.803</v>
      </c>
      <c r="AZ276" s="37" t="n">
        <v>202.649</v>
      </c>
      <c r="BA276" s="37" t="n">
        <v>257.413</v>
      </c>
      <c r="BB276" s="37" t="n">
        <v>257.413</v>
      </c>
      <c r="BC276" s="37" t="n">
        <v>242.809</v>
      </c>
      <c r="BD276" s="37" t="n">
        <v>238.925</v>
      </c>
      <c r="BE276" s="37" t="n">
        <v>187.532</v>
      </c>
      <c r="BF276" s="37" t="n">
        <v>217.482</v>
      </c>
      <c r="BG276" s="37" t="n">
        <v>217.482</v>
      </c>
      <c r="BH276" s="37" t="n">
        <v>239.16</v>
      </c>
      <c r="BI276" s="37" t="n">
        <v>210.155</v>
      </c>
      <c r="BJ276" s="37" t="n">
        <v>174.733</v>
      </c>
      <c r="BK276" s="37" t="n">
        <v>145.524</v>
      </c>
      <c r="BL276" s="37" t="n">
        <v>145.524</v>
      </c>
      <c r="BM276" s="37" t="n">
        <v>121.838</v>
      </c>
      <c r="BN276" s="37" t="n">
        <v>113.166</v>
      </c>
      <c r="BO276" s="37" t="n">
        <v>131.704</v>
      </c>
      <c r="BP276" s="37" t="n">
        <v>145.762</v>
      </c>
      <c r="BQ276" s="37" t="n">
        <v>145.762</v>
      </c>
      <c r="BR276" s="37" t="n">
        <v>129.942</v>
      </c>
      <c r="BS276" s="37" t="n">
        <v>155.993</v>
      </c>
      <c r="BT276" s="37" t="n">
        <v>136.837</v>
      </c>
      <c r="BU276" s="37" t="n">
        <v>160.871</v>
      </c>
      <c r="BV276" s="37" t="n">
        <v>160.871</v>
      </c>
      <c r="BW276" s="37" t="n">
        <v>159.665</v>
      </c>
      <c r="BX276" s="37" t="n">
        <v>154.59</v>
      </c>
      <c r="BY276" s="6"/>
      <c r="BZ276" s="6"/>
      <c r="CA276" s="49" t="n">
        <f aca="false">CA261</f>
        <v>150</v>
      </c>
      <c r="CB276" s="49" t="n">
        <f aca="false">CB261</f>
        <v>150</v>
      </c>
      <c r="CC276" s="49" t="n">
        <f aca="false">CC261</f>
        <v>150</v>
      </c>
      <c r="CD276" s="49" t="n">
        <f aca="false">CD261</f>
        <v>150</v>
      </c>
      <c r="CE276" s="49" t="n">
        <f aca="false">CE261</f>
        <v>150</v>
      </c>
    </row>
    <row r="277" customFormat="false" ht="15" hidden="false" customHeight="false" outlineLevel="0" collapsed="false">
      <c r="B277" s="28" t="s">
        <v>390</v>
      </c>
      <c r="C277" s="37" t="n">
        <v>124.767</v>
      </c>
      <c r="D277" s="37" t="n">
        <v>115.842</v>
      </c>
      <c r="E277" s="37" t="n">
        <v>2.644</v>
      </c>
      <c r="F277" s="37" t="n">
        <v>48.31</v>
      </c>
      <c r="G277" s="37" t="n">
        <v>9.29</v>
      </c>
      <c r="H277" s="37" t="n">
        <v>0</v>
      </c>
      <c r="BY277" s="6"/>
      <c r="BZ277" s="6"/>
      <c r="CA277" s="6"/>
      <c r="CB277" s="6"/>
      <c r="CC277" s="6"/>
      <c r="CD277" s="6"/>
      <c r="CE277" s="6"/>
    </row>
    <row r="278" customFormat="false" ht="15" hidden="false" customHeight="false" outlineLevel="0" collapsed="false">
      <c r="B278" s="28" t="s">
        <v>391</v>
      </c>
      <c r="C278" s="37" t="n">
        <v>764.995</v>
      </c>
      <c r="D278" s="37" t="n">
        <v>911.78</v>
      </c>
      <c r="E278" s="37" t="n">
        <v>828.884</v>
      </c>
      <c r="F278" s="37" t="n">
        <v>885.543</v>
      </c>
      <c r="G278" s="37" t="n">
        <v>1036.07</v>
      </c>
      <c r="H278" s="37" t="n">
        <v>1189.637</v>
      </c>
      <c r="I278" s="37" t="n">
        <v>1412.136</v>
      </c>
      <c r="J278" s="37" t="n">
        <v>1469.826</v>
      </c>
      <c r="K278" s="37" t="n">
        <v>1570.886</v>
      </c>
      <c r="L278" s="37" t="n">
        <v>1564.997</v>
      </c>
      <c r="M278" s="37" t="n">
        <v>1449.581</v>
      </c>
      <c r="N278" s="37" t="n">
        <v>1449.581</v>
      </c>
      <c r="O278" s="37" t="n">
        <v>1612.034</v>
      </c>
      <c r="P278" s="37" t="n">
        <v>1699.787</v>
      </c>
      <c r="Q278" s="37" t="n">
        <v>1640.634</v>
      </c>
      <c r="R278" s="37" t="n">
        <v>1571.591</v>
      </c>
      <c r="S278" s="37" t="n">
        <v>1571.591</v>
      </c>
      <c r="T278" s="37" t="n">
        <v>1651.427</v>
      </c>
      <c r="U278" s="37" t="n">
        <v>1706.429</v>
      </c>
      <c r="V278" s="37" t="n">
        <v>1651.794</v>
      </c>
      <c r="W278" s="37" t="n">
        <v>1505.62</v>
      </c>
      <c r="X278" s="37" t="n">
        <v>1505.62</v>
      </c>
      <c r="Y278" s="37" t="n">
        <v>1463.24</v>
      </c>
      <c r="Z278" s="37" t="n">
        <v>1602.631</v>
      </c>
      <c r="AA278" s="37" t="n">
        <v>1682.686</v>
      </c>
      <c r="AB278" s="37" t="n">
        <v>1676.003</v>
      </c>
      <c r="AC278" s="37" t="n">
        <v>1676.003</v>
      </c>
      <c r="AD278" s="37" t="n">
        <v>1802.777</v>
      </c>
      <c r="AE278" s="37" t="n">
        <v>1948.204</v>
      </c>
      <c r="AF278" s="37" t="n">
        <v>2104.314</v>
      </c>
      <c r="AG278" s="37" t="n">
        <v>2113.93</v>
      </c>
      <c r="AH278" s="37" t="n">
        <v>2113.93</v>
      </c>
      <c r="AI278" s="37" t="n">
        <v>2019.333</v>
      </c>
      <c r="AJ278" s="37" t="n">
        <v>2202.46</v>
      </c>
      <c r="AK278" s="37" t="n">
        <v>2251.944</v>
      </c>
      <c r="AL278" s="37" t="n">
        <v>2162.438</v>
      </c>
      <c r="AM278" s="37" t="n">
        <v>2162.438</v>
      </c>
      <c r="AN278" s="37" t="n">
        <v>2057.931</v>
      </c>
      <c r="AO278" s="37" t="n">
        <v>2100.246</v>
      </c>
      <c r="AP278" s="37" t="n">
        <v>2074.449</v>
      </c>
      <c r="AQ278" s="37" t="n">
        <v>1974.381</v>
      </c>
      <c r="AR278" s="37" t="n">
        <v>1974.381</v>
      </c>
      <c r="AS278" s="37" t="n">
        <v>2092.613</v>
      </c>
      <c r="AT278" s="37" t="n">
        <v>2018.19</v>
      </c>
      <c r="AU278" s="37" t="n">
        <v>2346.384</v>
      </c>
      <c r="AV278" s="37" t="n">
        <v>2449.577</v>
      </c>
      <c r="AW278" s="37" t="n">
        <v>2449.577</v>
      </c>
      <c r="AX278" s="37" t="n">
        <v>2874.463</v>
      </c>
      <c r="AY278" s="37" t="n">
        <v>3166.769</v>
      </c>
      <c r="AZ278" s="37" t="n">
        <v>3721.571</v>
      </c>
      <c r="BA278" s="37" t="n">
        <v>3963.487</v>
      </c>
      <c r="BB278" s="37" t="n">
        <v>3963.487</v>
      </c>
      <c r="BC278" s="37" t="n">
        <v>4391.512</v>
      </c>
      <c r="BD278" s="37" t="n">
        <v>4302.321</v>
      </c>
      <c r="BE278" s="37" t="n">
        <v>3802.16</v>
      </c>
      <c r="BF278" s="37" t="n">
        <v>2991.753</v>
      </c>
      <c r="BG278" s="37" t="n">
        <v>2991.753</v>
      </c>
      <c r="BH278" s="37" t="n">
        <v>2681.58</v>
      </c>
      <c r="BI278" s="37" t="n">
        <v>2505.13</v>
      </c>
      <c r="BJ278" s="37" t="n">
        <v>2442.297</v>
      </c>
      <c r="BK278" s="37" t="n">
        <v>2381.963</v>
      </c>
      <c r="BL278" s="37" t="n">
        <v>2381.963</v>
      </c>
      <c r="BM278" s="37" t="n">
        <v>2592.576</v>
      </c>
      <c r="BN278" s="37" t="n">
        <v>2650.8</v>
      </c>
      <c r="BO278" s="37" t="n">
        <v>2630.35</v>
      </c>
      <c r="BP278" s="37" t="n">
        <v>2383.709</v>
      </c>
      <c r="BQ278" s="37" t="n">
        <v>2383.709</v>
      </c>
      <c r="BR278" s="37" t="n">
        <v>2482.842</v>
      </c>
      <c r="BS278" s="37" t="n">
        <v>2538.082</v>
      </c>
      <c r="BT278" s="37" t="n">
        <v>2542.704</v>
      </c>
      <c r="BU278" s="37" t="n">
        <v>2360.829</v>
      </c>
      <c r="BV278" s="37" t="n">
        <v>2360.829</v>
      </c>
      <c r="BW278" s="37" t="n">
        <v>2542.172</v>
      </c>
      <c r="BX278" s="37" t="n">
        <v>3055.149</v>
      </c>
      <c r="BY278" s="6"/>
      <c r="BZ278" s="6"/>
      <c r="CA278" s="49" t="n">
        <f aca="false">CA125*CA320/365-CA279</f>
        <v>2728.70026732421</v>
      </c>
      <c r="CB278" s="49" t="n">
        <f aca="false">CB125*CB320/365-CB279</f>
        <v>2811.60974084984</v>
      </c>
      <c r="CC278" s="49" t="n">
        <f aca="false">CC125*CC320/365-CC279</f>
        <v>2902.40357762784</v>
      </c>
      <c r="CD278" s="49" t="n">
        <f aca="false">CD125*CD320/365-CD279</f>
        <v>2997.75618150955</v>
      </c>
      <c r="CE278" s="49" t="n">
        <f aca="false">CE125*CE320/365-CE279</f>
        <v>3181.15130726213</v>
      </c>
    </row>
    <row r="279" customFormat="false" ht="15" hidden="false" customHeight="false" outlineLevel="0" collapsed="false">
      <c r="B279" s="28" t="s">
        <v>392</v>
      </c>
      <c r="AI279" s="37" t="n">
        <v>161.028</v>
      </c>
      <c r="AJ279" s="37" t="n">
        <v>182.247</v>
      </c>
      <c r="AK279" s="37" t="n">
        <v>201.411</v>
      </c>
      <c r="AL279" s="37" t="n">
        <v>159.635</v>
      </c>
      <c r="AM279" s="37" t="n">
        <v>159.635</v>
      </c>
      <c r="AN279" s="37" t="n">
        <v>165.556</v>
      </c>
      <c r="AO279" s="37" t="n">
        <v>179.015</v>
      </c>
      <c r="AP279" s="37" t="n">
        <v>150.569</v>
      </c>
      <c r="AQ279" s="37" t="n">
        <v>132.874</v>
      </c>
      <c r="AR279" s="37" t="n">
        <v>132.874</v>
      </c>
      <c r="AS279" s="37" t="n">
        <v>123.558</v>
      </c>
      <c r="AT279" s="37" t="n">
        <v>154.416</v>
      </c>
      <c r="AU279" s="37" t="n">
        <v>187.973</v>
      </c>
      <c r="AV279" s="37" t="n">
        <v>197.176</v>
      </c>
      <c r="AW279" s="37" t="n">
        <v>197.176</v>
      </c>
      <c r="AX279" s="37" t="n">
        <v>240.488</v>
      </c>
      <c r="AY279" s="37" t="n">
        <v>292.76</v>
      </c>
      <c r="AZ279" s="37" t="n">
        <v>416.971</v>
      </c>
      <c r="BA279" s="37" t="n">
        <v>453.66</v>
      </c>
      <c r="BB279" s="37" t="n">
        <v>453.66</v>
      </c>
      <c r="BC279" s="37" t="n">
        <v>504.604</v>
      </c>
      <c r="BD279" s="37" t="n">
        <v>518.752</v>
      </c>
      <c r="BE279" s="37" t="n">
        <v>363.697</v>
      </c>
      <c r="BF279" s="37" t="n">
        <v>257.597</v>
      </c>
      <c r="BG279" s="37" t="n">
        <v>257.597</v>
      </c>
      <c r="BH279" s="37" t="n">
        <v>191.711</v>
      </c>
      <c r="BI279" s="37" t="n">
        <v>188.207</v>
      </c>
      <c r="BJ279" s="37" t="n">
        <v>204.737</v>
      </c>
      <c r="BK279" s="37" t="n">
        <v>189.9</v>
      </c>
      <c r="BL279" s="37" t="n">
        <v>189.9</v>
      </c>
      <c r="BM279" s="37" t="n">
        <v>235.326</v>
      </c>
      <c r="BN279" s="37" t="n">
        <v>260.401</v>
      </c>
      <c r="BO279" s="37" t="n">
        <v>273.251</v>
      </c>
      <c r="BP279" s="37" t="n">
        <v>200.332</v>
      </c>
      <c r="BQ279" s="37" t="n">
        <v>200.332</v>
      </c>
      <c r="BR279" s="37" t="n">
        <v>197.488</v>
      </c>
      <c r="BS279" s="37" t="n">
        <v>188.897</v>
      </c>
      <c r="BT279" s="37" t="n">
        <v>177.623</v>
      </c>
      <c r="BU279" s="37" t="n">
        <v>156.441</v>
      </c>
      <c r="BV279" s="37" t="n">
        <v>156.441</v>
      </c>
      <c r="BW279" s="37" t="n">
        <v>181.862</v>
      </c>
      <c r="BX279" s="37" t="n">
        <v>230.598</v>
      </c>
      <c r="BY279" s="6"/>
      <c r="BZ279" s="6"/>
      <c r="CA279" s="49" t="n">
        <f aca="false">CA125*CA322</f>
        <v>206.770436412319</v>
      </c>
      <c r="CB279" s="49" t="n">
        <f aca="false">CB125*CB322</f>
        <v>217.151353457961</v>
      </c>
      <c r="CC279" s="49" t="n">
        <f aca="false">CC125*CC322</f>
        <v>224.163708073017</v>
      </c>
      <c r="CD279" s="49" t="n">
        <f aca="false">CD125*CD322</f>
        <v>231.528153674345</v>
      </c>
      <c r="CE279" s="49" t="n">
        <f aca="false">CE125*CE322</f>
        <v>245.692459337452</v>
      </c>
    </row>
    <row r="280" customFormat="false" ht="15" hidden="false" customHeight="false" outlineLevel="0" collapsed="false">
      <c r="B280" s="28" t="s">
        <v>393</v>
      </c>
      <c r="C280" s="37" t="n">
        <v>17.794</v>
      </c>
      <c r="D280" s="37" t="n">
        <v>22.649</v>
      </c>
      <c r="E280" s="37" t="n">
        <v>21.6</v>
      </c>
      <c r="F280" s="37" t="n">
        <v>36.108</v>
      </c>
      <c r="G280" s="37" t="n">
        <v>37.801</v>
      </c>
      <c r="H280" s="37" t="n">
        <v>48.237</v>
      </c>
      <c r="I280" s="37" t="n">
        <v>50.135</v>
      </c>
      <c r="J280" s="37" t="n">
        <v>60.853</v>
      </c>
      <c r="K280" s="37" t="n">
        <v>62.065</v>
      </c>
      <c r="L280" s="37" t="n">
        <v>58.721</v>
      </c>
      <c r="M280" s="37" t="n">
        <v>52.857</v>
      </c>
      <c r="N280" s="37" t="n">
        <v>52.857</v>
      </c>
      <c r="O280" s="37" t="n">
        <v>68.235</v>
      </c>
      <c r="P280" s="37" t="n">
        <v>65.199</v>
      </c>
      <c r="Q280" s="37" t="n">
        <v>56.366</v>
      </c>
      <c r="R280" s="37" t="n">
        <v>404.928</v>
      </c>
      <c r="S280" s="37" t="n">
        <v>404.928</v>
      </c>
      <c r="T280" s="37" t="n">
        <v>59.705</v>
      </c>
      <c r="U280" s="37" t="n">
        <v>66.459</v>
      </c>
      <c r="V280" s="37" t="n">
        <v>61.33</v>
      </c>
      <c r="W280" s="37" t="n">
        <v>56.849</v>
      </c>
      <c r="X280" s="37" t="n">
        <v>56.849</v>
      </c>
      <c r="Y280" s="37" t="n">
        <v>63.07</v>
      </c>
      <c r="Z280" s="37" t="n">
        <v>69.388</v>
      </c>
      <c r="AA280" s="37" t="n">
        <v>60.414</v>
      </c>
      <c r="AB280" s="37" t="n">
        <v>49.245</v>
      </c>
      <c r="AC280" s="37" t="n">
        <v>49.245</v>
      </c>
      <c r="AD280" s="37" t="n">
        <v>60.039</v>
      </c>
      <c r="AE280" s="37" t="n">
        <v>63.636</v>
      </c>
      <c r="AF280" s="37" t="n">
        <v>53.225</v>
      </c>
      <c r="AG280" s="37" t="n">
        <v>63.116</v>
      </c>
      <c r="AH280" s="37" t="n">
        <v>63.116</v>
      </c>
      <c r="AI280" s="37" t="n">
        <v>60.87</v>
      </c>
      <c r="AJ280" s="37" t="n">
        <v>63.374</v>
      </c>
      <c r="AK280" s="37" t="n">
        <v>53.909</v>
      </c>
      <c r="AL280" s="37" t="n">
        <v>52.386</v>
      </c>
      <c r="AM280" s="37" t="n">
        <v>52.386</v>
      </c>
      <c r="AN280" s="37" t="n">
        <v>59.394</v>
      </c>
      <c r="AO280" s="37" t="n">
        <v>72.005</v>
      </c>
      <c r="AP280" s="37" t="n">
        <v>73.724</v>
      </c>
      <c r="AQ280" s="37" t="n">
        <v>85.005</v>
      </c>
      <c r="AR280" s="37" t="n">
        <v>85.005</v>
      </c>
      <c r="AS280" s="37" t="n">
        <v>95.896</v>
      </c>
      <c r="AT280" s="37" t="n">
        <v>69.084</v>
      </c>
      <c r="AU280" s="37" t="n">
        <v>65.773</v>
      </c>
      <c r="AV280" s="37" t="n">
        <v>51.152</v>
      </c>
      <c r="AW280" s="37" t="n">
        <v>51.152</v>
      </c>
      <c r="AX280" s="37" t="n">
        <v>77.547</v>
      </c>
      <c r="AY280" s="37" t="n">
        <v>90.23</v>
      </c>
      <c r="AZ280" s="37" t="n">
        <v>89.472</v>
      </c>
      <c r="BA280" s="37" t="n">
        <v>129.593</v>
      </c>
      <c r="BB280" s="37" t="n">
        <v>129.593</v>
      </c>
      <c r="BC280" s="37" t="n">
        <v>140.306</v>
      </c>
      <c r="BD280" s="37" t="n">
        <v>108.258</v>
      </c>
      <c r="BE280" s="37" t="n">
        <v>79.977</v>
      </c>
      <c r="BF280" s="37" t="n">
        <v>122.406</v>
      </c>
      <c r="BG280" s="37" t="n">
        <v>122.406</v>
      </c>
      <c r="BH280" s="37" t="n">
        <v>122.195</v>
      </c>
      <c r="BI280" s="37" t="n">
        <v>147.993</v>
      </c>
      <c r="BJ280" s="37" t="n">
        <v>137.476</v>
      </c>
      <c r="BK280" s="37" t="n">
        <v>163.307</v>
      </c>
      <c r="BL280" s="37" t="n">
        <v>163.307</v>
      </c>
      <c r="BM280" s="37" t="n">
        <v>174.441</v>
      </c>
      <c r="BN280" s="37" t="n">
        <v>154.807</v>
      </c>
      <c r="BO280" s="37" t="n">
        <v>303.681</v>
      </c>
      <c r="BP280" s="37" t="n">
        <v>239.8</v>
      </c>
      <c r="BQ280" s="37" t="n">
        <v>239.8</v>
      </c>
      <c r="BR280" s="37" t="n">
        <v>113.453</v>
      </c>
      <c r="BS280" s="37" t="n">
        <v>130.742</v>
      </c>
      <c r="BT280" s="37" t="n">
        <v>129.326</v>
      </c>
      <c r="BU280" s="37" t="n">
        <v>120.402</v>
      </c>
      <c r="BV280" s="37" t="n">
        <v>120.402</v>
      </c>
      <c r="BW280" s="37" t="n">
        <v>123.718</v>
      </c>
      <c r="BX280" s="37" t="n">
        <v>120.563</v>
      </c>
      <c r="BY280" s="6"/>
      <c r="BZ280" s="6"/>
      <c r="CA280" s="49" t="n">
        <f aca="false">BV280-CA243-CA249-CA250</f>
        <v>132.2</v>
      </c>
      <c r="CB280" s="49" t="n">
        <f aca="false">CA280-CB243-CB249-CB250</f>
        <v>132.2</v>
      </c>
      <c r="CC280" s="49" t="n">
        <f aca="false">CB280-CC243-CC249-CC250</f>
        <v>132.2</v>
      </c>
      <c r="CD280" s="49" t="n">
        <f aca="false">CC280-CD243-CD249-CD250</f>
        <v>132.2</v>
      </c>
      <c r="CE280" s="49" t="n">
        <f aca="false">CD280-CE243-CE249-CE250</f>
        <v>132.2</v>
      </c>
      <c r="CF280" s="23" t="s">
        <v>394</v>
      </c>
    </row>
    <row r="281" customFormat="false" ht="15" hidden="false" customHeight="false" outlineLevel="0" collapsed="false">
      <c r="B281" s="18" t="s">
        <v>395</v>
      </c>
      <c r="C281" s="42" t="n">
        <f aca="false">IF(ISNUMBER(C276),SUM(C276:C280),"")</f>
        <v>1256.148</v>
      </c>
      <c r="D281" s="42" t="n">
        <f aca="false">IF(ISNUMBER(D276),SUM(D276:D280),"")</f>
        <v>1389.156</v>
      </c>
      <c r="E281" s="42" t="n">
        <f aca="false">IF(ISNUMBER(E276),SUM(E276:E280),"")</f>
        <v>1347.871</v>
      </c>
      <c r="F281" s="42" t="n">
        <f aca="false">IF(ISNUMBER(F276),SUM(F276:F280),"")</f>
        <v>1307.269</v>
      </c>
      <c r="G281" s="42" t="n">
        <f aca="false">IF(ISNUMBER(G276),SUM(G276:G280),"")</f>
        <v>1481.768</v>
      </c>
      <c r="H281" s="42" t="n">
        <f aca="false">IF(ISNUMBER(H276),SUM(H276:H280),"")</f>
        <v>1611.543</v>
      </c>
      <c r="I281" s="42" t="n">
        <f aca="false">IF(ISNUMBER(I276),SUM(I276:I280),"")</f>
        <v>1672.29</v>
      </c>
      <c r="J281" s="42" t="n">
        <f aca="false">IF(ISNUMBER(J276),SUM(J276:J280),"")</f>
        <v>1690.579</v>
      </c>
      <c r="K281" s="42" t="n">
        <f aca="false">IF(ISNUMBER(K276),SUM(K276:K280),"")</f>
        <v>1782.968</v>
      </c>
      <c r="L281" s="42" t="n">
        <f aca="false">IF(ISNUMBER(L276),SUM(L276:L280),"")</f>
        <v>1753.441</v>
      </c>
      <c r="M281" s="42" t="n">
        <f aca="false">IF(ISNUMBER(M276),SUM(M276:M280),"")</f>
        <v>1664.485</v>
      </c>
      <c r="N281" s="42" t="n">
        <f aca="false">IF(ISNUMBER(N276),SUM(N276:N280),"")</f>
        <v>1664.485</v>
      </c>
      <c r="O281" s="42" t="n">
        <f aca="false">IF(ISNUMBER(O276),SUM(O276:O280),"")</f>
        <v>1823.082</v>
      </c>
      <c r="P281" s="42" t="n">
        <f aca="false">IF(ISNUMBER(P276),SUM(P276:P280),"")</f>
        <v>1909.201</v>
      </c>
      <c r="Q281" s="42" t="n">
        <f aca="false">IF(ISNUMBER(Q276),SUM(Q276:Q280),"")</f>
        <v>1824.716</v>
      </c>
      <c r="R281" s="42" t="n">
        <f aca="false">IF(ISNUMBER(R276),SUM(R276:R280),"")</f>
        <v>2105.459</v>
      </c>
      <c r="S281" s="42" t="n">
        <f aca="false">IF(ISNUMBER(S276),SUM(S276:S280),"")</f>
        <v>2105.459</v>
      </c>
      <c r="T281" s="42" t="n">
        <f aca="false">IF(ISNUMBER(T276),SUM(T276:T280),"")</f>
        <v>1846.915</v>
      </c>
      <c r="U281" s="42" t="n">
        <f aca="false">IF(ISNUMBER(U276),SUM(U276:U280),"")</f>
        <v>1944.339</v>
      </c>
      <c r="V281" s="42" t="n">
        <f aca="false">IF(ISNUMBER(V276),SUM(V276:V280),"")</f>
        <v>1856.211</v>
      </c>
      <c r="W281" s="42" t="n">
        <f aca="false">IF(ISNUMBER(W276),SUM(W276:W280),"")</f>
        <v>1730.698</v>
      </c>
      <c r="X281" s="42" t="n">
        <f aca="false">IF(ISNUMBER(X276),SUM(X276:X280),"")</f>
        <v>1730.698</v>
      </c>
      <c r="Y281" s="42" t="n">
        <f aca="false">IF(ISNUMBER(Y276),SUM(Y276:Y280),"")</f>
        <v>1705.716</v>
      </c>
      <c r="Z281" s="42" t="n">
        <f aca="false">IF(ISNUMBER(Z276),SUM(Z276:Z280),"")</f>
        <v>1879.102</v>
      </c>
      <c r="AA281" s="42" t="n">
        <f aca="false">IF(ISNUMBER(AA276),SUM(AA276:AA280),"")</f>
        <v>1967.549</v>
      </c>
      <c r="AB281" s="42" t="n">
        <f aca="false">IF(ISNUMBER(AB276),SUM(AB276:AB280),"")</f>
        <v>1972.914</v>
      </c>
      <c r="AC281" s="42" t="n">
        <f aca="false">IF(ISNUMBER(AC276),SUM(AC276:AC280),"")</f>
        <v>1972.914</v>
      </c>
      <c r="AD281" s="42" t="n">
        <f aca="false">IF(ISNUMBER(AD276),SUM(AD276:AD280),"")</f>
        <v>2092.61</v>
      </c>
      <c r="AE281" s="42" t="n">
        <f aca="false">IF(ISNUMBER(AE276),SUM(AE276:AE280),"")</f>
        <v>2285.022</v>
      </c>
      <c r="AF281" s="42" t="n">
        <f aca="false">IF(ISNUMBER(AF276),SUM(AF276:AF280),"")</f>
        <v>2454.846</v>
      </c>
      <c r="AG281" s="42" t="n">
        <f aca="false">IF(ISNUMBER(AG276),SUM(AG276:AG280),"")</f>
        <v>2510.936</v>
      </c>
      <c r="AH281" s="42" t="n">
        <f aca="false">IF(ISNUMBER(AH276),SUM(AH276:AH280),"")</f>
        <v>2510.936</v>
      </c>
      <c r="AI281" s="42" t="n">
        <f aca="false">IF(ISNUMBER(AI276),SUM(AI276:AI280),"")</f>
        <v>2591.013</v>
      </c>
      <c r="AJ281" s="42" t="n">
        <f aca="false">IF(ISNUMBER(AJ276),SUM(AJ276:AJ280),"")</f>
        <v>2758.656</v>
      </c>
      <c r="AK281" s="42" t="n">
        <f aca="false">IF(ISNUMBER(AK276),SUM(AK276:AK280),"")</f>
        <v>2805.065</v>
      </c>
      <c r="AL281" s="42" t="n">
        <f aca="false">IF(ISNUMBER(AL276),SUM(AL276:AL280),"")</f>
        <v>2753.074</v>
      </c>
      <c r="AM281" s="42" t="n">
        <f aca="false">IF(ISNUMBER(AM276),SUM(AM276:AM280),"")</f>
        <v>2753.074</v>
      </c>
      <c r="AN281" s="42" t="n">
        <f aca="false">IF(ISNUMBER(AN276),SUM(AN276:AN280),"")</f>
        <v>2728.354</v>
      </c>
      <c r="AO281" s="42" t="n">
        <f aca="false">IF(ISNUMBER(AO276),SUM(AO276:AO280),"")</f>
        <v>2706.573</v>
      </c>
      <c r="AP281" s="42" t="n">
        <f aca="false">IF(ISNUMBER(AP276),SUM(AP276:AP280),"")</f>
        <v>2683.166</v>
      </c>
      <c r="AQ281" s="42" t="n">
        <f aca="false">IF(ISNUMBER(AQ276),SUM(AQ276:AQ280),"")</f>
        <v>2640.118</v>
      </c>
      <c r="AR281" s="42" t="n">
        <f aca="false">IF(ISNUMBER(AR276),SUM(AR276:AR280),"")</f>
        <v>2640.118</v>
      </c>
      <c r="AS281" s="42" t="n">
        <f aca="false">IF(ISNUMBER(AS276),SUM(AS276:AS280),"")</f>
        <v>2606.639</v>
      </c>
      <c r="AT281" s="42" t="n">
        <f aca="false">IF(ISNUMBER(AT276),SUM(AT276:AT280),"")</f>
        <v>2603.926</v>
      </c>
      <c r="AU281" s="42" t="n">
        <f aca="false">IF(ISNUMBER(AU276),SUM(AU276:AU280),"")</f>
        <v>2852.699</v>
      </c>
      <c r="AV281" s="42" t="n">
        <f aca="false">IF(ISNUMBER(AV276),SUM(AV276:AV280),"")</f>
        <v>2941.701</v>
      </c>
      <c r="AW281" s="42" t="n">
        <f aca="false">IF(ISNUMBER(AW276),SUM(AW276:AW280),"")</f>
        <v>2941.701</v>
      </c>
      <c r="AX281" s="42" t="n">
        <f aca="false">IF(ISNUMBER(AX276),SUM(AX276:AX280),"")</f>
        <v>3410.109</v>
      </c>
      <c r="AY281" s="42" t="n">
        <f aca="false">IF(ISNUMBER(AY276),SUM(AY276:AY280),"")</f>
        <v>3722.562</v>
      </c>
      <c r="AZ281" s="42" t="n">
        <f aca="false">IF(ISNUMBER(AZ276),SUM(AZ276:AZ280),"")</f>
        <v>4430.663</v>
      </c>
      <c r="BA281" s="42" t="n">
        <f aca="false">IF(ISNUMBER(BA276),SUM(BA276:BA280),"")</f>
        <v>4804.153</v>
      </c>
      <c r="BB281" s="42" t="n">
        <f aca="false">IF(ISNUMBER(BB276),SUM(BB276:BB280),"")</f>
        <v>4804.153</v>
      </c>
      <c r="BC281" s="42" t="n">
        <f aca="false">IF(ISNUMBER(BC276),SUM(BC276:BC280),"")</f>
        <v>5279.231</v>
      </c>
      <c r="BD281" s="42" t="n">
        <f aca="false">IF(ISNUMBER(BD276),SUM(BD276:BD280),"")</f>
        <v>5168.256</v>
      </c>
      <c r="BE281" s="42" t="n">
        <f aca="false">IF(ISNUMBER(BE276),SUM(BE276:BE280),"")</f>
        <v>4433.366</v>
      </c>
      <c r="BF281" s="42" t="n">
        <f aca="false">IF(ISNUMBER(BF276),SUM(BF276:BF280),"")</f>
        <v>3589.238</v>
      </c>
      <c r="BG281" s="42" t="n">
        <f aca="false">IF(ISNUMBER(BG276),SUM(BG276:BG280),"")</f>
        <v>3589.238</v>
      </c>
      <c r="BH281" s="42" t="n">
        <f aca="false">IF(ISNUMBER(BH276),SUM(BH276:BH280),"")</f>
        <v>3234.646</v>
      </c>
      <c r="BI281" s="42" t="n">
        <f aca="false">IF(ISNUMBER(BI276),SUM(BI276:BI280),"")</f>
        <v>3051.485</v>
      </c>
      <c r="BJ281" s="42" t="n">
        <f aca="false">IF(ISNUMBER(BJ276),SUM(BJ276:BJ280),"")</f>
        <v>2959.243</v>
      </c>
      <c r="BK281" s="42" t="n">
        <f aca="false">IF(ISNUMBER(BK276),SUM(BK276:BK280),"")</f>
        <v>2880.694</v>
      </c>
      <c r="BL281" s="42" t="n">
        <f aca="false">IF(ISNUMBER(BL276),SUM(BL276:BL280),"")</f>
        <v>2880.694</v>
      </c>
      <c r="BM281" s="42" t="n">
        <f aca="false">IF(ISNUMBER(BM276),SUM(BM276:BM280),"")</f>
        <v>3124.181</v>
      </c>
      <c r="BN281" s="42" t="n">
        <f aca="false">IF(ISNUMBER(BN276),SUM(BN276:BN280),"")</f>
        <v>3179.174</v>
      </c>
      <c r="BO281" s="42" t="n">
        <f aca="false">IF(ISNUMBER(BO276),SUM(BO276:BO280),"")</f>
        <v>3338.986</v>
      </c>
      <c r="BP281" s="42" t="n">
        <f aca="false">IF(ISNUMBER(BP276),SUM(BP276:BP280),"")</f>
        <v>2969.603</v>
      </c>
      <c r="BQ281" s="42" t="n">
        <f aca="false">IF(ISNUMBER(BQ276),SUM(BQ276:BQ280),"")</f>
        <v>2969.603</v>
      </c>
      <c r="BR281" s="42" t="n">
        <f aca="false">IF(ISNUMBER(BR276),SUM(BR276:BR280),"")</f>
        <v>2923.725</v>
      </c>
      <c r="BS281" s="42" t="n">
        <f aca="false">IF(ISNUMBER(BS276),SUM(BS276:BS280),"")</f>
        <v>3013.714</v>
      </c>
      <c r="BT281" s="42" t="n">
        <f aca="false">IF(ISNUMBER(BT276),SUM(BT276:BT280),"")</f>
        <v>2986.49</v>
      </c>
      <c r="BU281" s="42" t="n">
        <f aca="false">IF(ISNUMBER(BU276),SUM(BU276:BU280),"")</f>
        <v>2798.543</v>
      </c>
      <c r="BV281" s="42" t="n">
        <f aca="false">IF(ISNUMBER(BV276),SUM(BV276:BV280),"")</f>
        <v>2798.543</v>
      </c>
      <c r="BW281" s="42" t="n">
        <f aca="false">IF(ISNUMBER(BW276),SUM(BW276:BW280),"")</f>
        <v>3007.417</v>
      </c>
      <c r="BX281" s="42" t="n">
        <f aca="false">IF(ISNUMBER(BX276),SUM(BX276:BX280),"")</f>
        <v>3560.9</v>
      </c>
      <c r="BY281" s="45"/>
      <c r="BZ281" s="45"/>
      <c r="CA281" s="32" t="n">
        <f aca="false">SUM(CA276:CA280)</f>
        <v>3217.67070373653</v>
      </c>
      <c r="CB281" s="32" t="n">
        <f aca="false">SUM(CB276:CB280)</f>
        <v>3310.9610943078</v>
      </c>
      <c r="CC281" s="32" t="n">
        <f aca="false">SUM(CC276:CC280)</f>
        <v>3408.76728570086</v>
      </c>
      <c r="CD281" s="32" t="n">
        <f aca="false">SUM(CD276:CD280)</f>
        <v>3511.48433518389</v>
      </c>
      <c r="CE281" s="32" t="n">
        <f aca="false">SUM(CE276:CE280)</f>
        <v>3709.04376659958</v>
      </c>
    </row>
    <row r="282" customFormat="false" ht="15" hidden="false" customHeight="false" outlineLevel="0" collapsed="false">
      <c r="B282" s="28" t="s">
        <v>396</v>
      </c>
      <c r="C282" s="37" t="n">
        <v>82.071</v>
      </c>
      <c r="D282" s="37" t="n">
        <v>101.665</v>
      </c>
      <c r="E282" s="37" t="n">
        <v>104.088</v>
      </c>
      <c r="F282" s="37" t="n">
        <v>117.699</v>
      </c>
      <c r="G282" s="37" t="n">
        <v>114.333</v>
      </c>
      <c r="H282" s="37" t="n">
        <v>126.83</v>
      </c>
      <c r="I282" s="37" t="n">
        <v>149.851</v>
      </c>
      <c r="J282" s="37" t="n">
        <v>150.896</v>
      </c>
      <c r="K282" s="37" t="n">
        <v>153.327</v>
      </c>
      <c r="L282" s="37" t="n">
        <v>155.693</v>
      </c>
      <c r="M282" s="37" t="n">
        <v>160.703</v>
      </c>
      <c r="N282" s="37" t="n">
        <v>160.703</v>
      </c>
      <c r="O282" s="37" t="n">
        <v>163.957</v>
      </c>
      <c r="P282" s="37" t="n">
        <v>160.268</v>
      </c>
      <c r="Q282" s="37" t="n">
        <v>156.936</v>
      </c>
      <c r="R282" s="37" t="n">
        <v>152.471</v>
      </c>
      <c r="S282" s="37" t="n">
        <v>152.471</v>
      </c>
      <c r="T282" s="37" t="n">
        <v>191.141</v>
      </c>
      <c r="U282" s="37" t="n">
        <v>190.849</v>
      </c>
      <c r="V282" s="37" t="n">
        <v>190.244</v>
      </c>
      <c r="W282" s="37" t="n">
        <v>190.874</v>
      </c>
      <c r="X282" s="37" t="n">
        <v>190.874</v>
      </c>
      <c r="Y282" s="37" t="n">
        <v>195.92</v>
      </c>
      <c r="Z282" s="37" t="n">
        <v>211.905</v>
      </c>
      <c r="AA282" s="37" t="n">
        <v>226.47</v>
      </c>
      <c r="AB282" s="37" t="n">
        <v>232.953</v>
      </c>
      <c r="AC282" s="37" t="n">
        <v>232.953</v>
      </c>
      <c r="AD282" s="37" t="n">
        <v>235.059</v>
      </c>
      <c r="AE282" s="37" t="n">
        <v>234.312</v>
      </c>
      <c r="AF282" s="37" t="n">
        <v>232.905</v>
      </c>
      <c r="AG282" s="37" t="n">
        <v>230.326</v>
      </c>
      <c r="AH282" s="37" t="n">
        <v>230.326</v>
      </c>
      <c r="AI282" s="37" t="n">
        <v>230.609</v>
      </c>
      <c r="AJ282" s="37" t="n">
        <v>228.325</v>
      </c>
      <c r="AK282" s="37" t="n">
        <v>231.962</v>
      </c>
      <c r="AL282" s="37" t="n">
        <v>228.301</v>
      </c>
      <c r="AM282" s="37" t="n">
        <v>228.301</v>
      </c>
      <c r="AN282" s="37" t="n">
        <v>225.669</v>
      </c>
      <c r="AO282" s="37" t="n">
        <v>222.39</v>
      </c>
      <c r="AP282" s="37" t="n">
        <v>209.521</v>
      </c>
      <c r="AQ282" s="37" t="n">
        <v>208.423</v>
      </c>
      <c r="AR282" s="37" t="n">
        <v>208.423</v>
      </c>
      <c r="AS282" s="37" t="n">
        <v>211.799</v>
      </c>
      <c r="AT282" s="37" t="n">
        <v>188.252</v>
      </c>
      <c r="AU282" s="37" t="n">
        <v>183.244</v>
      </c>
      <c r="AV282" s="37" t="n">
        <v>178.949</v>
      </c>
      <c r="AW282" s="37" t="n">
        <v>178.949</v>
      </c>
      <c r="AX282" s="37" t="n">
        <v>174.119</v>
      </c>
      <c r="AY282" s="37" t="n">
        <v>174.194</v>
      </c>
      <c r="AZ282" s="37" t="n">
        <v>177.418</v>
      </c>
      <c r="BA282" s="37" t="n">
        <v>139.831</v>
      </c>
      <c r="BB282" s="37" t="n">
        <v>139.831</v>
      </c>
      <c r="BC282" s="37" t="n">
        <v>139.926</v>
      </c>
      <c r="BD282" s="37" t="n">
        <v>155.829</v>
      </c>
      <c r="BE282" s="37" t="n">
        <v>158.706</v>
      </c>
      <c r="BF282" s="37" t="n">
        <v>159.432</v>
      </c>
      <c r="BG282" s="37" t="n">
        <v>159.432</v>
      </c>
      <c r="BH282" s="37" t="n">
        <v>160.864</v>
      </c>
      <c r="BI282" s="37" t="n">
        <v>159.222</v>
      </c>
      <c r="BJ282" s="37" t="n">
        <v>150.858</v>
      </c>
      <c r="BK282" s="37" t="n">
        <v>144.718</v>
      </c>
      <c r="BL282" s="37" t="n">
        <v>144.718</v>
      </c>
      <c r="BM282" s="37" t="n">
        <v>143.497</v>
      </c>
      <c r="BN282" s="37" t="n">
        <v>139.636</v>
      </c>
      <c r="BO282" s="37" t="n">
        <v>132.632</v>
      </c>
      <c r="BP282" s="37" t="n">
        <v>127.189</v>
      </c>
      <c r="BQ282" s="37" t="n">
        <v>127.189</v>
      </c>
      <c r="BR282" s="37" t="n">
        <v>123.041</v>
      </c>
      <c r="BS282" s="37" t="n">
        <v>122.954</v>
      </c>
      <c r="BT282" s="37" t="n">
        <v>120.733</v>
      </c>
      <c r="BU282" s="37" t="n">
        <v>116.362</v>
      </c>
      <c r="BV282" s="37" t="n">
        <v>116.362</v>
      </c>
      <c r="BW282" s="37" t="n">
        <v>111.105</v>
      </c>
      <c r="BX282" s="37" t="n">
        <v>108.492</v>
      </c>
      <c r="BY282" s="6"/>
      <c r="BZ282" s="6"/>
      <c r="CA282" s="49" t="n">
        <f aca="false">BV282-CA246-CA152*CA331</f>
        <v>106.135404780999</v>
      </c>
      <c r="CB282" s="49" t="n">
        <f aca="false">CA282-CB246-CB152*CB331</f>
        <v>95.5282861435311</v>
      </c>
      <c r="CC282" s="49" t="n">
        <f aca="false">CB282-CC246-CC152*CC331</f>
        <v>83.9239200162385</v>
      </c>
      <c r="CD282" s="49" t="n">
        <f aca="false">CC282-CD246-CD152*CD331</f>
        <v>70.8259280658432</v>
      </c>
      <c r="CE282" s="49" t="n">
        <f aca="false">CD282-CE246-CE152*CE331</f>
        <v>56.0276855220906</v>
      </c>
    </row>
    <row r="283" customFormat="false" ht="15" hidden="false" customHeight="false" outlineLevel="0" collapsed="false">
      <c r="B283" s="28" t="s">
        <v>397</v>
      </c>
      <c r="AN283" s="37" t="n">
        <v>257.034</v>
      </c>
      <c r="AO283" s="37" t="n">
        <v>262.355</v>
      </c>
      <c r="AP283" s="37" t="n">
        <v>263.833</v>
      </c>
      <c r="AQ283" s="37" t="n">
        <v>310.86</v>
      </c>
      <c r="AR283" s="37" t="n">
        <v>310.86</v>
      </c>
      <c r="AS283" s="37" t="n">
        <v>345.908</v>
      </c>
      <c r="AT283" s="37" t="n">
        <v>339.495</v>
      </c>
      <c r="AU283" s="37" t="n">
        <v>339.819</v>
      </c>
      <c r="AV283" s="37" t="n">
        <v>319.785</v>
      </c>
      <c r="AW283" s="37" t="n">
        <v>319.785</v>
      </c>
      <c r="AX283" s="37" t="n">
        <v>313.463</v>
      </c>
      <c r="AY283" s="37" t="n">
        <v>299.313</v>
      </c>
      <c r="AZ283" s="37" t="n">
        <v>297.249</v>
      </c>
      <c r="BA283" s="37" t="n">
        <v>292.559</v>
      </c>
      <c r="BB283" s="37" t="n">
        <v>292.559</v>
      </c>
      <c r="BC283" s="37" t="n">
        <v>297.425</v>
      </c>
      <c r="BD283" s="37" t="n">
        <v>338.223</v>
      </c>
      <c r="BE283" s="37" t="n">
        <v>349.386</v>
      </c>
      <c r="BF283" s="37" t="n">
        <v>372.141</v>
      </c>
      <c r="BG283" s="37" t="n">
        <v>372.141</v>
      </c>
      <c r="BH283" s="37" t="n">
        <v>357.044</v>
      </c>
      <c r="BI283" s="37" t="n">
        <v>343.734</v>
      </c>
      <c r="BJ283" s="37" t="n">
        <v>350.896</v>
      </c>
      <c r="BK283" s="37" t="n">
        <v>353.89</v>
      </c>
      <c r="BL283" s="37" t="n">
        <v>353.89</v>
      </c>
      <c r="BM283" s="37" t="n">
        <v>366.604</v>
      </c>
      <c r="BN283" s="37" t="n">
        <v>351.823</v>
      </c>
      <c r="BO283" s="37" t="n">
        <v>333.936</v>
      </c>
      <c r="BP283" s="37" t="n">
        <v>334.738</v>
      </c>
      <c r="BQ283" s="37" t="n">
        <v>334.738</v>
      </c>
      <c r="BR283" s="37" t="n">
        <v>311.035</v>
      </c>
      <c r="BS283" s="37" t="n">
        <v>309.299</v>
      </c>
      <c r="BT283" s="37" t="n">
        <v>291.051</v>
      </c>
      <c r="BU283" s="37" t="n">
        <v>278.323</v>
      </c>
      <c r="BV283" s="37" t="n">
        <v>278.323</v>
      </c>
      <c r="BW283" s="37" t="n">
        <v>274.782</v>
      </c>
      <c r="BX283" s="37" t="n">
        <v>261.199</v>
      </c>
      <c r="BY283" s="6"/>
      <c r="BZ283" s="6"/>
      <c r="CA283" s="49" t="n">
        <f aca="false">BV283</f>
        <v>278.323</v>
      </c>
      <c r="CB283" s="49" t="n">
        <f aca="false">CA283</f>
        <v>278.323</v>
      </c>
      <c r="CC283" s="49" t="n">
        <f aca="false">CB283</f>
        <v>278.323</v>
      </c>
      <c r="CD283" s="49" t="n">
        <f aca="false">CC283</f>
        <v>278.323</v>
      </c>
      <c r="CE283" s="49" t="n">
        <f aca="false">CD283</f>
        <v>278.323</v>
      </c>
    </row>
    <row r="284" customFormat="false" ht="15" hidden="false" customHeight="false" outlineLevel="0" collapsed="false">
      <c r="B284" s="28" t="s">
        <v>398</v>
      </c>
      <c r="E284" s="37" t="n">
        <v>324.704</v>
      </c>
      <c r="F284" s="37" t="n">
        <v>361.666</v>
      </c>
      <c r="G284" s="37" t="n">
        <v>359.116</v>
      </c>
      <c r="H284" s="37" t="n">
        <v>359.688</v>
      </c>
      <c r="I284" s="37" t="n">
        <v>822.215</v>
      </c>
      <c r="J284" s="37" t="n">
        <v>825.201</v>
      </c>
      <c r="K284" s="37" t="n">
        <v>826.288</v>
      </c>
      <c r="L284" s="37" t="n">
        <v>828.214</v>
      </c>
      <c r="M284" s="37" t="n">
        <v>829.073</v>
      </c>
      <c r="N284" s="37" t="n">
        <v>829.073</v>
      </c>
      <c r="O284" s="37" t="n">
        <v>829.097</v>
      </c>
      <c r="P284" s="37" t="n">
        <v>828.774</v>
      </c>
      <c r="Q284" s="37" t="n">
        <v>826.55</v>
      </c>
      <c r="R284" s="37" t="n">
        <v>825.038</v>
      </c>
      <c r="S284" s="37" t="n">
        <v>825.038</v>
      </c>
      <c r="T284" s="37" t="n">
        <v>1097.267</v>
      </c>
      <c r="U284" s="37" t="n">
        <v>1097.579</v>
      </c>
      <c r="V284" s="37" t="n">
        <v>1097.74</v>
      </c>
      <c r="W284" s="37" t="n">
        <v>1108.337</v>
      </c>
      <c r="X284" s="37" t="n">
        <v>1108.337</v>
      </c>
      <c r="Y284" s="37" t="n">
        <v>1109.392</v>
      </c>
      <c r="Z284" s="37" t="n">
        <v>1108.761</v>
      </c>
      <c r="AA284" s="37" t="n">
        <v>1275.39</v>
      </c>
      <c r="AB284" s="37" t="n">
        <v>1232.796</v>
      </c>
      <c r="AC284" s="37" t="n">
        <v>1232.796</v>
      </c>
      <c r="AD284" s="37" t="n">
        <v>1240.95</v>
      </c>
      <c r="AE284" s="37" t="n">
        <v>1242.918</v>
      </c>
      <c r="AF284" s="37" t="n">
        <v>1275.55</v>
      </c>
      <c r="AG284" s="37" t="n">
        <v>1275.816</v>
      </c>
      <c r="AH284" s="37" t="n">
        <v>1275.816</v>
      </c>
      <c r="AI284" s="37" t="n">
        <v>1273.85</v>
      </c>
      <c r="AJ284" s="37" t="n">
        <v>1265.778</v>
      </c>
      <c r="AK284" s="37" t="n">
        <v>1265.226</v>
      </c>
      <c r="AL284" s="37" t="n">
        <v>1258.922</v>
      </c>
      <c r="AM284" s="37" t="n">
        <v>1258.922</v>
      </c>
      <c r="AN284" s="37" t="n">
        <v>1283.981</v>
      </c>
      <c r="AO284" s="37" t="n">
        <v>1291.715</v>
      </c>
      <c r="AP284" s="37" t="n">
        <v>1285.891</v>
      </c>
      <c r="AQ284" s="37" t="n">
        <v>1291.76</v>
      </c>
      <c r="AR284" s="37" t="n">
        <v>1291.76</v>
      </c>
      <c r="AS284" s="37" t="n">
        <v>1450.999</v>
      </c>
      <c r="AT284" s="37" t="n">
        <v>1465.755</v>
      </c>
      <c r="AU284" s="37" t="n">
        <v>1473.44</v>
      </c>
      <c r="AV284" s="37" t="n">
        <v>1487.187</v>
      </c>
      <c r="AW284" s="37" t="n">
        <v>1487.187</v>
      </c>
      <c r="AX284" s="37" t="n">
        <v>1483.56</v>
      </c>
      <c r="AY284" s="37" t="n">
        <v>1493.711</v>
      </c>
      <c r="AZ284" s="37" t="n">
        <v>1486.199</v>
      </c>
      <c r="BA284" s="37" t="n">
        <v>1484.754</v>
      </c>
      <c r="BB284" s="37" t="n">
        <v>1484.754</v>
      </c>
      <c r="BC284" s="37" t="n">
        <v>1488.616</v>
      </c>
      <c r="BD284" s="37" t="n">
        <v>1472.855</v>
      </c>
      <c r="BE284" s="37" t="n">
        <v>1458.303</v>
      </c>
      <c r="BF284" s="37" t="n">
        <v>1470.813</v>
      </c>
      <c r="BG284" s="37" t="n">
        <v>1470.813</v>
      </c>
      <c r="BH284" s="37" t="n">
        <v>1470.686</v>
      </c>
      <c r="BI284" s="37" t="n">
        <v>1469.407</v>
      </c>
      <c r="BJ284" s="37" t="n">
        <v>1465.319</v>
      </c>
      <c r="BK284" s="37" t="n">
        <v>1473.6</v>
      </c>
      <c r="BL284" s="37" t="n">
        <v>1473.6</v>
      </c>
      <c r="BM284" s="37" t="n">
        <v>1467.018</v>
      </c>
      <c r="BN284" s="37" t="n">
        <v>1468.605</v>
      </c>
      <c r="BO284" s="37" t="n">
        <v>1446.695</v>
      </c>
      <c r="BP284" s="37" t="n">
        <v>1428.965</v>
      </c>
      <c r="BQ284" s="37" t="n">
        <v>1428.965</v>
      </c>
      <c r="BR284" s="37" t="n">
        <v>1432.136</v>
      </c>
      <c r="BS284" s="37" t="n">
        <v>1441.198</v>
      </c>
      <c r="BT284" s="37" t="n">
        <v>1441.144</v>
      </c>
      <c r="BU284" s="37" t="n">
        <v>1457.976</v>
      </c>
      <c r="BV284" s="37" t="n">
        <v>1457.976</v>
      </c>
      <c r="BW284" s="37" t="n">
        <v>1459.459</v>
      </c>
      <c r="BX284" s="37" t="n">
        <v>1508.335</v>
      </c>
      <c r="BY284" s="6"/>
      <c r="BZ284" s="6"/>
      <c r="CA284" s="49" t="n">
        <f aca="false">BV284-CA248*CA332</f>
        <v>1513.2396</v>
      </c>
      <c r="CB284" s="49" t="n">
        <f aca="false">CA284-CB248*CB332</f>
        <v>1513.2396</v>
      </c>
      <c r="CC284" s="49" t="n">
        <f aca="false">CB284-CC248*CC332</f>
        <v>1583.2396</v>
      </c>
      <c r="CD284" s="49" t="n">
        <f aca="false">CC284-CD248*CD332</f>
        <v>1688.2396</v>
      </c>
      <c r="CE284" s="49" t="n">
        <f aca="false">CD284-CE248*CE332</f>
        <v>1793.2396</v>
      </c>
    </row>
    <row r="285" customFormat="false" ht="15" hidden="false" customHeight="false" outlineLevel="0" collapsed="false">
      <c r="B285" s="28" t="s">
        <v>399</v>
      </c>
      <c r="C285" s="43" t="n">
        <f aca="false">IF(ISNUMBER(C315),C315-N(C284),"")</f>
        <v>293.474</v>
      </c>
      <c r="D285" s="43" t="n">
        <f aca="false">IF(ISNUMBER(D315),D315-N(D284),"")</f>
        <v>320.486</v>
      </c>
      <c r="E285" s="43" t="n">
        <f aca="false">IF(ISNUMBER(E315),E315-N(E284),"")</f>
        <v>39.058</v>
      </c>
      <c r="F285" s="43" t="n">
        <f aca="false">IF(ISNUMBER(F315),F315-N(F284),"")</f>
        <v>47.614</v>
      </c>
      <c r="G285" s="43" t="n">
        <f aca="false">IF(ISNUMBER(G315),G315-N(G284),"")</f>
        <v>40.482</v>
      </c>
      <c r="H285" s="43" t="n">
        <f aca="false">IF(ISNUMBER(H315),H315-N(H284),"")</f>
        <v>39.98</v>
      </c>
      <c r="I285" s="43" t="n">
        <f aca="false">IF(ISNUMBER(I315),I315-N(I284),"")</f>
        <v>159.869</v>
      </c>
      <c r="J285" s="43" t="n">
        <f aca="false">IF(ISNUMBER(J315),J315-N(J284),"")</f>
        <v>163.884</v>
      </c>
      <c r="K285" s="43" t="n">
        <f aca="false">IF(ISNUMBER(K315),K315-N(K284),"")</f>
        <v>158.962</v>
      </c>
      <c r="L285" s="43" t="n">
        <f aca="false">IF(ISNUMBER(L315),L315-N(L284),"")</f>
        <v>154.22</v>
      </c>
      <c r="M285" s="43" t="n">
        <f aca="false">IF(ISNUMBER(M315),M315-N(M284),"")</f>
        <v>148.557</v>
      </c>
      <c r="N285" s="43" t="n">
        <f aca="false">IF(ISNUMBER(N315),N315-N(N284),"")</f>
        <v>148.557</v>
      </c>
      <c r="O285" s="43" t="n">
        <f aca="false">IF(ISNUMBER(O315),O315-N(O284),"")</f>
        <v>144.032</v>
      </c>
      <c r="P285" s="43" t="n">
        <f aca="false">IF(ISNUMBER(P315),P315-N(P284),"")</f>
        <v>138.863</v>
      </c>
      <c r="Q285" s="43" t="n">
        <f aca="false">IF(ISNUMBER(Q315),Q315-N(Q284),"")</f>
        <v>133.582</v>
      </c>
      <c r="R285" s="43" t="n">
        <f aca="false">IF(ISNUMBER(R315),R315-N(R284),"")</f>
        <v>131.37</v>
      </c>
      <c r="S285" s="43" t="n">
        <f aca="false">IF(ISNUMBER(S315),S315-N(S284),"")</f>
        <v>131.37</v>
      </c>
      <c r="T285" s="43" t="n">
        <f aca="false">IF(ISNUMBER(T315),T315-N(T284),"")</f>
        <v>173.901</v>
      </c>
      <c r="U285" s="43" t="n">
        <f aca="false">IF(ISNUMBER(U315),U315-N(U284),"")</f>
        <v>171.247</v>
      </c>
      <c r="V285" s="43" t="n">
        <f aca="false">IF(ISNUMBER(V315),V315-N(V284),"")</f>
        <v>168.37</v>
      </c>
      <c r="W285" s="43" t="n">
        <f aca="false">IF(ISNUMBER(W315),W315-N(W284),"")</f>
        <v>154.449</v>
      </c>
      <c r="X285" s="43" t="n">
        <f aca="false">IF(ISNUMBER(X315),X315-N(X284),"")</f>
        <v>154.449</v>
      </c>
      <c r="Y285" s="43" t="n">
        <f aca="false">IF(ISNUMBER(Y315),Y315-N(Y284),"")</f>
        <v>151.217</v>
      </c>
      <c r="Z285" s="43" t="n">
        <f aca="false">IF(ISNUMBER(Z315),Z315-N(Z284),"")</f>
        <v>149.302</v>
      </c>
      <c r="AA285" s="43" t="n">
        <f aca="false">IF(ISNUMBER(AA315),AA315-N(AA284),"")</f>
        <v>194.653</v>
      </c>
      <c r="AB285" s="43" t="n">
        <f aca="false">IF(ISNUMBER(AB315),AB315-N(AB284),"")</f>
        <v>213.907</v>
      </c>
      <c r="AC285" s="43" t="n">
        <f aca="false">IF(ISNUMBER(AC315),AC315-N(AC284),"")</f>
        <v>213.907</v>
      </c>
      <c r="AD285" s="43" t="n">
        <f aca="false">IF(ISNUMBER(AD315),AD315-N(AD284),"")</f>
        <v>207.125</v>
      </c>
      <c r="AE285" s="43" t="n">
        <f aca="false">IF(ISNUMBER(AE315),AE315-N(AE284),"")</f>
        <v>203.637</v>
      </c>
      <c r="AF285" s="43" t="n">
        <f aca="false">IF(ISNUMBER(AF315),AF315-N(AF284),"")</f>
        <v>212.287</v>
      </c>
      <c r="AG285" s="43" t="n">
        <f aca="false">IF(ISNUMBER(AG315),AG315-N(AG284),"")</f>
        <v>218.756</v>
      </c>
      <c r="AH285" s="43" t="n">
        <f aca="false">IF(ISNUMBER(AH315),AH315-N(AH284),"")</f>
        <v>218.756</v>
      </c>
      <c r="AI285" s="43" t="n">
        <f aca="false">IF(ISNUMBER(AI315),AI315-N(AI284),"")</f>
        <v>212.304</v>
      </c>
      <c r="AJ285" s="43" t="n">
        <f aca="false">IF(ISNUMBER(AJ315),AJ315-N(AJ284),"")</f>
        <v>200.525</v>
      </c>
      <c r="AK285" s="43" t="n">
        <f aca="false">IF(ISNUMBER(AK315),AK315-N(AK284),"")</f>
        <v>190.469</v>
      </c>
      <c r="AL285" s="43" t="n">
        <f aca="false">IF(ISNUMBER(AL315),AL315-N(AL284),"")</f>
        <v>187.115</v>
      </c>
      <c r="AM285" s="43" t="n">
        <f aca="false">IF(ISNUMBER(AM315),AM315-N(AM284),"")</f>
        <v>187.115</v>
      </c>
      <c r="AN285" s="43" t="n">
        <f aca="false">IF(ISNUMBER(AN315),AN315-N(AN284),"")</f>
        <v>202.406</v>
      </c>
      <c r="AO285" s="43" t="n">
        <f aca="false">IF(ISNUMBER(AO315),AO315-N(AO284),"")</f>
        <v>201.076</v>
      </c>
      <c r="AP285" s="43" t="n">
        <f aca="false">IF(ISNUMBER(AP315),AP315-N(AP284),"")</f>
        <v>194.138</v>
      </c>
      <c r="AQ285" s="43" t="n">
        <f aca="false">IF(ISNUMBER(AQ315),AQ315-N(AQ284),"")</f>
        <v>189.899</v>
      </c>
      <c r="AR285" s="43" t="n">
        <f aca="false">IF(ISNUMBER(AR315),AR315-N(AR284),"")</f>
        <v>189.899</v>
      </c>
      <c r="AS285" s="43" t="n">
        <f aca="false">IF(ISNUMBER(AS315),AS315-N(AS284),"")</f>
        <v>232.975</v>
      </c>
      <c r="AT285" s="43" t="n">
        <f aca="false">IF(ISNUMBER(AT315),AT315-N(AT284),"")</f>
        <v>228.261</v>
      </c>
      <c r="AU285" s="43" t="n">
        <f aca="false">IF(ISNUMBER(AU315),AU315-N(AU284),"")</f>
        <v>225.636</v>
      </c>
      <c r="AV285" s="43" t="n">
        <f aca="false">IF(ISNUMBER(AV315),AV315-N(AV284),"")</f>
        <v>216.636</v>
      </c>
      <c r="AW285" s="43" t="n">
        <f aca="false">IF(ISNUMBER(AW315),AW315-N(AW284),"")</f>
        <v>216.636</v>
      </c>
      <c r="AX285" s="43" t="n">
        <f aca="false">IF(ISNUMBER(AX315),AX315-N(AX284),"")</f>
        <v>215.372</v>
      </c>
      <c r="AY285" s="43" t="n">
        <f aca="false">IF(ISNUMBER(AY315),AY315-N(AY284),"")</f>
        <v>216.784</v>
      </c>
      <c r="AZ285" s="43" t="n">
        <f aca="false">IF(ISNUMBER(AZ315),AZ315-N(AZ284),"")</f>
        <v>211.077</v>
      </c>
      <c r="BA285" s="43" t="n">
        <f aca="false">IF(ISNUMBER(BA315),BA315-N(BA284),"")</f>
        <v>306.815</v>
      </c>
      <c r="BB285" s="43" t="n">
        <f aca="false">IF(ISNUMBER(BB315),BB315-N(BB284),"")</f>
        <v>306.815</v>
      </c>
      <c r="BC285" s="43" t="n">
        <f aca="false">IF(ISNUMBER(BC315),BC315-N(BC284),"")</f>
        <v>316.14</v>
      </c>
      <c r="BD285" s="43" t="n">
        <f aca="false">IF(ISNUMBER(BD315),BD315-N(BD284),"")</f>
        <v>322.276</v>
      </c>
      <c r="BE285" s="43" t="n">
        <f aca="false">IF(ISNUMBER(BE315),BE315-N(BE284),"")</f>
        <v>395.769</v>
      </c>
      <c r="BF285" s="43" t="n">
        <f aca="false">IF(ISNUMBER(BF315),BF315-N(BF284),"")</f>
        <v>362.94</v>
      </c>
      <c r="BG285" s="43" t="n">
        <f aca="false">IF(ISNUMBER(BG315),BG315-N(BG284),"")</f>
        <v>362.94</v>
      </c>
      <c r="BH285" s="43" t="n">
        <f aca="false">IF(ISNUMBER(BH315),BH315-N(BH284),"")</f>
        <v>372.344</v>
      </c>
      <c r="BI285" s="43" t="n">
        <f aca="false">IF(ISNUMBER(BI315),BI315-N(BI284),"")</f>
        <v>381.413</v>
      </c>
      <c r="BJ285" s="43" t="n">
        <f aca="false">IF(ISNUMBER(BJ315),BJ315-N(BJ284),"")</f>
        <v>391.351</v>
      </c>
      <c r="BK285" s="43" t="n">
        <f aca="false">IF(ISNUMBER(BK315),BK315-N(BK284),"")</f>
        <v>372.378</v>
      </c>
      <c r="BL285" s="43" t="n">
        <f aca="false">IF(ISNUMBER(BL315),BL315-N(BL284),"")</f>
        <v>372.378</v>
      </c>
      <c r="BM285" s="43" t="n">
        <f aca="false">IF(ISNUMBER(BM315),BM315-N(BM284),"")</f>
        <v>370.788</v>
      </c>
      <c r="BN285" s="43" t="n">
        <f aca="false">IF(ISNUMBER(BN315),BN315-N(BN284),"")</f>
        <v>373.108</v>
      </c>
      <c r="BO285" s="43" t="n">
        <f aca="false">IF(ISNUMBER(BO315),BO315-N(BO284),"")</f>
        <v>361.106</v>
      </c>
      <c r="BP285" s="43" t="n">
        <f aca="false">IF(ISNUMBER(BP315),BP315-N(BP284),"")</f>
        <v>437.431</v>
      </c>
      <c r="BQ285" s="43" t="n">
        <f aca="false">IF(ISNUMBER(BQ315),BQ315-N(BQ284),"")</f>
        <v>437.431</v>
      </c>
      <c r="BR285" s="43" t="n">
        <f aca="false">IF(ISNUMBER(BR315),BR315-N(BR284),"")</f>
        <v>436.177</v>
      </c>
      <c r="BS285" s="43" t="n">
        <f aca="false">IF(ISNUMBER(BS315),BS315-N(BS284),"")</f>
        <v>434.746</v>
      </c>
      <c r="BT285" s="43" t="n">
        <f aca="false">IF(ISNUMBER(BT315),BT315-N(BT284),"")</f>
        <v>388.436</v>
      </c>
      <c r="BU285" s="43" t="n">
        <f aca="false">IF(ISNUMBER(BU315),BU315-N(BU284),"")</f>
        <v>407.177</v>
      </c>
      <c r="BV285" s="43" t="n">
        <f aca="false">IF(ISNUMBER(BV315),BV315-N(BV284),"")</f>
        <v>407.177</v>
      </c>
      <c r="BW285" s="43" t="n">
        <f aca="false">IF(ISNUMBER(BW315),BW315-N(BW284),"")</f>
        <v>382.656</v>
      </c>
      <c r="BX285" s="43" t="n">
        <f aca="false">IF(ISNUMBER(BX315),BX315-N(BX284),"")</f>
        <v>404.58</v>
      </c>
      <c r="BY285" s="6"/>
      <c r="BZ285" s="6"/>
      <c r="CA285" s="49" t="n">
        <f aca="false">BV285-CA247-CA248*(1-CA332)-CA152*(1-CA331)</f>
        <v>418.666011155664</v>
      </c>
      <c r="CB285" s="49" t="n">
        <f aca="false">CA285-CB247-CB248*(1-CB332)-CB152*(1-CB331)</f>
        <v>398.967076543224</v>
      </c>
      <c r="CC285" s="49" t="n">
        <f aca="false">CB285-CC247-CC248*(1-CC332)-CC152*(1-CC331)</f>
        <v>407.255396592537</v>
      </c>
      <c r="CD285" s="49" t="n">
        <f aca="false">CC285-CD247-CD248*(1-CD332)-CD152*(1-CD331)</f>
        <v>427.373054398946</v>
      </c>
      <c r="CE285" s="49" t="n">
        <f aca="false">CD285-CE247-CE248*(1-CE332)-CE152*(1-CE331)</f>
        <v>443.863661103406</v>
      </c>
    </row>
    <row r="286" customFormat="false" ht="15" hidden="false" customHeight="false" outlineLevel="0" collapsed="false">
      <c r="B286" s="51" t="s">
        <v>400</v>
      </c>
      <c r="C286" s="52" t="n">
        <f aca="false">IF(ISNUMBER(C276),C281+N(C282)+N(C283)+N(C284)+N(C285),"")</f>
        <v>1631.693</v>
      </c>
      <c r="D286" s="52" t="n">
        <f aca="false">IF(ISNUMBER(D276),D281+N(D282)+N(D283)+N(D284)+N(D285),"")</f>
        <v>1811.307</v>
      </c>
      <c r="E286" s="52" t="n">
        <f aca="false">IF(ISNUMBER(E276),E281+N(E282)+N(E283)+N(E284)+N(E285),"")</f>
        <v>1815.721</v>
      </c>
      <c r="F286" s="52" t="n">
        <f aca="false">IF(ISNUMBER(F276),F281+N(F282)+N(F283)+N(F284)+N(F285),"")</f>
        <v>1834.248</v>
      </c>
      <c r="G286" s="52" t="n">
        <f aca="false">IF(ISNUMBER(G276),G281+N(G282)+N(G283)+N(G284)+N(G285),"")</f>
        <v>1995.699</v>
      </c>
      <c r="H286" s="52" t="n">
        <f aca="false">IF(ISNUMBER(H276),H281+N(H282)+N(H283)+N(H284)+N(H285),"")</f>
        <v>2138.041</v>
      </c>
      <c r="I286" s="52" t="n">
        <f aca="false">IF(ISNUMBER(I276),I281+N(I282)+N(I283)+N(I284)+N(I285),"")</f>
        <v>2804.225</v>
      </c>
      <c r="J286" s="52" t="n">
        <f aca="false">IF(ISNUMBER(J276),J281+N(J282)+N(J283)+N(J284)+N(J285),"")</f>
        <v>2830.56</v>
      </c>
      <c r="K286" s="52" t="n">
        <f aca="false">IF(ISNUMBER(K276),K281+N(K282)+N(K283)+N(K284)+N(K285),"")</f>
        <v>2921.545</v>
      </c>
      <c r="L286" s="52" t="n">
        <f aca="false">IF(ISNUMBER(L276),L281+N(L282)+N(L283)+N(L284)+N(L285),"")</f>
        <v>2891.568</v>
      </c>
      <c r="M286" s="52" t="n">
        <f aca="false">IF(ISNUMBER(M276),M281+N(M282)+N(M283)+N(M284)+N(M285),"")</f>
        <v>2802.818</v>
      </c>
      <c r="N286" s="52" t="n">
        <f aca="false">IF(ISNUMBER(N276),N281+N(N282)+N(N283)+N(N284)+N(N285),"")</f>
        <v>2802.818</v>
      </c>
      <c r="O286" s="52" t="n">
        <f aca="false">IF(ISNUMBER(O276),O281+N(O282)+N(O283)+N(O284)+N(O285),"")</f>
        <v>2960.168</v>
      </c>
      <c r="P286" s="52" t="n">
        <f aca="false">IF(ISNUMBER(P276),P281+N(P282)+N(P283)+N(P284)+N(P285),"")</f>
        <v>3037.106</v>
      </c>
      <c r="Q286" s="52" t="n">
        <f aca="false">IF(ISNUMBER(Q276),Q281+N(Q282)+N(Q283)+N(Q284)+N(Q285),"")</f>
        <v>2941.784</v>
      </c>
      <c r="R286" s="52" t="n">
        <f aca="false">IF(ISNUMBER(R276),R281+N(R282)+N(R283)+N(R284)+N(R285),"")</f>
        <v>3214.338</v>
      </c>
      <c r="S286" s="52" t="n">
        <f aca="false">IF(ISNUMBER(S276),S281+N(S282)+N(S283)+N(S284)+N(S285),"")</f>
        <v>3214.338</v>
      </c>
      <c r="T286" s="52" t="n">
        <f aca="false">IF(ISNUMBER(T276),T281+N(T282)+N(T283)+N(T284)+N(T285),"")</f>
        <v>3309.224</v>
      </c>
      <c r="U286" s="52" t="n">
        <f aca="false">IF(ISNUMBER(U276),U281+N(U282)+N(U283)+N(U284)+N(U285),"")</f>
        <v>3404.014</v>
      </c>
      <c r="V286" s="52" t="n">
        <f aca="false">IF(ISNUMBER(V276),V281+N(V282)+N(V283)+N(V284)+N(V285),"")</f>
        <v>3312.565</v>
      </c>
      <c r="W286" s="52" t="n">
        <f aca="false">IF(ISNUMBER(W276),W281+N(W282)+N(W283)+N(W284)+N(W285),"")</f>
        <v>3184.358</v>
      </c>
      <c r="X286" s="52" t="n">
        <f aca="false">IF(ISNUMBER(X276),X281+N(X282)+N(X283)+N(X284)+N(X285),"")</f>
        <v>3184.358</v>
      </c>
      <c r="Y286" s="52" t="n">
        <f aca="false">IF(ISNUMBER(Y276),Y281+N(Y282)+N(Y283)+N(Y284)+N(Y285),"")</f>
        <v>3162.245</v>
      </c>
      <c r="Z286" s="52" t="n">
        <f aca="false">IF(ISNUMBER(Z276),Z281+N(Z282)+N(Z283)+N(Z284)+N(Z285),"")</f>
        <v>3349.07</v>
      </c>
      <c r="AA286" s="52" t="n">
        <f aca="false">IF(ISNUMBER(AA276),AA281+N(AA282)+N(AA283)+N(AA284)+N(AA285),"")</f>
        <v>3664.062</v>
      </c>
      <c r="AB286" s="52" t="n">
        <f aca="false">IF(ISNUMBER(AB276),AB281+N(AB282)+N(AB283)+N(AB284)+N(AB285),"")</f>
        <v>3652.57</v>
      </c>
      <c r="AC286" s="52" t="n">
        <f aca="false">IF(ISNUMBER(AC276),AC281+N(AC282)+N(AC283)+N(AC284)+N(AC285),"")</f>
        <v>3652.57</v>
      </c>
      <c r="AD286" s="52" t="n">
        <f aca="false">IF(ISNUMBER(AD276),AD281+N(AD282)+N(AD283)+N(AD284)+N(AD285),"")</f>
        <v>3775.744</v>
      </c>
      <c r="AE286" s="52" t="n">
        <f aca="false">IF(ISNUMBER(AE276),AE281+N(AE282)+N(AE283)+N(AE284)+N(AE285),"")</f>
        <v>3965.889</v>
      </c>
      <c r="AF286" s="52" t="n">
        <f aca="false">IF(ISNUMBER(AF276),AF281+N(AF282)+N(AF283)+N(AF284)+N(AF285),"")</f>
        <v>4175.588</v>
      </c>
      <c r="AG286" s="52" t="n">
        <f aca="false">IF(ISNUMBER(AG276),AG281+N(AG282)+N(AG283)+N(AG284)+N(AG285),"")</f>
        <v>4235.834</v>
      </c>
      <c r="AH286" s="52" t="n">
        <f aca="false">IF(ISNUMBER(AH276),AH281+N(AH282)+N(AH283)+N(AH284)+N(AH285),"")</f>
        <v>4235.834</v>
      </c>
      <c r="AI286" s="52" t="n">
        <f aca="false">IF(ISNUMBER(AI276),AI281+N(AI282)+N(AI283)+N(AI284)+N(AI285),"")</f>
        <v>4307.776</v>
      </c>
      <c r="AJ286" s="52" t="n">
        <f aca="false">IF(ISNUMBER(AJ276),AJ281+N(AJ282)+N(AJ283)+N(AJ284)+N(AJ285),"")</f>
        <v>4453.284</v>
      </c>
      <c r="AK286" s="52" t="n">
        <f aca="false">IF(ISNUMBER(AK276),AK281+N(AK282)+N(AK283)+N(AK284)+N(AK285),"")</f>
        <v>4492.722</v>
      </c>
      <c r="AL286" s="52" t="n">
        <f aca="false">IF(ISNUMBER(AL276),AL281+N(AL282)+N(AL283)+N(AL284)+N(AL285),"")</f>
        <v>4427.412</v>
      </c>
      <c r="AM286" s="52" t="n">
        <f aca="false">IF(ISNUMBER(AM276),AM281+N(AM282)+N(AM283)+N(AM284)+N(AM285),"")</f>
        <v>4427.412</v>
      </c>
      <c r="AN286" s="52" t="n">
        <f aca="false">IF(ISNUMBER(AN276),AN281+N(AN282)+N(AN283)+N(AN284)+N(AN285),"")</f>
        <v>4697.444</v>
      </c>
      <c r="AO286" s="52" t="n">
        <f aca="false">IF(ISNUMBER(AO276),AO281+N(AO282)+N(AO283)+N(AO284)+N(AO285),"")</f>
        <v>4684.109</v>
      </c>
      <c r="AP286" s="52" t="n">
        <f aca="false">IF(ISNUMBER(AP276),AP281+N(AP282)+N(AP283)+N(AP284)+N(AP285),"")</f>
        <v>4636.549</v>
      </c>
      <c r="AQ286" s="52" t="n">
        <f aca="false">IF(ISNUMBER(AQ276),AQ281+N(AQ282)+N(AQ283)+N(AQ284)+N(AQ285),"")</f>
        <v>4641.06</v>
      </c>
      <c r="AR286" s="52" t="n">
        <f aca="false">IF(ISNUMBER(AR276),AR281+N(AR282)+N(AR283)+N(AR284)+N(AR285),"")</f>
        <v>4641.06</v>
      </c>
      <c r="AS286" s="52" t="n">
        <f aca="false">IF(ISNUMBER(AS276),AS281+N(AS282)+N(AS283)+N(AS284)+N(AS285),"")</f>
        <v>4848.32</v>
      </c>
      <c r="AT286" s="52" t="n">
        <f aca="false">IF(ISNUMBER(AT276),AT281+N(AT282)+N(AT283)+N(AT284)+N(AT285),"")</f>
        <v>4825.689</v>
      </c>
      <c r="AU286" s="52" t="n">
        <f aca="false">IF(ISNUMBER(AU276),AU281+N(AU282)+N(AU283)+N(AU284)+N(AU285),"")</f>
        <v>5074.838</v>
      </c>
      <c r="AV286" s="52" t="n">
        <f aca="false">IF(ISNUMBER(AV276),AV281+N(AV282)+N(AV283)+N(AV284)+N(AV285),"")</f>
        <v>5144.258</v>
      </c>
      <c r="AW286" s="52" t="n">
        <f aca="false">IF(ISNUMBER(AW276),AW281+N(AW282)+N(AW283)+N(AW284)+N(AW285),"")</f>
        <v>5144.258</v>
      </c>
      <c r="AX286" s="52" t="n">
        <f aca="false">IF(ISNUMBER(AX276),AX281+N(AX282)+N(AX283)+N(AX284)+N(AX285),"")</f>
        <v>5596.623</v>
      </c>
      <c r="AY286" s="52" t="n">
        <f aca="false">IF(ISNUMBER(AY276),AY281+N(AY282)+N(AY283)+N(AY284)+N(AY285),"")</f>
        <v>5906.564</v>
      </c>
      <c r="AZ286" s="52" t="n">
        <f aca="false">IF(ISNUMBER(AZ276),AZ281+N(AZ282)+N(AZ283)+N(AZ284)+N(AZ285),"")</f>
        <v>6602.606</v>
      </c>
      <c r="BA286" s="52" t="n">
        <f aca="false">IF(ISNUMBER(BA276),BA281+N(BA282)+N(BA283)+N(BA284)+N(BA285),"")</f>
        <v>7028.112</v>
      </c>
      <c r="BB286" s="52" t="n">
        <f aca="false">IF(ISNUMBER(BB276),BB281+N(BB282)+N(BB283)+N(BB284)+N(BB285),"")</f>
        <v>7028.112</v>
      </c>
      <c r="BC286" s="52" t="n">
        <f aca="false">IF(ISNUMBER(BC276),BC281+N(BC282)+N(BC283)+N(BC284)+N(BC285),"")</f>
        <v>7521.338</v>
      </c>
      <c r="BD286" s="52" t="n">
        <f aca="false">IF(ISNUMBER(BD276),BD281+N(BD282)+N(BD283)+N(BD284)+N(BD285),"")</f>
        <v>7457.439</v>
      </c>
      <c r="BE286" s="52" t="n">
        <f aca="false">IF(ISNUMBER(BE276),BE281+N(BE282)+N(BE283)+N(BE284)+N(BE285),"")</f>
        <v>6795.53</v>
      </c>
      <c r="BF286" s="52" t="n">
        <f aca="false">IF(ISNUMBER(BF276),BF281+N(BF282)+N(BF283)+N(BF284)+N(BF285),"")</f>
        <v>5954.564</v>
      </c>
      <c r="BG286" s="52" t="n">
        <f aca="false">IF(ISNUMBER(BG276),BG281+N(BG282)+N(BG283)+N(BG284)+N(BG285),"")</f>
        <v>5954.564</v>
      </c>
      <c r="BH286" s="52" t="n">
        <f aca="false">IF(ISNUMBER(BH276),BH281+N(BH282)+N(BH283)+N(BH284)+N(BH285),"")</f>
        <v>5595.584</v>
      </c>
      <c r="BI286" s="52" t="n">
        <f aca="false">IF(ISNUMBER(BI276),BI281+N(BI282)+N(BI283)+N(BI284)+N(BI285),"")</f>
        <v>5405.261</v>
      </c>
      <c r="BJ286" s="52" t="n">
        <f aca="false">IF(ISNUMBER(BJ276),BJ281+N(BJ282)+N(BJ283)+N(BJ284)+N(BJ285),"")</f>
        <v>5317.667</v>
      </c>
      <c r="BK286" s="52" t="n">
        <f aca="false">IF(ISNUMBER(BK276),BK281+N(BK282)+N(BK283)+N(BK284)+N(BK285),"")</f>
        <v>5225.28</v>
      </c>
      <c r="BL286" s="52" t="n">
        <f aca="false">IF(ISNUMBER(BL276),BL281+N(BL282)+N(BL283)+N(BL284)+N(BL285),"")</f>
        <v>5225.28</v>
      </c>
      <c r="BM286" s="52" t="n">
        <f aca="false">IF(ISNUMBER(BM276),BM281+N(BM282)+N(BM283)+N(BM284)+N(BM285),"")</f>
        <v>5472.088</v>
      </c>
      <c r="BN286" s="52" t="n">
        <f aca="false">IF(ISNUMBER(BN276),BN281+N(BN282)+N(BN283)+N(BN284)+N(BN285),"")</f>
        <v>5512.346</v>
      </c>
      <c r="BO286" s="52" t="n">
        <f aca="false">IF(ISNUMBER(BO276),BO281+N(BO282)+N(BO283)+N(BO284)+N(BO285),"")</f>
        <v>5613.355</v>
      </c>
      <c r="BP286" s="52" t="n">
        <f aca="false">IF(ISNUMBER(BP276),BP281+N(BP282)+N(BP283)+N(BP284)+N(BP285),"")</f>
        <v>5297.926</v>
      </c>
      <c r="BQ286" s="52" t="n">
        <f aca="false">IF(ISNUMBER(BQ276),BQ281+N(BQ282)+N(BQ283)+N(BQ284)+N(BQ285),"")</f>
        <v>5297.926</v>
      </c>
      <c r="BR286" s="52" t="n">
        <f aca="false">IF(ISNUMBER(BR276),BR281+N(BR282)+N(BR283)+N(BR284)+N(BR285),"")</f>
        <v>5226.114</v>
      </c>
      <c r="BS286" s="52" t="n">
        <f aca="false">IF(ISNUMBER(BS276),BS281+N(BS282)+N(BS283)+N(BS284)+N(BS285),"")</f>
        <v>5321.911</v>
      </c>
      <c r="BT286" s="52" t="n">
        <f aca="false">IF(ISNUMBER(BT276),BT281+N(BT282)+N(BT283)+N(BT284)+N(BT285),"")</f>
        <v>5227.854</v>
      </c>
      <c r="BU286" s="52" t="n">
        <f aca="false">IF(ISNUMBER(BU276),BU281+N(BU282)+N(BU283)+N(BU284)+N(BU285),"")</f>
        <v>5058.381</v>
      </c>
      <c r="BV286" s="52" t="n">
        <f aca="false">IF(ISNUMBER(BV276),BV281+N(BV282)+N(BV283)+N(BV284)+N(BV285),"")</f>
        <v>5058.381</v>
      </c>
      <c r="BW286" s="52" t="n">
        <f aca="false">IF(ISNUMBER(BW276),BW281+N(BW282)+N(BW283)+N(BW284)+N(BW285),"")</f>
        <v>5235.419</v>
      </c>
      <c r="BX286" s="52" t="n">
        <f aca="false">IF(ISNUMBER(BX276),BX281+N(BX282)+N(BX283)+N(BX284)+N(BX285),"")</f>
        <v>5843.506</v>
      </c>
      <c r="BY286" s="64"/>
      <c r="BZ286" s="64"/>
      <c r="CA286" s="52" t="n">
        <f aca="false">CA281+CA282+CA283+CA284+CA285</f>
        <v>5534.0347196732</v>
      </c>
      <c r="CB286" s="52" t="n">
        <f aca="false">CB281+CB282+CB283+CB284+CB285</f>
        <v>5597.01905699455</v>
      </c>
      <c r="CC286" s="52" t="n">
        <f aca="false">CC281+CC282+CC283+CC284+CC285</f>
        <v>5761.50920230964</v>
      </c>
      <c r="CD286" s="52" t="n">
        <f aca="false">CD281+CD282+CD283+CD284+CD285</f>
        <v>5976.24591764868</v>
      </c>
      <c r="CE286" s="52" t="n">
        <f aca="false">CE281+CE282+CE283+CE284+CE285</f>
        <v>6280.49771322508</v>
      </c>
      <c r="CF286" s="6"/>
    </row>
    <row r="287" customFormat="false" ht="15" hidden="false" customHeight="false" outlineLevel="0" collapsed="false">
      <c r="B287" s="28" t="s">
        <v>401</v>
      </c>
    </row>
    <row r="288" customFormat="false" ht="15" hidden="false" customHeight="false" outlineLevel="0" collapsed="false">
      <c r="B288" s="28" t="s">
        <v>402</v>
      </c>
      <c r="C288" s="37" t="n">
        <v>540.129</v>
      </c>
      <c r="D288" s="37" t="n">
        <v>618.195</v>
      </c>
      <c r="E288" s="37" t="n">
        <v>568.758</v>
      </c>
      <c r="F288" s="37" t="n">
        <v>606.514</v>
      </c>
      <c r="G288" s="37" t="n">
        <v>627.561</v>
      </c>
      <c r="H288" s="37" t="n">
        <v>704.734</v>
      </c>
      <c r="I288" s="37" t="n">
        <v>707.476</v>
      </c>
      <c r="J288" s="37" t="n">
        <v>758.729</v>
      </c>
      <c r="K288" s="37" t="n">
        <v>807.972</v>
      </c>
      <c r="L288" s="37" t="n">
        <v>810.742</v>
      </c>
      <c r="M288" s="37" t="n">
        <v>755.007</v>
      </c>
      <c r="N288" s="37" t="n">
        <v>755.007</v>
      </c>
      <c r="O288" s="37" t="n">
        <v>843.061</v>
      </c>
      <c r="P288" s="37" t="n">
        <v>876.113</v>
      </c>
      <c r="Q288" s="37" t="n">
        <v>822.129</v>
      </c>
      <c r="R288" s="37" t="n">
        <v>795.255</v>
      </c>
      <c r="S288" s="37" t="n">
        <v>795.255</v>
      </c>
      <c r="T288" s="37" t="n">
        <v>858.257</v>
      </c>
      <c r="U288" s="37" t="n">
        <v>894.046</v>
      </c>
      <c r="V288" s="37" t="n">
        <v>860.192</v>
      </c>
      <c r="W288" s="37" t="n">
        <v>783.883</v>
      </c>
      <c r="X288" s="37" t="n">
        <v>783.883</v>
      </c>
      <c r="Y288" s="37" t="n">
        <v>761.085</v>
      </c>
      <c r="Z288" s="37" t="n">
        <v>836.721</v>
      </c>
      <c r="AA288" s="37" t="n">
        <v>897.694</v>
      </c>
      <c r="AB288" s="37" t="n">
        <v>886.543</v>
      </c>
      <c r="AC288" s="37" t="n">
        <v>886.543</v>
      </c>
      <c r="AD288" s="37" t="n">
        <v>967.257</v>
      </c>
      <c r="AE288" s="37" t="n">
        <v>1055.295</v>
      </c>
      <c r="AF288" s="37" t="n">
        <v>1104.06</v>
      </c>
      <c r="AG288" s="37" t="n">
        <v>1096.664</v>
      </c>
      <c r="AH288" s="37" t="n">
        <v>1096.664</v>
      </c>
      <c r="AI288" s="37" t="n">
        <v>1064.961</v>
      </c>
      <c r="AJ288" s="37" t="n">
        <v>1133.837</v>
      </c>
      <c r="AK288" s="37" t="n">
        <v>1152.633</v>
      </c>
      <c r="AL288" s="37" t="n">
        <v>1063.107</v>
      </c>
      <c r="AM288" s="37" t="n">
        <v>1063.107</v>
      </c>
      <c r="AN288" s="37" t="n">
        <v>1059.507</v>
      </c>
      <c r="AO288" s="37" t="n">
        <v>1122.645</v>
      </c>
      <c r="AP288" s="37" t="n">
        <v>1076.597</v>
      </c>
      <c r="AQ288" s="37" t="n">
        <v>1062.835</v>
      </c>
      <c r="AR288" s="37" t="n">
        <v>1062.835</v>
      </c>
      <c r="AS288" s="37" t="n">
        <v>1150.554</v>
      </c>
      <c r="AT288" s="37" t="n">
        <v>1288.136</v>
      </c>
      <c r="AU288" s="37" t="n">
        <v>1268.905</v>
      </c>
      <c r="AV288" s="37" t="n">
        <v>1283.364</v>
      </c>
      <c r="AW288" s="37" t="n">
        <v>1283.364</v>
      </c>
      <c r="AX288" s="37" t="n">
        <v>1475.705</v>
      </c>
      <c r="AY288" s="37" t="n">
        <v>1689.368</v>
      </c>
      <c r="AZ288" s="37" t="n">
        <v>1864.189</v>
      </c>
      <c r="BA288" s="37" t="n">
        <v>1919.301</v>
      </c>
      <c r="BB288" s="37" t="n">
        <v>1919.301</v>
      </c>
      <c r="BC288" s="37" t="n">
        <v>2066.915</v>
      </c>
      <c r="BD288" s="37" t="n">
        <v>1926.857</v>
      </c>
      <c r="BE288" s="37" t="n">
        <v>1755.769</v>
      </c>
      <c r="BF288" s="37" t="n">
        <v>1570.559</v>
      </c>
      <c r="BG288" s="37" t="n">
        <v>1570.559</v>
      </c>
      <c r="BH288" s="37" t="n">
        <v>1483.247</v>
      </c>
      <c r="BI288" s="37" t="n">
        <v>1449.588</v>
      </c>
      <c r="BJ288" s="37" t="n">
        <v>1444.186</v>
      </c>
      <c r="BK288" s="37" t="n">
        <v>1370.334</v>
      </c>
      <c r="BL288" s="37" t="n">
        <v>1370.334</v>
      </c>
      <c r="BM288" s="37" t="n">
        <v>1453.669</v>
      </c>
      <c r="BN288" s="37" t="n">
        <v>1488.632</v>
      </c>
      <c r="BO288" s="37" t="n">
        <v>1372.807</v>
      </c>
      <c r="BP288" s="37" t="n">
        <v>1212.132</v>
      </c>
      <c r="BQ288" s="37" t="n">
        <v>1212.132</v>
      </c>
      <c r="BR288" s="37" t="n">
        <v>1274.573</v>
      </c>
      <c r="BS288" s="37" t="n">
        <v>1348.156</v>
      </c>
      <c r="BT288" s="37" t="n">
        <v>1307.766</v>
      </c>
      <c r="BU288" s="37" t="n">
        <v>1241.276</v>
      </c>
      <c r="BV288" s="37" t="n">
        <v>1241.276</v>
      </c>
      <c r="BW288" s="37" t="n">
        <v>1366.305</v>
      </c>
      <c r="BX288" s="37" t="n">
        <v>1686.822</v>
      </c>
      <c r="BY288" s="6"/>
      <c r="BZ288" s="6"/>
      <c r="CA288" s="49" t="n">
        <f aca="false">CA132*CA321/365</f>
        <v>1483.64836613151</v>
      </c>
      <c r="CB288" s="49" t="n">
        <f aca="false">CB132*CB321/365</f>
        <v>1556.5877026212</v>
      </c>
      <c r="CC288" s="49" t="n">
        <f aca="false">CC132*CC321/365</f>
        <v>1598.41119580727</v>
      </c>
      <c r="CD288" s="49" t="n">
        <f aca="false">CD132*CD321/365</f>
        <v>1643.19955864076</v>
      </c>
      <c r="CE288" s="49" t="n">
        <f aca="false">CE132*CE321/365</f>
        <v>1744.13242268588</v>
      </c>
    </row>
    <row r="289" customFormat="false" ht="15" hidden="false" customHeight="false" outlineLevel="0" collapsed="false">
      <c r="B289" s="28" t="s">
        <v>403</v>
      </c>
      <c r="C289" s="37" t="n">
        <v>98.408</v>
      </c>
      <c r="D289" s="37" t="n">
        <v>101.926</v>
      </c>
      <c r="E289" s="37" t="n">
        <v>93.431</v>
      </c>
      <c r="F289" s="37" t="n">
        <v>90.855</v>
      </c>
      <c r="G289" s="37" t="n">
        <v>96.991</v>
      </c>
      <c r="H289" s="37" t="n">
        <v>117.541</v>
      </c>
      <c r="I289" s="37" t="n">
        <v>103.343</v>
      </c>
      <c r="J289" s="37" t="n">
        <v>52.4</v>
      </c>
      <c r="K289" s="37" t="n">
        <v>67.518</v>
      </c>
      <c r="L289" s="37" t="n">
        <v>79.77</v>
      </c>
      <c r="M289" s="37" t="n">
        <v>85.247</v>
      </c>
      <c r="N289" s="37" t="n">
        <v>85.247</v>
      </c>
      <c r="O289" s="37" t="n">
        <v>46.576</v>
      </c>
      <c r="P289" s="37" t="n">
        <v>78.917</v>
      </c>
      <c r="Q289" s="37" t="n">
        <v>108.153</v>
      </c>
      <c r="R289" s="37" t="n">
        <v>125.624</v>
      </c>
      <c r="S289" s="37" t="n">
        <v>125.624</v>
      </c>
      <c r="T289" s="37" t="n">
        <v>62.563</v>
      </c>
      <c r="U289" s="37" t="n">
        <v>95.528</v>
      </c>
      <c r="V289" s="37" t="n">
        <v>124.011</v>
      </c>
      <c r="W289" s="37" t="n">
        <v>146.666</v>
      </c>
      <c r="X289" s="37" t="n">
        <v>146.666</v>
      </c>
      <c r="Y289" s="37" t="n">
        <v>61.246</v>
      </c>
      <c r="Z289" s="37" t="n">
        <v>84.648</v>
      </c>
      <c r="AA289" s="37" t="n">
        <v>95.572</v>
      </c>
      <c r="AB289" s="37" t="n">
        <v>98.107</v>
      </c>
      <c r="AC289" s="37" t="n">
        <v>98.107</v>
      </c>
      <c r="AD289" s="37" t="n">
        <v>60.243</v>
      </c>
      <c r="AE289" s="37" t="n">
        <v>74.754</v>
      </c>
      <c r="AF289" s="37" t="n">
        <v>92.005</v>
      </c>
      <c r="AG289" s="37" t="n">
        <v>105.316</v>
      </c>
      <c r="AH289" s="37" t="n">
        <v>105.316</v>
      </c>
      <c r="AI289" s="37" t="n">
        <v>69.723</v>
      </c>
      <c r="AJ289" s="37" t="n">
        <v>99.279</v>
      </c>
      <c r="AK289" s="37" t="n">
        <v>121.813</v>
      </c>
      <c r="AL289" s="37" t="n">
        <v>153.626</v>
      </c>
      <c r="AM289" s="37" t="n">
        <v>153.626</v>
      </c>
      <c r="AN289" s="37" t="n">
        <v>66.383</v>
      </c>
      <c r="AO289" s="37" t="n">
        <v>92.676</v>
      </c>
      <c r="AP289" s="37" t="n">
        <v>107.659</v>
      </c>
      <c r="AQ289" s="37" t="n">
        <v>112.784</v>
      </c>
      <c r="AR289" s="37" t="n">
        <v>112.784</v>
      </c>
      <c r="AS289" s="37" t="n">
        <v>88.528</v>
      </c>
      <c r="AT289" s="37" t="n">
        <v>125.381</v>
      </c>
      <c r="AU289" s="37" t="n">
        <v>130.958</v>
      </c>
      <c r="AV289" s="37" t="n">
        <v>138.46</v>
      </c>
      <c r="AW289" s="37" t="n">
        <v>138.46</v>
      </c>
      <c r="AX289" s="37" t="n">
        <v>110.003</v>
      </c>
      <c r="AY289" s="37" t="n">
        <v>150.393</v>
      </c>
      <c r="AZ289" s="37" t="n">
        <v>173.353</v>
      </c>
      <c r="BA289" s="37" t="n">
        <v>201.421</v>
      </c>
      <c r="BB289" s="37" t="n">
        <v>201.421</v>
      </c>
      <c r="BC289" s="37" t="n">
        <v>121.768</v>
      </c>
      <c r="BD289" s="37" t="n">
        <v>190.428</v>
      </c>
      <c r="BE289" s="37" t="n">
        <v>204.661</v>
      </c>
      <c r="BF289" s="37" t="n">
        <v>242.605</v>
      </c>
      <c r="BG289" s="37" t="n">
        <v>242.605</v>
      </c>
      <c r="BH289" s="37" t="n">
        <v>108.069</v>
      </c>
      <c r="BI289" s="37" t="n">
        <v>112.421</v>
      </c>
      <c r="BJ289" s="37" t="n">
        <v>134.778</v>
      </c>
      <c r="BK289" s="37" t="n">
        <v>135.104</v>
      </c>
      <c r="BL289" s="37" t="n">
        <v>135.104</v>
      </c>
      <c r="BM289" s="37" t="n">
        <v>110.899</v>
      </c>
      <c r="BN289" s="37" t="n">
        <v>120.819</v>
      </c>
      <c r="BO289" s="37" t="n">
        <v>165.163</v>
      </c>
      <c r="BP289" s="37" t="n">
        <v>180.801</v>
      </c>
      <c r="BQ289" s="37" t="n">
        <v>180.801</v>
      </c>
      <c r="BR289" s="37" t="n">
        <v>109.646</v>
      </c>
      <c r="BS289" s="37" t="n">
        <v>117.603</v>
      </c>
      <c r="BT289" s="37" t="n">
        <v>172.356</v>
      </c>
      <c r="BU289" s="37" t="n">
        <v>188.838</v>
      </c>
      <c r="BV289" s="37" t="n">
        <v>188.838</v>
      </c>
      <c r="BW289" s="37" t="n">
        <v>110.97</v>
      </c>
      <c r="BX289" s="37" t="n">
        <v>120.754</v>
      </c>
      <c r="BY289" s="6"/>
      <c r="BZ289" s="6"/>
      <c r="CA289" s="49" t="n">
        <f aca="false">CA133*CA323</f>
        <v>186.544203529555</v>
      </c>
      <c r="CB289" s="49" t="n">
        <f aca="false">CB133*CB323</f>
        <v>196.989346124398</v>
      </c>
      <c r="CC289" s="49" t="n">
        <f aca="false">CC133*CC323</f>
        <v>209.241799506863</v>
      </c>
      <c r="CD289" s="49" t="n">
        <f aca="false">CD133*CD323</f>
        <v>221.505921935913</v>
      </c>
      <c r="CE289" s="49" t="n">
        <f aca="false">CE133*CE323</f>
        <v>234.773732955405</v>
      </c>
    </row>
    <row r="290" customFormat="false" ht="15" hidden="false" customHeight="false" outlineLevel="0" collapsed="false">
      <c r="B290" s="28" t="s">
        <v>404</v>
      </c>
      <c r="AI290" s="37" t="n">
        <v>111.92</v>
      </c>
      <c r="AJ290" s="37" t="n">
        <v>140.231</v>
      </c>
      <c r="AK290" s="37" t="n">
        <v>156.81</v>
      </c>
      <c r="AL290" s="37" t="n">
        <v>119.82</v>
      </c>
      <c r="AM290" s="37" t="n">
        <v>119.82</v>
      </c>
      <c r="AN290" s="37" t="n">
        <v>127.151</v>
      </c>
      <c r="AO290" s="37" t="n">
        <v>138.97</v>
      </c>
      <c r="AP290" s="37" t="n">
        <v>114.498</v>
      </c>
      <c r="AQ290" s="37" t="n">
        <v>101.194</v>
      </c>
      <c r="AR290" s="37" t="n">
        <v>101.194</v>
      </c>
      <c r="AS290" s="37" t="n">
        <v>93.9</v>
      </c>
      <c r="AT290" s="37" t="n">
        <v>121.478</v>
      </c>
      <c r="AU290" s="37" t="n">
        <v>147.59</v>
      </c>
      <c r="AV290" s="37" t="n">
        <v>153.574</v>
      </c>
      <c r="AW290" s="37" t="n">
        <v>153.574</v>
      </c>
      <c r="AX290" s="37" t="n">
        <v>177.618</v>
      </c>
      <c r="AY290" s="37" t="n">
        <v>226.741</v>
      </c>
      <c r="AZ290" s="37" t="n">
        <v>319.154</v>
      </c>
      <c r="BA290" s="37" t="n">
        <v>342.778</v>
      </c>
      <c r="BB290" s="37" t="n">
        <v>342.778</v>
      </c>
      <c r="BC290" s="37" t="n">
        <v>385.603</v>
      </c>
      <c r="BD290" s="37" t="n">
        <v>405.284</v>
      </c>
      <c r="BE290" s="37" t="n">
        <v>280.5</v>
      </c>
      <c r="BF290" s="37" t="n">
        <v>199.092</v>
      </c>
      <c r="BG290" s="37" t="n">
        <v>199.092</v>
      </c>
      <c r="BH290" s="37" t="n">
        <v>145.21</v>
      </c>
      <c r="BI290" s="37" t="n">
        <v>142.568</v>
      </c>
      <c r="BJ290" s="37" t="n">
        <v>156.611</v>
      </c>
      <c r="BK290" s="37" t="n">
        <v>147.921</v>
      </c>
      <c r="BL290" s="37" t="n">
        <v>147.921</v>
      </c>
      <c r="BM290" s="37" t="n">
        <v>186.027</v>
      </c>
      <c r="BN290" s="37" t="n">
        <v>211.31</v>
      </c>
      <c r="BO290" s="37" t="n">
        <v>212.608</v>
      </c>
      <c r="BP290" s="37" t="n">
        <v>153.274</v>
      </c>
      <c r="BQ290" s="37" t="n">
        <v>153.274</v>
      </c>
      <c r="BR290" s="37" t="n">
        <v>151.203</v>
      </c>
      <c r="BS290" s="37" t="n">
        <v>148.218</v>
      </c>
      <c r="BT290" s="37" t="n">
        <v>139.18</v>
      </c>
      <c r="BU290" s="37" t="n">
        <v>120.708</v>
      </c>
      <c r="BV290" s="37" t="n">
        <v>120.708</v>
      </c>
      <c r="BW290" s="37" t="n">
        <v>144.976</v>
      </c>
      <c r="BX290" s="37" t="n">
        <v>188.259</v>
      </c>
      <c r="BY290" s="6"/>
      <c r="BZ290" s="6"/>
      <c r="CA290" s="49" t="n">
        <f aca="false">CA125*CA324</f>
        <v>159.777155409519</v>
      </c>
      <c r="CB290" s="49" t="n">
        <f aca="false">CB125*CB324</f>
        <v>167.798773126606</v>
      </c>
      <c r="CC290" s="49" t="n">
        <f aca="false">CC125*CC324</f>
        <v>173.217410783695</v>
      </c>
      <c r="CD290" s="49" t="n">
        <f aca="false">CD125*CD324</f>
        <v>178.908118748358</v>
      </c>
      <c r="CE290" s="49" t="n">
        <f aca="false">CE125*CE324</f>
        <v>189.853264033486</v>
      </c>
    </row>
    <row r="291" customFormat="false" ht="15" hidden="false" customHeight="false" outlineLevel="0" collapsed="false">
      <c r="B291" s="28" t="s">
        <v>405</v>
      </c>
      <c r="J291" s="37" t="n">
        <v>9.964</v>
      </c>
      <c r="K291" s="37" t="n">
        <v>51.919</v>
      </c>
      <c r="L291" s="37" t="n">
        <v>23.899</v>
      </c>
      <c r="M291" s="37" t="n">
        <v>11.681</v>
      </c>
      <c r="N291" s="37" t="n">
        <v>11.681</v>
      </c>
      <c r="O291" s="37" t="n">
        <v>44.905</v>
      </c>
      <c r="P291" s="37" t="n">
        <v>25.682</v>
      </c>
      <c r="Q291" s="37" t="n">
        <v>13.961</v>
      </c>
      <c r="R291" s="37" t="n">
        <v>4.616</v>
      </c>
      <c r="S291" s="37" t="n">
        <v>4.616</v>
      </c>
      <c r="T291" s="37" t="n">
        <v>52.797</v>
      </c>
      <c r="U291" s="37" t="n">
        <v>25.536</v>
      </c>
      <c r="V291" s="37" t="n">
        <v>21.215</v>
      </c>
      <c r="W291" s="37" t="n">
        <v>12.573</v>
      </c>
      <c r="X291" s="37" t="n">
        <v>12.573</v>
      </c>
      <c r="Y291" s="37" t="n">
        <v>32.589</v>
      </c>
      <c r="Z291" s="37" t="n">
        <v>42.094</v>
      </c>
      <c r="AA291" s="37" t="n">
        <v>10.753</v>
      </c>
      <c r="AB291" s="37" t="n">
        <v>15.472</v>
      </c>
      <c r="AC291" s="37" t="n">
        <v>15.472</v>
      </c>
      <c r="AD291" s="37" t="n">
        <v>59.007</v>
      </c>
      <c r="AE291" s="37" t="n">
        <v>16.004</v>
      </c>
      <c r="AF291" s="37" t="n">
        <v>11.477</v>
      </c>
      <c r="AG291" s="37" t="n">
        <v>12.24</v>
      </c>
      <c r="AH291" s="37" t="n">
        <v>12.24</v>
      </c>
      <c r="AI291" s="37" t="n">
        <v>42.781</v>
      </c>
      <c r="AJ291" s="37" t="n">
        <v>18.393</v>
      </c>
      <c r="AK291" s="37" t="n">
        <v>15.213</v>
      </c>
      <c r="AL291" s="37" t="n">
        <v>28.36</v>
      </c>
      <c r="AM291" s="37" t="n">
        <v>28.36</v>
      </c>
      <c r="AN291" s="37" t="n">
        <v>68.049</v>
      </c>
      <c r="AO291" s="37" t="n">
        <v>25.309</v>
      </c>
      <c r="AP291" s="37" t="n">
        <v>19.47</v>
      </c>
      <c r="AQ291" s="37" t="n">
        <v>12.354</v>
      </c>
      <c r="AR291" s="37" t="n">
        <v>12.354</v>
      </c>
      <c r="AS291" s="37" t="n">
        <v>14.473</v>
      </c>
      <c r="AT291" s="37" t="n">
        <v>14.825</v>
      </c>
      <c r="AU291" s="37" t="n">
        <v>12.074</v>
      </c>
      <c r="AV291" s="37" t="n">
        <v>43.7</v>
      </c>
      <c r="AW291" s="37" t="n">
        <v>43.7</v>
      </c>
      <c r="AX291" s="37" t="n">
        <v>71.056</v>
      </c>
      <c r="AY291" s="37" t="n">
        <v>29.711</v>
      </c>
      <c r="AZ291" s="37" t="n">
        <v>39.276</v>
      </c>
      <c r="BA291" s="37" t="n">
        <v>100.265</v>
      </c>
      <c r="BB291" s="37" t="n">
        <v>100.265</v>
      </c>
      <c r="BC291" s="37" t="n">
        <v>143.656</v>
      </c>
      <c r="BD291" s="37" t="n">
        <v>38.85</v>
      </c>
      <c r="BE291" s="37" t="n">
        <v>62.912</v>
      </c>
      <c r="BF291" s="37" t="n">
        <v>15.21</v>
      </c>
      <c r="BG291" s="37" t="n">
        <v>15.21</v>
      </c>
      <c r="BH291" s="37" t="n">
        <v>9.333</v>
      </c>
      <c r="BI291" s="37" t="n">
        <v>9.763</v>
      </c>
      <c r="BJ291" s="37" t="n">
        <v>6.782</v>
      </c>
      <c r="BK291" s="37" t="n">
        <v>4.748</v>
      </c>
      <c r="BL291" s="37" t="n">
        <v>4.748</v>
      </c>
      <c r="BM291" s="37" t="n">
        <v>6.246</v>
      </c>
      <c r="BN291" s="37" t="n">
        <v>2.483</v>
      </c>
      <c r="BO291" s="37" t="n">
        <v>7.178</v>
      </c>
      <c r="BP291" s="37" t="n">
        <v>9.326</v>
      </c>
      <c r="BQ291" s="37" t="n">
        <v>9.326</v>
      </c>
      <c r="BR291" s="37" t="n">
        <v>21.479</v>
      </c>
      <c r="BS291" s="37" t="n">
        <v>14.519</v>
      </c>
      <c r="BT291" s="37" t="n">
        <v>24.108</v>
      </c>
      <c r="BU291" s="37" t="n">
        <v>33.745</v>
      </c>
      <c r="BV291" s="37" t="n">
        <v>33.745</v>
      </c>
      <c r="BW291" s="37" t="n">
        <v>26.917</v>
      </c>
      <c r="BX291" s="37" t="n">
        <v>6.415</v>
      </c>
      <c r="BY291" s="6"/>
      <c r="BZ291" s="6"/>
      <c r="CA291" s="49" t="n">
        <f aca="false">BV291</f>
        <v>33.745</v>
      </c>
      <c r="CB291" s="49" t="n">
        <f aca="false">CA291</f>
        <v>33.745</v>
      </c>
      <c r="CC291" s="49" t="n">
        <f aca="false">CB291</f>
        <v>33.745</v>
      </c>
      <c r="CD291" s="49" t="n">
        <f aca="false">CC291</f>
        <v>33.745</v>
      </c>
      <c r="CE291" s="49" t="n">
        <f aca="false">CD291</f>
        <v>33.745</v>
      </c>
    </row>
    <row r="292" customFormat="false" ht="15" hidden="false" customHeight="false" outlineLevel="0" collapsed="false">
      <c r="B292" s="28" t="s">
        <v>406</v>
      </c>
      <c r="C292" s="37" t="n">
        <v>48.412</v>
      </c>
      <c r="D292" s="37" t="n">
        <v>37.498</v>
      </c>
      <c r="E292" s="37" t="n">
        <v>35.464</v>
      </c>
      <c r="F292" s="37" t="n">
        <v>34.438</v>
      </c>
      <c r="G292" s="37" t="n">
        <v>47.055</v>
      </c>
      <c r="H292" s="37" t="n">
        <v>54.357</v>
      </c>
      <c r="I292" s="37" t="n">
        <v>167.752</v>
      </c>
      <c r="J292" s="37" t="n">
        <v>37.705</v>
      </c>
      <c r="K292" s="37" t="n">
        <v>37.926</v>
      </c>
      <c r="L292" s="37" t="n">
        <v>41.82</v>
      </c>
      <c r="M292" s="37" t="n">
        <v>43.046</v>
      </c>
      <c r="N292" s="37" t="n">
        <v>43.046</v>
      </c>
      <c r="O292" s="37" t="n">
        <v>35.947</v>
      </c>
      <c r="P292" s="37" t="n">
        <v>50.286</v>
      </c>
      <c r="Q292" s="37" t="n">
        <v>39.959</v>
      </c>
      <c r="R292" s="37" t="n">
        <v>45.365</v>
      </c>
      <c r="S292" s="37" t="n">
        <v>45.365</v>
      </c>
      <c r="T292" s="37" t="n">
        <v>47.479</v>
      </c>
      <c r="U292" s="37" t="n">
        <v>49.708</v>
      </c>
      <c r="V292" s="37" t="n">
        <v>45.841</v>
      </c>
      <c r="W292" s="37" t="n">
        <v>55.475</v>
      </c>
      <c r="X292" s="37" t="n">
        <v>55.475</v>
      </c>
      <c r="Y292" s="37" t="n">
        <v>47.135</v>
      </c>
      <c r="Z292" s="37" t="n">
        <v>62.994</v>
      </c>
      <c r="AA292" s="37" t="n">
        <v>70.779</v>
      </c>
      <c r="AB292" s="37" t="n">
        <v>70.408</v>
      </c>
      <c r="AC292" s="37" t="n">
        <v>70.408</v>
      </c>
      <c r="AD292" s="37" t="n">
        <v>50.86</v>
      </c>
      <c r="AE292" s="37" t="n">
        <v>59.441</v>
      </c>
      <c r="AF292" s="37" t="n">
        <v>59.76</v>
      </c>
      <c r="AG292" s="37" t="n">
        <v>58.229</v>
      </c>
      <c r="AH292" s="37" t="n">
        <v>58.229</v>
      </c>
      <c r="AI292" s="37" t="n">
        <v>54.025</v>
      </c>
      <c r="AJ292" s="37" t="n">
        <v>66.987</v>
      </c>
      <c r="AK292" s="37" t="n">
        <v>68.863</v>
      </c>
      <c r="AL292" s="37" t="n">
        <v>63.41</v>
      </c>
      <c r="AM292" s="37" t="n">
        <v>63.41</v>
      </c>
      <c r="AN292" s="37" t="n">
        <v>54.905</v>
      </c>
      <c r="AO292" s="37" t="n">
        <v>61.948</v>
      </c>
      <c r="AP292" s="37" t="n">
        <v>60.069</v>
      </c>
      <c r="AQ292" s="37" t="n">
        <v>62.706</v>
      </c>
      <c r="AR292" s="37" t="n">
        <v>62.706</v>
      </c>
      <c r="AS292" s="37" t="n">
        <v>65.93</v>
      </c>
      <c r="AT292" s="37" t="n">
        <v>58.965</v>
      </c>
      <c r="AU292" s="37" t="n">
        <v>74.781</v>
      </c>
      <c r="AV292" s="37" t="n">
        <v>154.46</v>
      </c>
      <c r="AW292" s="37" t="n">
        <v>154.46</v>
      </c>
      <c r="AX292" s="37" t="n">
        <v>150.337</v>
      </c>
      <c r="AY292" s="37" t="n">
        <v>153.092</v>
      </c>
      <c r="AZ292" s="37" t="n">
        <v>157.251</v>
      </c>
      <c r="BA292" s="37" t="n">
        <v>171.266</v>
      </c>
      <c r="BB292" s="37" t="n">
        <v>171.266</v>
      </c>
      <c r="BC292" s="37" t="n">
        <v>182.754</v>
      </c>
      <c r="BD292" s="37" t="n">
        <v>177.645</v>
      </c>
      <c r="BE292" s="37" t="n">
        <v>205.034</v>
      </c>
      <c r="BF292" s="37" t="n">
        <v>168.009</v>
      </c>
      <c r="BG292" s="37" t="n">
        <v>168.009</v>
      </c>
      <c r="BH292" s="37" t="n">
        <v>176.292</v>
      </c>
      <c r="BI292" s="37" t="n">
        <v>159.065</v>
      </c>
      <c r="BJ292" s="37" t="n">
        <v>170.539</v>
      </c>
      <c r="BK292" s="37" t="n">
        <v>159.435</v>
      </c>
      <c r="BL292" s="37" t="n">
        <v>159.435</v>
      </c>
      <c r="BM292" s="37" t="n">
        <v>162.627</v>
      </c>
      <c r="BN292" s="37" t="n">
        <v>158.846</v>
      </c>
      <c r="BO292" s="37" t="n">
        <v>258.543</v>
      </c>
      <c r="BP292" s="37" t="n">
        <v>240.731</v>
      </c>
      <c r="BQ292" s="37" t="n">
        <v>240.731</v>
      </c>
      <c r="BR292" s="37" t="n">
        <v>168.675</v>
      </c>
      <c r="BS292" s="37" t="n">
        <v>162.733</v>
      </c>
      <c r="BT292" s="37" t="n">
        <v>168.458</v>
      </c>
      <c r="BU292" s="37" t="n">
        <v>174.955</v>
      </c>
      <c r="BV292" s="37" t="n">
        <v>174.955</v>
      </c>
      <c r="BW292" s="37" t="n">
        <v>175.658</v>
      </c>
      <c r="BX292" s="37" t="n">
        <v>178.658</v>
      </c>
      <c r="BY292" s="6"/>
      <c r="BZ292" s="6"/>
      <c r="CA292" s="49" t="n">
        <f aca="false">BV292</f>
        <v>174.955</v>
      </c>
      <c r="CB292" s="49" t="n">
        <f aca="false">CA292</f>
        <v>174.955</v>
      </c>
      <c r="CC292" s="49" t="n">
        <f aca="false">CB292</f>
        <v>174.955</v>
      </c>
      <c r="CD292" s="49" t="n">
        <f aca="false">CC292</f>
        <v>174.955</v>
      </c>
      <c r="CE292" s="49" t="n">
        <f aca="false">CD292</f>
        <v>174.955</v>
      </c>
    </row>
    <row r="293" customFormat="false" ht="15" hidden="false" customHeight="false" outlineLevel="0" collapsed="false">
      <c r="B293" s="28" t="s">
        <v>407</v>
      </c>
      <c r="AN293" s="37" t="n">
        <v>53.669</v>
      </c>
      <c r="AO293" s="37" t="n">
        <v>54.792</v>
      </c>
      <c r="AP293" s="37" t="n">
        <v>55.847</v>
      </c>
      <c r="AQ293" s="37" t="n">
        <v>61.28</v>
      </c>
      <c r="AR293" s="37" t="n">
        <v>61.28</v>
      </c>
      <c r="AS293" s="37" t="n">
        <v>70.423</v>
      </c>
      <c r="AT293" s="37" t="n">
        <v>64.595</v>
      </c>
      <c r="AU293" s="37" t="n">
        <v>66.692</v>
      </c>
      <c r="AV293" s="37" t="n">
        <v>66.174</v>
      </c>
      <c r="AW293" s="37" t="n">
        <v>66.174</v>
      </c>
      <c r="AX293" s="37" t="n">
        <v>66.188</v>
      </c>
      <c r="AY293" s="37" t="n">
        <v>65.859</v>
      </c>
      <c r="AZ293" s="37" t="n">
        <v>66.47</v>
      </c>
      <c r="BA293" s="37" t="n">
        <v>66.311</v>
      </c>
      <c r="BB293" s="37" t="n">
        <v>66.311</v>
      </c>
      <c r="BC293" s="37" t="n">
        <v>68.507</v>
      </c>
      <c r="BD293" s="37" t="n">
        <v>72.686</v>
      </c>
      <c r="BE293" s="37" t="n">
        <v>71.002</v>
      </c>
      <c r="BF293" s="37" t="n">
        <v>73.722</v>
      </c>
      <c r="BG293" s="37" t="n">
        <v>73.722</v>
      </c>
      <c r="BH293" s="37" t="n">
        <v>72.958</v>
      </c>
      <c r="BI293" s="37" t="n">
        <v>72.223</v>
      </c>
      <c r="BJ293" s="37" t="n">
        <v>73.681</v>
      </c>
      <c r="BK293" s="37" t="n">
        <v>74.451</v>
      </c>
      <c r="BL293" s="37" t="n">
        <v>74.451</v>
      </c>
      <c r="BM293" s="37" t="n">
        <v>74.818</v>
      </c>
      <c r="BN293" s="37" t="n">
        <v>74.123</v>
      </c>
      <c r="BO293" s="37" t="n">
        <v>74.538</v>
      </c>
      <c r="BP293" s="37" t="n">
        <v>72.842</v>
      </c>
      <c r="BQ293" s="37" t="n">
        <v>72.842</v>
      </c>
      <c r="BR293" s="37" t="n">
        <v>69.935</v>
      </c>
      <c r="BS293" s="37" t="n">
        <v>72.693</v>
      </c>
      <c r="BT293" s="37" t="n">
        <v>72.2</v>
      </c>
      <c r="BU293" s="37" t="n">
        <v>72.18</v>
      </c>
      <c r="BV293" s="37" t="n">
        <v>72.18</v>
      </c>
      <c r="BW293" s="37" t="n">
        <v>71.662</v>
      </c>
      <c r="BX293" s="37" t="n">
        <v>70.654</v>
      </c>
      <c r="BY293" s="6"/>
      <c r="BZ293" s="6"/>
      <c r="CA293" s="49" t="n">
        <f aca="false">BV293</f>
        <v>72.18</v>
      </c>
      <c r="CB293" s="49" t="n">
        <f aca="false">CA293</f>
        <v>72.18</v>
      </c>
      <c r="CC293" s="49" t="n">
        <f aca="false">CB293</f>
        <v>72.18</v>
      </c>
      <c r="CD293" s="49" t="n">
        <f aca="false">CC293</f>
        <v>72.18</v>
      </c>
      <c r="CE293" s="49" t="n">
        <f aca="false">CD293</f>
        <v>72.18</v>
      </c>
    </row>
    <row r="294" customFormat="false" ht="15" hidden="false" customHeight="false" outlineLevel="0" collapsed="false">
      <c r="B294" s="28" t="s">
        <v>408</v>
      </c>
      <c r="I294" s="37" t="n">
        <v>253.646</v>
      </c>
      <c r="J294" s="37" t="n">
        <v>390.629</v>
      </c>
      <c r="K294" s="37" t="n">
        <v>365.652</v>
      </c>
      <c r="L294" s="37" t="n">
        <v>350</v>
      </c>
      <c r="M294" s="37" t="n">
        <v>375</v>
      </c>
      <c r="N294" s="37" t="n">
        <v>375</v>
      </c>
      <c r="O294" s="37" t="n">
        <v>410</v>
      </c>
      <c r="P294" s="37" t="n">
        <v>400</v>
      </c>
      <c r="Q294" s="37" t="n">
        <v>345</v>
      </c>
      <c r="R294" s="37" t="n">
        <v>605</v>
      </c>
      <c r="S294" s="37" t="n">
        <v>605</v>
      </c>
      <c r="T294" s="37" t="n">
        <v>630</v>
      </c>
      <c r="U294" s="37" t="n">
        <v>630</v>
      </c>
      <c r="V294" s="37" t="n">
        <v>530</v>
      </c>
      <c r="W294" s="37" t="n">
        <v>450</v>
      </c>
      <c r="X294" s="37" t="n">
        <v>450</v>
      </c>
      <c r="Y294" s="37" t="n">
        <v>470</v>
      </c>
      <c r="Z294" s="37" t="n">
        <v>465</v>
      </c>
      <c r="AA294" s="37" t="n">
        <v>725</v>
      </c>
      <c r="AB294" s="37" t="n">
        <v>740</v>
      </c>
      <c r="AC294" s="37" t="n">
        <v>740</v>
      </c>
      <c r="AD294" s="37" t="n">
        <v>740</v>
      </c>
      <c r="AE294" s="37" t="n">
        <v>592</v>
      </c>
      <c r="AF294" s="37" t="n">
        <v>719</v>
      </c>
      <c r="AG294" s="37" t="n">
        <v>715</v>
      </c>
      <c r="AH294" s="37" t="n">
        <v>715</v>
      </c>
      <c r="AI294" s="37" t="n">
        <v>651</v>
      </c>
      <c r="AJ294" s="37" t="n">
        <v>66</v>
      </c>
      <c r="AK294" s="37" t="n">
        <v>0</v>
      </c>
      <c r="AL294" s="37" t="n">
        <v>5</v>
      </c>
      <c r="AM294" s="37" t="n">
        <v>5</v>
      </c>
      <c r="AN294" s="37" t="n">
        <v>0</v>
      </c>
      <c r="AO294" s="37" t="n">
        <v>0</v>
      </c>
      <c r="AP294" s="37" t="n">
        <v>0</v>
      </c>
      <c r="AQ294" s="37" t="n">
        <v>142.885</v>
      </c>
      <c r="AR294" s="37" t="n">
        <v>142.885</v>
      </c>
      <c r="AS294" s="37" t="n">
        <v>320.917</v>
      </c>
      <c r="AT294" s="37" t="n">
        <v>0</v>
      </c>
      <c r="AU294" s="37" t="n">
        <v>59.979</v>
      </c>
      <c r="AV294" s="37" t="n">
        <v>0</v>
      </c>
      <c r="AW294" s="37" t="n">
        <v>0</v>
      </c>
      <c r="AX294" s="37" t="n">
        <v>250</v>
      </c>
      <c r="AY294" s="37" t="n">
        <v>271.215</v>
      </c>
      <c r="AZ294" s="37" t="n">
        <v>632</v>
      </c>
      <c r="BA294" s="37" t="n">
        <v>525</v>
      </c>
      <c r="BB294" s="37" t="n">
        <v>525</v>
      </c>
      <c r="BC294" s="37" t="n">
        <v>572</v>
      </c>
      <c r="BD294" s="37" t="n">
        <v>674</v>
      </c>
      <c r="BE294" s="37" t="n">
        <v>779</v>
      </c>
      <c r="BF294" s="37" t="n">
        <v>1053.655</v>
      </c>
      <c r="BG294" s="37" t="n">
        <v>1053.655</v>
      </c>
      <c r="BH294" s="37" t="n">
        <v>952.759</v>
      </c>
      <c r="BI294" s="37" t="n">
        <v>815.863</v>
      </c>
      <c r="BJ294" s="37" t="n">
        <v>662.966</v>
      </c>
      <c r="BK294" s="37" t="n">
        <v>160</v>
      </c>
      <c r="BL294" s="37" t="n">
        <v>160</v>
      </c>
      <c r="BM294" s="37" t="n">
        <v>280</v>
      </c>
      <c r="BN294" s="37" t="n">
        <v>188</v>
      </c>
      <c r="BO294" s="37" t="n">
        <v>150</v>
      </c>
      <c r="BP294" s="37" t="n">
        <v>455.792</v>
      </c>
      <c r="BQ294" s="37" t="n">
        <v>455.792</v>
      </c>
      <c r="BR294" s="37" t="n">
        <v>467.854</v>
      </c>
      <c r="BS294" s="37" t="n">
        <v>431.917</v>
      </c>
      <c r="BT294" s="37" t="n">
        <v>0</v>
      </c>
      <c r="BU294" s="37" t="n">
        <v>0</v>
      </c>
      <c r="BV294" s="37" t="n">
        <v>0</v>
      </c>
      <c r="BY294" s="6"/>
      <c r="BZ294" s="6"/>
      <c r="CA294" s="49" t="n">
        <f aca="false">0</f>
        <v>0</v>
      </c>
      <c r="CB294" s="49" t="n">
        <f aca="false">0</f>
        <v>0</v>
      </c>
      <c r="CC294" s="49" t="n">
        <f aca="false">0</f>
        <v>0</v>
      </c>
      <c r="CD294" s="49" t="n">
        <f aca="false">0</f>
        <v>0</v>
      </c>
      <c r="CE294" s="49" t="n">
        <f aca="false">0</f>
        <v>0</v>
      </c>
      <c r="CF294" s="23" t="s">
        <v>409</v>
      </c>
    </row>
    <row r="295" customFormat="false" ht="15" hidden="false" customHeight="false" outlineLevel="0" collapsed="false">
      <c r="B295" s="18" t="s">
        <v>410</v>
      </c>
      <c r="C295" s="42" t="n">
        <f aca="false">IF(ISNUMBER(C288),SUM(C288:C294),"")</f>
        <v>686.949</v>
      </c>
      <c r="D295" s="42" t="n">
        <f aca="false">IF(ISNUMBER(D288),SUM(D288:D294),"")</f>
        <v>757.619</v>
      </c>
      <c r="E295" s="42" t="n">
        <f aca="false">IF(ISNUMBER(E288),SUM(E288:E294),"")</f>
        <v>697.653</v>
      </c>
      <c r="F295" s="42" t="n">
        <f aca="false">IF(ISNUMBER(F288),SUM(F288:F294),"")</f>
        <v>731.807</v>
      </c>
      <c r="G295" s="42" t="n">
        <f aca="false">IF(ISNUMBER(G288),SUM(G288:G294),"")</f>
        <v>771.607</v>
      </c>
      <c r="H295" s="42" t="n">
        <f aca="false">IF(ISNUMBER(H288),SUM(H288:H294),"")</f>
        <v>876.632</v>
      </c>
      <c r="I295" s="42" t="n">
        <f aca="false">IF(ISNUMBER(I288),SUM(I288:I294),"")</f>
        <v>1232.217</v>
      </c>
      <c r="J295" s="42" t="n">
        <f aca="false">IF(ISNUMBER(J288),SUM(J288:J294),"")</f>
        <v>1249.427</v>
      </c>
      <c r="K295" s="42" t="n">
        <f aca="false">IF(ISNUMBER(K288),SUM(K288:K294),"")</f>
        <v>1330.987</v>
      </c>
      <c r="L295" s="42" t="n">
        <f aca="false">IF(ISNUMBER(L288),SUM(L288:L294),"")</f>
        <v>1306.231</v>
      </c>
      <c r="M295" s="42" t="n">
        <f aca="false">IF(ISNUMBER(M288),SUM(M288:M294),"")</f>
        <v>1269.981</v>
      </c>
      <c r="N295" s="42" t="n">
        <f aca="false">IF(ISNUMBER(N288),SUM(N288:N294),"")</f>
        <v>1269.981</v>
      </c>
      <c r="O295" s="42" t="n">
        <f aca="false">IF(ISNUMBER(O288),SUM(O288:O294),"")</f>
        <v>1380.489</v>
      </c>
      <c r="P295" s="42" t="n">
        <f aca="false">IF(ISNUMBER(P288),SUM(P288:P294),"")</f>
        <v>1430.998</v>
      </c>
      <c r="Q295" s="42" t="n">
        <f aca="false">IF(ISNUMBER(Q288),SUM(Q288:Q294),"")</f>
        <v>1329.202</v>
      </c>
      <c r="R295" s="42" t="n">
        <f aca="false">IF(ISNUMBER(R288),SUM(R288:R294),"")</f>
        <v>1575.86</v>
      </c>
      <c r="S295" s="42" t="n">
        <f aca="false">IF(ISNUMBER(S288),SUM(S288:S294),"")</f>
        <v>1575.86</v>
      </c>
      <c r="T295" s="42" t="n">
        <f aca="false">IF(ISNUMBER(T288),SUM(T288:T294),"")</f>
        <v>1651.096</v>
      </c>
      <c r="U295" s="42" t="n">
        <f aca="false">IF(ISNUMBER(U288),SUM(U288:U294),"")</f>
        <v>1694.818</v>
      </c>
      <c r="V295" s="42" t="n">
        <f aca="false">IF(ISNUMBER(V288),SUM(V288:V294),"")</f>
        <v>1581.259</v>
      </c>
      <c r="W295" s="42" t="n">
        <f aca="false">IF(ISNUMBER(W288),SUM(W288:W294),"")</f>
        <v>1448.597</v>
      </c>
      <c r="X295" s="42" t="n">
        <f aca="false">IF(ISNUMBER(X288),SUM(X288:X294),"")</f>
        <v>1448.597</v>
      </c>
      <c r="Y295" s="42" t="n">
        <f aca="false">IF(ISNUMBER(Y288),SUM(Y288:Y294),"")</f>
        <v>1372.055</v>
      </c>
      <c r="Z295" s="42" t="n">
        <f aca="false">IF(ISNUMBER(Z288),SUM(Z288:Z294),"")</f>
        <v>1491.457</v>
      </c>
      <c r="AA295" s="42" t="n">
        <f aca="false">IF(ISNUMBER(AA288),SUM(AA288:AA294),"")</f>
        <v>1799.798</v>
      </c>
      <c r="AB295" s="42" t="n">
        <f aca="false">IF(ISNUMBER(AB288),SUM(AB288:AB294),"")</f>
        <v>1810.53</v>
      </c>
      <c r="AC295" s="42" t="n">
        <f aca="false">IF(ISNUMBER(AC288),SUM(AC288:AC294),"")</f>
        <v>1810.53</v>
      </c>
      <c r="AD295" s="42" t="n">
        <f aca="false">IF(ISNUMBER(AD288),SUM(AD288:AD294),"")</f>
        <v>1877.367</v>
      </c>
      <c r="AE295" s="42" t="n">
        <f aca="false">IF(ISNUMBER(AE288),SUM(AE288:AE294),"")</f>
        <v>1797.494</v>
      </c>
      <c r="AF295" s="42" t="n">
        <f aca="false">IF(ISNUMBER(AF288),SUM(AF288:AF294),"")</f>
        <v>1986.302</v>
      </c>
      <c r="AG295" s="42" t="n">
        <f aca="false">IF(ISNUMBER(AG288),SUM(AG288:AG294),"")</f>
        <v>1987.449</v>
      </c>
      <c r="AH295" s="42" t="n">
        <f aca="false">IF(ISNUMBER(AH288),SUM(AH288:AH294),"")</f>
        <v>1987.449</v>
      </c>
      <c r="AI295" s="42" t="n">
        <f aca="false">IF(ISNUMBER(AI288),SUM(AI288:AI294),"")</f>
        <v>1994.41</v>
      </c>
      <c r="AJ295" s="42" t="n">
        <f aca="false">IF(ISNUMBER(AJ288),SUM(AJ288:AJ294),"")</f>
        <v>1524.727</v>
      </c>
      <c r="AK295" s="42" t="n">
        <f aca="false">IF(ISNUMBER(AK288),SUM(AK288:AK294),"")</f>
        <v>1515.332</v>
      </c>
      <c r="AL295" s="42" t="n">
        <f aca="false">IF(ISNUMBER(AL288),SUM(AL288:AL294),"")</f>
        <v>1433.323</v>
      </c>
      <c r="AM295" s="42" t="n">
        <f aca="false">IF(ISNUMBER(AM288),SUM(AM288:AM294),"")</f>
        <v>1433.323</v>
      </c>
      <c r="AN295" s="42" t="n">
        <f aca="false">IF(ISNUMBER(AN288),SUM(AN288:AN294),"")</f>
        <v>1429.664</v>
      </c>
      <c r="AO295" s="42" t="n">
        <f aca="false">IF(ISNUMBER(AO288),SUM(AO288:AO294),"")</f>
        <v>1496.34</v>
      </c>
      <c r="AP295" s="42" t="n">
        <f aca="false">IF(ISNUMBER(AP288),SUM(AP288:AP294),"")</f>
        <v>1434.14</v>
      </c>
      <c r="AQ295" s="42" t="n">
        <f aca="false">IF(ISNUMBER(AQ288),SUM(AQ288:AQ294),"")</f>
        <v>1556.038</v>
      </c>
      <c r="AR295" s="42" t="n">
        <f aca="false">IF(ISNUMBER(AR288),SUM(AR288:AR294),"")</f>
        <v>1556.038</v>
      </c>
      <c r="AS295" s="42" t="n">
        <f aca="false">IF(ISNUMBER(AS288),SUM(AS288:AS294),"")</f>
        <v>1804.725</v>
      </c>
      <c r="AT295" s="42" t="n">
        <f aca="false">IF(ISNUMBER(AT288),SUM(AT288:AT294),"")</f>
        <v>1673.38</v>
      </c>
      <c r="AU295" s="42" t="n">
        <f aca="false">IF(ISNUMBER(AU288),SUM(AU288:AU294),"")</f>
        <v>1760.979</v>
      </c>
      <c r="AV295" s="42" t="n">
        <f aca="false">IF(ISNUMBER(AV288),SUM(AV288:AV294),"")</f>
        <v>1839.732</v>
      </c>
      <c r="AW295" s="42" t="n">
        <f aca="false">IF(ISNUMBER(AW288),SUM(AW288:AW294),"")</f>
        <v>1839.732</v>
      </c>
      <c r="AX295" s="42" t="n">
        <f aca="false">IF(ISNUMBER(AX288),SUM(AX288:AX294),"")</f>
        <v>2300.907</v>
      </c>
      <c r="AY295" s="42" t="n">
        <f aca="false">IF(ISNUMBER(AY288),SUM(AY288:AY294),"")</f>
        <v>2586.379</v>
      </c>
      <c r="AZ295" s="42" t="n">
        <f aca="false">IF(ISNUMBER(AZ288),SUM(AZ288:AZ294),"")</f>
        <v>3251.693</v>
      </c>
      <c r="BA295" s="42" t="n">
        <f aca="false">IF(ISNUMBER(BA288),SUM(BA288:BA294),"")</f>
        <v>3326.342</v>
      </c>
      <c r="BB295" s="42" t="n">
        <f aca="false">IF(ISNUMBER(BB288),SUM(BB288:BB294),"")</f>
        <v>3326.342</v>
      </c>
      <c r="BC295" s="42" t="n">
        <f aca="false">IF(ISNUMBER(BC288),SUM(BC288:BC294),"")</f>
        <v>3541.203</v>
      </c>
      <c r="BD295" s="42" t="n">
        <f aca="false">IF(ISNUMBER(BD288),SUM(BD288:BD294),"")</f>
        <v>3485.75</v>
      </c>
      <c r="BE295" s="42" t="n">
        <f aca="false">IF(ISNUMBER(BE288),SUM(BE288:BE294),"")</f>
        <v>3358.878</v>
      </c>
      <c r="BF295" s="42" t="n">
        <f aca="false">IF(ISNUMBER(BF288),SUM(BF288:BF294),"")</f>
        <v>3322.852</v>
      </c>
      <c r="BG295" s="42" t="n">
        <f aca="false">IF(ISNUMBER(BG288),SUM(BG288:BG294),"")</f>
        <v>3322.852</v>
      </c>
      <c r="BH295" s="42" t="n">
        <f aca="false">IF(ISNUMBER(BH288),SUM(BH288:BH294),"")</f>
        <v>2947.868</v>
      </c>
      <c r="BI295" s="42" t="n">
        <f aca="false">IF(ISNUMBER(BI288),SUM(BI288:BI294),"")</f>
        <v>2761.491</v>
      </c>
      <c r="BJ295" s="42" t="n">
        <f aca="false">IF(ISNUMBER(BJ288),SUM(BJ288:BJ294),"")</f>
        <v>2649.543</v>
      </c>
      <c r="BK295" s="42" t="n">
        <f aca="false">IF(ISNUMBER(BK288),SUM(BK288:BK294),"")</f>
        <v>2051.993</v>
      </c>
      <c r="BL295" s="42" t="n">
        <f aca="false">IF(ISNUMBER(BL288),SUM(BL288:BL294),"")</f>
        <v>2051.993</v>
      </c>
      <c r="BM295" s="42" t="n">
        <f aca="false">IF(ISNUMBER(BM288),SUM(BM288:BM294),"")</f>
        <v>2274.286</v>
      </c>
      <c r="BN295" s="42" t="n">
        <f aca="false">IF(ISNUMBER(BN288),SUM(BN288:BN294),"")</f>
        <v>2244.213</v>
      </c>
      <c r="BO295" s="42" t="n">
        <f aca="false">IF(ISNUMBER(BO288),SUM(BO288:BO294),"")</f>
        <v>2240.837</v>
      </c>
      <c r="BP295" s="42" t="n">
        <f aca="false">IF(ISNUMBER(BP288),SUM(BP288:BP294),"")</f>
        <v>2324.898</v>
      </c>
      <c r="BQ295" s="42" t="n">
        <f aca="false">IF(ISNUMBER(BQ288),SUM(BQ288:BQ294),"")</f>
        <v>2324.898</v>
      </c>
      <c r="BR295" s="42" t="n">
        <f aca="false">IF(ISNUMBER(BR288),SUM(BR288:BR294),"")</f>
        <v>2263.365</v>
      </c>
      <c r="BS295" s="42" t="n">
        <f aca="false">IF(ISNUMBER(BS288),SUM(BS288:BS294),"")</f>
        <v>2295.839</v>
      </c>
      <c r="BT295" s="42" t="n">
        <f aca="false">IF(ISNUMBER(BT288),SUM(BT288:BT294),"")</f>
        <v>1884.068</v>
      </c>
      <c r="BU295" s="42" t="n">
        <f aca="false">IF(ISNUMBER(BU288),SUM(BU288:BU294),"")</f>
        <v>1831.702</v>
      </c>
      <c r="BV295" s="42" t="n">
        <f aca="false">IF(ISNUMBER(BV288),SUM(BV288:BV294),"")</f>
        <v>1831.702</v>
      </c>
      <c r="BW295" s="42" t="n">
        <f aca="false">IF(ISNUMBER(BW288),SUM(BW288:BW294),"")</f>
        <v>1896.488</v>
      </c>
      <c r="BX295" s="42" t="n">
        <f aca="false">IF(ISNUMBER(BX288),SUM(BX288:BX294),"")</f>
        <v>2251.562</v>
      </c>
      <c r="BY295" s="45"/>
      <c r="BZ295" s="45"/>
      <c r="CA295" s="32" t="n">
        <f aca="false">SUM(CA288:CA294)</f>
        <v>2110.84972507059</v>
      </c>
      <c r="CB295" s="32" t="n">
        <f aca="false">SUM(CB288:CB294)</f>
        <v>2202.25582187221</v>
      </c>
      <c r="CC295" s="32" t="n">
        <f aca="false">SUM(CC288:CC294)</f>
        <v>2261.75040609782</v>
      </c>
      <c r="CD295" s="32" t="n">
        <f aca="false">SUM(CD288:CD294)</f>
        <v>2324.49359932503</v>
      </c>
      <c r="CE295" s="32" t="n">
        <f aca="false">SUM(CE288:CE294)</f>
        <v>2449.63941967477</v>
      </c>
    </row>
    <row r="296" customFormat="false" ht="15" hidden="false" customHeight="false" outlineLevel="0" collapsed="false">
      <c r="B296" s="28" t="s">
        <v>411</v>
      </c>
      <c r="L296" s="37" t="n">
        <v>500</v>
      </c>
      <c r="M296" s="37" t="n">
        <v>500</v>
      </c>
      <c r="N296" s="37" t="n">
        <v>500</v>
      </c>
      <c r="O296" s="37" t="n">
        <v>500</v>
      </c>
      <c r="P296" s="37" t="n">
        <v>500</v>
      </c>
      <c r="Q296" s="37" t="n">
        <v>500</v>
      </c>
      <c r="R296" s="37" t="n">
        <v>500</v>
      </c>
      <c r="S296" s="37" t="n">
        <v>500</v>
      </c>
      <c r="T296" s="37" t="n">
        <v>500</v>
      </c>
      <c r="U296" s="37" t="n">
        <v>500</v>
      </c>
      <c r="V296" s="37" t="n">
        <v>500</v>
      </c>
      <c r="W296" s="37" t="n">
        <v>500</v>
      </c>
      <c r="X296" s="37" t="n">
        <v>500</v>
      </c>
      <c r="Y296" s="37" t="n">
        <v>500</v>
      </c>
      <c r="Z296" s="37" t="n">
        <v>500</v>
      </c>
      <c r="AA296" s="37" t="n">
        <v>500</v>
      </c>
      <c r="AB296" s="37" t="n">
        <v>500</v>
      </c>
      <c r="AC296" s="37" t="n">
        <v>500</v>
      </c>
      <c r="AD296" s="37" t="n">
        <v>500</v>
      </c>
      <c r="AE296" s="37" t="n">
        <v>750</v>
      </c>
      <c r="AF296" s="37" t="n">
        <v>750</v>
      </c>
      <c r="AG296" s="37" t="n">
        <v>750</v>
      </c>
      <c r="AH296" s="37" t="n">
        <v>750</v>
      </c>
      <c r="AI296" s="37" t="n">
        <v>750</v>
      </c>
      <c r="AJ296" s="37" t="n">
        <v>1341.054</v>
      </c>
      <c r="AK296" s="37" t="n">
        <v>1341.303</v>
      </c>
      <c r="AL296" s="37" t="n">
        <v>1341.352</v>
      </c>
      <c r="AM296" s="37" t="n">
        <v>1341.352</v>
      </c>
      <c r="AN296" s="37" t="n">
        <v>1341.605</v>
      </c>
      <c r="AO296" s="37" t="n">
        <v>1253.849</v>
      </c>
      <c r="AP296" s="37" t="n">
        <v>1253.091</v>
      </c>
      <c r="AQ296" s="37" t="n">
        <v>1092.448</v>
      </c>
      <c r="AR296" s="37" t="n">
        <v>1092.448</v>
      </c>
      <c r="AS296" s="37" t="n">
        <v>1092.66</v>
      </c>
      <c r="AT296" s="37" t="n">
        <v>1092.873</v>
      </c>
      <c r="AU296" s="37" t="n">
        <v>1093.087</v>
      </c>
      <c r="AV296" s="37" t="n">
        <v>1093.301</v>
      </c>
      <c r="AW296" s="37" t="n">
        <v>1093.301</v>
      </c>
      <c r="AX296" s="37" t="n">
        <v>1093.517</v>
      </c>
      <c r="AY296" s="37" t="n">
        <v>1095.798</v>
      </c>
      <c r="AZ296" s="37" t="n">
        <v>1093.95</v>
      </c>
      <c r="BA296" s="37" t="n">
        <v>1393.649</v>
      </c>
      <c r="BB296" s="37" t="n">
        <v>1393.649</v>
      </c>
      <c r="BC296" s="37" t="n">
        <v>1593.756</v>
      </c>
      <c r="BD296" s="37" t="n">
        <v>1594.055</v>
      </c>
      <c r="BE296" s="37" t="n">
        <v>1419.38</v>
      </c>
      <c r="BF296" s="37" t="n">
        <v>920.049</v>
      </c>
      <c r="BG296" s="37" t="n">
        <v>920.049</v>
      </c>
      <c r="BH296" s="37" t="n">
        <v>920.272</v>
      </c>
      <c r="BI296" s="37" t="n">
        <v>920.495</v>
      </c>
      <c r="BJ296" s="37" t="n">
        <v>920.72</v>
      </c>
      <c r="BK296" s="37" t="n">
        <v>1420.487</v>
      </c>
      <c r="BL296" s="37" t="n">
        <v>1420.487</v>
      </c>
      <c r="BM296" s="37" t="n">
        <v>1420.776</v>
      </c>
      <c r="BN296" s="37" t="n">
        <v>1421.066</v>
      </c>
      <c r="BO296" s="37" t="n">
        <v>1411.356</v>
      </c>
      <c r="BP296" s="37" t="n">
        <v>921.857</v>
      </c>
      <c r="BQ296" s="37" t="n">
        <v>921.857</v>
      </c>
      <c r="BR296" s="37" t="n">
        <v>922.087</v>
      </c>
      <c r="BS296" s="37" t="n">
        <v>922.318</v>
      </c>
      <c r="BT296" s="37" t="n">
        <v>1183.15</v>
      </c>
      <c r="BU296" s="37" t="n">
        <v>1089.438</v>
      </c>
      <c r="BV296" s="37" t="n">
        <v>1089.438</v>
      </c>
      <c r="BW296" s="37" t="n">
        <v>1342.727</v>
      </c>
      <c r="BX296" s="37" t="n">
        <v>1685.017</v>
      </c>
      <c r="BY296" s="6"/>
      <c r="BZ296" s="6"/>
      <c r="CA296" s="49" t="n">
        <f aca="false">CA338-CA294</f>
        <v>1441.65350560939</v>
      </c>
      <c r="CB296" s="49" t="n">
        <f aca="false">CB338-CB294</f>
        <v>1655.03476840497</v>
      </c>
      <c r="CC296" s="49" t="n">
        <f aca="false">CC338-CC294</f>
        <v>1784.9285235896</v>
      </c>
      <c r="CD296" s="49" t="n">
        <f aca="false">CD338-CD294</f>
        <v>1908.28653078962</v>
      </c>
      <c r="CE296" s="49" t="n">
        <f aca="false">CE338-CE294</f>
        <v>2019.14538531802</v>
      </c>
    </row>
    <row r="297" customFormat="false" ht="15" hidden="false" customHeight="false" outlineLevel="0" collapsed="false">
      <c r="B297" s="28" t="s">
        <v>412</v>
      </c>
      <c r="AN297" s="37" t="n">
        <v>211.069</v>
      </c>
      <c r="AO297" s="37" t="n">
        <v>215.83</v>
      </c>
      <c r="AP297" s="37" t="n">
        <v>216.61</v>
      </c>
      <c r="AQ297" s="37" t="n">
        <v>259.444</v>
      </c>
      <c r="AR297" s="37" t="n">
        <v>259.444</v>
      </c>
      <c r="AS297" s="37" t="n">
        <v>286.21</v>
      </c>
      <c r="AT297" s="37" t="n">
        <v>280.448</v>
      </c>
      <c r="AU297" s="37" t="n">
        <v>279.212</v>
      </c>
      <c r="AV297" s="37" t="n">
        <v>268.572</v>
      </c>
      <c r="AW297" s="37" t="n">
        <v>268.572</v>
      </c>
      <c r="AX297" s="37" t="n">
        <v>262.559</v>
      </c>
      <c r="AY297" s="37" t="n">
        <v>249.068</v>
      </c>
      <c r="AZ297" s="37" t="n">
        <v>245.902</v>
      </c>
      <c r="BA297" s="37" t="n">
        <v>241.369</v>
      </c>
      <c r="BB297" s="37" t="n">
        <v>241.369</v>
      </c>
      <c r="BC297" s="37" t="n">
        <v>244.302</v>
      </c>
      <c r="BD297" s="37" t="n">
        <v>281.319</v>
      </c>
      <c r="BE297" s="37" t="n">
        <v>293.325</v>
      </c>
      <c r="BF297" s="37" t="n">
        <v>313.742</v>
      </c>
      <c r="BG297" s="37" t="n">
        <v>313.742</v>
      </c>
      <c r="BH297" s="37" t="n">
        <v>301.168</v>
      </c>
      <c r="BI297" s="37" t="n">
        <v>288.96</v>
      </c>
      <c r="BJ297" s="37" t="n">
        <v>294.751</v>
      </c>
      <c r="BK297" s="37" t="n">
        <v>297.563</v>
      </c>
      <c r="BL297" s="37" t="n">
        <v>297.563</v>
      </c>
      <c r="BM297" s="37" t="n">
        <v>310.285</v>
      </c>
      <c r="BN297" s="37" t="n">
        <v>299.564</v>
      </c>
      <c r="BO297" s="37" t="n">
        <v>281.015</v>
      </c>
      <c r="BP297" s="37" t="n">
        <v>290.641</v>
      </c>
      <c r="BQ297" s="37" t="n">
        <v>290.641</v>
      </c>
      <c r="BR297" s="37" t="n">
        <v>268.914</v>
      </c>
      <c r="BS297" s="37" t="n">
        <v>264.797</v>
      </c>
      <c r="BT297" s="37" t="n">
        <v>247.068</v>
      </c>
      <c r="BU297" s="37" t="n">
        <v>233.768</v>
      </c>
      <c r="BV297" s="37" t="n">
        <v>233.768</v>
      </c>
      <c r="BW297" s="37" t="n">
        <v>230.097</v>
      </c>
      <c r="BX297" s="37" t="n">
        <v>216.9</v>
      </c>
      <c r="BY297" s="6"/>
      <c r="BZ297" s="6"/>
      <c r="CA297" s="49" t="n">
        <f aca="false">BV297</f>
        <v>233.768</v>
      </c>
      <c r="CB297" s="49" t="n">
        <f aca="false">CA297</f>
        <v>233.768</v>
      </c>
      <c r="CC297" s="49" t="n">
        <f aca="false">CB297</f>
        <v>233.768</v>
      </c>
      <c r="CD297" s="49" t="n">
        <f aca="false">CC297</f>
        <v>233.768</v>
      </c>
      <c r="CE297" s="49" t="n">
        <f aca="false">CD297</f>
        <v>233.768</v>
      </c>
    </row>
    <row r="298" customFormat="false" ht="15" hidden="false" customHeight="false" outlineLevel="0" collapsed="false">
      <c r="B298" s="28" t="s">
        <v>413</v>
      </c>
      <c r="J298" s="37" t="n">
        <v>20.402</v>
      </c>
      <c r="K298" s="37" t="n">
        <v>20.621</v>
      </c>
      <c r="L298" s="37" t="n">
        <v>21.196</v>
      </c>
      <c r="M298" s="37" t="n">
        <v>21.584</v>
      </c>
      <c r="N298" s="37" t="n">
        <v>21.584</v>
      </c>
      <c r="O298" s="37" t="n">
        <v>20.583</v>
      </c>
      <c r="P298" s="37" t="n">
        <v>20.281</v>
      </c>
      <c r="Q298" s="37" t="n">
        <v>21.994</v>
      </c>
      <c r="R298" s="37" t="n">
        <v>24.279</v>
      </c>
      <c r="S298" s="37" t="n">
        <v>24.279</v>
      </c>
      <c r="T298" s="37" t="n">
        <v>22.622</v>
      </c>
      <c r="U298" s="37" t="n">
        <v>22.723</v>
      </c>
      <c r="V298" s="37" t="n">
        <v>23.588</v>
      </c>
      <c r="W298" s="37" t="n">
        <v>19.634</v>
      </c>
      <c r="X298" s="37" t="n">
        <v>19.634</v>
      </c>
      <c r="Y298" s="37" t="n">
        <v>18.523</v>
      </c>
      <c r="Z298" s="37" t="n">
        <v>18.615</v>
      </c>
      <c r="AA298" s="37" t="n">
        <v>18.843</v>
      </c>
      <c r="AB298" s="37" t="n">
        <v>18.849</v>
      </c>
      <c r="AC298" s="37" t="n">
        <v>18.849</v>
      </c>
      <c r="AD298" s="37" t="n">
        <v>17.919</v>
      </c>
      <c r="AE298" s="37" t="n">
        <v>17.278</v>
      </c>
      <c r="AF298" s="37" t="n">
        <v>17.774</v>
      </c>
      <c r="AG298" s="37" t="n">
        <v>26.684</v>
      </c>
      <c r="AH298" s="37" t="n">
        <v>26.684</v>
      </c>
      <c r="AI298" s="37" t="n">
        <v>25.215</v>
      </c>
      <c r="AJ298" s="37" t="n">
        <v>25.364</v>
      </c>
      <c r="AK298" s="37" t="n">
        <v>23.903</v>
      </c>
      <c r="AL298" s="37" t="n">
        <v>21.463</v>
      </c>
      <c r="AM298" s="37" t="n">
        <v>21.463</v>
      </c>
      <c r="AN298" s="37" t="n">
        <v>21.763</v>
      </c>
      <c r="AO298" s="37" t="n">
        <v>22.063</v>
      </c>
      <c r="AP298" s="37" t="n">
        <v>22.149</v>
      </c>
      <c r="AQ298" s="37" t="n">
        <v>22.354</v>
      </c>
      <c r="AR298" s="37" t="n">
        <v>22.354</v>
      </c>
      <c r="AS298" s="37" t="n">
        <v>21.576</v>
      </c>
      <c r="AT298" s="37" t="n">
        <v>22.481</v>
      </c>
      <c r="AU298" s="37" t="n">
        <v>22.981</v>
      </c>
      <c r="AV298" s="37" t="n">
        <v>26.015</v>
      </c>
      <c r="AW298" s="37" t="n">
        <v>26.015</v>
      </c>
      <c r="AX298" s="37" t="n">
        <v>24.682</v>
      </c>
      <c r="AY298" s="37" t="n">
        <v>25.968</v>
      </c>
      <c r="AZ298" s="37" t="n">
        <v>25.449</v>
      </c>
      <c r="BA298" s="37" t="n">
        <v>28.39</v>
      </c>
      <c r="BB298" s="37" t="n">
        <v>28.39</v>
      </c>
      <c r="BC298" s="37" t="n">
        <v>28.617</v>
      </c>
      <c r="BD298" s="37" t="n">
        <v>26.291</v>
      </c>
      <c r="BE298" s="37" t="n">
        <v>26.865</v>
      </c>
      <c r="BF298" s="37" t="n">
        <v>28.317</v>
      </c>
      <c r="BG298" s="37" t="n">
        <v>28.317</v>
      </c>
      <c r="BH298" s="37" t="n">
        <v>27.009</v>
      </c>
      <c r="BI298" s="37" t="n">
        <v>28.104</v>
      </c>
      <c r="BJ298" s="37" t="n">
        <v>29.64</v>
      </c>
      <c r="BK298" s="37" t="n">
        <v>21.289</v>
      </c>
      <c r="BL298" s="37" t="n">
        <v>21.289</v>
      </c>
      <c r="BM298" s="37" t="n">
        <v>21.798</v>
      </c>
      <c r="BN298" s="37" t="n">
        <v>21.611</v>
      </c>
      <c r="BO298" s="37" t="n">
        <v>24.215</v>
      </c>
      <c r="BP298" s="37" t="n">
        <v>23.472</v>
      </c>
      <c r="BQ298" s="37" t="n">
        <v>23.472</v>
      </c>
      <c r="BR298" s="37" t="n">
        <v>23.941</v>
      </c>
      <c r="BS298" s="37" t="n">
        <v>41.326</v>
      </c>
      <c r="BT298" s="37" t="n">
        <v>42.776</v>
      </c>
      <c r="BU298" s="37" t="n">
        <v>34.875</v>
      </c>
      <c r="BV298" s="37" t="n">
        <v>34.875</v>
      </c>
      <c r="BW298" s="37" t="n">
        <v>38.048</v>
      </c>
      <c r="BX298" s="37" t="n">
        <v>38.499</v>
      </c>
      <c r="BY298" s="6"/>
      <c r="BZ298" s="6"/>
      <c r="CA298" s="49" t="n">
        <f aca="false">BV298</f>
        <v>34.875</v>
      </c>
      <c r="CB298" s="49" t="n">
        <f aca="false">CA298</f>
        <v>34.875</v>
      </c>
      <c r="CC298" s="49" t="n">
        <f aca="false">CB298</f>
        <v>34.875</v>
      </c>
      <c r="CD298" s="49" t="n">
        <f aca="false">CC298</f>
        <v>34.875</v>
      </c>
      <c r="CE298" s="49" t="n">
        <f aca="false">CD298</f>
        <v>34.875</v>
      </c>
    </row>
    <row r="299" customFormat="false" ht="15" hidden="false" customHeight="false" outlineLevel="0" collapsed="false">
      <c r="B299" s="28" t="s">
        <v>414</v>
      </c>
      <c r="J299" s="37" t="n">
        <v>70.101</v>
      </c>
      <c r="K299" s="37" t="n">
        <v>69.928</v>
      </c>
      <c r="L299" s="37" t="n">
        <v>74.691</v>
      </c>
      <c r="M299" s="37" t="n">
        <v>70.618</v>
      </c>
      <c r="N299" s="37" t="n">
        <v>70.618</v>
      </c>
      <c r="O299" s="37" t="n">
        <v>76.587</v>
      </c>
      <c r="P299" s="37" t="n">
        <v>75.502</v>
      </c>
      <c r="Q299" s="37" t="n">
        <v>71.653</v>
      </c>
      <c r="R299" s="37" t="n">
        <v>66.961</v>
      </c>
      <c r="S299" s="37" t="n">
        <v>66.961</v>
      </c>
      <c r="T299" s="37" t="n">
        <v>77.256</v>
      </c>
      <c r="U299" s="37" t="n">
        <v>74.394</v>
      </c>
      <c r="V299" s="37" t="n">
        <v>76.144</v>
      </c>
      <c r="W299" s="37" t="n">
        <v>78.105</v>
      </c>
      <c r="X299" s="37" t="n">
        <v>78.105</v>
      </c>
      <c r="Y299" s="37" t="n">
        <v>79.653</v>
      </c>
      <c r="Z299" s="37" t="n">
        <v>75.937</v>
      </c>
      <c r="AA299" s="37" t="n">
        <v>75.531</v>
      </c>
      <c r="AB299" s="37" t="n">
        <v>65.122</v>
      </c>
      <c r="AC299" s="37" t="n">
        <v>65.122</v>
      </c>
      <c r="AD299" s="37" t="n">
        <v>64.351</v>
      </c>
      <c r="AE299" s="37" t="n">
        <v>63.667</v>
      </c>
      <c r="AF299" s="37" t="n">
        <v>66.396</v>
      </c>
      <c r="AG299" s="37" t="n">
        <v>45.355</v>
      </c>
      <c r="AH299" s="37" t="n">
        <v>45.355</v>
      </c>
      <c r="AI299" s="37" t="n">
        <v>52.883</v>
      </c>
      <c r="AJ299" s="37" t="n">
        <v>42.779</v>
      </c>
      <c r="AK299" s="37" t="n">
        <v>44.555</v>
      </c>
      <c r="AL299" s="37" t="n">
        <v>35.757</v>
      </c>
      <c r="AM299" s="37" t="n">
        <v>35.757</v>
      </c>
      <c r="AN299" s="37" t="n">
        <v>40.412</v>
      </c>
      <c r="AO299" s="37" t="n">
        <v>36.344</v>
      </c>
      <c r="AP299" s="37" t="n">
        <v>37.206</v>
      </c>
      <c r="AQ299" s="37" t="n">
        <v>39.776</v>
      </c>
      <c r="AR299" s="37" t="n">
        <v>39.776</v>
      </c>
      <c r="AS299" s="37" t="n">
        <v>55.766</v>
      </c>
      <c r="AT299" s="37" t="n">
        <v>51.921</v>
      </c>
      <c r="AU299" s="37" t="n">
        <v>44.942</v>
      </c>
      <c r="AV299" s="37" t="n">
        <v>22.182</v>
      </c>
      <c r="AW299" s="37" t="n">
        <v>22.182</v>
      </c>
      <c r="AX299" s="37" t="n">
        <v>32.236</v>
      </c>
      <c r="AY299" s="37" t="n">
        <v>28.642</v>
      </c>
      <c r="AZ299" s="37" t="n">
        <v>20.259</v>
      </c>
      <c r="BA299" s="37" t="n">
        <v>16.113</v>
      </c>
      <c r="BB299" s="37" t="n">
        <v>16.113</v>
      </c>
      <c r="BC299" s="37" t="n">
        <v>17.244</v>
      </c>
      <c r="BD299" s="37" t="n">
        <v>16.521</v>
      </c>
      <c r="BE299" s="37" t="n">
        <v>18.041</v>
      </c>
      <c r="BF299" s="37" t="n">
        <v>14.256</v>
      </c>
      <c r="BG299" s="37" t="n">
        <v>14.256</v>
      </c>
      <c r="BH299" s="37" t="n">
        <v>15.33</v>
      </c>
      <c r="BI299" s="37" t="n">
        <v>15.099</v>
      </c>
      <c r="BJ299" s="37" t="n">
        <v>14.656</v>
      </c>
      <c r="BK299" s="37" t="n">
        <v>13.177</v>
      </c>
      <c r="BL299" s="37" t="n">
        <v>13.177</v>
      </c>
      <c r="BM299" s="37" t="n">
        <v>12.09</v>
      </c>
      <c r="BN299" s="37" t="n">
        <v>11.929</v>
      </c>
      <c r="BO299" s="37" t="n">
        <v>11.714</v>
      </c>
      <c r="BP299" s="37" t="n">
        <v>12.565</v>
      </c>
      <c r="BQ299" s="37" t="n">
        <v>12.565</v>
      </c>
      <c r="BR299" s="37" t="n">
        <v>10.392</v>
      </c>
      <c r="BS299" s="37" t="n">
        <v>9.939</v>
      </c>
      <c r="BT299" s="37" t="n">
        <v>9.717</v>
      </c>
      <c r="BU299" s="37" t="n">
        <v>21.526</v>
      </c>
      <c r="BV299" s="37" t="n">
        <v>21.526</v>
      </c>
      <c r="BW299" s="37" t="n">
        <v>22.018</v>
      </c>
      <c r="BX299" s="37" t="n">
        <v>21.383</v>
      </c>
      <c r="BY299" s="6"/>
      <c r="BZ299" s="6"/>
      <c r="CA299" s="49" t="n">
        <f aca="false">BV299+CA242</f>
        <v>46.429</v>
      </c>
      <c r="CB299" s="49" t="n">
        <f aca="false">CA299+CB242</f>
        <v>46.429</v>
      </c>
      <c r="CC299" s="49" t="n">
        <f aca="false">CB299+CC242</f>
        <v>46.429</v>
      </c>
      <c r="CD299" s="49" t="n">
        <f aca="false">CC299+CD242</f>
        <v>46.429</v>
      </c>
      <c r="CE299" s="49" t="n">
        <f aca="false">CD299+CE242</f>
        <v>46.429</v>
      </c>
    </row>
    <row r="300" customFormat="false" ht="15" hidden="false" customHeight="false" outlineLevel="0" collapsed="false">
      <c r="B300" s="28" t="s">
        <v>415</v>
      </c>
      <c r="C300" s="37" t="n">
        <v>1.022</v>
      </c>
      <c r="D300" s="37" t="n">
        <v>11.439</v>
      </c>
      <c r="E300" s="37" t="n">
        <v>10.847</v>
      </c>
      <c r="F300" s="37" t="n">
        <v>22.541</v>
      </c>
      <c r="G300" s="37" t="n">
        <v>20.024</v>
      </c>
      <c r="H300" s="37" t="n">
        <v>12.935</v>
      </c>
      <c r="I300" s="37" t="n">
        <v>67.636</v>
      </c>
      <c r="J300" s="37" t="n">
        <v>0.945</v>
      </c>
      <c r="K300" s="37" t="n">
        <v>0.944</v>
      </c>
      <c r="L300" s="37" t="n">
        <v>0.887</v>
      </c>
      <c r="M300" s="37" t="n">
        <v>0.911</v>
      </c>
      <c r="N300" s="37" t="n">
        <v>0.911</v>
      </c>
      <c r="O300" s="37" t="n">
        <v>0.912</v>
      </c>
      <c r="P300" s="37" t="n">
        <v>0.224</v>
      </c>
      <c r="Q300" s="37" t="n">
        <v>0.218</v>
      </c>
      <c r="R300" s="37" t="n">
        <v>0.223</v>
      </c>
      <c r="S300" s="37" t="n">
        <v>0.223</v>
      </c>
      <c r="T300" s="37" t="n">
        <v>0.23</v>
      </c>
      <c r="U300" s="37" t="n">
        <v>0.228</v>
      </c>
      <c r="V300" s="37" t="n">
        <v>0.211</v>
      </c>
      <c r="W300" s="37" t="n">
        <v>0.217</v>
      </c>
      <c r="X300" s="37" t="n">
        <v>0.217</v>
      </c>
      <c r="Y300" s="37" t="n">
        <v>0.208</v>
      </c>
      <c r="Z300" s="37" t="n">
        <v>0.221</v>
      </c>
      <c r="AA300" s="37" t="n">
        <v>0.223</v>
      </c>
      <c r="AB300" s="37" t="n">
        <v>0.222</v>
      </c>
      <c r="AC300" s="37" t="n">
        <v>0.222</v>
      </c>
      <c r="AD300" s="37" t="n">
        <v>0.233</v>
      </c>
      <c r="AE300" s="37" t="n">
        <v>0.242</v>
      </c>
      <c r="AF300" s="37" t="n">
        <v>0.241</v>
      </c>
      <c r="AG300" s="37" t="n">
        <v>0.601</v>
      </c>
      <c r="AH300" s="37" t="n">
        <v>0.601</v>
      </c>
      <c r="AI300" s="37" t="n">
        <v>0.596</v>
      </c>
      <c r="AJ300" s="37" t="n">
        <v>1.201</v>
      </c>
      <c r="AK300" s="37" t="n">
        <v>1.026</v>
      </c>
      <c r="AL300" s="37" t="n">
        <v>0.43</v>
      </c>
      <c r="AM300" s="37" t="n">
        <v>0.43</v>
      </c>
      <c r="AN300" s="37" t="n">
        <v>0.37</v>
      </c>
      <c r="AO300" s="37" t="n">
        <v>0.372</v>
      </c>
      <c r="AP300" s="37" t="n">
        <v>0.257</v>
      </c>
      <c r="AQ300" s="37" t="n">
        <v>0.27</v>
      </c>
      <c r="AR300" s="37" t="n">
        <v>0.27</v>
      </c>
      <c r="AS300" s="37" t="n">
        <v>0.265</v>
      </c>
      <c r="AT300" s="37" t="n">
        <v>0.258</v>
      </c>
      <c r="AU300" s="37" t="n">
        <v>0.278</v>
      </c>
      <c r="AV300" s="37" t="n">
        <v>14.523</v>
      </c>
      <c r="AW300" s="37" t="n">
        <v>14.523</v>
      </c>
      <c r="AX300" s="37" t="n">
        <v>14.535</v>
      </c>
      <c r="AY300" s="37" t="n">
        <v>14.539</v>
      </c>
      <c r="AZ300" s="37" t="n">
        <v>14.553</v>
      </c>
      <c r="BA300" s="37" t="n">
        <v>0.315</v>
      </c>
      <c r="BB300" s="37" t="n">
        <v>0.315</v>
      </c>
      <c r="BC300" s="37" t="n">
        <v>0.714</v>
      </c>
      <c r="BD300" s="37" t="n">
        <v>1.088</v>
      </c>
      <c r="BE300" s="37" t="n">
        <v>1.48</v>
      </c>
      <c r="BF300" s="37" t="n">
        <v>1.926</v>
      </c>
      <c r="BG300" s="37" t="n">
        <v>1.926</v>
      </c>
      <c r="BH300" s="37" t="n">
        <v>2.549</v>
      </c>
      <c r="BI300" s="37" t="n">
        <v>3.005</v>
      </c>
      <c r="BJ300" s="37" t="n">
        <v>3.773</v>
      </c>
      <c r="BK300" s="37" t="n">
        <v>2.074</v>
      </c>
      <c r="BL300" s="37" t="n">
        <v>2.074</v>
      </c>
      <c r="BM300" s="37" t="n">
        <v>2.859</v>
      </c>
      <c r="BN300" s="37" t="n">
        <v>3.522</v>
      </c>
      <c r="BO300" s="37" t="n">
        <v>4.152</v>
      </c>
      <c r="BP300" s="37" t="n">
        <v>2.442</v>
      </c>
      <c r="BQ300" s="37" t="n">
        <v>2.442</v>
      </c>
      <c r="BR300" s="37" t="n">
        <v>2.69</v>
      </c>
      <c r="BS300" s="37" t="n">
        <v>3.305</v>
      </c>
      <c r="BT300" s="37" t="n">
        <v>4.034</v>
      </c>
      <c r="BU300" s="37" t="n">
        <v>1.425</v>
      </c>
      <c r="BV300" s="37" t="n">
        <v>1.425</v>
      </c>
      <c r="BW300" s="37" t="n">
        <v>1.92</v>
      </c>
      <c r="BX300" s="37" t="n">
        <v>2.455</v>
      </c>
      <c r="BY300" s="6"/>
      <c r="BZ300" s="6"/>
      <c r="CA300" s="49" t="n">
        <f aca="false">BV300</f>
        <v>1.425</v>
      </c>
      <c r="CB300" s="49" t="n">
        <f aca="false">CA300</f>
        <v>1.425</v>
      </c>
      <c r="CC300" s="49" t="n">
        <f aca="false">CB300</f>
        <v>1.425</v>
      </c>
      <c r="CD300" s="49" t="n">
        <f aca="false">CC300</f>
        <v>1.425</v>
      </c>
      <c r="CE300" s="49" t="n">
        <f aca="false">CD300</f>
        <v>1.425</v>
      </c>
    </row>
    <row r="301" customFormat="false" ht="15" hidden="false" customHeight="false" outlineLevel="0" collapsed="false">
      <c r="B301" s="18" t="s">
        <v>416</v>
      </c>
      <c r="C301" s="42" t="n">
        <f aca="false">IF(ISNUMBER(C288),C295+N(C296)+N(C297)+N(C298)+N(C299)+N(C300),"")</f>
        <v>687.971</v>
      </c>
      <c r="D301" s="42" t="n">
        <f aca="false">IF(ISNUMBER(D288),D295+N(D296)+N(D297)+N(D298)+N(D299)+N(D300),"")</f>
        <v>769.058</v>
      </c>
      <c r="E301" s="42" t="n">
        <f aca="false">IF(ISNUMBER(E288),E295+N(E296)+N(E297)+N(E298)+N(E299)+N(E300),"")</f>
        <v>708.5</v>
      </c>
      <c r="F301" s="42" t="n">
        <f aca="false">IF(ISNUMBER(F288),F295+N(F296)+N(F297)+N(F298)+N(F299)+N(F300),"")</f>
        <v>754.348</v>
      </c>
      <c r="G301" s="42" t="n">
        <f aca="false">IF(ISNUMBER(G288),G295+N(G296)+N(G297)+N(G298)+N(G299)+N(G300),"")</f>
        <v>791.631</v>
      </c>
      <c r="H301" s="42" t="n">
        <f aca="false">IF(ISNUMBER(H288),H295+N(H296)+N(H297)+N(H298)+N(H299)+N(H300),"")</f>
        <v>889.567</v>
      </c>
      <c r="I301" s="42" t="n">
        <f aca="false">IF(ISNUMBER(I288),I295+N(I296)+N(I297)+N(I298)+N(I299)+N(I300),"")</f>
        <v>1299.853</v>
      </c>
      <c r="J301" s="42" t="n">
        <f aca="false">IF(ISNUMBER(J288),J295+N(J296)+N(J297)+N(J298)+N(J299)+N(J300),"")</f>
        <v>1340.875</v>
      </c>
      <c r="K301" s="42" t="n">
        <f aca="false">IF(ISNUMBER(K288),K295+N(K296)+N(K297)+N(K298)+N(K299)+N(K300),"")</f>
        <v>1422.48</v>
      </c>
      <c r="L301" s="42" t="n">
        <f aca="false">IF(ISNUMBER(L288),L295+N(L296)+N(L297)+N(L298)+N(L299)+N(L300),"")</f>
        <v>1903.005</v>
      </c>
      <c r="M301" s="42" t="n">
        <f aca="false">IF(ISNUMBER(M288),M295+N(M296)+N(M297)+N(M298)+N(M299)+N(M300),"")</f>
        <v>1863.094</v>
      </c>
      <c r="N301" s="42" t="n">
        <f aca="false">IF(ISNUMBER(N288),N295+N(N296)+N(N297)+N(N298)+N(N299)+N(N300),"")</f>
        <v>1863.094</v>
      </c>
      <c r="O301" s="42" t="n">
        <f aca="false">IF(ISNUMBER(O288),O295+N(O296)+N(O297)+N(O298)+N(O299)+N(O300),"")</f>
        <v>1978.571</v>
      </c>
      <c r="P301" s="42" t="n">
        <f aca="false">IF(ISNUMBER(P288),P295+N(P296)+N(P297)+N(P298)+N(P299)+N(P300),"")</f>
        <v>2027.005</v>
      </c>
      <c r="Q301" s="42" t="n">
        <f aca="false">IF(ISNUMBER(Q288),Q295+N(Q296)+N(Q297)+N(Q298)+N(Q299)+N(Q300),"")</f>
        <v>1923.067</v>
      </c>
      <c r="R301" s="42" t="n">
        <f aca="false">IF(ISNUMBER(R288),R295+N(R296)+N(R297)+N(R298)+N(R299)+N(R300),"")</f>
        <v>2167.323</v>
      </c>
      <c r="S301" s="42" t="n">
        <f aca="false">IF(ISNUMBER(S288),S295+N(S296)+N(S297)+N(S298)+N(S299)+N(S300),"")</f>
        <v>2167.323</v>
      </c>
      <c r="T301" s="42" t="n">
        <f aca="false">IF(ISNUMBER(T288),T295+N(T296)+N(T297)+N(T298)+N(T299)+N(T300),"")</f>
        <v>2251.204</v>
      </c>
      <c r="U301" s="42" t="n">
        <f aca="false">IF(ISNUMBER(U288),U295+N(U296)+N(U297)+N(U298)+N(U299)+N(U300),"")</f>
        <v>2292.163</v>
      </c>
      <c r="V301" s="42" t="n">
        <f aca="false">IF(ISNUMBER(V288),V295+N(V296)+N(V297)+N(V298)+N(V299)+N(V300),"")</f>
        <v>2181.202</v>
      </c>
      <c r="W301" s="42" t="n">
        <f aca="false">IF(ISNUMBER(W288),W295+N(W296)+N(W297)+N(W298)+N(W299)+N(W300),"")</f>
        <v>2046.553</v>
      </c>
      <c r="X301" s="42" t="n">
        <f aca="false">IF(ISNUMBER(X288),X295+N(X296)+N(X297)+N(X298)+N(X299)+N(X300),"")</f>
        <v>2046.553</v>
      </c>
      <c r="Y301" s="42" t="n">
        <f aca="false">IF(ISNUMBER(Y288),Y295+N(Y296)+N(Y297)+N(Y298)+N(Y299)+N(Y300),"")</f>
        <v>1970.439</v>
      </c>
      <c r="Z301" s="42" t="n">
        <f aca="false">IF(ISNUMBER(Z288),Z295+N(Z296)+N(Z297)+N(Z298)+N(Z299)+N(Z300),"")</f>
        <v>2086.23</v>
      </c>
      <c r="AA301" s="42" t="n">
        <f aca="false">IF(ISNUMBER(AA288),AA295+N(AA296)+N(AA297)+N(AA298)+N(AA299)+N(AA300),"")</f>
        <v>2394.395</v>
      </c>
      <c r="AB301" s="42" t="n">
        <f aca="false">IF(ISNUMBER(AB288),AB295+N(AB296)+N(AB297)+N(AB298)+N(AB299)+N(AB300),"")</f>
        <v>2394.723</v>
      </c>
      <c r="AC301" s="42" t="n">
        <f aca="false">IF(ISNUMBER(AC288),AC295+N(AC296)+N(AC297)+N(AC298)+N(AC299)+N(AC300),"")</f>
        <v>2394.723</v>
      </c>
      <c r="AD301" s="42" t="n">
        <f aca="false">IF(ISNUMBER(AD288),AD295+N(AD296)+N(AD297)+N(AD298)+N(AD299)+N(AD300),"")</f>
        <v>2459.87</v>
      </c>
      <c r="AE301" s="42" t="n">
        <f aca="false">IF(ISNUMBER(AE288),AE295+N(AE296)+N(AE297)+N(AE298)+N(AE299)+N(AE300),"")</f>
        <v>2628.681</v>
      </c>
      <c r="AF301" s="42" t="n">
        <f aca="false">IF(ISNUMBER(AF288),AF295+N(AF296)+N(AF297)+N(AF298)+N(AF299)+N(AF300),"")</f>
        <v>2820.713</v>
      </c>
      <c r="AG301" s="42" t="n">
        <f aca="false">IF(ISNUMBER(AG288),AG295+N(AG296)+N(AG297)+N(AG298)+N(AG299)+N(AG300),"")</f>
        <v>2810.089</v>
      </c>
      <c r="AH301" s="42" t="n">
        <f aca="false">IF(ISNUMBER(AH288),AH295+N(AH296)+N(AH297)+N(AH298)+N(AH299)+N(AH300),"")</f>
        <v>2810.089</v>
      </c>
      <c r="AI301" s="42" t="n">
        <f aca="false">IF(ISNUMBER(AI288),AI295+N(AI296)+N(AI297)+N(AI298)+N(AI299)+N(AI300),"")</f>
        <v>2823.104</v>
      </c>
      <c r="AJ301" s="42" t="n">
        <f aca="false">IF(ISNUMBER(AJ288),AJ295+N(AJ296)+N(AJ297)+N(AJ298)+N(AJ299)+N(AJ300),"")</f>
        <v>2935.125</v>
      </c>
      <c r="AK301" s="42" t="n">
        <f aca="false">IF(ISNUMBER(AK288),AK295+N(AK296)+N(AK297)+N(AK298)+N(AK299)+N(AK300),"")</f>
        <v>2926.119</v>
      </c>
      <c r="AL301" s="42" t="n">
        <f aca="false">IF(ISNUMBER(AL288),AL295+N(AL296)+N(AL297)+N(AL298)+N(AL299)+N(AL300),"")</f>
        <v>2832.325</v>
      </c>
      <c r="AM301" s="42" t="n">
        <f aca="false">IF(ISNUMBER(AM288),AM295+N(AM296)+N(AM297)+N(AM298)+N(AM299)+N(AM300),"")</f>
        <v>2832.325</v>
      </c>
      <c r="AN301" s="42" t="n">
        <f aca="false">IF(ISNUMBER(AN288),AN295+N(AN296)+N(AN297)+N(AN298)+N(AN299)+N(AN300),"")</f>
        <v>3044.883</v>
      </c>
      <c r="AO301" s="42" t="n">
        <f aca="false">IF(ISNUMBER(AO288),AO295+N(AO296)+N(AO297)+N(AO298)+N(AO299)+N(AO300),"")</f>
        <v>3024.798</v>
      </c>
      <c r="AP301" s="42" t="n">
        <f aca="false">IF(ISNUMBER(AP288),AP295+N(AP296)+N(AP297)+N(AP298)+N(AP299)+N(AP300),"")</f>
        <v>2963.453</v>
      </c>
      <c r="AQ301" s="42" t="n">
        <f aca="false">IF(ISNUMBER(AQ288),AQ295+N(AQ296)+N(AQ297)+N(AQ298)+N(AQ299)+N(AQ300),"")</f>
        <v>2970.33</v>
      </c>
      <c r="AR301" s="42" t="n">
        <f aca="false">IF(ISNUMBER(AR288),AR295+N(AR296)+N(AR297)+N(AR298)+N(AR299)+N(AR300),"")</f>
        <v>2970.33</v>
      </c>
      <c r="AS301" s="42" t="n">
        <f aca="false">IF(ISNUMBER(AS288),AS295+N(AS296)+N(AS297)+N(AS298)+N(AS299)+N(AS300),"")</f>
        <v>3261.202</v>
      </c>
      <c r="AT301" s="42" t="n">
        <f aca="false">IF(ISNUMBER(AT288),AT295+N(AT296)+N(AT297)+N(AT298)+N(AT299)+N(AT300),"")</f>
        <v>3121.361</v>
      </c>
      <c r="AU301" s="42" t="n">
        <f aca="false">IF(ISNUMBER(AU288),AU295+N(AU296)+N(AU297)+N(AU298)+N(AU299)+N(AU300),"")</f>
        <v>3201.479</v>
      </c>
      <c r="AV301" s="42" t="n">
        <f aca="false">IF(ISNUMBER(AV288),AV295+N(AV296)+N(AV297)+N(AV298)+N(AV299)+N(AV300),"")</f>
        <v>3264.325</v>
      </c>
      <c r="AW301" s="42" t="n">
        <f aca="false">IF(ISNUMBER(AW288),AW295+N(AW296)+N(AW297)+N(AW298)+N(AW299)+N(AW300),"")</f>
        <v>3264.325</v>
      </c>
      <c r="AX301" s="42" t="n">
        <f aca="false">IF(ISNUMBER(AX288),AX295+N(AX296)+N(AX297)+N(AX298)+N(AX299)+N(AX300),"")</f>
        <v>3728.436</v>
      </c>
      <c r="AY301" s="42" t="n">
        <f aca="false">IF(ISNUMBER(AY288),AY295+N(AY296)+N(AY297)+N(AY298)+N(AY299)+N(AY300),"")</f>
        <v>4000.394</v>
      </c>
      <c r="AZ301" s="42" t="n">
        <f aca="false">IF(ISNUMBER(AZ288),AZ295+N(AZ296)+N(AZ297)+N(AZ298)+N(AZ299)+N(AZ300),"")</f>
        <v>4651.806</v>
      </c>
      <c r="BA301" s="42" t="n">
        <f aca="false">IF(ISNUMBER(BA288),BA295+N(BA296)+N(BA297)+N(BA298)+N(BA299)+N(BA300),"")</f>
        <v>5006.178</v>
      </c>
      <c r="BB301" s="42" t="n">
        <f aca="false">IF(ISNUMBER(BB288),BB295+N(BB296)+N(BB297)+N(BB298)+N(BB299)+N(BB300),"")</f>
        <v>5006.178</v>
      </c>
      <c r="BC301" s="42" t="n">
        <f aca="false">IF(ISNUMBER(BC288),BC295+N(BC296)+N(BC297)+N(BC298)+N(BC299)+N(BC300),"")</f>
        <v>5425.836</v>
      </c>
      <c r="BD301" s="42" t="n">
        <f aca="false">IF(ISNUMBER(BD288),BD295+N(BD296)+N(BD297)+N(BD298)+N(BD299)+N(BD300),"")</f>
        <v>5405.024</v>
      </c>
      <c r="BE301" s="42" t="n">
        <f aca="false">IF(ISNUMBER(BE288),BE295+N(BE296)+N(BE297)+N(BE298)+N(BE299)+N(BE300),"")</f>
        <v>5117.969</v>
      </c>
      <c r="BF301" s="42" t="n">
        <f aca="false">IF(ISNUMBER(BF288),BF295+N(BF296)+N(BF297)+N(BF298)+N(BF299)+N(BF300),"")</f>
        <v>4601.142</v>
      </c>
      <c r="BG301" s="42" t="n">
        <f aca="false">IF(ISNUMBER(BG288),BG295+N(BG296)+N(BG297)+N(BG298)+N(BG299)+N(BG300),"")</f>
        <v>4601.142</v>
      </c>
      <c r="BH301" s="42" t="n">
        <f aca="false">IF(ISNUMBER(BH288),BH295+N(BH296)+N(BH297)+N(BH298)+N(BH299)+N(BH300),"")</f>
        <v>4214.196</v>
      </c>
      <c r="BI301" s="42" t="n">
        <f aca="false">IF(ISNUMBER(BI288),BI295+N(BI296)+N(BI297)+N(BI298)+N(BI299)+N(BI300),"")</f>
        <v>4017.154</v>
      </c>
      <c r="BJ301" s="42" t="n">
        <f aca="false">IF(ISNUMBER(BJ288),BJ295+N(BJ296)+N(BJ297)+N(BJ298)+N(BJ299)+N(BJ300),"")</f>
        <v>3913.083</v>
      </c>
      <c r="BK301" s="42" t="n">
        <f aca="false">IF(ISNUMBER(BK288),BK295+N(BK296)+N(BK297)+N(BK298)+N(BK299)+N(BK300),"")</f>
        <v>3806.583</v>
      </c>
      <c r="BL301" s="42" t="n">
        <f aca="false">IF(ISNUMBER(BL288),BL295+N(BL296)+N(BL297)+N(BL298)+N(BL299)+N(BL300),"")</f>
        <v>3806.583</v>
      </c>
      <c r="BM301" s="42" t="n">
        <f aca="false">IF(ISNUMBER(BM288),BM295+N(BM296)+N(BM297)+N(BM298)+N(BM299)+N(BM300),"")</f>
        <v>4042.094</v>
      </c>
      <c r="BN301" s="42" t="n">
        <f aca="false">IF(ISNUMBER(BN288),BN295+N(BN296)+N(BN297)+N(BN298)+N(BN299)+N(BN300),"")</f>
        <v>4001.905</v>
      </c>
      <c r="BO301" s="42" t="n">
        <f aca="false">IF(ISNUMBER(BO288),BO295+N(BO296)+N(BO297)+N(BO298)+N(BO299)+N(BO300),"")</f>
        <v>3973.289</v>
      </c>
      <c r="BP301" s="42" t="n">
        <f aca="false">IF(ISNUMBER(BP288),BP295+N(BP296)+N(BP297)+N(BP298)+N(BP299)+N(BP300),"")</f>
        <v>3575.875</v>
      </c>
      <c r="BQ301" s="42" t="n">
        <f aca="false">IF(ISNUMBER(BQ288),BQ295+N(BQ296)+N(BQ297)+N(BQ298)+N(BQ299)+N(BQ300),"")</f>
        <v>3575.875</v>
      </c>
      <c r="BR301" s="42" t="n">
        <f aca="false">IF(ISNUMBER(BR288),BR295+N(BR296)+N(BR297)+N(BR298)+N(BR299)+N(BR300),"")</f>
        <v>3491.389</v>
      </c>
      <c r="BS301" s="42" t="n">
        <f aca="false">IF(ISNUMBER(BS288),BS295+N(BS296)+N(BS297)+N(BS298)+N(BS299)+N(BS300),"")</f>
        <v>3537.524</v>
      </c>
      <c r="BT301" s="42" t="n">
        <f aca="false">IF(ISNUMBER(BT288),BT295+N(BT296)+N(BT297)+N(BT298)+N(BT299)+N(BT300),"")</f>
        <v>3370.813</v>
      </c>
      <c r="BU301" s="42" t="n">
        <f aca="false">IF(ISNUMBER(BU288),BU295+N(BU296)+N(BU297)+N(BU298)+N(BU299)+N(BU300),"")</f>
        <v>3212.734</v>
      </c>
      <c r="BV301" s="42" t="n">
        <f aca="false">IF(ISNUMBER(BV288),BV295+N(BV296)+N(BV297)+N(BV298)+N(BV299)+N(BV300),"")</f>
        <v>3212.734</v>
      </c>
      <c r="BW301" s="42" t="n">
        <f aca="false">IF(ISNUMBER(BW288),BW295+N(BW296)+N(BW297)+N(BW298)+N(BW299)+N(BW300),"")</f>
        <v>3531.298</v>
      </c>
      <c r="BX301" s="42" t="n">
        <f aca="false">IF(ISNUMBER(BX288),BX295+N(BX296)+N(BX297)+N(BX298)+N(BX299)+N(BX300),"")</f>
        <v>4215.816</v>
      </c>
      <c r="BY301" s="45"/>
      <c r="BZ301" s="45"/>
      <c r="CA301" s="32" t="n">
        <f aca="false">CA295+CA296+CA297+CA298+CA299+CA300</f>
        <v>3869.00023067997</v>
      </c>
      <c r="CB301" s="32" t="n">
        <f aca="false">CB295+CB296+CB297+CB298+CB299+CB300</f>
        <v>4173.78759027718</v>
      </c>
      <c r="CC301" s="32" t="n">
        <f aca="false">CC295+CC296+CC297+CC298+CC299+CC300</f>
        <v>4363.17592968742</v>
      </c>
      <c r="CD301" s="32" t="n">
        <f aca="false">CD295+CD296+CD297+CD298+CD299+CD300</f>
        <v>4549.27713011465</v>
      </c>
      <c r="CE301" s="32" t="n">
        <f aca="false">CE295+CE296+CE297+CE298+CE299+CE300</f>
        <v>4785.28180499279</v>
      </c>
    </row>
    <row r="302" customFormat="false" ht="15" hidden="false" customHeight="false" outlineLevel="0" collapsed="false">
      <c r="B302" s="28" t="s">
        <v>417</v>
      </c>
    </row>
    <row r="303" customFormat="false" ht="15" hidden="false" customHeight="false" outlineLevel="0" collapsed="false">
      <c r="B303" s="28" t="s">
        <v>418</v>
      </c>
      <c r="C303" s="43" t="n">
        <f aca="false">IF(ISNUMBER(C314),C314-N(C304)-N(C305),"")</f>
        <v>943.722</v>
      </c>
      <c r="D303" s="43" t="n">
        <f aca="false">IF(ISNUMBER(D314),D314-N(D304)-N(D305),"")</f>
        <v>1042.249</v>
      </c>
      <c r="E303" s="43" t="n">
        <f aca="false">IF(ISNUMBER(E314),E314-N(E304)-N(E305),"")</f>
        <v>-102.372</v>
      </c>
      <c r="F303" s="43" t="n">
        <f aca="false">IF(ISNUMBER(F314),F314-N(F304)-N(F305),"")</f>
        <v>-320.77</v>
      </c>
      <c r="G303" s="43" t="n">
        <f aca="false">IF(ISNUMBER(G314),G314-N(G304)-N(G305),"")</f>
        <v>-403.419</v>
      </c>
      <c r="H303" s="43" t="n">
        <f aca="false">IF(ISNUMBER(H314),H314-N(H304)-N(H305),"")</f>
        <v>-587.443</v>
      </c>
      <c r="I303" s="43" t="n">
        <f aca="false">IF(ISNUMBER(I314),I314-N(I304)-N(I305),"")</f>
        <v>-704.512</v>
      </c>
      <c r="J303" s="43" t="n">
        <f aca="false">IF(ISNUMBER(J314),J314-N(J304)-N(J305),"")</f>
        <v>-763.825</v>
      </c>
      <c r="K303" s="43" t="n">
        <f aca="false">IF(ISNUMBER(K314),K314-N(K304)-N(K305),"")</f>
        <v>-806.354</v>
      </c>
      <c r="L303" s="43" t="n">
        <f aca="false">IF(ISNUMBER(L314),L314-N(L304)-N(L305),"")</f>
        <v>-1373.553</v>
      </c>
      <c r="M303" s="43" t="n">
        <f aca="false">IF(ISNUMBER(M314),M314-N(M304)-N(M305),"")</f>
        <v>-1463.489</v>
      </c>
      <c r="N303" s="43" t="n">
        <f aca="false">IF(ISNUMBER(N314),N314-N(N304)-N(N305),"")</f>
        <v>-1463.489</v>
      </c>
      <c r="O303" s="43" t="n">
        <f aca="false">IF(ISNUMBER(O314),O314-N(O304)-N(O305),"")</f>
        <v>-1462.044</v>
      </c>
      <c r="P303" s="43" t="n">
        <f aca="false">IF(ISNUMBER(P314),P314-N(P304)-N(P305),"")</f>
        <v>-1498.91</v>
      </c>
      <c r="Q303" s="43" t="n">
        <f aca="false">IF(ISNUMBER(Q314),Q314-N(Q304)-N(Q305),"")</f>
        <v>-1553.67</v>
      </c>
      <c r="R303" s="43" t="n">
        <f aca="false">IF(ISNUMBER(R314),R314-N(R304)-N(R305),"")</f>
        <v>-1572.914</v>
      </c>
      <c r="S303" s="43" t="n">
        <f aca="false">IF(ISNUMBER(S314),S314-N(S304)-N(S305),"")</f>
        <v>-1572.914</v>
      </c>
      <c r="T303" s="43" t="n">
        <f aca="false">IF(ISNUMBER(T314),T314-N(T304)-N(T305),"")</f>
        <v>-1597.852</v>
      </c>
      <c r="U303" s="43" t="n">
        <f aca="false">IF(ISNUMBER(U314),U314-N(U304)-N(U305),"")</f>
        <v>-1628.174</v>
      </c>
      <c r="V303" s="43" t="n">
        <f aca="false">IF(ISNUMBER(V314),V314-N(V304)-N(V305),"")</f>
        <v>-1684.768</v>
      </c>
      <c r="W303" s="43" t="n">
        <f aca="false">IF(ISNUMBER(W314),W314-N(W304)-N(W305),"")</f>
        <v>-1746.869</v>
      </c>
      <c r="X303" s="43" t="n">
        <f aca="false">IF(ISNUMBER(X314),X314-N(X304)-N(X305),"")</f>
        <v>-1746.869</v>
      </c>
      <c r="Y303" s="43" t="n">
        <f aca="false">IF(ISNUMBER(Y314),Y314-N(Y304)-N(Y305),"")</f>
        <v>-1751.508</v>
      </c>
      <c r="Z303" s="43" t="n">
        <f aca="false">IF(ISNUMBER(Z314),Z314-N(Z304)-N(Z305),"")</f>
        <v>-1756.345</v>
      </c>
      <c r="AA303" s="43" t="n">
        <f aca="false">IF(ISNUMBER(AA314),AA314-N(AA304)-N(AA305),"")</f>
        <v>-1815.455</v>
      </c>
      <c r="AB303" s="43" t="n">
        <f aca="false">IF(ISNUMBER(AB314),AB314-N(AB304)-N(AB305),"")</f>
        <v>-1871.289</v>
      </c>
      <c r="AC303" s="43" t="n">
        <f aca="false">IF(ISNUMBER(AC314),AC314-N(AC304)-N(AC305),"")</f>
        <v>-1871.289</v>
      </c>
      <c r="AD303" s="43" t="n">
        <f aca="false">IF(ISNUMBER(AD314),AD314-N(AD304)-N(AD305),"")</f>
        <v>-1888.103</v>
      </c>
      <c r="AE303" s="43" t="n">
        <f aca="false">IF(ISNUMBER(AE314),AE314-N(AE304)-N(AE305),"")</f>
        <v>-1920.253</v>
      </c>
      <c r="AF303" s="43" t="n">
        <f aca="false">IF(ISNUMBER(AF314),AF314-N(AF304)-N(AF305),"")</f>
        <v>-1972.239</v>
      </c>
      <c r="AG303" s="43" t="n">
        <f aca="false">IF(ISNUMBER(AG314),AG314-N(AG304)-N(AG305),"")</f>
        <v>-1992.888</v>
      </c>
      <c r="AH303" s="43" t="n">
        <f aca="false">IF(ISNUMBER(AH314),AH314-N(AH304)-N(AH305),"")</f>
        <v>-1992.888</v>
      </c>
      <c r="AI303" s="43" t="n">
        <f aca="false">IF(ISNUMBER(AI314),AI314-N(AI304)-N(AI305),"")</f>
        <v>-2019.548</v>
      </c>
      <c r="AJ303" s="43" t="n">
        <f aca="false">IF(ISNUMBER(AJ314),AJ314-N(AJ304)-N(AJ305),"")</f>
        <v>-2052.628</v>
      </c>
      <c r="AK303" s="43" t="n">
        <f aca="false">IF(ISNUMBER(AK314),AK314-N(AK304)-N(AK305),"")</f>
        <v>-2104.486</v>
      </c>
      <c r="AL303" s="43" t="n">
        <f aca="false">IF(ISNUMBER(AL314),AL314-N(AL304)-N(AL305),"")</f>
        <v>-2178.571</v>
      </c>
      <c r="AM303" s="43" t="n">
        <f aca="false">IF(ISNUMBER(AM314),AM314-N(AM304)-N(AM305),"")</f>
        <v>-2178.571</v>
      </c>
      <c r="AN303" s="43" t="n">
        <f aca="false">IF(ISNUMBER(AN314),AN314-N(AN304)-N(AN305),"")</f>
        <v>-2218.499</v>
      </c>
      <c r="AO303" s="43" t="n">
        <f aca="false">IF(ISNUMBER(AO314),AO314-N(AO304)-N(AO305),"")</f>
        <v>-2305.973</v>
      </c>
      <c r="AP303" s="43" t="n">
        <f aca="false">IF(ISNUMBER(AP314),AP314-N(AP304)-N(AP305),"")</f>
        <v>-2351.651</v>
      </c>
      <c r="AQ303" s="43" t="n">
        <f aca="false">IF(ISNUMBER(AQ314),AQ314-N(AQ304)-N(AQ305),"")</f>
        <v>-2397.955</v>
      </c>
      <c r="AR303" s="43" t="n">
        <f aca="false">IF(ISNUMBER(AR314),AR314-N(AR304)-N(AR305),"")</f>
        <v>-2397.955</v>
      </c>
      <c r="AS303" s="43" t="n">
        <f aca="false">IF(ISNUMBER(AS314),AS314-N(AS304)-N(AS305),"")</f>
        <v>-2457.647</v>
      </c>
      <c r="AT303" s="43" t="n">
        <f aca="false">IF(ISNUMBER(AT314),AT314-N(AT304)-N(AT305),"")</f>
        <v>-2438.838</v>
      </c>
      <c r="AU303" s="43" t="n">
        <f aca="false">IF(ISNUMBER(AU314),AU314-N(AU304)-N(AU305),"")</f>
        <v>-2349.384</v>
      </c>
      <c r="AV303" s="43" t="n">
        <f aca="false">IF(ISNUMBER(AV314),AV314-N(AV304)-N(AV305),"")</f>
        <v>-2446.902</v>
      </c>
      <c r="AW303" s="43" t="n">
        <f aca="false">IF(ISNUMBER(AW314),AW314-N(AW304)-N(AW305),"")</f>
        <v>-2446.902</v>
      </c>
      <c r="AX303" s="43" t="n">
        <f aca="false">IF(ISNUMBER(AX314),AX314-N(AX304)-N(AX305),"")</f>
        <v>-2555.061</v>
      </c>
      <c r="AY303" s="43" t="n">
        <f aca="false">IF(ISNUMBER(AY314),AY314-N(AY304)-N(AY305),"")</f>
        <v>-2641.611</v>
      </c>
      <c r="AZ303" s="43" t="n">
        <f aca="false">IF(ISNUMBER(AZ314),AZ314-N(AZ304)-N(AZ305),"")</f>
        <v>-2763.684</v>
      </c>
      <c r="BA303" s="43" t="n">
        <f aca="false">IF(ISNUMBER(BA314),BA314-N(BA304)-N(BA305),"")</f>
        <v>-2853.793</v>
      </c>
      <c r="BB303" s="43" t="n">
        <f aca="false">IF(ISNUMBER(BB314),BB314-N(BB304)-N(BB305),"")</f>
        <v>-2853.793</v>
      </c>
      <c r="BC303" s="43" t="n">
        <f aca="false">IF(ISNUMBER(BC314),BC314-N(BC304)-N(BC305),"")</f>
        <v>-2984.901</v>
      </c>
      <c r="BD303" s="43" t="n">
        <f aca="false">IF(ISNUMBER(BD314),BD314-N(BD304)-N(BD305),"")</f>
        <v>-3271.071</v>
      </c>
      <c r="BE303" s="43" t="n">
        <f aca="false">IF(ISNUMBER(BE314),BE314-N(BE304)-N(BE305),"")</f>
        <v>-3752.381</v>
      </c>
      <c r="BF303" s="43" t="n">
        <f aca="false">IF(ISNUMBER(BF314),BF314-N(BF304)-N(BF305),"")</f>
        <v>-4148.158</v>
      </c>
      <c r="BG303" s="43" t="n">
        <f aca="false">IF(ISNUMBER(BG314),BG314-N(BG304)-N(BG305),"")</f>
        <v>-4148.158</v>
      </c>
      <c r="BH303" s="43" t="n">
        <f aca="false">IF(ISNUMBER(BH314),BH314-N(BH304)-N(BH305),"")</f>
        <v>-4163.979</v>
      </c>
      <c r="BI303" s="43" t="n">
        <f aca="false">IF(ISNUMBER(BI314),BI314-N(BI304)-N(BI305),"")</f>
        <v>-4174.463</v>
      </c>
      <c r="BJ303" s="43" t="n">
        <f aca="false">IF(ISNUMBER(BJ314),BJ314-N(BJ304)-N(BJ305),"")</f>
        <v>-4151.32</v>
      </c>
      <c r="BK303" s="43" t="n">
        <f aca="false">IF(ISNUMBER(BK314),BK314-N(BK304)-N(BK305),"")</f>
        <v>-4121.147</v>
      </c>
      <c r="BL303" s="43" t="n">
        <f aca="false">IF(ISNUMBER(BL314),BL314-N(BL304)-N(BL305),"")</f>
        <v>-4121.147</v>
      </c>
      <c r="BM303" s="43" t="n">
        <f aca="false">IF(ISNUMBER(BM314),BM314-N(BM304)-N(BM305),"")</f>
        <v>-4109.199</v>
      </c>
      <c r="BN303" s="43" t="n">
        <f aca="false">IF(ISNUMBER(BN314),BN314-N(BN304)-N(BN305),"")</f>
        <v>-4079.684</v>
      </c>
      <c r="BO303" s="43" t="n">
        <f aca="false">IF(ISNUMBER(BO314),BO314-N(BO304)-N(BO305),"")</f>
        <v>-4000.886</v>
      </c>
      <c r="BP303" s="43" t="n">
        <f aca="false">IF(ISNUMBER(BP314),BP314-N(BP304)-N(BP305),"")</f>
        <v>-3953.884</v>
      </c>
      <c r="BQ303" s="43" t="n">
        <f aca="false">IF(ISNUMBER(BQ314),BQ314-N(BQ304)-N(BQ305),"")</f>
        <v>-3953.884</v>
      </c>
      <c r="BR303" s="43" t="n">
        <f aca="false">IF(ISNUMBER(BR314),BR314-N(BR304)-N(BR305),"")</f>
        <v>-4012.529</v>
      </c>
      <c r="BS303" s="43" t="n">
        <f aca="false">IF(ISNUMBER(BS314),BS314-N(BS304)-N(BS305),"")</f>
        <v>-4067.721</v>
      </c>
      <c r="BT303" s="43" t="n">
        <f aca="false">IF(ISNUMBER(BT314),BT314-N(BT304)-N(BT305),"")</f>
        <v>-4079.826</v>
      </c>
      <c r="BU303" s="43" t="n">
        <f aca="false">IF(ISNUMBER(BU314),BU314-N(BU304)-N(BU305),"")</f>
        <v>-4147.797</v>
      </c>
      <c r="BV303" s="43" t="n">
        <f aca="false">IF(ISNUMBER(BV314),BV314-N(BV304)-N(BV305),"")</f>
        <v>-4147.797</v>
      </c>
      <c r="BW303" s="43" t="n">
        <f aca="false">IF(ISNUMBER(BW314),BW314-N(BW304)-N(BW305),"")</f>
        <v>-4361.238</v>
      </c>
      <c r="BX303" s="43" t="n">
        <f aca="false">IF(ISNUMBER(BX314),BX314-N(BX304)-N(BX305),"")</f>
        <v>-4549.369</v>
      </c>
      <c r="BY303" s="6"/>
      <c r="BZ303" s="6"/>
      <c r="CA303" s="49" t="n">
        <f aca="false">BV303+CA241+CA252+CA253</f>
        <v>-4746.8370139038</v>
      </c>
      <c r="CB303" s="49" t="n">
        <f aca="false">CA303+CB241+CB252+CB253</f>
        <v>-5517.95509758616</v>
      </c>
      <c r="CC303" s="49" t="n">
        <f aca="false">CB303+CC241+CC252+CC253</f>
        <v>-6141.91858062261</v>
      </c>
      <c r="CD303" s="49" t="n">
        <f aca="false">CC303+CD241+CD252+CD253</f>
        <v>-6777.0241656109</v>
      </c>
      <c r="CE303" s="49" t="n">
        <f aca="false">CD303+CE241+CE252+CE253</f>
        <v>-7430.59039348683</v>
      </c>
    </row>
    <row r="304" customFormat="false" ht="15" hidden="false" customHeight="false" outlineLevel="0" collapsed="false">
      <c r="B304" s="28" t="s">
        <v>419</v>
      </c>
      <c r="E304" s="37" t="n">
        <v>1207.428</v>
      </c>
      <c r="F304" s="37" t="n">
        <v>1402.306</v>
      </c>
      <c r="G304" s="37" t="n">
        <v>1613.912</v>
      </c>
      <c r="H304" s="37" t="n">
        <v>1845.032</v>
      </c>
      <c r="I304" s="37" t="n">
        <v>2218.229</v>
      </c>
      <c r="J304" s="37" t="n">
        <v>2265.084</v>
      </c>
      <c r="K304" s="37" t="n">
        <v>2320.398</v>
      </c>
      <c r="L304" s="37" t="n">
        <v>2374.011</v>
      </c>
      <c r="M304" s="37" t="n">
        <v>2413.833</v>
      </c>
      <c r="N304" s="37" t="n">
        <v>2413.833</v>
      </c>
      <c r="O304" s="37" t="n">
        <v>2454.598</v>
      </c>
      <c r="P304" s="37" t="n">
        <v>2520.71</v>
      </c>
      <c r="Q304" s="37" t="n">
        <v>2593.01</v>
      </c>
      <c r="R304" s="37" t="n">
        <v>2648.539</v>
      </c>
      <c r="S304" s="37" t="n">
        <v>2648.539</v>
      </c>
      <c r="T304" s="37" t="n">
        <v>2697.68</v>
      </c>
      <c r="U304" s="37" t="n">
        <v>2777.703</v>
      </c>
      <c r="V304" s="37" t="n">
        <v>2860.204</v>
      </c>
      <c r="W304" s="37" t="n">
        <v>2922.62</v>
      </c>
      <c r="X304" s="37" t="n">
        <v>2922.62</v>
      </c>
      <c r="Y304" s="37" t="n">
        <v>2977.71</v>
      </c>
      <c r="Z304" s="37" t="n">
        <v>3057.158</v>
      </c>
      <c r="AA304" s="37" t="n">
        <v>3122.577</v>
      </c>
      <c r="AB304" s="37" t="n">
        <v>3190.578</v>
      </c>
      <c r="AC304" s="37" t="n">
        <v>3190.578</v>
      </c>
      <c r="AD304" s="37" t="n">
        <v>3248.014</v>
      </c>
      <c r="AE304" s="37" t="n">
        <v>3294.767</v>
      </c>
      <c r="AF304" s="37" t="n">
        <v>3349.994</v>
      </c>
      <c r="AG304" s="37" t="n">
        <v>3437.093</v>
      </c>
      <c r="AH304" s="37" t="n">
        <v>3437.093</v>
      </c>
      <c r="AI304" s="37" t="n">
        <v>3523.245</v>
      </c>
      <c r="AJ304" s="37" t="n">
        <v>3617.324</v>
      </c>
      <c r="AK304" s="37" t="n">
        <v>3728.503</v>
      </c>
      <c r="AL304" s="37" t="n">
        <v>3845.593</v>
      </c>
      <c r="AM304" s="37" t="n">
        <v>3845.593</v>
      </c>
      <c r="AN304" s="37" t="n">
        <v>3937.698</v>
      </c>
      <c r="AO304" s="37" t="n">
        <v>4037.61</v>
      </c>
      <c r="AP304" s="37" t="n">
        <v>4115.649</v>
      </c>
      <c r="AQ304" s="37" t="n">
        <v>4144.834</v>
      </c>
      <c r="AR304" s="37" t="n">
        <v>4144.834</v>
      </c>
      <c r="AS304" s="37" t="n">
        <v>4153.109</v>
      </c>
      <c r="AT304" s="37" t="n">
        <v>4227.257</v>
      </c>
      <c r="AU304" s="37" t="n">
        <v>4293.598</v>
      </c>
      <c r="AV304" s="37" t="n">
        <v>4372.833</v>
      </c>
      <c r="AW304" s="37" t="n">
        <v>4372.833</v>
      </c>
      <c r="AX304" s="37" t="n">
        <v>4476.532</v>
      </c>
      <c r="AY304" s="37" t="n">
        <v>4601.227</v>
      </c>
      <c r="AZ304" s="37" t="n">
        <v>4779.964</v>
      </c>
      <c r="BA304" s="37" t="n">
        <v>4936.861</v>
      </c>
      <c r="BB304" s="37" t="n">
        <v>4936.861</v>
      </c>
      <c r="BC304" s="37" t="n">
        <v>5134.667</v>
      </c>
      <c r="BD304" s="37" t="n">
        <v>5411.346</v>
      </c>
      <c r="BE304" s="37" t="n">
        <v>5567.592</v>
      </c>
      <c r="BF304" s="37" t="n">
        <v>5590.44</v>
      </c>
      <c r="BG304" s="37" t="n">
        <v>5590.44</v>
      </c>
      <c r="BH304" s="37" t="n">
        <v>5631.75</v>
      </c>
      <c r="BI304" s="37" t="n">
        <v>5655.489</v>
      </c>
      <c r="BJ304" s="37" t="n">
        <v>5663.714</v>
      </c>
      <c r="BK304" s="37" t="n">
        <v>5620.79</v>
      </c>
      <c r="BL304" s="37" t="n">
        <v>5620.79</v>
      </c>
      <c r="BM304" s="37" t="n">
        <v>5639.629</v>
      </c>
      <c r="BN304" s="37" t="n">
        <v>5691.874</v>
      </c>
      <c r="BO304" s="37" t="n">
        <v>5713.207</v>
      </c>
      <c r="BP304" s="37" t="n">
        <v>5786.337</v>
      </c>
      <c r="BQ304" s="37" t="n">
        <v>5786.337</v>
      </c>
      <c r="BR304" s="37" t="n">
        <v>5847.221</v>
      </c>
      <c r="BS304" s="37" t="n">
        <v>5923.99</v>
      </c>
      <c r="BT304" s="37" t="n">
        <v>6011.521</v>
      </c>
      <c r="BU304" s="37" t="n">
        <v>6071.118</v>
      </c>
      <c r="BV304" s="37" t="n">
        <v>6071.118</v>
      </c>
      <c r="BW304" s="37" t="n">
        <v>6143.464</v>
      </c>
      <c r="BX304" s="37" t="n">
        <v>6254.765</v>
      </c>
      <c r="BY304" s="6"/>
      <c r="BZ304" s="6"/>
      <c r="CA304" s="49" t="n">
        <f aca="false">BV304+CA149+CA254</f>
        <v>6489.33650289702</v>
      </c>
      <c r="CB304" s="49" t="n">
        <f aca="false">CA304+CB149+CB254</f>
        <v>7018.65156430353</v>
      </c>
      <c r="CC304" s="49" t="n">
        <f aca="false">CB304+CC149+CC254</f>
        <v>7617.71685324483</v>
      </c>
      <c r="CD304" s="49" t="n">
        <f aca="false">CC304+CD149+CD254</f>
        <v>8281.45795314493</v>
      </c>
      <c r="CE304" s="49" t="n">
        <f aca="false">CD304+CE149+CE254</f>
        <v>9003.27130171911</v>
      </c>
    </row>
    <row r="305" customFormat="false" ht="15" hidden="false" customHeight="false" outlineLevel="0" collapsed="false">
      <c r="B305" s="28" t="s">
        <v>420</v>
      </c>
      <c r="E305" s="37" t="n">
        <v>2.165</v>
      </c>
      <c r="F305" s="37" t="n">
        <v>-1.636</v>
      </c>
      <c r="G305" s="37" t="n">
        <v>-6.425</v>
      </c>
      <c r="H305" s="37" t="n">
        <v>-9.115</v>
      </c>
      <c r="I305" s="37" t="n">
        <v>-9.345</v>
      </c>
      <c r="J305" s="37" t="n">
        <v>-11.574</v>
      </c>
      <c r="K305" s="37" t="n">
        <v>-14.979</v>
      </c>
      <c r="L305" s="37" t="n">
        <v>-11.895</v>
      </c>
      <c r="M305" s="37" t="n">
        <v>-10.62</v>
      </c>
      <c r="N305" s="37" t="n">
        <v>-10.62</v>
      </c>
      <c r="O305" s="37" t="n">
        <v>-10.957</v>
      </c>
      <c r="P305" s="37" t="n">
        <v>-11.699</v>
      </c>
      <c r="Q305" s="37" t="n">
        <v>-20.623</v>
      </c>
      <c r="R305" s="37" t="n">
        <v>-28.61</v>
      </c>
      <c r="S305" s="37" t="n">
        <v>-28.61</v>
      </c>
      <c r="T305" s="37" t="n">
        <v>-41.808</v>
      </c>
      <c r="U305" s="37" t="n">
        <v>-37.678</v>
      </c>
      <c r="V305" s="37" t="n">
        <v>-44.073</v>
      </c>
      <c r="W305" s="37" t="n">
        <v>-37.946</v>
      </c>
      <c r="X305" s="37" t="n">
        <v>-37.946</v>
      </c>
      <c r="Y305" s="37" t="n">
        <v>-34.396</v>
      </c>
      <c r="Z305" s="37" t="n">
        <v>-37.973</v>
      </c>
      <c r="AA305" s="37" t="n">
        <v>-37.455</v>
      </c>
      <c r="AB305" s="37" t="n">
        <v>-61.442</v>
      </c>
      <c r="AC305" s="37" t="n">
        <v>-61.442</v>
      </c>
      <c r="AD305" s="37" t="n">
        <v>-44.037</v>
      </c>
      <c r="AE305" s="37" t="n">
        <v>-37.306</v>
      </c>
      <c r="AF305" s="37" t="n">
        <v>-22.88</v>
      </c>
      <c r="AG305" s="37" t="n">
        <v>-18.46</v>
      </c>
      <c r="AH305" s="37" t="n">
        <v>-18.46</v>
      </c>
      <c r="AI305" s="37" t="n">
        <v>-19.025</v>
      </c>
      <c r="AJ305" s="37" t="n">
        <v>-46.537</v>
      </c>
      <c r="AK305" s="37" t="n">
        <v>-57.414</v>
      </c>
      <c r="AL305" s="37" t="n">
        <v>-71.935</v>
      </c>
      <c r="AM305" s="37" t="n">
        <v>-71.935</v>
      </c>
      <c r="AN305" s="37" t="n">
        <v>-66.638</v>
      </c>
      <c r="AO305" s="37" t="n">
        <v>-72.326</v>
      </c>
      <c r="AP305" s="37" t="n">
        <v>-90.902</v>
      </c>
      <c r="AQ305" s="37" t="n">
        <v>-76.149</v>
      </c>
      <c r="AR305" s="37" t="n">
        <v>-76.149</v>
      </c>
      <c r="AS305" s="37" t="n">
        <v>-108.344</v>
      </c>
      <c r="AT305" s="37" t="n">
        <v>-84.091</v>
      </c>
      <c r="AU305" s="37" t="n">
        <v>-70.855</v>
      </c>
      <c r="AV305" s="37" t="n">
        <v>-45.998</v>
      </c>
      <c r="AW305" s="37" t="n">
        <v>-45.998</v>
      </c>
      <c r="AX305" s="37" t="n">
        <v>-53.284</v>
      </c>
      <c r="AY305" s="37" t="n">
        <v>-53.446</v>
      </c>
      <c r="AZ305" s="37" t="n">
        <v>-65.48</v>
      </c>
      <c r="BA305" s="37" t="n">
        <v>-61.134</v>
      </c>
      <c r="BB305" s="37" t="n">
        <v>-61.134</v>
      </c>
      <c r="BC305" s="37" t="n">
        <v>-54.264</v>
      </c>
      <c r="BD305" s="37" t="n">
        <v>-87.86</v>
      </c>
      <c r="BE305" s="37" t="n">
        <v>-137.65</v>
      </c>
      <c r="BF305" s="37" t="n">
        <v>-88.86</v>
      </c>
      <c r="BG305" s="37" t="n">
        <v>-88.86</v>
      </c>
      <c r="BH305" s="37" t="n">
        <v>-86.383</v>
      </c>
      <c r="BI305" s="37" t="n">
        <v>-92.919</v>
      </c>
      <c r="BJ305" s="37" t="n">
        <v>-107.81</v>
      </c>
      <c r="BK305" s="37" t="n">
        <v>-80.946</v>
      </c>
      <c r="BL305" s="37" t="n">
        <v>-80.946</v>
      </c>
      <c r="BM305" s="37" t="n">
        <v>-100.436</v>
      </c>
      <c r="BN305" s="37" t="n">
        <v>-101.749</v>
      </c>
      <c r="BO305" s="37" t="n">
        <v>-72.255</v>
      </c>
      <c r="BP305" s="37" t="n">
        <v>-110.402</v>
      </c>
      <c r="BQ305" s="37" t="n">
        <v>-110.402</v>
      </c>
      <c r="BR305" s="37" t="n">
        <v>-99.967</v>
      </c>
      <c r="BS305" s="37" t="n">
        <v>-71.882</v>
      </c>
      <c r="BT305" s="37" t="n">
        <v>-74.654</v>
      </c>
      <c r="BU305" s="37" t="n">
        <v>-77.674</v>
      </c>
      <c r="BV305" s="37" t="n">
        <v>-77.674</v>
      </c>
      <c r="BW305" s="37" t="n">
        <v>-78.105</v>
      </c>
      <c r="BX305" s="37" t="n">
        <v>-77.706</v>
      </c>
      <c r="BY305" s="6"/>
      <c r="BZ305" s="6"/>
      <c r="CA305" s="49" t="n">
        <f aca="false">BV305+CA257+CA258</f>
        <v>-77.465</v>
      </c>
      <c r="CB305" s="49" t="n">
        <f aca="false">CA305+CB257+CB258</f>
        <v>-77.465</v>
      </c>
      <c r="CC305" s="49" t="n">
        <f aca="false">CB305+CC257+CC258</f>
        <v>-77.465</v>
      </c>
      <c r="CD305" s="49" t="n">
        <f aca="false">CC305+CD257+CD258</f>
        <v>-77.465</v>
      </c>
      <c r="CE305" s="49" t="n">
        <f aca="false">CD305+CE257+CE258</f>
        <v>-77.465</v>
      </c>
    </row>
    <row r="306" customFormat="false" ht="15" hidden="false" customHeight="false" outlineLevel="0" collapsed="false">
      <c r="B306" s="18" t="s">
        <v>421</v>
      </c>
      <c r="C306" s="42" t="n">
        <f aca="false">IF(ISNUMBER(C314),SUM(C303:C305),"")</f>
        <v>943.722</v>
      </c>
      <c r="D306" s="42" t="n">
        <f aca="false">IF(ISNUMBER(D314),SUM(D303:D305),"")</f>
        <v>1042.249</v>
      </c>
      <c r="E306" s="42" t="n">
        <f aca="false">IF(ISNUMBER(E314),SUM(E303:E305),"")</f>
        <v>1107.221</v>
      </c>
      <c r="F306" s="42" t="n">
        <f aca="false">IF(ISNUMBER(F314),SUM(F303:F305),"")</f>
        <v>1079.9</v>
      </c>
      <c r="G306" s="42" t="n">
        <f aca="false">IF(ISNUMBER(G314),SUM(G303:G305),"")</f>
        <v>1204.068</v>
      </c>
      <c r="H306" s="42" t="n">
        <f aca="false">IF(ISNUMBER(H314),SUM(H303:H305),"")</f>
        <v>1248.474</v>
      </c>
      <c r="I306" s="42" t="n">
        <f aca="false">IF(ISNUMBER(I314),SUM(I303:I305),"")</f>
        <v>1504.372</v>
      </c>
      <c r="J306" s="42" t="n">
        <f aca="false">IF(ISNUMBER(J314),SUM(J303:J305),"")</f>
        <v>1489.685</v>
      </c>
      <c r="K306" s="42" t="n">
        <f aca="false">IF(ISNUMBER(K314),SUM(K303:K305),"")</f>
        <v>1499.065</v>
      </c>
      <c r="L306" s="42" t="n">
        <f aca="false">IF(ISNUMBER(L314),SUM(L303:L305),"")</f>
        <v>988.563</v>
      </c>
      <c r="M306" s="42" t="n">
        <f aca="false">IF(ISNUMBER(M314),SUM(M303:M305),"")</f>
        <v>939.724</v>
      </c>
      <c r="N306" s="42" t="n">
        <f aca="false">IF(ISNUMBER(N314),SUM(N303:N305),"")</f>
        <v>939.724</v>
      </c>
      <c r="O306" s="42" t="n">
        <f aca="false">IF(ISNUMBER(O314),SUM(O303:O305),"")</f>
        <v>981.597</v>
      </c>
      <c r="P306" s="42" t="n">
        <f aca="false">IF(ISNUMBER(P314),SUM(P303:P305),"")</f>
        <v>1010.101</v>
      </c>
      <c r="Q306" s="42" t="n">
        <f aca="false">IF(ISNUMBER(Q314),SUM(Q303:Q305),"")</f>
        <v>1018.717</v>
      </c>
      <c r="R306" s="42" t="n">
        <f aca="false">IF(ISNUMBER(R314),SUM(R303:R305),"")</f>
        <v>1047.015</v>
      </c>
      <c r="S306" s="42" t="n">
        <f aca="false">IF(ISNUMBER(S314),SUM(S303:S305),"")</f>
        <v>1047.015</v>
      </c>
      <c r="T306" s="42" t="n">
        <f aca="false">IF(ISNUMBER(T314),SUM(T303:T305),"")</f>
        <v>1058.02</v>
      </c>
      <c r="U306" s="42" t="n">
        <f aca="false">IF(ISNUMBER(U314),SUM(U303:U305),"")</f>
        <v>1111.851</v>
      </c>
      <c r="V306" s="42" t="n">
        <f aca="false">IF(ISNUMBER(V314),SUM(V303:V305),"")</f>
        <v>1131.363</v>
      </c>
      <c r="W306" s="42" t="n">
        <f aca="false">IF(ISNUMBER(W314),SUM(W303:W305),"")</f>
        <v>1137.805</v>
      </c>
      <c r="X306" s="42" t="n">
        <f aca="false">IF(ISNUMBER(X314),SUM(X303:X305),"")</f>
        <v>1137.805</v>
      </c>
      <c r="Y306" s="42" t="n">
        <f aca="false">IF(ISNUMBER(Y314),SUM(Y303:Y305),"")</f>
        <v>1191.806</v>
      </c>
      <c r="Z306" s="42" t="n">
        <f aca="false">IF(ISNUMBER(Z314),SUM(Z303:Z305),"")</f>
        <v>1262.84</v>
      </c>
      <c r="AA306" s="42" t="n">
        <f aca="false">IF(ISNUMBER(AA314),SUM(AA303:AA305),"")</f>
        <v>1269.667</v>
      </c>
      <c r="AB306" s="42" t="n">
        <f aca="false">IF(ISNUMBER(AB314),SUM(AB303:AB305),"")</f>
        <v>1257.847</v>
      </c>
      <c r="AC306" s="42" t="n">
        <f aca="false">IF(ISNUMBER(AC314),SUM(AC303:AC305),"")</f>
        <v>1257.847</v>
      </c>
      <c r="AD306" s="42" t="n">
        <f aca="false">IF(ISNUMBER(AD314),SUM(AD303:AD305),"")</f>
        <v>1315.874</v>
      </c>
      <c r="AE306" s="42" t="n">
        <f aca="false">IF(ISNUMBER(AE314),SUM(AE303:AE305),"")</f>
        <v>1337.208</v>
      </c>
      <c r="AF306" s="42" t="n">
        <f aca="false">IF(ISNUMBER(AF314),SUM(AF303:AF305),"")</f>
        <v>1354.875</v>
      </c>
      <c r="AG306" s="42" t="n">
        <f aca="false">IF(ISNUMBER(AG314),SUM(AG303:AG305),"")</f>
        <v>1425.745</v>
      </c>
      <c r="AH306" s="42" t="n">
        <f aca="false">IF(ISNUMBER(AH314),SUM(AH303:AH305),"")</f>
        <v>1425.745</v>
      </c>
      <c r="AI306" s="42" t="n">
        <f aca="false">IF(ISNUMBER(AI314),SUM(AI303:AI305),"")</f>
        <v>1484.672</v>
      </c>
      <c r="AJ306" s="42" t="n">
        <f aca="false">IF(ISNUMBER(AJ314),SUM(AJ303:AJ305),"")</f>
        <v>1518.159</v>
      </c>
      <c r="AK306" s="42" t="n">
        <f aca="false">IF(ISNUMBER(AK314),SUM(AK303:AK305),"")</f>
        <v>1566.603</v>
      </c>
      <c r="AL306" s="42" t="n">
        <f aca="false">IF(ISNUMBER(AL314),SUM(AL303:AL305),"")</f>
        <v>1595.087</v>
      </c>
      <c r="AM306" s="42" t="n">
        <f aca="false">IF(ISNUMBER(AM314),SUM(AM303:AM305),"")</f>
        <v>1595.087</v>
      </c>
      <c r="AN306" s="42" t="n">
        <f aca="false">IF(ISNUMBER(AN314),SUM(AN303:AN305),"")</f>
        <v>1652.561</v>
      </c>
      <c r="AO306" s="42" t="n">
        <f aca="false">IF(ISNUMBER(AO314),SUM(AO303:AO305),"")</f>
        <v>1659.311</v>
      </c>
      <c r="AP306" s="42" t="n">
        <f aca="false">IF(ISNUMBER(AP314),SUM(AP303:AP305),"")</f>
        <v>1673.096</v>
      </c>
      <c r="AQ306" s="42" t="n">
        <f aca="false">IF(ISNUMBER(AQ314),SUM(AQ303:AQ305),"")</f>
        <v>1670.73</v>
      </c>
      <c r="AR306" s="42" t="n">
        <f aca="false">IF(ISNUMBER(AR314),SUM(AR303:AR305),"")</f>
        <v>1670.73</v>
      </c>
      <c r="AS306" s="42" t="n">
        <f aca="false">IF(ISNUMBER(AS314),SUM(AS303:AS305),"")</f>
        <v>1587.118</v>
      </c>
      <c r="AT306" s="42" t="n">
        <f aca="false">IF(ISNUMBER(AT314),SUM(AT303:AT305),"")</f>
        <v>1704.328</v>
      </c>
      <c r="AU306" s="42" t="n">
        <f aca="false">IF(ISNUMBER(AU314),SUM(AU303:AU305),"")</f>
        <v>1873.359</v>
      </c>
      <c r="AV306" s="42" t="n">
        <f aca="false">IF(ISNUMBER(AV314),SUM(AV303:AV305),"")</f>
        <v>1879.933</v>
      </c>
      <c r="AW306" s="42" t="n">
        <f aca="false">IF(ISNUMBER(AW314),SUM(AW303:AW305),"")</f>
        <v>1879.933</v>
      </c>
      <c r="AX306" s="42" t="n">
        <f aca="false">IF(ISNUMBER(AX314),SUM(AX303:AX305),"")</f>
        <v>1868.187</v>
      </c>
      <c r="AY306" s="42" t="n">
        <f aca="false">IF(ISNUMBER(AY314),SUM(AY303:AY305),"")</f>
        <v>1906.17</v>
      </c>
      <c r="AZ306" s="42" t="n">
        <f aca="false">IF(ISNUMBER(AZ314),SUM(AZ303:AZ305),"")</f>
        <v>1950.8</v>
      </c>
      <c r="BA306" s="42" t="n">
        <f aca="false">IF(ISNUMBER(BA314),SUM(BA303:BA305),"")</f>
        <v>2021.934</v>
      </c>
      <c r="BB306" s="42" t="n">
        <f aca="false">IF(ISNUMBER(BB314),SUM(BB303:BB305),"")</f>
        <v>2021.934</v>
      </c>
      <c r="BC306" s="42" t="n">
        <f aca="false">IF(ISNUMBER(BC314),SUM(BC303:BC305),"")</f>
        <v>2095.502</v>
      </c>
      <c r="BD306" s="42" t="n">
        <f aca="false">IF(ISNUMBER(BD314),SUM(BD303:BD305),"")</f>
        <v>2052.415</v>
      </c>
      <c r="BE306" s="42" t="n">
        <f aca="false">IF(ISNUMBER(BE314),SUM(BE303:BE305),"")</f>
        <v>1677.561</v>
      </c>
      <c r="BF306" s="42" t="n">
        <f aca="false">IF(ISNUMBER(BF314),SUM(BF303:BF305),"")</f>
        <v>1353.422</v>
      </c>
      <c r="BG306" s="42" t="n">
        <f aca="false">IF(ISNUMBER(BG314),SUM(BG303:BG305),"")</f>
        <v>1353.422</v>
      </c>
      <c r="BH306" s="42" t="n">
        <f aca="false">IF(ISNUMBER(BH314),SUM(BH303:BH305),"")</f>
        <v>1381.388</v>
      </c>
      <c r="BI306" s="42" t="n">
        <f aca="false">IF(ISNUMBER(BI314),SUM(BI303:BI305),"")</f>
        <v>1388.107</v>
      </c>
      <c r="BJ306" s="42" t="n">
        <f aca="false">IF(ISNUMBER(BJ314),SUM(BJ303:BJ305),"")</f>
        <v>1404.584</v>
      </c>
      <c r="BK306" s="42" t="n">
        <f aca="false">IF(ISNUMBER(BK314),SUM(BK303:BK305),"")</f>
        <v>1418.697</v>
      </c>
      <c r="BL306" s="42" t="n">
        <f aca="false">IF(ISNUMBER(BL314),SUM(BL303:BL305),"")</f>
        <v>1418.697</v>
      </c>
      <c r="BM306" s="42" t="n">
        <f aca="false">IF(ISNUMBER(BM314),SUM(BM303:BM305),"")</f>
        <v>1429.994</v>
      </c>
      <c r="BN306" s="42" t="n">
        <f aca="false">IF(ISNUMBER(BN314),SUM(BN303:BN305),"")</f>
        <v>1510.441</v>
      </c>
      <c r="BO306" s="42" t="n">
        <f aca="false">IF(ISNUMBER(BO314),SUM(BO303:BO305),"")</f>
        <v>1640.066</v>
      </c>
      <c r="BP306" s="42" t="n">
        <f aca="false">IF(ISNUMBER(BP314),SUM(BP303:BP305),"")</f>
        <v>1722.051</v>
      </c>
      <c r="BQ306" s="42" t="n">
        <f aca="false">IF(ISNUMBER(BQ314),SUM(BQ303:BQ305),"")</f>
        <v>1722.051</v>
      </c>
      <c r="BR306" s="42" t="n">
        <f aca="false">IF(ISNUMBER(BR314),SUM(BR303:BR305),"")</f>
        <v>1734.725</v>
      </c>
      <c r="BS306" s="42" t="n">
        <f aca="false">IF(ISNUMBER(BS314),SUM(BS303:BS305),"")</f>
        <v>1784.387</v>
      </c>
      <c r="BT306" s="42" t="n">
        <f aca="false">IF(ISNUMBER(BT314),SUM(BT303:BT305),"")</f>
        <v>1857.041</v>
      </c>
      <c r="BU306" s="42" t="n">
        <f aca="false">IF(ISNUMBER(BU314),SUM(BU303:BU305),"")</f>
        <v>1845.647</v>
      </c>
      <c r="BV306" s="42" t="n">
        <f aca="false">IF(ISNUMBER(BV314),SUM(BV303:BV305),"")</f>
        <v>1845.647</v>
      </c>
      <c r="BW306" s="42" t="n">
        <f aca="false">IF(ISNUMBER(BW314),SUM(BW303:BW305),"")</f>
        <v>1704.121</v>
      </c>
      <c r="BX306" s="42" t="n">
        <f aca="false">IF(ISNUMBER(BX314),SUM(BX303:BX305),"")</f>
        <v>1627.69</v>
      </c>
      <c r="BY306" s="45"/>
      <c r="BZ306" s="45"/>
      <c r="CA306" s="32" t="n">
        <f aca="false">SUM(CA303:CA305)</f>
        <v>1665.03448899322</v>
      </c>
      <c r="CB306" s="32" t="n">
        <f aca="false">SUM(CB303:CB305)</f>
        <v>1423.23146671737</v>
      </c>
      <c r="CC306" s="32" t="n">
        <f aca="false">SUM(CC303:CC305)</f>
        <v>1398.33327262221</v>
      </c>
      <c r="CD306" s="32" t="n">
        <f aca="false">SUM(CD303:CD305)</f>
        <v>1426.96878753403</v>
      </c>
      <c r="CE306" s="32" t="n">
        <f aca="false">SUM(CE303:CE305)</f>
        <v>1495.21590823229</v>
      </c>
    </row>
    <row r="307" customFormat="false" ht="15" hidden="false" customHeight="false" outlineLevel="0" collapsed="false">
      <c r="B307" s="51" t="s">
        <v>422</v>
      </c>
      <c r="C307" s="52" t="n">
        <f aca="false">IF(ISNUMBER(C301),C301+C306,"")</f>
        <v>1631.693</v>
      </c>
      <c r="D307" s="52" t="n">
        <f aca="false">IF(ISNUMBER(D301),D301+D306,"")</f>
        <v>1811.307</v>
      </c>
      <c r="E307" s="52" t="n">
        <f aca="false">IF(ISNUMBER(E301),E301+E306,"")</f>
        <v>1815.721</v>
      </c>
      <c r="F307" s="52" t="n">
        <f aca="false">IF(ISNUMBER(F301),F301+F306,"")</f>
        <v>1834.248</v>
      </c>
      <c r="G307" s="52" t="n">
        <f aca="false">IF(ISNUMBER(G301),G301+G306,"")</f>
        <v>1995.699</v>
      </c>
      <c r="H307" s="52" t="n">
        <f aca="false">IF(ISNUMBER(H301),H301+H306,"")</f>
        <v>2138.041</v>
      </c>
      <c r="I307" s="52" t="n">
        <f aca="false">IF(ISNUMBER(I301),I301+I306,"")</f>
        <v>2804.225</v>
      </c>
      <c r="J307" s="52" t="n">
        <f aca="false">IF(ISNUMBER(J301),J301+J306,"")</f>
        <v>2830.56</v>
      </c>
      <c r="K307" s="52" t="n">
        <f aca="false">IF(ISNUMBER(K301),K301+K306,"")</f>
        <v>2921.545</v>
      </c>
      <c r="L307" s="52" t="n">
        <f aca="false">IF(ISNUMBER(L301),L301+L306,"")</f>
        <v>2891.568</v>
      </c>
      <c r="M307" s="52" t="n">
        <f aca="false">IF(ISNUMBER(M301),M301+M306,"")</f>
        <v>2802.818</v>
      </c>
      <c r="N307" s="52" t="n">
        <f aca="false">IF(ISNUMBER(N301),N301+N306,"")</f>
        <v>2802.818</v>
      </c>
      <c r="O307" s="52" t="n">
        <f aca="false">IF(ISNUMBER(O301),O301+O306,"")</f>
        <v>2960.168</v>
      </c>
      <c r="P307" s="52" t="n">
        <f aca="false">IF(ISNUMBER(P301),P301+P306,"")</f>
        <v>3037.106</v>
      </c>
      <c r="Q307" s="52" t="n">
        <f aca="false">IF(ISNUMBER(Q301),Q301+Q306,"")</f>
        <v>2941.784</v>
      </c>
      <c r="R307" s="52" t="n">
        <f aca="false">IF(ISNUMBER(R301),R301+R306,"")</f>
        <v>3214.338</v>
      </c>
      <c r="S307" s="52" t="n">
        <f aca="false">IF(ISNUMBER(S301),S301+S306,"")</f>
        <v>3214.338</v>
      </c>
      <c r="T307" s="52" t="n">
        <f aca="false">IF(ISNUMBER(T301),T301+T306,"")</f>
        <v>3309.224</v>
      </c>
      <c r="U307" s="52" t="n">
        <f aca="false">IF(ISNUMBER(U301),U301+U306,"")</f>
        <v>3404.014</v>
      </c>
      <c r="V307" s="52" t="n">
        <f aca="false">IF(ISNUMBER(V301),V301+V306,"")</f>
        <v>3312.565</v>
      </c>
      <c r="W307" s="52" t="n">
        <f aca="false">IF(ISNUMBER(W301),W301+W306,"")</f>
        <v>3184.358</v>
      </c>
      <c r="X307" s="52" t="n">
        <f aca="false">IF(ISNUMBER(X301),X301+X306,"")</f>
        <v>3184.358</v>
      </c>
      <c r="Y307" s="52" t="n">
        <f aca="false">IF(ISNUMBER(Y301),Y301+Y306,"")</f>
        <v>3162.245</v>
      </c>
      <c r="Z307" s="52" t="n">
        <f aca="false">IF(ISNUMBER(Z301),Z301+Z306,"")</f>
        <v>3349.07</v>
      </c>
      <c r="AA307" s="52" t="n">
        <f aca="false">IF(ISNUMBER(AA301),AA301+AA306,"")</f>
        <v>3664.062</v>
      </c>
      <c r="AB307" s="52" t="n">
        <f aca="false">IF(ISNUMBER(AB301),AB301+AB306,"")</f>
        <v>3652.57</v>
      </c>
      <c r="AC307" s="52" t="n">
        <f aca="false">IF(ISNUMBER(AC301),AC301+AC306,"")</f>
        <v>3652.57</v>
      </c>
      <c r="AD307" s="52" t="n">
        <f aca="false">IF(ISNUMBER(AD301),AD301+AD306,"")</f>
        <v>3775.744</v>
      </c>
      <c r="AE307" s="52" t="n">
        <f aca="false">IF(ISNUMBER(AE301),AE301+AE306,"")</f>
        <v>3965.889</v>
      </c>
      <c r="AF307" s="52" t="n">
        <f aca="false">IF(ISNUMBER(AF301),AF301+AF306,"")</f>
        <v>4175.588</v>
      </c>
      <c r="AG307" s="52" t="n">
        <f aca="false">IF(ISNUMBER(AG301),AG301+AG306,"")</f>
        <v>4235.834</v>
      </c>
      <c r="AH307" s="52" t="n">
        <f aca="false">IF(ISNUMBER(AH301),AH301+AH306,"")</f>
        <v>4235.834</v>
      </c>
      <c r="AI307" s="52" t="n">
        <f aca="false">IF(ISNUMBER(AI301),AI301+AI306,"")</f>
        <v>4307.776</v>
      </c>
      <c r="AJ307" s="52" t="n">
        <f aca="false">IF(ISNUMBER(AJ301),AJ301+AJ306,"")</f>
        <v>4453.284</v>
      </c>
      <c r="AK307" s="52" t="n">
        <f aca="false">IF(ISNUMBER(AK301),AK301+AK306,"")</f>
        <v>4492.722</v>
      </c>
      <c r="AL307" s="52" t="n">
        <f aca="false">IF(ISNUMBER(AL301),AL301+AL306,"")</f>
        <v>4427.412</v>
      </c>
      <c r="AM307" s="52" t="n">
        <f aca="false">IF(ISNUMBER(AM301),AM301+AM306,"")</f>
        <v>4427.412</v>
      </c>
      <c r="AN307" s="52" t="n">
        <f aca="false">IF(ISNUMBER(AN301),AN301+AN306,"")</f>
        <v>4697.444</v>
      </c>
      <c r="AO307" s="52" t="n">
        <f aca="false">IF(ISNUMBER(AO301),AO301+AO306,"")</f>
        <v>4684.109</v>
      </c>
      <c r="AP307" s="52" t="n">
        <f aca="false">IF(ISNUMBER(AP301),AP301+AP306,"")</f>
        <v>4636.549</v>
      </c>
      <c r="AQ307" s="52" t="n">
        <f aca="false">IF(ISNUMBER(AQ301),AQ301+AQ306,"")</f>
        <v>4641.06</v>
      </c>
      <c r="AR307" s="52" t="n">
        <f aca="false">IF(ISNUMBER(AR301),AR301+AR306,"")</f>
        <v>4641.06</v>
      </c>
      <c r="AS307" s="52" t="n">
        <f aca="false">IF(ISNUMBER(AS301),AS301+AS306,"")</f>
        <v>4848.32</v>
      </c>
      <c r="AT307" s="52" t="n">
        <f aca="false">IF(ISNUMBER(AT301),AT301+AT306,"")</f>
        <v>4825.689</v>
      </c>
      <c r="AU307" s="52" t="n">
        <f aca="false">IF(ISNUMBER(AU301),AU301+AU306,"")</f>
        <v>5074.838</v>
      </c>
      <c r="AV307" s="52" t="n">
        <f aca="false">IF(ISNUMBER(AV301),AV301+AV306,"")</f>
        <v>5144.258</v>
      </c>
      <c r="AW307" s="52" t="n">
        <f aca="false">IF(ISNUMBER(AW301),AW301+AW306,"")</f>
        <v>5144.258</v>
      </c>
      <c r="AX307" s="52" t="n">
        <f aca="false">IF(ISNUMBER(AX301),AX301+AX306,"")</f>
        <v>5596.623</v>
      </c>
      <c r="AY307" s="52" t="n">
        <f aca="false">IF(ISNUMBER(AY301),AY301+AY306,"")</f>
        <v>5906.564</v>
      </c>
      <c r="AZ307" s="52" t="n">
        <f aca="false">IF(ISNUMBER(AZ301),AZ301+AZ306,"")</f>
        <v>6602.606</v>
      </c>
      <c r="BA307" s="52" t="n">
        <f aca="false">IF(ISNUMBER(BA301),BA301+BA306,"")</f>
        <v>7028.112</v>
      </c>
      <c r="BB307" s="52" t="n">
        <f aca="false">IF(ISNUMBER(BB301),BB301+BB306,"")</f>
        <v>7028.112</v>
      </c>
      <c r="BC307" s="52" t="n">
        <f aca="false">IF(ISNUMBER(BC301),BC301+BC306,"")</f>
        <v>7521.338</v>
      </c>
      <c r="BD307" s="52" t="n">
        <f aca="false">IF(ISNUMBER(BD301),BD301+BD306,"")</f>
        <v>7457.439</v>
      </c>
      <c r="BE307" s="52" t="n">
        <f aca="false">IF(ISNUMBER(BE301),BE301+BE306,"")</f>
        <v>6795.53</v>
      </c>
      <c r="BF307" s="52" t="n">
        <f aca="false">IF(ISNUMBER(BF301),BF301+BF306,"")</f>
        <v>5954.564</v>
      </c>
      <c r="BG307" s="52" t="n">
        <f aca="false">IF(ISNUMBER(BG301),BG301+BG306,"")</f>
        <v>5954.564</v>
      </c>
      <c r="BH307" s="52" t="n">
        <f aca="false">IF(ISNUMBER(BH301),BH301+BH306,"")</f>
        <v>5595.584</v>
      </c>
      <c r="BI307" s="52" t="n">
        <f aca="false">IF(ISNUMBER(BI301),BI301+BI306,"")</f>
        <v>5405.261</v>
      </c>
      <c r="BJ307" s="52" t="n">
        <f aca="false">IF(ISNUMBER(BJ301),BJ301+BJ306,"")</f>
        <v>5317.667</v>
      </c>
      <c r="BK307" s="52" t="n">
        <f aca="false">IF(ISNUMBER(BK301),BK301+BK306,"")</f>
        <v>5225.28</v>
      </c>
      <c r="BL307" s="52" t="n">
        <f aca="false">IF(ISNUMBER(BL301),BL301+BL306,"")</f>
        <v>5225.28</v>
      </c>
      <c r="BM307" s="52" t="n">
        <f aca="false">IF(ISNUMBER(BM301),BM301+BM306,"")</f>
        <v>5472.088</v>
      </c>
      <c r="BN307" s="52" t="n">
        <f aca="false">IF(ISNUMBER(BN301),BN301+BN306,"")</f>
        <v>5512.346</v>
      </c>
      <c r="BO307" s="52" t="n">
        <f aca="false">IF(ISNUMBER(BO301),BO301+BO306,"")</f>
        <v>5613.355</v>
      </c>
      <c r="BP307" s="52" t="n">
        <f aca="false">IF(ISNUMBER(BP301),BP301+BP306,"")</f>
        <v>5297.926</v>
      </c>
      <c r="BQ307" s="52" t="n">
        <f aca="false">IF(ISNUMBER(BQ301),BQ301+BQ306,"")</f>
        <v>5297.926</v>
      </c>
      <c r="BR307" s="52" t="n">
        <f aca="false">IF(ISNUMBER(BR301),BR301+BR306,"")</f>
        <v>5226.114</v>
      </c>
      <c r="BS307" s="52" t="n">
        <f aca="false">IF(ISNUMBER(BS301),BS301+BS306,"")</f>
        <v>5321.911</v>
      </c>
      <c r="BT307" s="52" t="n">
        <f aca="false">IF(ISNUMBER(BT301),BT301+BT306,"")</f>
        <v>5227.854</v>
      </c>
      <c r="BU307" s="52" t="n">
        <f aca="false">IF(ISNUMBER(BU301),BU301+BU306,"")</f>
        <v>5058.381</v>
      </c>
      <c r="BV307" s="52" t="n">
        <f aca="false">IF(ISNUMBER(BV301),BV301+BV306,"")</f>
        <v>5058.381</v>
      </c>
      <c r="BW307" s="52" t="n">
        <f aca="false">IF(ISNUMBER(BW301),BW301+BW306,"")</f>
        <v>5235.419</v>
      </c>
      <c r="BX307" s="52" t="n">
        <f aca="false">IF(ISNUMBER(BX301),BX301+BX306,"")</f>
        <v>5843.506</v>
      </c>
      <c r="BY307" s="64"/>
      <c r="BZ307" s="64"/>
      <c r="CA307" s="52" t="n">
        <f aca="false">CA301+CA306</f>
        <v>5534.0347196732</v>
      </c>
      <c r="CB307" s="52" t="n">
        <f aca="false">CB301+CB306</f>
        <v>5597.01905699455</v>
      </c>
      <c r="CC307" s="52" t="n">
        <f aca="false">CC301+CC306</f>
        <v>5761.50920230964</v>
      </c>
      <c r="CD307" s="52" t="n">
        <f aca="false">CD301+CD306</f>
        <v>5976.24591764868</v>
      </c>
      <c r="CE307" s="52" t="n">
        <f aca="false">CE301+CE306</f>
        <v>6280.49771322507</v>
      </c>
      <c r="CF307" s="6"/>
    </row>
    <row r="308" customFormat="false" ht="15" hidden="false" customHeight="false" outlineLevel="0" collapsed="false">
      <c r="B308" s="46" t="s">
        <v>423</v>
      </c>
      <c r="C308" s="47" t="n">
        <f aca="false">IF(ISNUMBER(C286),ROUND(C286-C307,1),"")</f>
        <v>0</v>
      </c>
      <c r="D308" s="47" t="n">
        <f aca="false">IF(ISNUMBER(D286),ROUND(D286-D307,1),"")</f>
        <v>0</v>
      </c>
      <c r="E308" s="47" t="n">
        <f aca="false">IF(ISNUMBER(E286),ROUND(E286-E307,1),"")</f>
        <v>0</v>
      </c>
      <c r="F308" s="47" t="n">
        <f aca="false">IF(ISNUMBER(F286),ROUND(F286-F307,1),"")</f>
        <v>0</v>
      </c>
      <c r="G308" s="47" t="n">
        <f aca="false">IF(ISNUMBER(G286),ROUND(G286-G307,1),"")</f>
        <v>0</v>
      </c>
      <c r="H308" s="47" t="n">
        <f aca="false">IF(ISNUMBER(H286),ROUND(H286-H307,1),"")</f>
        <v>0</v>
      </c>
      <c r="I308" s="47" t="n">
        <f aca="false">IF(ISNUMBER(I286),ROUND(I286-I307,1),"")</f>
        <v>0</v>
      </c>
      <c r="J308" s="47" t="n">
        <f aca="false">IF(ISNUMBER(J286),ROUND(J286-J307,1),"")</f>
        <v>0</v>
      </c>
      <c r="K308" s="47" t="n">
        <f aca="false">IF(ISNUMBER(K286),ROUND(K286-K307,1),"")</f>
        <v>0</v>
      </c>
      <c r="L308" s="47" t="n">
        <f aca="false">IF(ISNUMBER(L286),ROUND(L286-L307,1),"")</f>
        <v>0</v>
      </c>
      <c r="M308" s="47" t="n">
        <f aca="false">IF(ISNUMBER(M286),ROUND(M286-M307,1),"")</f>
        <v>0</v>
      </c>
      <c r="N308" s="47" t="n">
        <f aca="false">IF(ISNUMBER(N286),ROUND(N286-N307,1),"")</f>
        <v>0</v>
      </c>
      <c r="O308" s="47" t="n">
        <f aca="false">IF(ISNUMBER(O286),ROUND(O286-O307,1),"")</f>
        <v>0</v>
      </c>
      <c r="P308" s="47" t="n">
        <f aca="false">IF(ISNUMBER(P286),ROUND(P286-P307,1),"")</f>
        <v>0</v>
      </c>
      <c r="Q308" s="47" t="n">
        <f aca="false">IF(ISNUMBER(Q286),ROUND(Q286-Q307,1),"")</f>
        <v>0</v>
      </c>
      <c r="R308" s="47" t="n">
        <f aca="false">IF(ISNUMBER(R286),ROUND(R286-R307,1),"")</f>
        <v>0</v>
      </c>
      <c r="S308" s="47" t="n">
        <f aca="false">IF(ISNUMBER(S286),ROUND(S286-S307,1),"")</f>
        <v>0</v>
      </c>
      <c r="T308" s="47" t="n">
        <f aca="false">IF(ISNUMBER(T286),ROUND(T286-T307,1),"")</f>
        <v>0</v>
      </c>
      <c r="U308" s="47" t="n">
        <f aca="false">IF(ISNUMBER(U286),ROUND(U286-U307,1),"")</f>
        <v>0</v>
      </c>
      <c r="V308" s="47" t="n">
        <f aca="false">IF(ISNUMBER(V286),ROUND(V286-V307,1),"")</f>
        <v>0</v>
      </c>
      <c r="W308" s="47" t="n">
        <f aca="false">IF(ISNUMBER(W286),ROUND(W286-W307,1),"")</f>
        <v>0</v>
      </c>
      <c r="X308" s="47" t="n">
        <f aca="false">IF(ISNUMBER(X286),ROUND(X286-X307,1),"")</f>
        <v>0</v>
      </c>
      <c r="Y308" s="47" t="n">
        <f aca="false">IF(ISNUMBER(Y286),ROUND(Y286-Y307,1),"")</f>
        <v>0</v>
      </c>
      <c r="Z308" s="47" t="n">
        <f aca="false">IF(ISNUMBER(Z286),ROUND(Z286-Z307,1),"")</f>
        <v>0</v>
      </c>
      <c r="AA308" s="47" t="n">
        <f aca="false">IF(ISNUMBER(AA286),ROUND(AA286-AA307,1),"")</f>
        <v>0</v>
      </c>
      <c r="AB308" s="47" t="n">
        <f aca="false">IF(ISNUMBER(AB286),ROUND(AB286-AB307,1),"")</f>
        <v>0</v>
      </c>
      <c r="AC308" s="47" t="n">
        <f aca="false">IF(ISNUMBER(AC286),ROUND(AC286-AC307,1),"")</f>
        <v>0</v>
      </c>
      <c r="AD308" s="47" t="n">
        <f aca="false">IF(ISNUMBER(AD286),ROUND(AD286-AD307,1),"")</f>
        <v>0</v>
      </c>
      <c r="AE308" s="47" t="n">
        <f aca="false">IF(ISNUMBER(AE286),ROUND(AE286-AE307,1),"")</f>
        <v>0</v>
      </c>
      <c r="AF308" s="47" t="n">
        <f aca="false">IF(ISNUMBER(AF286),ROUND(AF286-AF307,1),"")</f>
        <v>0</v>
      </c>
      <c r="AG308" s="47" t="n">
        <f aca="false">IF(ISNUMBER(AG286),ROUND(AG286-AG307,1),"")</f>
        <v>0</v>
      </c>
      <c r="AH308" s="47" t="n">
        <f aca="false">IF(ISNUMBER(AH286),ROUND(AH286-AH307,1),"")</f>
        <v>0</v>
      </c>
      <c r="AI308" s="47" t="n">
        <f aca="false">IF(ISNUMBER(AI286),ROUND(AI286-AI307,1),"")</f>
        <v>0</v>
      </c>
      <c r="AJ308" s="47" t="n">
        <f aca="false">IF(ISNUMBER(AJ286),ROUND(AJ286-AJ307,1),"")</f>
        <v>0</v>
      </c>
      <c r="AK308" s="47" t="n">
        <f aca="false">IF(ISNUMBER(AK286),ROUND(AK286-AK307,1),"")</f>
        <v>0</v>
      </c>
      <c r="AL308" s="47" t="n">
        <f aca="false">IF(ISNUMBER(AL286),ROUND(AL286-AL307,1),"")</f>
        <v>0</v>
      </c>
      <c r="AM308" s="47" t="n">
        <f aca="false">IF(ISNUMBER(AM286),ROUND(AM286-AM307,1),"")</f>
        <v>0</v>
      </c>
      <c r="AN308" s="47" t="n">
        <f aca="false">IF(ISNUMBER(AN286),ROUND(AN286-AN307,1),"")</f>
        <v>0</v>
      </c>
      <c r="AO308" s="47" t="n">
        <f aca="false">IF(ISNUMBER(AO286),ROUND(AO286-AO307,1),"")</f>
        <v>0</v>
      </c>
      <c r="AP308" s="47" t="n">
        <f aca="false">IF(ISNUMBER(AP286),ROUND(AP286-AP307,1),"")</f>
        <v>0</v>
      </c>
      <c r="AQ308" s="47" t="n">
        <f aca="false">IF(ISNUMBER(AQ286),ROUND(AQ286-AQ307,1),"")</f>
        <v>0</v>
      </c>
      <c r="AR308" s="47" t="n">
        <f aca="false">IF(ISNUMBER(AR286),ROUND(AR286-AR307,1),"")</f>
        <v>0</v>
      </c>
      <c r="AS308" s="47" t="n">
        <f aca="false">IF(ISNUMBER(AS286),ROUND(AS286-AS307,1),"")</f>
        <v>0</v>
      </c>
      <c r="AT308" s="47" t="n">
        <f aca="false">IF(ISNUMBER(AT286),ROUND(AT286-AT307,1),"")</f>
        <v>0</v>
      </c>
      <c r="AU308" s="47" t="n">
        <f aca="false">IF(ISNUMBER(AU286),ROUND(AU286-AU307,1),"")</f>
        <v>0</v>
      </c>
      <c r="AV308" s="47" t="n">
        <f aca="false">IF(ISNUMBER(AV286),ROUND(AV286-AV307,1),"")</f>
        <v>0</v>
      </c>
      <c r="AW308" s="47" t="n">
        <f aca="false">IF(ISNUMBER(AW286),ROUND(AW286-AW307,1),"")</f>
        <v>0</v>
      </c>
      <c r="AX308" s="47" t="n">
        <f aca="false">IF(ISNUMBER(AX286),ROUND(AX286-AX307,1),"")</f>
        <v>0</v>
      </c>
      <c r="AY308" s="47" t="n">
        <f aca="false">IF(ISNUMBER(AY286),ROUND(AY286-AY307,1),"")</f>
        <v>0</v>
      </c>
      <c r="AZ308" s="47" t="n">
        <f aca="false">IF(ISNUMBER(AZ286),ROUND(AZ286-AZ307,1),"")</f>
        <v>0</v>
      </c>
      <c r="BA308" s="47" t="n">
        <f aca="false">IF(ISNUMBER(BA286),ROUND(BA286-BA307,1),"")</f>
        <v>0</v>
      </c>
      <c r="BB308" s="47" t="n">
        <f aca="false">IF(ISNUMBER(BB286),ROUND(BB286-BB307,1),"")</f>
        <v>0</v>
      </c>
      <c r="BC308" s="47" t="n">
        <f aca="false">IF(ISNUMBER(BC286),ROUND(BC286-BC307,1),"")</f>
        <v>0</v>
      </c>
      <c r="BD308" s="47" t="n">
        <f aca="false">IF(ISNUMBER(BD286),ROUND(BD286-BD307,1),"")</f>
        <v>0</v>
      </c>
      <c r="BE308" s="47" t="n">
        <f aca="false">IF(ISNUMBER(BE286),ROUND(BE286-BE307,1),"")</f>
        <v>0</v>
      </c>
      <c r="BF308" s="47" t="n">
        <f aca="false">IF(ISNUMBER(BF286),ROUND(BF286-BF307,1),"")</f>
        <v>0</v>
      </c>
      <c r="BG308" s="47" t="n">
        <f aca="false">IF(ISNUMBER(BG286),ROUND(BG286-BG307,1),"")</f>
        <v>0</v>
      </c>
      <c r="BH308" s="47" t="n">
        <f aca="false">IF(ISNUMBER(BH286),ROUND(BH286-BH307,1),"")</f>
        <v>0</v>
      </c>
      <c r="BI308" s="47" t="n">
        <f aca="false">IF(ISNUMBER(BI286),ROUND(BI286-BI307,1),"")</f>
        <v>0</v>
      </c>
      <c r="BJ308" s="47" t="n">
        <f aca="false">IF(ISNUMBER(BJ286),ROUND(BJ286-BJ307,1),"")</f>
        <v>0</v>
      </c>
      <c r="BK308" s="47" t="n">
        <f aca="false">IF(ISNUMBER(BK286),ROUND(BK286-BK307,1),"")</f>
        <v>0</v>
      </c>
      <c r="BL308" s="47" t="n">
        <f aca="false">IF(ISNUMBER(BL286),ROUND(BL286-BL307,1),"")</f>
        <v>0</v>
      </c>
      <c r="BM308" s="47" t="n">
        <f aca="false">IF(ISNUMBER(BM286),ROUND(BM286-BM307,1),"")</f>
        <v>0</v>
      </c>
      <c r="BN308" s="47" t="n">
        <f aca="false">IF(ISNUMBER(BN286),ROUND(BN286-BN307,1),"")</f>
        <v>0</v>
      </c>
      <c r="BO308" s="47" t="n">
        <f aca="false">IF(ISNUMBER(BO286),ROUND(BO286-BO307,1),"")</f>
        <v>0</v>
      </c>
      <c r="BP308" s="47" t="n">
        <f aca="false">IF(ISNUMBER(BP286),ROUND(BP286-BP307,1),"")</f>
        <v>0</v>
      </c>
      <c r="BQ308" s="47" t="n">
        <f aca="false">IF(ISNUMBER(BQ286),ROUND(BQ286-BQ307,1),"")</f>
        <v>0</v>
      </c>
      <c r="BR308" s="47" t="n">
        <f aca="false">IF(ISNUMBER(BR286),ROUND(BR286-BR307,1),"")</f>
        <v>0</v>
      </c>
      <c r="BS308" s="47" t="n">
        <f aca="false">IF(ISNUMBER(BS286),ROUND(BS286-BS307,1),"")</f>
        <v>0</v>
      </c>
      <c r="BT308" s="47" t="n">
        <f aca="false">IF(ISNUMBER(BT286),ROUND(BT286-BT307,1),"")</f>
        <v>0</v>
      </c>
      <c r="BU308" s="47" t="n">
        <f aca="false">IF(ISNUMBER(BU286),ROUND(BU286-BU307,1),"")</f>
        <v>0</v>
      </c>
      <c r="BV308" s="47" t="n">
        <f aca="false">IF(ISNUMBER(BV286),ROUND(BV286-BV307,1),"")</f>
        <v>0</v>
      </c>
      <c r="BW308" s="47" t="n">
        <f aca="false">IF(ISNUMBER(BW286),ROUND(BW286-BW307,1),"")</f>
        <v>0</v>
      </c>
      <c r="BX308" s="47" t="n">
        <f aca="false">IF(ISNUMBER(BX286),ROUND(BX286-BX307,1),"")</f>
        <v>0</v>
      </c>
      <c r="CA308" s="53" t="n">
        <f aca="false">ROUND(CA286-CA307,1)</f>
        <v>0</v>
      </c>
      <c r="CB308" s="53" t="n">
        <f aca="false">ROUND(CB286-CB307,1)</f>
        <v>0</v>
      </c>
      <c r="CC308" s="53" t="n">
        <f aca="false">ROUND(CC286-CC307,1)</f>
        <v>0</v>
      </c>
      <c r="CD308" s="53" t="n">
        <f aca="false">ROUND(CD286-CD307,1)</f>
        <v>0</v>
      </c>
      <c r="CE308" s="53" t="n">
        <f aca="false">ROUND(CE286-CE307,1)</f>
        <v>0</v>
      </c>
    </row>
    <row r="309" customFormat="false" ht="15" hidden="false" customHeight="false" outlineLevel="0" collapsed="false">
      <c r="B309" s="46" t="s">
        <v>424</v>
      </c>
      <c r="C309" s="47" t="n">
        <f aca="false">IF(ISNUMBER(C312),ROUND(C286-C312,1),"")</f>
        <v>0</v>
      </c>
      <c r="D309" s="47" t="n">
        <f aca="false">IF(ISNUMBER(D312),ROUND(D286-D312,1),"")</f>
        <v>0</v>
      </c>
      <c r="E309" s="47" t="n">
        <f aca="false">IF(ISNUMBER(E312),ROUND(E286-E312,1),"")</f>
        <v>0</v>
      </c>
      <c r="F309" s="47" t="n">
        <f aca="false">IF(ISNUMBER(F312),ROUND(F286-F312,1),"")</f>
        <v>0</v>
      </c>
      <c r="G309" s="47" t="n">
        <f aca="false">IF(ISNUMBER(G312),ROUND(G286-G312,1),"")</f>
        <v>0</v>
      </c>
      <c r="H309" s="47" t="n">
        <f aca="false">IF(ISNUMBER(H312),ROUND(H286-H312,1),"")</f>
        <v>0</v>
      </c>
      <c r="I309" s="47" t="n">
        <f aca="false">IF(ISNUMBER(I312),ROUND(I286-I312,1),"")</f>
        <v>0</v>
      </c>
      <c r="J309" s="47" t="n">
        <f aca="false">IF(ISNUMBER(J312),ROUND(J286-J312,1),"")</f>
        <v>0</v>
      </c>
      <c r="K309" s="47" t="n">
        <f aca="false">IF(ISNUMBER(K312),ROUND(K286-K312,1),"")</f>
        <v>0</v>
      </c>
      <c r="L309" s="47" t="n">
        <f aca="false">IF(ISNUMBER(L312),ROUND(L286-L312,1),"")</f>
        <v>0</v>
      </c>
      <c r="M309" s="47" t="n">
        <f aca="false">IF(ISNUMBER(M312),ROUND(M286-M312,1),"")</f>
        <v>0</v>
      </c>
      <c r="N309" s="47" t="n">
        <f aca="false">IF(ISNUMBER(N312),ROUND(N286-N312,1),"")</f>
        <v>0</v>
      </c>
      <c r="O309" s="47" t="n">
        <f aca="false">IF(ISNUMBER(O312),ROUND(O286-O312,1),"")</f>
        <v>0</v>
      </c>
      <c r="P309" s="47" t="n">
        <f aca="false">IF(ISNUMBER(P312),ROUND(P286-P312,1),"")</f>
        <v>0</v>
      </c>
      <c r="Q309" s="47" t="n">
        <f aca="false">IF(ISNUMBER(Q312),ROUND(Q286-Q312,1),"")</f>
        <v>0</v>
      </c>
      <c r="R309" s="47" t="n">
        <f aca="false">IF(ISNUMBER(R312),ROUND(R286-R312,1),"")</f>
        <v>0</v>
      </c>
      <c r="S309" s="47" t="n">
        <f aca="false">IF(ISNUMBER(S312),ROUND(S286-S312,1),"")</f>
        <v>0</v>
      </c>
      <c r="T309" s="47" t="n">
        <f aca="false">IF(ISNUMBER(T312),ROUND(T286-T312,1),"")</f>
        <v>0</v>
      </c>
      <c r="U309" s="47" t="n">
        <f aca="false">IF(ISNUMBER(U312),ROUND(U286-U312,1),"")</f>
        <v>0</v>
      </c>
      <c r="V309" s="47" t="n">
        <f aca="false">IF(ISNUMBER(V312),ROUND(V286-V312,1),"")</f>
        <v>0</v>
      </c>
      <c r="W309" s="47" t="n">
        <f aca="false">IF(ISNUMBER(W312),ROUND(W286-W312,1),"")</f>
        <v>0</v>
      </c>
      <c r="X309" s="47" t="n">
        <f aca="false">IF(ISNUMBER(X312),ROUND(X286-X312,1),"")</f>
        <v>0</v>
      </c>
      <c r="Y309" s="47" t="n">
        <f aca="false">IF(ISNUMBER(Y312),ROUND(Y286-Y312,1),"")</f>
        <v>0</v>
      </c>
      <c r="Z309" s="47" t="n">
        <f aca="false">IF(ISNUMBER(Z312),ROUND(Z286-Z312,1),"")</f>
        <v>0</v>
      </c>
      <c r="AA309" s="47" t="n">
        <f aca="false">IF(ISNUMBER(AA312),ROUND(AA286-AA312,1),"")</f>
        <v>0</v>
      </c>
      <c r="AB309" s="47" t="n">
        <f aca="false">IF(ISNUMBER(AB312),ROUND(AB286-AB312,1),"")</f>
        <v>0</v>
      </c>
      <c r="AC309" s="47" t="n">
        <f aca="false">IF(ISNUMBER(AC312),ROUND(AC286-AC312,1),"")</f>
        <v>0</v>
      </c>
      <c r="AD309" s="47" t="n">
        <f aca="false">IF(ISNUMBER(AD312),ROUND(AD286-AD312,1),"")</f>
        <v>0</v>
      </c>
      <c r="AE309" s="47" t="n">
        <f aca="false">IF(ISNUMBER(AE312),ROUND(AE286-AE312,1),"")</f>
        <v>0</v>
      </c>
      <c r="AF309" s="47" t="n">
        <f aca="false">IF(ISNUMBER(AF312),ROUND(AF286-AF312,1),"")</f>
        <v>0</v>
      </c>
      <c r="AG309" s="47" t="n">
        <f aca="false">IF(ISNUMBER(AG312),ROUND(AG286-AG312,1),"")</f>
        <v>0</v>
      </c>
      <c r="AH309" s="47" t="n">
        <f aca="false">IF(ISNUMBER(AH312),ROUND(AH286-AH312,1),"")</f>
        <v>0</v>
      </c>
      <c r="AI309" s="47" t="n">
        <f aca="false">IF(ISNUMBER(AI312),ROUND(AI286-AI312,1),"")</f>
        <v>0</v>
      </c>
      <c r="AJ309" s="47" t="n">
        <f aca="false">IF(ISNUMBER(AJ312),ROUND(AJ286-AJ312,1),"")</f>
        <v>0</v>
      </c>
      <c r="AK309" s="47" t="n">
        <f aca="false">IF(ISNUMBER(AK312),ROUND(AK286-AK312,1),"")</f>
        <v>0</v>
      </c>
      <c r="AL309" s="47" t="n">
        <f aca="false">IF(ISNUMBER(AL312),ROUND(AL286-AL312,1),"")</f>
        <v>0</v>
      </c>
      <c r="AM309" s="47" t="n">
        <f aca="false">IF(ISNUMBER(AM312),ROUND(AM286-AM312,1),"")</f>
        <v>0</v>
      </c>
      <c r="AN309" s="47" t="n">
        <f aca="false">IF(ISNUMBER(AN312),ROUND(AN286-AN312,1),"")</f>
        <v>0</v>
      </c>
      <c r="AO309" s="47" t="n">
        <f aca="false">IF(ISNUMBER(AO312),ROUND(AO286-AO312,1),"")</f>
        <v>0</v>
      </c>
      <c r="AP309" s="47" t="n">
        <f aca="false">IF(ISNUMBER(AP312),ROUND(AP286-AP312,1),"")</f>
        <v>0</v>
      </c>
      <c r="AQ309" s="47" t="n">
        <f aca="false">IF(ISNUMBER(AQ312),ROUND(AQ286-AQ312,1),"")</f>
        <v>0</v>
      </c>
      <c r="AR309" s="47" t="n">
        <f aca="false">IF(ISNUMBER(AR312),ROUND(AR286-AR312,1),"")</f>
        <v>0</v>
      </c>
      <c r="AS309" s="47" t="n">
        <f aca="false">IF(ISNUMBER(AS312),ROUND(AS286-AS312,1),"")</f>
        <v>0</v>
      </c>
      <c r="AT309" s="47" t="n">
        <f aca="false">IF(ISNUMBER(AT312),ROUND(AT286-AT312,1),"")</f>
        <v>0</v>
      </c>
      <c r="AU309" s="47" t="n">
        <f aca="false">IF(ISNUMBER(AU312),ROUND(AU286-AU312,1),"")</f>
        <v>0</v>
      </c>
      <c r="AV309" s="47" t="n">
        <f aca="false">IF(ISNUMBER(AV312),ROUND(AV286-AV312,1),"")</f>
        <v>0</v>
      </c>
      <c r="AW309" s="47" t="n">
        <f aca="false">IF(ISNUMBER(AW312),ROUND(AW286-AW312,1),"")</f>
        <v>0</v>
      </c>
      <c r="AX309" s="47" t="n">
        <f aca="false">IF(ISNUMBER(AX312),ROUND(AX286-AX312,1),"")</f>
        <v>0</v>
      </c>
      <c r="AY309" s="47" t="n">
        <f aca="false">IF(ISNUMBER(AY312),ROUND(AY286-AY312,1),"")</f>
        <v>0</v>
      </c>
      <c r="AZ309" s="47" t="n">
        <f aca="false">IF(ISNUMBER(AZ312),ROUND(AZ286-AZ312,1),"")</f>
        <v>0</v>
      </c>
      <c r="BA309" s="47" t="n">
        <f aca="false">IF(ISNUMBER(BA312),ROUND(BA286-BA312,1),"")</f>
        <v>0</v>
      </c>
      <c r="BB309" s="47" t="n">
        <f aca="false">IF(ISNUMBER(BB312),ROUND(BB286-BB312,1),"")</f>
        <v>0</v>
      </c>
      <c r="BC309" s="47" t="n">
        <f aca="false">IF(ISNUMBER(BC312),ROUND(BC286-BC312,1),"")</f>
        <v>0</v>
      </c>
      <c r="BD309" s="47" t="n">
        <f aca="false">IF(ISNUMBER(BD312),ROUND(BD286-BD312,1),"")</f>
        <v>0</v>
      </c>
      <c r="BE309" s="47" t="n">
        <f aca="false">IF(ISNUMBER(BE312),ROUND(BE286-BE312,1),"")</f>
        <v>0</v>
      </c>
      <c r="BF309" s="47" t="n">
        <f aca="false">IF(ISNUMBER(BF312),ROUND(BF286-BF312,1),"")</f>
        <v>0</v>
      </c>
      <c r="BG309" s="47" t="n">
        <f aca="false">IF(ISNUMBER(BG312),ROUND(BG286-BG312,1),"")</f>
        <v>0</v>
      </c>
      <c r="BH309" s="47" t="n">
        <f aca="false">IF(ISNUMBER(BH312),ROUND(BH286-BH312,1),"")</f>
        <v>0</v>
      </c>
      <c r="BI309" s="47" t="n">
        <f aca="false">IF(ISNUMBER(BI312),ROUND(BI286-BI312,1),"")</f>
        <v>0</v>
      </c>
      <c r="BJ309" s="47" t="n">
        <f aca="false">IF(ISNUMBER(BJ312),ROUND(BJ286-BJ312,1),"")</f>
        <v>0</v>
      </c>
      <c r="BK309" s="47" t="n">
        <f aca="false">IF(ISNUMBER(BK312),ROUND(BK286-BK312,1),"")</f>
        <v>0</v>
      </c>
      <c r="BL309" s="47" t="n">
        <f aca="false">IF(ISNUMBER(BL312),ROUND(BL286-BL312,1),"")</f>
        <v>0</v>
      </c>
      <c r="BM309" s="47" t="n">
        <f aca="false">IF(ISNUMBER(BM312),ROUND(BM286-BM312,1),"")</f>
        <v>0</v>
      </c>
      <c r="BN309" s="47" t="n">
        <f aca="false">IF(ISNUMBER(BN312),ROUND(BN286-BN312,1),"")</f>
        <v>0</v>
      </c>
      <c r="BO309" s="47" t="n">
        <f aca="false">IF(ISNUMBER(BO312),ROUND(BO286-BO312,1),"")</f>
        <v>0</v>
      </c>
      <c r="BP309" s="47" t="n">
        <f aca="false">IF(ISNUMBER(BP312),ROUND(BP286-BP312,1),"")</f>
        <v>0</v>
      </c>
      <c r="BQ309" s="47" t="n">
        <f aca="false">IF(ISNUMBER(BQ312),ROUND(BQ286-BQ312,1),"")</f>
        <v>0</v>
      </c>
      <c r="BR309" s="47" t="n">
        <f aca="false">IF(ISNUMBER(BR312),ROUND(BR286-BR312,1),"")</f>
        <v>0</v>
      </c>
      <c r="BS309" s="47" t="n">
        <f aca="false">IF(ISNUMBER(BS312),ROUND(BS286-BS312,1),"")</f>
        <v>0</v>
      </c>
      <c r="BT309" s="47" t="n">
        <f aca="false">IF(ISNUMBER(BT312),ROUND(BT286-BT312,1),"")</f>
        <v>0</v>
      </c>
      <c r="BU309" s="47" t="n">
        <f aca="false">IF(ISNUMBER(BU312),ROUND(BU286-BU312,1),"")</f>
        <v>0</v>
      </c>
      <c r="BV309" s="47" t="n">
        <f aca="false">IF(ISNUMBER(BV312),ROUND(BV286-BV312,1),"")</f>
        <v>0</v>
      </c>
      <c r="BW309" s="47" t="n">
        <f aca="false">IF(ISNUMBER(BW312),ROUND(BW286-BW312,1),"")</f>
        <v>0</v>
      </c>
      <c r="BX309" s="47" t="n">
        <f aca="false">IF(ISNUMBER(BX312),ROUND(BX286-BX312,1),"")</f>
        <v>0</v>
      </c>
    </row>
    <row r="310" customFormat="false" ht="15" hidden="false" customHeight="false" outlineLevel="0" collapsed="false">
      <c r="B310" s="46" t="s">
        <v>425</v>
      </c>
      <c r="C310" s="47" t="n">
        <f aca="false">IF(ISNUMBER(C313),ROUND(C301-C313,1),"")</f>
        <v>0</v>
      </c>
      <c r="D310" s="47" t="n">
        <f aca="false">IF(ISNUMBER(D313),ROUND(D301-D313,1),"")</f>
        <v>0</v>
      </c>
      <c r="E310" s="47" t="n">
        <f aca="false">IF(ISNUMBER(E313),ROUND(E301-E313,1),"")</f>
        <v>0</v>
      </c>
      <c r="F310" s="47" t="n">
        <f aca="false">IF(ISNUMBER(F313),ROUND(F301-F313,1),"")</f>
        <v>0</v>
      </c>
      <c r="G310" s="47" t="n">
        <f aca="false">IF(ISNUMBER(G313),ROUND(G301-G313,1),"")</f>
        <v>0</v>
      </c>
      <c r="H310" s="47" t="n">
        <f aca="false">IF(ISNUMBER(H313),ROUND(H301-H313,1),"")</f>
        <v>0</v>
      </c>
      <c r="I310" s="47" t="n">
        <f aca="false">IF(ISNUMBER(I313),ROUND(I301-I313,1),"")</f>
        <v>0</v>
      </c>
      <c r="J310" s="47" t="n">
        <f aca="false">IF(ISNUMBER(J313),ROUND(J301-J313,1),"")</f>
        <v>0</v>
      </c>
      <c r="K310" s="47" t="n">
        <f aca="false">IF(ISNUMBER(K313),ROUND(K301-K313,1),"")</f>
        <v>0</v>
      </c>
      <c r="L310" s="47" t="n">
        <f aca="false">IF(ISNUMBER(L313),ROUND(L301-L313,1),"")</f>
        <v>0</v>
      </c>
      <c r="M310" s="47" t="n">
        <f aca="false">IF(ISNUMBER(M313),ROUND(M301-M313,1),"")</f>
        <v>0</v>
      </c>
      <c r="N310" s="47" t="n">
        <f aca="false">IF(ISNUMBER(N313),ROUND(N301-N313,1),"")</f>
        <v>0</v>
      </c>
      <c r="O310" s="47" t="n">
        <f aca="false">IF(ISNUMBER(O313),ROUND(O301-O313,1),"")</f>
        <v>0</v>
      </c>
      <c r="P310" s="47" t="n">
        <f aca="false">IF(ISNUMBER(P313),ROUND(P301-P313,1),"")</f>
        <v>0</v>
      </c>
      <c r="Q310" s="47" t="n">
        <f aca="false">IF(ISNUMBER(Q313),ROUND(Q301-Q313,1),"")</f>
        <v>0</v>
      </c>
      <c r="R310" s="47" t="n">
        <f aca="false">IF(ISNUMBER(R313),ROUND(R301-R313,1),"")</f>
        <v>0</v>
      </c>
      <c r="S310" s="47" t="n">
        <f aca="false">IF(ISNUMBER(S313),ROUND(S301-S313,1),"")</f>
        <v>0</v>
      </c>
      <c r="T310" s="47" t="n">
        <f aca="false">IF(ISNUMBER(T313),ROUND(T301-T313,1),"")</f>
        <v>0</v>
      </c>
      <c r="U310" s="47" t="n">
        <f aca="false">IF(ISNUMBER(U313),ROUND(U301-U313,1),"")</f>
        <v>0</v>
      </c>
      <c r="V310" s="47" t="n">
        <f aca="false">IF(ISNUMBER(V313),ROUND(V301-V313,1),"")</f>
        <v>0</v>
      </c>
      <c r="W310" s="47" t="n">
        <f aca="false">IF(ISNUMBER(W313),ROUND(W301-W313,1),"")</f>
        <v>0</v>
      </c>
      <c r="X310" s="47" t="n">
        <f aca="false">IF(ISNUMBER(X313),ROUND(X301-X313,1),"")</f>
        <v>0</v>
      </c>
      <c r="Y310" s="47" t="n">
        <f aca="false">IF(ISNUMBER(Y313),ROUND(Y301-Y313,1),"")</f>
        <v>0</v>
      </c>
      <c r="Z310" s="47" t="n">
        <f aca="false">IF(ISNUMBER(Z313),ROUND(Z301-Z313,1),"")</f>
        <v>0</v>
      </c>
      <c r="AA310" s="47" t="n">
        <f aca="false">IF(ISNUMBER(AA313),ROUND(AA301-AA313,1),"")</f>
        <v>0</v>
      </c>
      <c r="AB310" s="47" t="n">
        <f aca="false">IF(ISNUMBER(AB313),ROUND(AB301-AB313,1),"")</f>
        <v>0</v>
      </c>
      <c r="AC310" s="47" t="n">
        <f aca="false">IF(ISNUMBER(AC313),ROUND(AC301-AC313,1),"")</f>
        <v>0</v>
      </c>
      <c r="AD310" s="47" t="n">
        <f aca="false">IF(ISNUMBER(AD313),ROUND(AD301-AD313,1),"")</f>
        <v>0</v>
      </c>
      <c r="AE310" s="47" t="n">
        <f aca="false">IF(ISNUMBER(AE313),ROUND(AE301-AE313,1),"")</f>
        <v>0</v>
      </c>
      <c r="AF310" s="47" t="n">
        <f aca="false">IF(ISNUMBER(AF313),ROUND(AF301-AF313,1),"")</f>
        <v>0</v>
      </c>
      <c r="AG310" s="47" t="n">
        <f aca="false">IF(ISNUMBER(AG313),ROUND(AG301-AG313,1),"")</f>
        <v>0</v>
      </c>
      <c r="AH310" s="47" t="n">
        <f aca="false">IF(ISNUMBER(AH313),ROUND(AH301-AH313,1),"")</f>
        <v>0</v>
      </c>
      <c r="AI310" s="47" t="n">
        <f aca="false">IF(ISNUMBER(AI313),ROUND(AI301-AI313,1),"")</f>
        <v>0</v>
      </c>
      <c r="AJ310" s="47" t="n">
        <f aca="false">IF(ISNUMBER(AJ313),ROUND(AJ301-AJ313,1),"")</f>
        <v>0</v>
      </c>
      <c r="AK310" s="47" t="n">
        <f aca="false">IF(ISNUMBER(AK313),ROUND(AK301-AK313,1),"")</f>
        <v>0</v>
      </c>
      <c r="AL310" s="47" t="n">
        <f aca="false">IF(ISNUMBER(AL313),ROUND(AL301-AL313,1),"")</f>
        <v>0</v>
      </c>
      <c r="AM310" s="47" t="n">
        <f aca="false">IF(ISNUMBER(AM313),ROUND(AM301-AM313,1),"")</f>
        <v>0</v>
      </c>
      <c r="AN310" s="47" t="n">
        <f aca="false">IF(ISNUMBER(AN313),ROUND(AN301-AN313,1),"")</f>
        <v>0</v>
      </c>
      <c r="AO310" s="47" t="n">
        <f aca="false">IF(ISNUMBER(AO313),ROUND(AO301-AO313,1),"")</f>
        <v>0</v>
      </c>
      <c r="AP310" s="47" t="n">
        <f aca="false">IF(ISNUMBER(AP313),ROUND(AP301-AP313,1),"")</f>
        <v>0</v>
      </c>
      <c r="AQ310" s="47" t="n">
        <f aca="false">IF(ISNUMBER(AQ313),ROUND(AQ301-AQ313,1),"")</f>
        <v>0</v>
      </c>
      <c r="AR310" s="47" t="n">
        <f aca="false">IF(ISNUMBER(AR313),ROUND(AR301-AR313,1),"")</f>
        <v>0</v>
      </c>
      <c r="AS310" s="47" t="n">
        <f aca="false">IF(ISNUMBER(AS313),ROUND(AS301-AS313,1),"")</f>
        <v>0</v>
      </c>
      <c r="AT310" s="47" t="n">
        <f aca="false">IF(ISNUMBER(AT313),ROUND(AT301-AT313,1),"")</f>
        <v>0</v>
      </c>
      <c r="AU310" s="47" t="n">
        <f aca="false">IF(ISNUMBER(AU313),ROUND(AU301-AU313,1),"")</f>
        <v>0</v>
      </c>
      <c r="AV310" s="47" t="n">
        <f aca="false">IF(ISNUMBER(AV313),ROUND(AV301-AV313,1),"")</f>
        <v>0</v>
      </c>
      <c r="AW310" s="47" t="n">
        <f aca="false">IF(ISNUMBER(AW313),ROUND(AW301-AW313,1),"")</f>
        <v>0</v>
      </c>
      <c r="AX310" s="47" t="n">
        <f aca="false">IF(ISNUMBER(AX313),ROUND(AX301-AX313,1),"")</f>
        <v>0</v>
      </c>
      <c r="AY310" s="47" t="n">
        <f aca="false">IF(ISNUMBER(AY313),ROUND(AY301-AY313,1),"")</f>
        <v>0</v>
      </c>
      <c r="AZ310" s="47" t="n">
        <f aca="false">IF(ISNUMBER(AZ313),ROUND(AZ301-AZ313,1),"")</f>
        <v>0</v>
      </c>
      <c r="BA310" s="47" t="n">
        <f aca="false">IF(ISNUMBER(BA313),ROUND(BA301-BA313,1),"")</f>
        <v>0</v>
      </c>
      <c r="BB310" s="47" t="n">
        <f aca="false">IF(ISNUMBER(BB313),ROUND(BB301-BB313,1),"")</f>
        <v>0</v>
      </c>
      <c r="BC310" s="47" t="n">
        <f aca="false">IF(ISNUMBER(BC313),ROUND(BC301-BC313,1),"")</f>
        <v>0</v>
      </c>
      <c r="BD310" s="47" t="n">
        <f aca="false">IF(ISNUMBER(BD313),ROUND(BD301-BD313,1),"")</f>
        <v>0</v>
      </c>
      <c r="BE310" s="47" t="n">
        <f aca="false">IF(ISNUMBER(BE313),ROUND(BE301-BE313,1),"")</f>
        <v>0</v>
      </c>
      <c r="BF310" s="47" t="n">
        <f aca="false">IF(ISNUMBER(BF313),ROUND(BF301-BF313,1),"")</f>
        <v>0</v>
      </c>
      <c r="BG310" s="47" t="n">
        <f aca="false">IF(ISNUMBER(BG313),ROUND(BG301-BG313,1),"")</f>
        <v>0</v>
      </c>
      <c r="BH310" s="47" t="n">
        <f aca="false">IF(ISNUMBER(BH313),ROUND(BH301-BH313,1),"")</f>
        <v>0</v>
      </c>
      <c r="BI310" s="47" t="n">
        <f aca="false">IF(ISNUMBER(BI313),ROUND(BI301-BI313,1),"")</f>
        <v>0</v>
      </c>
      <c r="BJ310" s="47" t="n">
        <f aca="false">IF(ISNUMBER(BJ313),ROUND(BJ301-BJ313,1),"")</f>
        <v>0</v>
      </c>
      <c r="BK310" s="47" t="n">
        <f aca="false">IF(ISNUMBER(BK313),ROUND(BK301-BK313,1),"")</f>
        <v>0</v>
      </c>
      <c r="BL310" s="47" t="n">
        <f aca="false">IF(ISNUMBER(BL313),ROUND(BL301-BL313,1),"")</f>
        <v>0</v>
      </c>
      <c r="BM310" s="47" t="n">
        <f aca="false">IF(ISNUMBER(BM313),ROUND(BM301-BM313,1),"")</f>
        <v>0</v>
      </c>
      <c r="BN310" s="47" t="n">
        <f aca="false">IF(ISNUMBER(BN313),ROUND(BN301-BN313,1),"")</f>
        <v>0</v>
      </c>
      <c r="BO310" s="47" t="n">
        <f aca="false">IF(ISNUMBER(BO313),ROUND(BO301-BO313,1),"")</f>
        <v>0</v>
      </c>
      <c r="BP310" s="47" t="n">
        <f aca="false">IF(ISNUMBER(BP313),ROUND(BP301-BP313,1),"")</f>
        <v>0</v>
      </c>
      <c r="BQ310" s="47" t="n">
        <f aca="false">IF(ISNUMBER(BQ313),ROUND(BQ301-BQ313,1),"")</f>
        <v>0</v>
      </c>
      <c r="BR310" s="47" t="n">
        <f aca="false">IF(ISNUMBER(BR313),ROUND(BR301-BR313,1),"")</f>
        <v>0</v>
      </c>
      <c r="BS310" s="47" t="n">
        <f aca="false">IF(ISNUMBER(BS313),ROUND(BS301-BS313,1),"")</f>
        <v>0</v>
      </c>
      <c r="BT310" s="47" t="n">
        <f aca="false">IF(ISNUMBER(BT313),ROUND(BT301-BT313,1),"")</f>
        <v>0</v>
      </c>
      <c r="BU310" s="47" t="n">
        <f aca="false">IF(ISNUMBER(BU313),ROUND(BU301-BU313,1),"")</f>
        <v>0</v>
      </c>
      <c r="BV310" s="47" t="n">
        <f aca="false">IF(ISNUMBER(BV313),ROUND(BV301-BV313,1),"")</f>
        <v>0</v>
      </c>
      <c r="BW310" s="47" t="n">
        <f aca="false">IF(ISNUMBER(BW313),ROUND(BW301-BW313,1),"")</f>
        <v>0</v>
      </c>
      <c r="BX310" s="47" t="n">
        <f aca="false">IF(ISNUMBER(BX313),ROUND(BX301-BX313,1),"")</f>
        <v>0</v>
      </c>
    </row>
    <row r="311" customFormat="false" ht="15" hidden="false" customHeight="false" outlineLevel="0" collapsed="false">
      <c r="B311" s="46" t="s">
        <v>426</v>
      </c>
      <c r="C311" s="47" t="n">
        <f aca="false">IF(AND(ISNUMBER(C276),ISNUMBER(C261)),ROUND(C276-C261,1),"")</f>
        <v>0</v>
      </c>
      <c r="D311" s="47" t="n">
        <f aca="false">IF(AND(ISNUMBER(D276),ISNUMBER(D261)),ROUND(D276-D261,1),"")</f>
        <v>0</v>
      </c>
      <c r="E311" s="47" t="n">
        <f aca="false">IF(AND(ISNUMBER(E276),ISNUMBER(E261)),ROUND(E276-E261,1),"")</f>
        <v>0</v>
      </c>
      <c r="F311" s="47" t="n">
        <f aca="false">IF(AND(ISNUMBER(F276),ISNUMBER(F261)),ROUND(F276-F261,1),"")</f>
        <v>0</v>
      </c>
      <c r="G311" s="47" t="n">
        <f aca="false">IF(AND(ISNUMBER(G276),ISNUMBER(G261)),ROUND(G276-G261,1),"")</f>
        <v>0</v>
      </c>
      <c r="H311" s="47" t="n">
        <f aca="false">IF(AND(ISNUMBER(H276),ISNUMBER(H261)),ROUND(H276-H261,1),"")</f>
        <v>0</v>
      </c>
      <c r="I311" s="47" t="n">
        <f aca="false">IF(AND(ISNUMBER(I276),ISNUMBER(I261)),ROUND(I276-I261,1),"")</f>
        <v>0</v>
      </c>
      <c r="J311" s="47" t="n">
        <f aca="false">IF(AND(ISNUMBER(J276),ISNUMBER(J261)),ROUND(J276-J261,1),"")</f>
        <v>0</v>
      </c>
      <c r="K311" s="47" t="n">
        <f aca="false">IF(AND(ISNUMBER(K276),ISNUMBER(K261)),ROUND(K276-K261,1),"")</f>
        <v>0</v>
      </c>
      <c r="L311" s="47" t="n">
        <f aca="false">IF(AND(ISNUMBER(L276),ISNUMBER(L261)),ROUND(L276-L261,1),"")</f>
        <v>0</v>
      </c>
      <c r="M311" s="47" t="n">
        <f aca="false">IF(AND(ISNUMBER(M276),ISNUMBER(M261)),ROUND(M276-M261,1),"")</f>
        <v>0</v>
      </c>
      <c r="N311" s="47" t="n">
        <f aca="false">IF(AND(ISNUMBER(N276),ISNUMBER(N261)),ROUND(N276-N261,1),"")</f>
        <v>0</v>
      </c>
      <c r="O311" s="47" t="n">
        <f aca="false">IF(AND(ISNUMBER(O276),ISNUMBER(O261)),ROUND(O276-O261,1),"")</f>
        <v>0</v>
      </c>
      <c r="P311" s="47" t="n">
        <f aca="false">IF(AND(ISNUMBER(P276),ISNUMBER(P261)),ROUND(P276-P261,1),"")</f>
        <v>0</v>
      </c>
      <c r="Q311" s="47" t="n">
        <f aca="false">IF(AND(ISNUMBER(Q276),ISNUMBER(Q261)),ROUND(Q276-Q261,1),"")</f>
        <v>0</v>
      </c>
      <c r="R311" s="47" t="n">
        <f aca="false">IF(AND(ISNUMBER(R276),ISNUMBER(R261)),ROUND(R276-R261,1),"")</f>
        <v>0</v>
      </c>
      <c r="S311" s="47" t="n">
        <f aca="false">IF(AND(ISNUMBER(S276),ISNUMBER(S261)),ROUND(S276-S261,1),"")</f>
        <v>0</v>
      </c>
      <c r="T311" s="47" t="n">
        <f aca="false">IF(AND(ISNUMBER(T276),ISNUMBER(T261)),ROUND(T276-T261,1),"")</f>
        <v>0</v>
      </c>
      <c r="U311" s="47" t="n">
        <f aca="false">IF(AND(ISNUMBER(U276),ISNUMBER(U261)),ROUND(U276-U261,1),"")</f>
        <v>0</v>
      </c>
      <c r="V311" s="47" t="n">
        <f aca="false">IF(AND(ISNUMBER(V276),ISNUMBER(V261)),ROUND(V276-V261,1),"")</f>
        <v>0</v>
      </c>
      <c r="W311" s="47" t="n">
        <f aca="false">IF(AND(ISNUMBER(W276),ISNUMBER(W261)),ROUND(W276-W261,1),"")</f>
        <v>0</v>
      </c>
      <c r="X311" s="47" t="n">
        <f aca="false">IF(AND(ISNUMBER(X276),ISNUMBER(X261)),ROUND(X276-X261,1),"")</f>
        <v>0</v>
      </c>
      <c r="Y311" s="47" t="n">
        <f aca="false">IF(AND(ISNUMBER(Y276),ISNUMBER(Y261)),ROUND(Y276-Y261,1),"")</f>
        <v>0</v>
      </c>
      <c r="Z311" s="47" t="n">
        <f aca="false">IF(AND(ISNUMBER(Z276),ISNUMBER(Z261)),ROUND(Z276-Z261,1),"")</f>
        <v>0</v>
      </c>
      <c r="AA311" s="47" t="n">
        <f aca="false">IF(AND(ISNUMBER(AA276),ISNUMBER(AA261)),ROUND(AA276-AA261,1),"")</f>
        <v>0</v>
      </c>
      <c r="AB311" s="47" t="n">
        <f aca="false">IF(AND(ISNUMBER(AB276),ISNUMBER(AB261)),ROUND(AB276-AB261,1),"")</f>
        <v>0</v>
      </c>
      <c r="AC311" s="47" t="n">
        <f aca="false">IF(AND(ISNUMBER(AC276),ISNUMBER(AC261)),ROUND(AC276-AC261,1),"")</f>
        <v>0</v>
      </c>
      <c r="AD311" s="47" t="n">
        <f aca="false">IF(AND(ISNUMBER(AD276),ISNUMBER(AD261)),ROUND(AD276-AD261,1),"")</f>
        <v>0</v>
      </c>
      <c r="AE311" s="47" t="n">
        <f aca="false">IF(AND(ISNUMBER(AE276),ISNUMBER(AE261)),ROUND(AE276-AE261,1),"")</f>
        <v>0</v>
      </c>
      <c r="AF311" s="47" t="n">
        <f aca="false">IF(AND(ISNUMBER(AF276),ISNUMBER(AF261)),ROUND(AF276-AF261,1),"")</f>
        <v>0</v>
      </c>
      <c r="AG311" s="47" t="n">
        <f aca="false">IF(AND(ISNUMBER(AG276),ISNUMBER(AG261)),ROUND(AG276-AG261,1),"")</f>
        <v>0</v>
      </c>
      <c r="AH311" s="47" t="n">
        <f aca="false">IF(AND(ISNUMBER(AH276),ISNUMBER(AH261)),ROUND(AH276-AH261,1),"")</f>
        <v>0</v>
      </c>
      <c r="AI311" s="47" t="n">
        <f aca="false">IF(AND(ISNUMBER(AI276),ISNUMBER(AI261)),ROUND(AI276-AI261,1),"")</f>
        <v>0</v>
      </c>
      <c r="AJ311" s="47" t="n">
        <f aca="false">IF(AND(ISNUMBER(AJ276),ISNUMBER(AJ261)),ROUND(AJ276-AJ261,1),"")</f>
        <v>0</v>
      </c>
      <c r="AK311" s="47" t="n">
        <f aca="false">IF(AND(ISNUMBER(AK276),ISNUMBER(AK261)),ROUND(AK276-AK261,1),"")</f>
        <v>0</v>
      </c>
      <c r="AL311" s="47" t="n">
        <f aca="false">IF(AND(ISNUMBER(AL276),ISNUMBER(AL261)),ROUND(AL276-AL261,1),"")</f>
        <v>0</v>
      </c>
      <c r="AM311" s="47" t="n">
        <f aca="false">IF(AND(ISNUMBER(AM276),ISNUMBER(AM261)),ROUND(AM276-AM261,1),"")</f>
        <v>0</v>
      </c>
      <c r="AN311" s="47" t="n">
        <f aca="false">IF(AND(ISNUMBER(AN276),ISNUMBER(AN261)),ROUND(AN276-AN261,1),"")</f>
        <v>0</v>
      </c>
      <c r="AO311" s="47" t="n">
        <f aca="false">IF(AND(ISNUMBER(AO276),ISNUMBER(AO261)),ROUND(AO276-AO261,1),"")</f>
        <v>0</v>
      </c>
      <c r="AP311" s="47" t="n">
        <f aca="false">IF(AND(ISNUMBER(AP276),ISNUMBER(AP261)),ROUND(AP276-AP261,1),"")</f>
        <v>0</v>
      </c>
      <c r="AQ311" s="47" t="n">
        <f aca="false">IF(AND(ISNUMBER(AQ276),ISNUMBER(AQ261)),ROUND(AQ276-AQ261,1),"")</f>
        <v>0</v>
      </c>
      <c r="AR311" s="47" t="n">
        <f aca="false">IF(AND(ISNUMBER(AR276),ISNUMBER(AR261)),ROUND(AR276-AR261,1),"")</f>
        <v>0</v>
      </c>
      <c r="AS311" s="47" t="n">
        <f aca="false">IF(AND(ISNUMBER(AS276),ISNUMBER(AS261)),ROUND(AS276-AS261,1),"")</f>
        <v>0</v>
      </c>
      <c r="AT311" s="47" t="n">
        <f aca="false">IF(AND(ISNUMBER(AT276),ISNUMBER(AT261)),ROUND(AT276-AT261,1),"")</f>
        <v>0</v>
      </c>
      <c r="AU311" s="47" t="n">
        <f aca="false">IF(AND(ISNUMBER(AU276),ISNUMBER(AU261)),ROUND(AU276-AU261,1),"")</f>
        <v>0</v>
      </c>
      <c r="AV311" s="47" t="n">
        <f aca="false">IF(AND(ISNUMBER(AV276),ISNUMBER(AV261)),ROUND(AV276-AV261,1),"")</f>
        <v>0</v>
      </c>
      <c r="AW311" s="47" t="n">
        <f aca="false">IF(AND(ISNUMBER(AW276),ISNUMBER(AW261)),ROUND(AW276-AW261,1),"")</f>
        <v>0</v>
      </c>
      <c r="AX311" s="47" t="n">
        <f aca="false">IF(AND(ISNUMBER(AX276),ISNUMBER(AX261)),ROUND(AX276-AX261,1),"")</f>
        <v>0</v>
      </c>
      <c r="AY311" s="47" t="n">
        <f aca="false">IF(AND(ISNUMBER(AY276),ISNUMBER(AY261)),ROUND(AY276-AY261,1),"")</f>
        <v>0</v>
      </c>
      <c r="AZ311" s="47" t="n">
        <f aca="false">IF(AND(ISNUMBER(AZ276),ISNUMBER(AZ261)),ROUND(AZ276-AZ261,1),"")</f>
        <v>0</v>
      </c>
      <c r="BA311" s="47" t="n">
        <f aca="false">IF(AND(ISNUMBER(BA276),ISNUMBER(BA261)),ROUND(BA276-BA261,1),"")</f>
        <v>0</v>
      </c>
      <c r="BB311" s="47" t="n">
        <f aca="false">IF(AND(ISNUMBER(BB276),ISNUMBER(BB261)),ROUND(BB276-BB261,1),"")</f>
        <v>0</v>
      </c>
      <c r="BC311" s="47" t="n">
        <f aca="false">IF(AND(ISNUMBER(BC276),ISNUMBER(BC261)),ROUND(BC276-BC261,1),"")</f>
        <v>0</v>
      </c>
      <c r="BD311" s="47" t="n">
        <f aca="false">IF(AND(ISNUMBER(BD276),ISNUMBER(BD261)),ROUND(BD276-BD261,1),"")</f>
        <v>0</v>
      </c>
      <c r="BE311" s="47" t="n">
        <f aca="false">IF(AND(ISNUMBER(BE276),ISNUMBER(BE261)),ROUND(BE276-BE261,1),"")</f>
        <v>0</v>
      </c>
      <c r="BF311" s="47" t="n">
        <f aca="false">IF(AND(ISNUMBER(BF276),ISNUMBER(BF261)),ROUND(BF276-BF261,1),"")</f>
        <v>0</v>
      </c>
      <c r="BG311" s="47" t="n">
        <f aca="false">IF(AND(ISNUMBER(BG276),ISNUMBER(BG261)),ROUND(BG276-BG261,1),"")</f>
        <v>0</v>
      </c>
      <c r="BH311" s="47" t="n">
        <f aca="false">IF(AND(ISNUMBER(BH276),ISNUMBER(BH261)),ROUND(BH276-BH261,1),"")</f>
        <v>0</v>
      </c>
      <c r="BI311" s="47" t="n">
        <f aca="false">IF(AND(ISNUMBER(BI276),ISNUMBER(BI261)),ROUND(BI276-BI261,1),"")</f>
        <v>0</v>
      </c>
      <c r="BJ311" s="47" t="n">
        <f aca="false">IF(AND(ISNUMBER(BJ276),ISNUMBER(BJ261)),ROUND(BJ276-BJ261,1),"")</f>
        <v>0</v>
      </c>
      <c r="BK311" s="47" t="n">
        <f aca="false">IF(AND(ISNUMBER(BK276),ISNUMBER(BK261)),ROUND(BK276-BK261,1),"")</f>
        <v>0</v>
      </c>
      <c r="BL311" s="47" t="n">
        <f aca="false">IF(AND(ISNUMBER(BL276),ISNUMBER(BL261)),ROUND(BL276-BL261,1),"")</f>
        <v>0</v>
      </c>
      <c r="BM311" s="47" t="n">
        <f aca="false">IF(AND(ISNUMBER(BM276),ISNUMBER(BM261)),ROUND(BM276-BM261,1),"")</f>
        <v>0</v>
      </c>
      <c r="BN311" s="47" t="n">
        <f aca="false">IF(AND(ISNUMBER(BN276),ISNUMBER(BN261)),ROUND(BN276-BN261,1),"")</f>
        <v>0</v>
      </c>
      <c r="BO311" s="47" t="n">
        <f aca="false">IF(AND(ISNUMBER(BO276),ISNUMBER(BO261)),ROUND(BO276-BO261,1),"")</f>
        <v>0</v>
      </c>
      <c r="BP311" s="47" t="n">
        <f aca="false">IF(AND(ISNUMBER(BP276),ISNUMBER(BP261)),ROUND(BP276-BP261,1),"")</f>
        <v>0</v>
      </c>
      <c r="BQ311" s="47" t="n">
        <f aca="false">IF(AND(ISNUMBER(BQ276),ISNUMBER(BQ261)),ROUND(BQ276-BQ261,1),"")</f>
        <v>0</v>
      </c>
      <c r="BR311" s="47" t="n">
        <f aca="false">IF(AND(ISNUMBER(BR276),ISNUMBER(BR261)),ROUND(BR276-BR261,1),"")</f>
        <v>0</v>
      </c>
      <c r="BS311" s="47" t="n">
        <f aca="false">IF(AND(ISNUMBER(BS276),ISNUMBER(BS261)),ROUND(BS276-BS261,1),"")</f>
        <v>0</v>
      </c>
      <c r="BT311" s="47" t="n">
        <f aca="false">IF(AND(ISNUMBER(BT276),ISNUMBER(BT261)),ROUND(BT276-BT261,1),"")</f>
        <v>0</v>
      </c>
      <c r="BU311" s="47" t="n">
        <f aca="false">IF(AND(ISNUMBER(BU276),ISNUMBER(BU261)),ROUND(BU276-BU261,1),"")</f>
        <v>0</v>
      </c>
      <c r="BV311" s="47" t="n">
        <f aca="false">IF(AND(ISNUMBER(BV276),ISNUMBER(BV261)),ROUND(BV276-BV261,1),"")</f>
        <v>0</v>
      </c>
      <c r="BW311" s="47" t="n">
        <f aca="false">IF(AND(ISNUMBER(BW276),ISNUMBER(BW261)),ROUND(BW276-BW261,1),"")</f>
        <v>0</v>
      </c>
      <c r="BX311" s="47" t="n">
        <f aca="false">IF(AND(ISNUMBER(BX276),ISNUMBER(BX261)),ROUND(BX276-BX261,1),"")</f>
        <v>0</v>
      </c>
      <c r="CA311" s="53" t="n">
        <f aca="false">ROUND(CA276-CA261,1)</f>
        <v>0</v>
      </c>
      <c r="CB311" s="53" t="n">
        <f aca="false">ROUND(CB276-CB261,1)</f>
        <v>0</v>
      </c>
      <c r="CC311" s="53" t="n">
        <f aca="false">ROUND(CC276-CC261,1)</f>
        <v>0</v>
      </c>
      <c r="CD311" s="53" t="n">
        <f aca="false">ROUND(CD276-CD261,1)</f>
        <v>0</v>
      </c>
      <c r="CE311" s="53" t="n">
        <f aca="false">ROUND(CE276-CE261,1)</f>
        <v>0</v>
      </c>
    </row>
    <row r="312" customFormat="false" ht="15" hidden="false" customHeight="false" outlineLevel="0" collapsed="false">
      <c r="B312" s="54" t="s">
        <v>427</v>
      </c>
      <c r="C312" s="37" t="n">
        <v>1631.693</v>
      </c>
      <c r="D312" s="37" t="n">
        <v>1811.307</v>
      </c>
      <c r="E312" s="37" t="n">
        <v>1815.721</v>
      </c>
      <c r="F312" s="37" t="n">
        <v>1834.248</v>
      </c>
      <c r="G312" s="37" t="n">
        <v>1995.699</v>
      </c>
      <c r="H312" s="37" t="n">
        <v>2138.041</v>
      </c>
      <c r="I312" s="37" t="n">
        <v>2804.225</v>
      </c>
      <c r="J312" s="37" t="n">
        <v>2830.56</v>
      </c>
      <c r="K312" s="37" t="n">
        <v>2921.545</v>
      </c>
      <c r="L312" s="37" t="n">
        <v>2891.568</v>
      </c>
      <c r="M312" s="37" t="n">
        <v>2802.818</v>
      </c>
      <c r="N312" s="37" t="n">
        <v>2802.818</v>
      </c>
      <c r="O312" s="37" t="n">
        <v>2960.168</v>
      </c>
      <c r="P312" s="37" t="n">
        <v>3037.106</v>
      </c>
      <c r="Q312" s="37" t="n">
        <v>2941.784</v>
      </c>
      <c r="R312" s="37" t="n">
        <v>3214.338</v>
      </c>
      <c r="S312" s="37" t="n">
        <v>3214.338</v>
      </c>
      <c r="T312" s="37" t="n">
        <v>3309.224</v>
      </c>
      <c r="U312" s="37" t="n">
        <v>3404.014</v>
      </c>
      <c r="V312" s="37" t="n">
        <v>3312.565</v>
      </c>
      <c r="W312" s="37" t="n">
        <v>3184.358</v>
      </c>
      <c r="X312" s="37" t="n">
        <v>3184.358</v>
      </c>
      <c r="Y312" s="37" t="n">
        <v>3162.245</v>
      </c>
      <c r="Z312" s="37" t="n">
        <v>3349.07</v>
      </c>
      <c r="AA312" s="37" t="n">
        <v>3664.062</v>
      </c>
      <c r="AB312" s="37" t="n">
        <v>3652.57</v>
      </c>
      <c r="AC312" s="37" t="n">
        <v>3652.57</v>
      </c>
      <c r="AD312" s="37" t="n">
        <v>3775.744</v>
      </c>
      <c r="AE312" s="37" t="n">
        <v>3965.889</v>
      </c>
      <c r="AF312" s="37" t="n">
        <v>4175.588</v>
      </c>
      <c r="AG312" s="37" t="n">
        <v>4235.834</v>
      </c>
      <c r="AH312" s="37" t="n">
        <v>4235.834</v>
      </c>
      <c r="AI312" s="37" t="n">
        <v>4307.776</v>
      </c>
      <c r="AJ312" s="37" t="n">
        <v>4453.284</v>
      </c>
      <c r="AK312" s="37" t="n">
        <v>4492.722</v>
      </c>
      <c r="AL312" s="37" t="n">
        <v>4427.412</v>
      </c>
      <c r="AM312" s="37" t="n">
        <v>4427.412</v>
      </c>
      <c r="AN312" s="37" t="n">
        <v>4697.444</v>
      </c>
      <c r="AO312" s="37" t="n">
        <v>4684.109</v>
      </c>
      <c r="AP312" s="37" t="n">
        <v>4636.549</v>
      </c>
      <c r="AQ312" s="37" t="n">
        <v>4641.06</v>
      </c>
      <c r="AR312" s="37" t="n">
        <v>4641.06</v>
      </c>
      <c r="AS312" s="37" t="n">
        <v>4848.32</v>
      </c>
      <c r="AT312" s="37" t="n">
        <v>4825.689</v>
      </c>
      <c r="AU312" s="37" t="n">
        <v>5074.838</v>
      </c>
      <c r="AV312" s="37" t="n">
        <v>5144.258</v>
      </c>
      <c r="AW312" s="37" t="n">
        <v>5144.258</v>
      </c>
      <c r="AX312" s="37" t="n">
        <v>5596.623</v>
      </c>
      <c r="AY312" s="37" t="n">
        <v>5906.564</v>
      </c>
      <c r="AZ312" s="37" t="n">
        <v>6602.606</v>
      </c>
      <c r="BA312" s="37" t="n">
        <v>7028.112</v>
      </c>
      <c r="BB312" s="37" t="n">
        <v>7028.112</v>
      </c>
      <c r="BC312" s="37" t="n">
        <v>7521.338</v>
      </c>
      <c r="BD312" s="37" t="n">
        <v>7457.439</v>
      </c>
      <c r="BE312" s="37" t="n">
        <v>6795.53</v>
      </c>
      <c r="BF312" s="37" t="n">
        <v>5954.564</v>
      </c>
      <c r="BG312" s="37" t="n">
        <v>5954.564</v>
      </c>
      <c r="BH312" s="37" t="n">
        <v>5595.584</v>
      </c>
      <c r="BI312" s="37" t="n">
        <v>5405.261</v>
      </c>
      <c r="BJ312" s="37" t="n">
        <v>5317.667</v>
      </c>
      <c r="BK312" s="37" t="n">
        <v>5225.28</v>
      </c>
      <c r="BL312" s="37" t="n">
        <v>5225.28</v>
      </c>
      <c r="BM312" s="37" t="n">
        <v>5472.088</v>
      </c>
      <c r="BN312" s="37" t="n">
        <v>5512.346</v>
      </c>
      <c r="BO312" s="37" t="n">
        <v>5613.355</v>
      </c>
      <c r="BP312" s="37" t="n">
        <v>5297.926</v>
      </c>
      <c r="BQ312" s="37" t="n">
        <v>5297.926</v>
      </c>
      <c r="BR312" s="37" t="n">
        <v>5226.114</v>
      </c>
      <c r="BS312" s="37" t="n">
        <v>5321.911</v>
      </c>
      <c r="BT312" s="37" t="n">
        <v>5227.854</v>
      </c>
      <c r="BU312" s="37" t="n">
        <v>5058.381</v>
      </c>
      <c r="BV312" s="37" t="n">
        <v>5058.381</v>
      </c>
      <c r="BW312" s="37" t="n">
        <v>5235.419</v>
      </c>
      <c r="BX312" s="37" t="n">
        <v>5843.506</v>
      </c>
      <c r="BY312" s="6"/>
      <c r="BZ312" s="6"/>
      <c r="CA312" s="6"/>
      <c r="CB312" s="6"/>
      <c r="CC312" s="6"/>
      <c r="CD312" s="6"/>
      <c r="CE312" s="6"/>
    </row>
    <row r="313" customFormat="false" ht="15" hidden="false" customHeight="false" outlineLevel="0" collapsed="false">
      <c r="B313" s="54" t="s">
        <v>428</v>
      </c>
      <c r="C313" s="37" t="n">
        <v>687.971</v>
      </c>
      <c r="D313" s="37" t="n">
        <v>769.058</v>
      </c>
      <c r="E313" s="37" t="n">
        <v>708.5</v>
      </c>
      <c r="F313" s="37" t="n">
        <v>754.348</v>
      </c>
      <c r="G313" s="37" t="n">
        <v>791.631</v>
      </c>
      <c r="H313" s="37" t="n">
        <v>889.567</v>
      </c>
      <c r="I313" s="37" t="n">
        <v>1299.853</v>
      </c>
      <c r="J313" s="37" t="n">
        <v>1340.875</v>
      </c>
      <c r="K313" s="37" t="n">
        <v>1422.48</v>
      </c>
      <c r="L313" s="37" t="n">
        <v>1903.005</v>
      </c>
      <c r="M313" s="37" t="n">
        <v>1863.094</v>
      </c>
      <c r="N313" s="37" t="n">
        <v>1863.094</v>
      </c>
      <c r="O313" s="37" t="n">
        <v>1978.571</v>
      </c>
      <c r="P313" s="37" t="n">
        <v>2027.005</v>
      </c>
      <c r="Q313" s="37" t="n">
        <v>1923.067</v>
      </c>
      <c r="R313" s="37" t="n">
        <v>2167.323</v>
      </c>
      <c r="S313" s="37" t="n">
        <v>2167.323</v>
      </c>
      <c r="T313" s="37" t="n">
        <v>2251.204</v>
      </c>
      <c r="U313" s="37" t="n">
        <v>2292.163</v>
      </c>
      <c r="V313" s="37" t="n">
        <v>2181.202</v>
      </c>
      <c r="W313" s="37" t="n">
        <v>2046.553</v>
      </c>
      <c r="X313" s="37" t="n">
        <v>2046.553</v>
      </c>
      <c r="Y313" s="37" t="n">
        <v>1970.439</v>
      </c>
      <c r="Z313" s="37" t="n">
        <v>2086.23</v>
      </c>
      <c r="AA313" s="37" t="n">
        <v>2394.395</v>
      </c>
      <c r="AB313" s="37" t="n">
        <v>2394.723</v>
      </c>
      <c r="AC313" s="37" t="n">
        <v>2394.723</v>
      </c>
      <c r="AD313" s="37" t="n">
        <v>2459.87</v>
      </c>
      <c r="AE313" s="37" t="n">
        <v>2628.681</v>
      </c>
      <c r="AF313" s="37" t="n">
        <v>2820.713</v>
      </c>
      <c r="AG313" s="37" t="n">
        <v>2810.089</v>
      </c>
      <c r="AH313" s="37" t="n">
        <v>2810.089</v>
      </c>
      <c r="AI313" s="37" t="n">
        <v>2823.104</v>
      </c>
      <c r="AJ313" s="37" t="n">
        <v>2935.125</v>
      </c>
      <c r="AK313" s="37" t="n">
        <v>2926.119</v>
      </c>
      <c r="AL313" s="37" t="n">
        <v>2832.325</v>
      </c>
      <c r="AM313" s="37" t="n">
        <v>2832.325</v>
      </c>
      <c r="AN313" s="37" t="n">
        <v>3044.883</v>
      </c>
      <c r="AO313" s="37" t="n">
        <v>3024.798</v>
      </c>
      <c r="AP313" s="37" t="n">
        <v>2963.453</v>
      </c>
      <c r="AQ313" s="37" t="n">
        <v>2970.33</v>
      </c>
      <c r="AR313" s="37" t="n">
        <v>2970.33</v>
      </c>
      <c r="AS313" s="37" t="n">
        <v>3261.202</v>
      </c>
      <c r="AT313" s="37" t="n">
        <v>3121.361</v>
      </c>
      <c r="AU313" s="37" t="n">
        <v>3201.479</v>
      </c>
      <c r="AV313" s="37" t="n">
        <v>3264.325</v>
      </c>
      <c r="AW313" s="37" t="n">
        <v>3264.325</v>
      </c>
      <c r="AX313" s="37" t="n">
        <v>3728.436</v>
      </c>
      <c r="AY313" s="37" t="n">
        <v>4000.394</v>
      </c>
      <c r="AZ313" s="37" t="n">
        <v>4651.806</v>
      </c>
      <c r="BA313" s="37" t="n">
        <v>5006.178</v>
      </c>
      <c r="BB313" s="37" t="n">
        <v>5006.178</v>
      </c>
      <c r="BC313" s="37" t="n">
        <v>5425.836</v>
      </c>
      <c r="BD313" s="37" t="n">
        <v>5405.024</v>
      </c>
      <c r="BE313" s="37" t="n">
        <v>5117.969</v>
      </c>
      <c r="BF313" s="37" t="n">
        <v>4601.142</v>
      </c>
      <c r="BG313" s="37" t="n">
        <v>4601.142</v>
      </c>
      <c r="BH313" s="37" t="n">
        <v>4214.196</v>
      </c>
      <c r="BI313" s="37" t="n">
        <v>4017.154</v>
      </c>
      <c r="BJ313" s="37" t="n">
        <v>3913.083</v>
      </c>
      <c r="BK313" s="37" t="n">
        <v>3806.583</v>
      </c>
      <c r="BL313" s="37" t="n">
        <v>3806.583</v>
      </c>
      <c r="BM313" s="37" t="n">
        <v>4042.094</v>
      </c>
      <c r="BN313" s="37" t="n">
        <v>4001.905</v>
      </c>
      <c r="BO313" s="37" t="n">
        <v>3973.289</v>
      </c>
      <c r="BP313" s="37" t="n">
        <v>3575.875</v>
      </c>
      <c r="BQ313" s="37" t="n">
        <v>3575.875</v>
      </c>
      <c r="BR313" s="37" t="n">
        <v>3491.389</v>
      </c>
      <c r="BS313" s="37" t="n">
        <v>3537.524</v>
      </c>
      <c r="BT313" s="37" t="n">
        <v>3370.813</v>
      </c>
      <c r="BU313" s="37" t="n">
        <v>3212.734</v>
      </c>
      <c r="BV313" s="37" t="n">
        <v>3212.734</v>
      </c>
      <c r="BW313" s="37" t="n">
        <v>3531.298</v>
      </c>
      <c r="BX313" s="37" t="n">
        <v>4215.816</v>
      </c>
      <c r="BY313" s="6"/>
      <c r="BZ313" s="6"/>
      <c r="CA313" s="6"/>
      <c r="CB313" s="6"/>
      <c r="CC313" s="6"/>
      <c r="CD313" s="6"/>
      <c r="CE313" s="6"/>
    </row>
    <row r="314" customFormat="false" ht="15" hidden="false" customHeight="false" outlineLevel="0" collapsed="false">
      <c r="B314" s="54" t="s">
        <v>429</v>
      </c>
      <c r="C314" s="37" t="n">
        <v>943.722</v>
      </c>
      <c r="D314" s="37" t="n">
        <v>1042.249</v>
      </c>
      <c r="E314" s="37" t="n">
        <v>1107.221</v>
      </c>
      <c r="F314" s="37" t="n">
        <v>1079.9</v>
      </c>
      <c r="G314" s="37" t="n">
        <v>1204.068</v>
      </c>
      <c r="H314" s="37" t="n">
        <v>1248.474</v>
      </c>
      <c r="I314" s="37" t="n">
        <v>1504.372</v>
      </c>
      <c r="J314" s="37" t="n">
        <v>1489.685</v>
      </c>
      <c r="K314" s="37" t="n">
        <v>1499.065</v>
      </c>
      <c r="L314" s="37" t="n">
        <v>988.563</v>
      </c>
      <c r="M314" s="37" t="n">
        <v>939.724</v>
      </c>
      <c r="N314" s="37" t="n">
        <v>939.724</v>
      </c>
      <c r="O314" s="37" t="n">
        <v>981.597</v>
      </c>
      <c r="P314" s="37" t="n">
        <v>1010.101</v>
      </c>
      <c r="Q314" s="37" t="n">
        <v>1018.717</v>
      </c>
      <c r="R314" s="37" t="n">
        <v>1047.015</v>
      </c>
      <c r="S314" s="37" t="n">
        <v>1047.015</v>
      </c>
      <c r="T314" s="37" t="n">
        <v>1058.02</v>
      </c>
      <c r="U314" s="37" t="n">
        <v>1111.851</v>
      </c>
      <c r="V314" s="37" t="n">
        <v>1131.363</v>
      </c>
      <c r="W314" s="37" t="n">
        <v>1137.805</v>
      </c>
      <c r="X314" s="37" t="n">
        <v>1137.805</v>
      </c>
      <c r="Y314" s="37" t="n">
        <v>1191.806</v>
      </c>
      <c r="Z314" s="37" t="n">
        <v>1262.84</v>
      </c>
      <c r="AA314" s="37" t="n">
        <v>1269.667</v>
      </c>
      <c r="AB314" s="37" t="n">
        <v>1257.847</v>
      </c>
      <c r="AC314" s="37" t="n">
        <v>1257.847</v>
      </c>
      <c r="AD314" s="37" t="n">
        <v>1315.874</v>
      </c>
      <c r="AE314" s="37" t="n">
        <v>1337.208</v>
      </c>
      <c r="AF314" s="37" t="n">
        <v>1354.875</v>
      </c>
      <c r="AG314" s="37" t="n">
        <v>1425.745</v>
      </c>
      <c r="AH314" s="37" t="n">
        <v>1425.745</v>
      </c>
      <c r="AI314" s="37" t="n">
        <v>1484.672</v>
      </c>
      <c r="AJ314" s="37" t="n">
        <v>1518.159</v>
      </c>
      <c r="AK314" s="37" t="n">
        <v>1566.603</v>
      </c>
      <c r="AL314" s="37" t="n">
        <v>1595.087</v>
      </c>
      <c r="AM314" s="37" t="n">
        <v>1595.087</v>
      </c>
      <c r="AN314" s="37" t="n">
        <v>1652.561</v>
      </c>
      <c r="AO314" s="37" t="n">
        <v>1659.311</v>
      </c>
      <c r="AP314" s="37" t="n">
        <v>1673.096</v>
      </c>
      <c r="AQ314" s="37" t="n">
        <v>1670.73</v>
      </c>
      <c r="AR314" s="37" t="n">
        <v>1670.73</v>
      </c>
      <c r="AS314" s="37" t="n">
        <v>1587.118</v>
      </c>
      <c r="AT314" s="37" t="n">
        <v>1704.328</v>
      </c>
      <c r="AU314" s="37" t="n">
        <v>1873.359</v>
      </c>
      <c r="AV314" s="37" t="n">
        <v>1879.933</v>
      </c>
      <c r="AW314" s="37" t="n">
        <v>1879.933</v>
      </c>
      <c r="AX314" s="37" t="n">
        <v>1868.187</v>
      </c>
      <c r="AY314" s="37" t="n">
        <v>1906.17</v>
      </c>
      <c r="AZ314" s="37" t="n">
        <v>1950.8</v>
      </c>
      <c r="BA314" s="37" t="n">
        <v>2021.934</v>
      </c>
      <c r="BB314" s="37" t="n">
        <v>2021.934</v>
      </c>
      <c r="BC314" s="37" t="n">
        <v>2095.502</v>
      </c>
      <c r="BD314" s="37" t="n">
        <v>2052.415</v>
      </c>
      <c r="BE314" s="37" t="n">
        <v>1677.561</v>
      </c>
      <c r="BF314" s="37" t="n">
        <v>1353.422</v>
      </c>
      <c r="BG314" s="37" t="n">
        <v>1353.422</v>
      </c>
      <c r="BH314" s="37" t="n">
        <v>1381.388</v>
      </c>
      <c r="BI314" s="37" t="n">
        <v>1388.107</v>
      </c>
      <c r="BJ314" s="37" t="n">
        <v>1404.584</v>
      </c>
      <c r="BK314" s="37" t="n">
        <v>1418.697</v>
      </c>
      <c r="BL314" s="37" t="n">
        <v>1418.697</v>
      </c>
      <c r="BM314" s="37" t="n">
        <v>1429.994</v>
      </c>
      <c r="BN314" s="37" t="n">
        <v>1510.441</v>
      </c>
      <c r="BO314" s="37" t="n">
        <v>1640.066</v>
      </c>
      <c r="BP314" s="37" t="n">
        <v>1722.051</v>
      </c>
      <c r="BQ314" s="37" t="n">
        <v>1722.051</v>
      </c>
      <c r="BR314" s="37" t="n">
        <v>1734.725</v>
      </c>
      <c r="BS314" s="37" t="n">
        <v>1784.387</v>
      </c>
      <c r="BT314" s="37" t="n">
        <v>1857.041</v>
      </c>
      <c r="BU314" s="37" t="n">
        <v>1845.647</v>
      </c>
      <c r="BV314" s="37" t="n">
        <v>1845.647</v>
      </c>
      <c r="BW314" s="37" t="n">
        <v>1704.121</v>
      </c>
      <c r="BX314" s="37" t="n">
        <v>1627.69</v>
      </c>
      <c r="BY314" s="6"/>
      <c r="BZ314" s="6"/>
      <c r="CA314" s="6"/>
      <c r="CB314" s="6"/>
      <c r="CC314" s="6"/>
      <c r="CD314" s="6"/>
      <c r="CE314" s="6"/>
    </row>
    <row r="315" customFormat="false" ht="15" hidden="false" customHeight="false" outlineLevel="0" collapsed="false">
      <c r="B315" s="54" t="s">
        <v>430</v>
      </c>
      <c r="C315" s="37" t="n">
        <v>293.474</v>
      </c>
      <c r="D315" s="37" t="n">
        <v>320.486</v>
      </c>
      <c r="E315" s="37" t="n">
        <v>363.762</v>
      </c>
      <c r="F315" s="37" t="n">
        <v>409.28</v>
      </c>
      <c r="G315" s="37" t="n">
        <v>399.598</v>
      </c>
      <c r="H315" s="37" t="n">
        <v>399.668</v>
      </c>
      <c r="I315" s="37" t="n">
        <v>982.084</v>
      </c>
      <c r="J315" s="37" t="n">
        <v>989.085</v>
      </c>
      <c r="K315" s="37" t="n">
        <v>985.25</v>
      </c>
      <c r="L315" s="37" t="n">
        <v>982.434</v>
      </c>
      <c r="M315" s="37" t="n">
        <v>977.63</v>
      </c>
      <c r="N315" s="37" t="n">
        <v>977.63</v>
      </c>
      <c r="O315" s="37" t="n">
        <v>973.129</v>
      </c>
      <c r="P315" s="37" t="n">
        <v>967.637</v>
      </c>
      <c r="Q315" s="37" t="n">
        <v>960.132</v>
      </c>
      <c r="R315" s="37" t="n">
        <v>956.408</v>
      </c>
      <c r="S315" s="37" t="n">
        <v>956.408</v>
      </c>
      <c r="T315" s="37" t="n">
        <v>1271.168</v>
      </c>
      <c r="U315" s="37" t="n">
        <v>1268.826</v>
      </c>
      <c r="V315" s="37" t="n">
        <v>1266.11</v>
      </c>
      <c r="W315" s="37" t="n">
        <v>1262.786</v>
      </c>
      <c r="X315" s="37" t="n">
        <v>1262.786</v>
      </c>
      <c r="Y315" s="37" t="n">
        <v>1260.609</v>
      </c>
      <c r="Z315" s="37" t="n">
        <v>1258.063</v>
      </c>
      <c r="AA315" s="37" t="n">
        <v>1470.043</v>
      </c>
      <c r="AB315" s="37" t="n">
        <v>1446.703</v>
      </c>
      <c r="AC315" s="37" t="n">
        <v>1446.703</v>
      </c>
      <c r="AD315" s="37" t="n">
        <v>1448.075</v>
      </c>
      <c r="AE315" s="37" t="n">
        <v>1446.555</v>
      </c>
      <c r="AF315" s="37" t="n">
        <v>1487.837</v>
      </c>
      <c r="AG315" s="37" t="n">
        <v>1494.572</v>
      </c>
      <c r="AH315" s="37" t="n">
        <v>1494.572</v>
      </c>
      <c r="AI315" s="37" t="n">
        <v>1486.154</v>
      </c>
      <c r="AJ315" s="37" t="n">
        <v>1466.303</v>
      </c>
      <c r="AK315" s="37" t="n">
        <v>1455.695</v>
      </c>
      <c r="AL315" s="37" t="n">
        <v>1446.037</v>
      </c>
      <c r="AM315" s="37" t="n">
        <v>1446.037</v>
      </c>
      <c r="AN315" s="37" t="n">
        <v>1486.387</v>
      </c>
      <c r="AO315" s="37" t="n">
        <v>1492.791</v>
      </c>
      <c r="AP315" s="37" t="n">
        <v>1480.029</v>
      </c>
      <c r="AQ315" s="37" t="n">
        <v>1481.659</v>
      </c>
      <c r="AR315" s="37" t="n">
        <v>1481.659</v>
      </c>
      <c r="AS315" s="37" t="n">
        <v>1683.974</v>
      </c>
      <c r="AT315" s="37" t="n">
        <v>1694.016</v>
      </c>
      <c r="AU315" s="37" t="n">
        <v>1699.076</v>
      </c>
      <c r="AV315" s="37" t="n">
        <v>1703.823</v>
      </c>
      <c r="AW315" s="37" t="n">
        <v>1703.823</v>
      </c>
      <c r="AX315" s="37" t="n">
        <v>1698.932</v>
      </c>
      <c r="AY315" s="37" t="n">
        <v>1710.495</v>
      </c>
      <c r="AZ315" s="37" t="n">
        <v>1697.276</v>
      </c>
      <c r="BA315" s="37" t="n">
        <v>1791.569</v>
      </c>
      <c r="BB315" s="37" t="n">
        <v>1791.569</v>
      </c>
      <c r="BC315" s="37" t="n">
        <v>1804.756</v>
      </c>
      <c r="BD315" s="37" t="n">
        <v>1795.131</v>
      </c>
      <c r="BE315" s="37" t="n">
        <v>1854.072</v>
      </c>
      <c r="BF315" s="37" t="n">
        <v>1833.753</v>
      </c>
      <c r="BG315" s="37" t="n">
        <v>1833.753</v>
      </c>
      <c r="BH315" s="37" t="n">
        <v>1843.03</v>
      </c>
      <c r="BI315" s="37" t="n">
        <v>1850.82</v>
      </c>
      <c r="BJ315" s="37" t="n">
        <v>1856.67</v>
      </c>
      <c r="BK315" s="37" t="n">
        <v>1845.978</v>
      </c>
      <c r="BL315" s="37" t="n">
        <v>1845.978</v>
      </c>
      <c r="BM315" s="37" t="n">
        <v>1837.806</v>
      </c>
      <c r="BN315" s="37" t="n">
        <v>1841.713</v>
      </c>
      <c r="BO315" s="37" t="n">
        <v>1807.801</v>
      </c>
      <c r="BP315" s="37" t="n">
        <v>1866.396</v>
      </c>
      <c r="BQ315" s="37" t="n">
        <v>1866.396</v>
      </c>
      <c r="BR315" s="37" t="n">
        <v>1868.313</v>
      </c>
      <c r="BS315" s="37" t="n">
        <v>1875.944</v>
      </c>
      <c r="BT315" s="37" t="n">
        <v>1829.58</v>
      </c>
      <c r="BU315" s="37" t="n">
        <v>1865.153</v>
      </c>
      <c r="BV315" s="37" t="n">
        <v>1865.153</v>
      </c>
      <c r="BW315" s="37" t="n">
        <v>1842.115</v>
      </c>
      <c r="BX315" s="37" t="n">
        <v>1912.915</v>
      </c>
      <c r="BY315" s="6"/>
      <c r="BZ315" s="6"/>
      <c r="CA315" s="6"/>
      <c r="CB315" s="6"/>
      <c r="CC315" s="6"/>
      <c r="CD315" s="6"/>
      <c r="CE315" s="6"/>
    </row>
    <row r="316" customFormat="false" ht="15" hidden="false" customHeight="false" outlineLevel="0" collapsed="false">
      <c r="B316" s="28" t="s">
        <v>431</v>
      </c>
      <c r="E316" s="56" t="n">
        <v>170.437</v>
      </c>
      <c r="F316" s="56" t="n">
        <v>167.098</v>
      </c>
      <c r="G316" s="56" t="n">
        <v>166.048</v>
      </c>
      <c r="H316" s="56" t="n">
        <v>163.441</v>
      </c>
      <c r="I316" s="56" t="n">
        <v>161.327</v>
      </c>
      <c r="J316" s="56" t="n">
        <v>160.565</v>
      </c>
      <c r="K316" s="56" t="n">
        <v>159.737</v>
      </c>
      <c r="L316" s="56" t="n">
        <v>152.507</v>
      </c>
      <c r="M316" s="56" t="n">
        <v>150.197</v>
      </c>
      <c r="N316" s="56" t="n">
        <v>150.197</v>
      </c>
      <c r="O316" s="56" t="n">
        <v>148.515</v>
      </c>
      <c r="P316" s="56" t="n">
        <v>147.725</v>
      </c>
      <c r="Q316" s="56" t="n">
        <v>146.641</v>
      </c>
      <c r="R316" s="56" t="n">
        <v>146.458</v>
      </c>
      <c r="S316" s="56" t="n">
        <v>146.458</v>
      </c>
      <c r="T316" s="56" t="n">
        <v>145.833</v>
      </c>
      <c r="U316" s="56" t="n">
        <v>145.135</v>
      </c>
      <c r="V316" s="56" t="n">
        <v>144.108</v>
      </c>
      <c r="W316" s="56" t="n">
        <v>143.455</v>
      </c>
      <c r="X316" s="56" t="n">
        <v>143.455</v>
      </c>
      <c r="Y316" s="56" t="n">
        <v>143.031</v>
      </c>
      <c r="Z316" s="56" t="n">
        <v>142.833</v>
      </c>
      <c r="AA316" s="56" t="n">
        <v>141.898</v>
      </c>
      <c r="AB316" s="56" t="n">
        <v>141.258</v>
      </c>
      <c r="AC316" s="56" t="n">
        <v>141.258</v>
      </c>
      <c r="AD316" s="56" t="n">
        <v>141.164</v>
      </c>
      <c r="AE316" s="56" t="n">
        <v>140.679</v>
      </c>
      <c r="AF316" s="56" t="n">
        <v>139.871</v>
      </c>
      <c r="AG316" s="56" t="n">
        <v>139.542</v>
      </c>
      <c r="AH316" s="56" t="n">
        <v>139.542</v>
      </c>
      <c r="AI316" s="56" t="n">
        <v>139.353</v>
      </c>
      <c r="AJ316" s="56" t="n">
        <v>138.744</v>
      </c>
      <c r="AK316" s="56" t="n">
        <v>138</v>
      </c>
      <c r="AL316" s="56" t="n">
        <v>137.284</v>
      </c>
      <c r="AM316" s="56" t="n">
        <v>137.284</v>
      </c>
      <c r="AN316" s="56" t="n">
        <v>136.889</v>
      </c>
      <c r="AO316" s="56" t="n">
        <v>135.731</v>
      </c>
      <c r="AP316" s="56" t="n">
        <v>135.152</v>
      </c>
      <c r="AQ316" s="56" t="n">
        <v>134.895</v>
      </c>
      <c r="AR316" s="56" t="n">
        <v>134.895</v>
      </c>
      <c r="AS316" s="56" t="n">
        <v>134.586</v>
      </c>
      <c r="AT316" s="56" t="n">
        <v>134.724</v>
      </c>
      <c r="AU316" s="56" t="n">
        <v>135.9</v>
      </c>
      <c r="AV316" s="56" t="n">
        <v>134.298</v>
      </c>
      <c r="AW316" s="56" t="n">
        <v>134.298</v>
      </c>
      <c r="AX316" s="56" t="n">
        <v>133.243</v>
      </c>
      <c r="AY316" s="56" t="n">
        <v>132.135</v>
      </c>
      <c r="AZ316" s="56" t="n">
        <v>130.376</v>
      </c>
      <c r="BA316" s="56" t="n">
        <v>129.186</v>
      </c>
      <c r="BB316" s="56" t="n">
        <v>129.186</v>
      </c>
      <c r="BC316" s="56" t="n">
        <v>128.011</v>
      </c>
      <c r="BD316" s="56" t="n">
        <v>125.116</v>
      </c>
      <c r="BE316" s="56" t="n">
        <v>120.594</v>
      </c>
      <c r="BF316" s="56" t="n">
        <v>116.323</v>
      </c>
      <c r="BG316" s="56" t="n">
        <v>116.323</v>
      </c>
      <c r="BH316" s="56" t="n">
        <v>116.437</v>
      </c>
      <c r="BI316" s="56" t="n">
        <v>116.335</v>
      </c>
      <c r="BJ316" s="56" t="n">
        <v>116.465</v>
      </c>
      <c r="BK316" s="56" t="n">
        <v>116.768</v>
      </c>
      <c r="BL316" s="56" t="n">
        <v>116.768</v>
      </c>
      <c r="BM316" s="56" t="n">
        <v>117</v>
      </c>
      <c r="BN316" s="56" t="n">
        <v>117.262</v>
      </c>
      <c r="BO316" s="56" t="n">
        <v>118.083</v>
      </c>
      <c r="BP316" s="56" t="n">
        <v>118.664</v>
      </c>
      <c r="BQ316" s="56" t="n">
        <v>118.664</v>
      </c>
      <c r="BR316" s="56" t="n">
        <v>118.958</v>
      </c>
      <c r="BS316" s="56" t="n">
        <v>118.317</v>
      </c>
      <c r="BT316" s="56" t="n">
        <v>118.421</v>
      </c>
      <c r="BU316" s="56" t="n">
        <v>118.429</v>
      </c>
      <c r="BV316" s="56" t="n">
        <v>118.429</v>
      </c>
      <c r="BW316" s="56" t="n">
        <v>118.157</v>
      </c>
      <c r="BX316" s="56" t="n">
        <v>117.113</v>
      </c>
      <c r="BY316" s="6"/>
      <c r="BZ316" s="6"/>
      <c r="CA316" s="53" t="n">
        <f aca="false">CA361</f>
        <v>115.766963655518</v>
      </c>
      <c r="CB316" s="53" t="n">
        <f aca="false">CB361</f>
        <v>111.262503891217</v>
      </c>
      <c r="CC316" s="53" t="n">
        <f aca="false">CC361</f>
        <v>107.918807616812</v>
      </c>
      <c r="CD316" s="53" t="n">
        <f aca="false">CD361</f>
        <v>104.755887340213</v>
      </c>
      <c r="CE316" s="53" t="n">
        <f aca="false">CE361</f>
        <v>101.728736533529</v>
      </c>
    </row>
    <row r="317" customFormat="false" ht="15" hidden="false" customHeight="false" outlineLevel="0" collapsed="false">
      <c r="B317" s="28" t="s">
        <v>432</v>
      </c>
      <c r="C317" s="37" t="n">
        <v>6768</v>
      </c>
      <c r="D317" s="37" t="n">
        <v>7332</v>
      </c>
      <c r="E317" s="37" t="n">
        <v>7961</v>
      </c>
      <c r="F317" s="37" t="n">
        <v>7347</v>
      </c>
      <c r="G317" s="37" t="n">
        <v>7628</v>
      </c>
      <c r="H317" s="37" t="n">
        <v>8353</v>
      </c>
      <c r="I317" s="37" t="n">
        <v>10929</v>
      </c>
      <c r="J317" s="37" t="n">
        <v>11144</v>
      </c>
      <c r="K317" s="37" t="n">
        <v>11297</v>
      </c>
      <c r="L317" s="37" t="n">
        <v>11533</v>
      </c>
      <c r="M317" s="37" t="n">
        <v>11676</v>
      </c>
      <c r="N317" s="37" t="n">
        <v>11676</v>
      </c>
      <c r="O317" s="37" t="n">
        <v>11703</v>
      </c>
      <c r="P317" s="37" t="n">
        <v>11645</v>
      </c>
      <c r="Q317" s="37" t="n">
        <v>11542</v>
      </c>
      <c r="R317" s="37" t="n">
        <v>11521</v>
      </c>
      <c r="S317" s="37" t="n">
        <v>11521</v>
      </c>
      <c r="T317" s="37" t="n">
        <v>12632</v>
      </c>
      <c r="U317" s="37" t="n">
        <v>13068</v>
      </c>
      <c r="V317" s="37" t="n">
        <v>13156</v>
      </c>
      <c r="W317" s="37" t="n">
        <v>13159</v>
      </c>
      <c r="X317" s="37" t="n">
        <v>13159</v>
      </c>
      <c r="Y317" s="37" t="n">
        <v>13343</v>
      </c>
      <c r="Z317" s="37" t="n">
        <v>13701</v>
      </c>
      <c r="AA317" s="37" t="n">
        <v>14023</v>
      </c>
      <c r="AB317" s="37" t="n">
        <v>14125</v>
      </c>
      <c r="AC317" s="37" t="n">
        <v>14125</v>
      </c>
      <c r="AD317" s="37" t="n">
        <v>14432</v>
      </c>
      <c r="AE317" s="37" t="n">
        <v>14807</v>
      </c>
      <c r="AF317" s="37" t="n">
        <v>14998</v>
      </c>
      <c r="AG317" s="37" t="n">
        <v>15074</v>
      </c>
      <c r="AH317" s="37" t="n">
        <v>15074</v>
      </c>
      <c r="AI317" s="37" t="n">
        <v>15101</v>
      </c>
      <c r="AJ317" s="37" t="n">
        <v>15357</v>
      </c>
      <c r="AK317" s="37" t="n">
        <v>15225</v>
      </c>
      <c r="AL317" s="37" t="n">
        <v>15262</v>
      </c>
      <c r="AM317" s="37" t="n">
        <v>15262</v>
      </c>
      <c r="AN317" s="37" t="n">
        <v>15514</v>
      </c>
      <c r="AO317" s="37" t="n">
        <v>15910</v>
      </c>
      <c r="AP317" s="37" t="n">
        <v>15654</v>
      </c>
      <c r="AQ317" s="37" t="n">
        <v>15427</v>
      </c>
      <c r="AR317" s="37" t="n">
        <v>15427</v>
      </c>
      <c r="AS317" s="37" t="n">
        <v>15474</v>
      </c>
      <c r="AT317" s="37" t="n">
        <v>15113</v>
      </c>
      <c r="AU317" s="37" t="n">
        <v>14695</v>
      </c>
      <c r="AV317" s="37" t="n">
        <v>14888</v>
      </c>
      <c r="AW317" s="37" t="n">
        <v>14888</v>
      </c>
      <c r="AX317" s="37" t="n">
        <v>15105</v>
      </c>
      <c r="AY317" s="37" t="n">
        <v>15705</v>
      </c>
      <c r="AZ317" s="37" t="n">
        <v>16231</v>
      </c>
      <c r="BA317" s="37" t="n">
        <v>16877</v>
      </c>
      <c r="BB317" s="37" t="n">
        <v>16877</v>
      </c>
      <c r="BC317" s="37" t="n">
        <v>17640</v>
      </c>
      <c r="BD317" s="37" t="n">
        <v>18146</v>
      </c>
      <c r="BE317" s="37" t="n">
        <v>17945</v>
      </c>
      <c r="BF317" s="37" t="n">
        <v>17399</v>
      </c>
      <c r="BG317" s="37" t="n">
        <v>17399</v>
      </c>
      <c r="BH317" s="37" t="n">
        <v>16406</v>
      </c>
      <c r="BI317" s="37" t="n">
        <v>15763</v>
      </c>
      <c r="BJ317" s="37" t="n">
        <v>15391</v>
      </c>
      <c r="BK317" s="37" t="n">
        <v>15246</v>
      </c>
      <c r="BL317" s="37" t="n">
        <v>15246</v>
      </c>
      <c r="BM317" s="37" t="n">
        <v>14734</v>
      </c>
      <c r="BN317" s="37" t="n">
        <v>14213</v>
      </c>
      <c r="BO317" s="37" t="n">
        <v>13956</v>
      </c>
      <c r="BP317" s="37" t="n">
        <v>13781</v>
      </c>
      <c r="BQ317" s="37" t="n">
        <v>13781</v>
      </c>
      <c r="BR317" s="37" t="n">
        <v>12912</v>
      </c>
      <c r="BS317" s="37" t="n">
        <v>12803</v>
      </c>
      <c r="BT317" s="37" t="n">
        <v>12314</v>
      </c>
      <c r="BU317" s="37" t="n">
        <v>11855</v>
      </c>
      <c r="BV317" s="37" t="n">
        <v>11855</v>
      </c>
      <c r="BW317" s="37" t="n">
        <v>11554</v>
      </c>
      <c r="BX317" s="37" t="n">
        <v>11388</v>
      </c>
      <c r="BY317" s="6"/>
      <c r="BZ317" s="6"/>
      <c r="CA317" s="6"/>
      <c r="CB317" s="6"/>
      <c r="CC317" s="6"/>
      <c r="CD317" s="6"/>
      <c r="CE317" s="6"/>
    </row>
    <row r="319" customFormat="false" ht="15" hidden="false" customHeight="false" outlineLevel="0" collapsed="false">
      <c r="B319" s="8" t="s">
        <v>433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  <c r="BU319" s="10"/>
      <c r="BV319" s="10"/>
      <c r="BW319" s="10"/>
      <c r="BX319" s="10"/>
      <c r="BY319" s="10"/>
      <c r="BZ319" s="10"/>
      <c r="CA319" s="10"/>
      <c r="CB319" s="10"/>
      <c r="CC319" s="10"/>
      <c r="CD319" s="10"/>
      <c r="CE319" s="10"/>
      <c r="CF319" s="10"/>
    </row>
    <row r="320" customFormat="false" ht="15" hidden="false" customHeight="false" outlineLevel="0" collapsed="false">
      <c r="B320" s="28" t="s">
        <v>434</v>
      </c>
      <c r="C320" s="47" t="n">
        <f aca="false">IFERROR((C278+N(C279))/(C125*1)*365,"")</f>
        <v>42.5892179212513</v>
      </c>
      <c r="D320" s="47" t="n">
        <f aca="false">IFERROR((D278+N(D279))/(D125*1)*365,"")</f>
        <v>45.487910907035</v>
      </c>
      <c r="E320" s="47" t="n">
        <f aca="false">IFERROR((E278+N(E279))/(E125*1)*365,"")</f>
        <v>35.2670792741112</v>
      </c>
      <c r="F320" s="47" t="n">
        <f aca="false">IFERROR((F278+N(F279))/(F125*1)*365,"")</f>
        <v>42.6574017092618</v>
      </c>
      <c r="G320" s="47" t="n">
        <f aca="false">IFERROR((G278+N(G279))/(G125*1)*365,"")</f>
        <v>40.7756214616621</v>
      </c>
      <c r="H320" s="47" t="n">
        <f aca="false">IFERROR((H278+N(H279))/(H125*1)*365,"")</f>
        <v>42.0088012727128</v>
      </c>
      <c r="I320" s="47" t="n">
        <f aca="false">IFERROR((I278+N(I279))/(I125*1)*365,"")</f>
        <v>45.3758704574908</v>
      </c>
      <c r="J320" s="47" t="n">
        <f aca="false">IFERROR((J278+N(J279))/(J125*4)*365,"")</f>
        <v>44.7928065533234</v>
      </c>
      <c r="K320" s="47" t="n">
        <f aca="false">IFERROR((K278+N(K279))/(K125*4)*365,"")</f>
        <v>43.5924350006173</v>
      </c>
      <c r="L320" s="47" t="n">
        <f aca="false">IFERROR((L278+N(L279))/(L125*4)*365,"")</f>
        <v>43.0570999030653</v>
      </c>
      <c r="M320" s="47" t="n">
        <f aca="false">IFERROR((M278+N(M279))/(M125*4)*365,"")</f>
        <v>41.9534464816634</v>
      </c>
      <c r="N320" s="47" t="n">
        <f aca="false">IFERROR((N278+N(N279))/(N125*1)*365,"")</f>
        <v>41.4910532998705</v>
      </c>
      <c r="O320" s="47" t="n">
        <f aca="false">IFERROR((O278+N(O279))/(O125*4)*365,"")</f>
        <v>46.8079948513724</v>
      </c>
      <c r="P320" s="47" t="n">
        <f aca="false">IFERROR((P278+N(P279))/(P125*4)*365,"")</f>
        <v>44.2789593561711</v>
      </c>
      <c r="Q320" s="47" t="n">
        <f aca="false">IFERROR((Q278+N(Q279))/(Q125*4)*365,"")</f>
        <v>43.1762972830642</v>
      </c>
      <c r="R320" s="47" t="n">
        <f aca="false">IFERROR((R278+N(R279))/(R125*4)*365,"")</f>
        <v>42.7164283680279</v>
      </c>
      <c r="S320" s="47" t="n">
        <f aca="false">IFERROR((S278+N(S279))/(S125*1)*365,"")</f>
        <v>42.5855873619634</v>
      </c>
      <c r="T320" s="47" t="n">
        <f aca="false">IFERROR((T278+N(T279))/(T125*4)*365,"")</f>
        <v>45.652146466559</v>
      </c>
      <c r="U320" s="47" t="n">
        <f aca="false">IFERROR((U278+N(U279))/(U125*4)*365,"")</f>
        <v>43.9232104393459</v>
      </c>
      <c r="V320" s="47" t="n">
        <f aca="false">IFERROR((V278+N(V279))/(V125*4)*365,"")</f>
        <v>44.0816173883594</v>
      </c>
      <c r="W320" s="47" t="n">
        <f aca="false">IFERROR((W278+N(W279))/(W125*4)*365,"")</f>
        <v>42.7885751854725</v>
      </c>
      <c r="X320" s="47" t="n">
        <f aca="false">IFERROR((X278+N(X279))/(X125*1)*365,"")</f>
        <v>40.7797472915722</v>
      </c>
      <c r="Y320" s="47" t="n">
        <f aca="false">IFERROR((Y278+N(Y279))/(Y125*4)*365,"")</f>
        <v>43.4362803734487</v>
      </c>
      <c r="Z320" s="47" t="n">
        <f aca="false">IFERROR((Z278+N(Z279))/(Z125*4)*365,"")</f>
        <v>44.3186537216103</v>
      </c>
      <c r="AA320" s="47" t="n">
        <f aca="false">IFERROR((AA278+N(AA279))/(AA125*4)*365,"")</f>
        <v>45.755766811274</v>
      </c>
      <c r="AB320" s="47" t="n">
        <f aca="false">IFERROR((AB278+N(AB279))/(AB125*4)*365,"")</f>
        <v>44.7837169378985</v>
      </c>
      <c r="AC320" s="47" t="n">
        <f aca="false">IFERROR((AC278+N(AC279))/(AC125*1)*365,"")</f>
        <v>46.5400086713648</v>
      </c>
      <c r="AD320" s="47" t="n">
        <f aca="false">IFERROR((AD278+N(AD279))/(AD125*4)*365,"")</f>
        <v>48.1690717762893</v>
      </c>
      <c r="AE320" s="47" t="n">
        <f aca="false">IFERROR((AE278+N(AE279))/(AE125*4)*365,"")</f>
        <v>47.9171839597544</v>
      </c>
      <c r="AF320" s="47" t="n">
        <f aca="false">IFERROR((AF278+N(AF279))/(AF125*4)*365,"")</f>
        <v>50.7388396626089</v>
      </c>
      <c r="AG320" s="47" t="n">
        <f aca="false">IFERROR((AG278+N(AG279))/(AG125*4)*365,"")</f>
        <v>48.713772032125</v>
      </c>
      <c r="AH320" s="47" t="n">
        <f aca="false">IFERROR((AH278+N(AH279))/(AH125*1)*365,"")</f>
        <v>51.8908286693864</v>
      </c>
      <c r="AI320" s="47" t="n">
        <f aca="false">IFERROR((AI278+N(AI279))/(AI125*4)*365,"")</f>
        <v>50.685698605492</v>
      </c>
      <c r="AJ320" s="47" t="n">
        <f aca="false">IFERROR((AJ278+N(AJ279))/(AJ125*4)*365,"")</f>
        <v>50.8892962689518</v>
      </c>
      <c r="AK320" s="47" t="n">
        <f aca="false">IFERROR((AK278+N(AK279))/(AK125*4)*365,"")</f>
        <v>52.1607315524593</v>
      </c>
      <c r="AL320" s="47" t="n">
        <f aca="false">IFERROR((AL278+N(AL279))/(AL125*4)*365,"")</f>
        <v>51.2068323534501</v>
      </c>
      <c r="AM320" s="47" t="n">
        <f aca="false">IFERROR((AM278+N(AM279))/(AM125*1)*365,"")</f>
        <v>50.9619313058635</v>
      </c>
      <c r="AN320" s="47" t="n">
        <f aca="false">IFERROR((AN278+N(AN279))/(AN125*4)*365,"")</f>
        <v>54.0873981328691</v>
      </c>
      <c r="AO320" s="47" t="n">
        <f aca="false">IFERROR((AO278+N(AO279))/(AO125*4)*365,"")</f>
        <v>53.2082577567769</v>
      </c>
      <c r="AP320" s="47" t="n">
        <f aca="false">IFERROR((AP278+N(AP279))/(AP125*4)*365,"")</f>
        <v>52.6519560274389</v>
      </c>
      <c r="AQ320" s="47" t="n">
        <f aca="false">IFERROR((AQ278+N(AQ279))/(AQ125*4)*365,"")</f>
        <v>50.6908762257713</v>
      </c>
      <c r="AR320" s="47" t="n">
        <f aca="false">IFERROR((AR278+N(AR279))/(AR125*1)*365,"")</f>
        <v>50.2398950377765</v>
      </c>
      <c r="AS320" s="47" t="n">
        <f aca="false">IFERROR((AS278+N(AS279))/(AS125*4)*365,"")</f>
        <v>53.1472217009793</v>
      </c>
      <c r="AT320" s="47" t="n">
        <f aca="false">IFERROR((AT278+N(AT279))/(AT125*4)*365,"")</f>
        <v>54.646833823707</v>
      </c>
      <c r="AU320" s="47" t="n">
        <f aca="false">IFERROR((AU278+N(AU279))/(AU125*4)*365,"")</f>
        <v>54.7387039031433</v>
      </c>
      <c r="AV320" s="47" t="n">
        <f aca="false">IFERROR((AV278+N(AV279))/(AV125*4)*365,"")</f>
        <v>53.0868797494731</v>
      </c>
      <c r="AW320" s="47" t="n">
        <f aca="false">IFERROR((AW278+N(AW279))/(AW125*1)*365,"")</f>
        <v>59.607486061978</v>
      </c>
      <c r="AX320" s="47" t="n">
        <f aca="false">IFERROR((AX278+N(AX279))/(AX125*4)*365,"")</f>
        <v>59.1688238688441</v>
      </c>
      <c r="AY320" s="47" t="n">
        <f aca="false">IFERROR((AY278+N(AY279))/(AY125*4)*365,"")</f>
        <v>57.0572302423796</v>
      </c>
      <c r="AZ320" s="47" t="n">
        <f aca="false">IFERROR((AZ278+N(AZ279))/(AZ125*4)*365,"")</f>
        <v>60.2906044275783</v>
      </c>
      <c r="BA320" s="47" t="n">
        <f aca="false">IFERROR((BA278+N(BA279))/(BA125*4)*365,"")</f>
        <v>61.9923233748313</v>
      </c>
      <c r="BB320" s="47" t="n">
        <f aca="false">IFERROR((BB278+N(BB279))/(BB125*1)*365,"")</f>
        <v>69.7882877766551</v>
      </c>
      <c r="BC320" s="47" t="n">
        <f aca="false">IFERROR((BC278+N(BC279))/(BC125*4)*365,"")</f>
        <v>65.5477795988323</v>
      </c>
      <c r="BD320" s="47" t="n">
        <f aca="false">IFERROR((BD278+N(BD279))/(BD125*4)*365,"")</f>
        <v>64.7090577298585</v>
      </c>
      <c r="BE320" s="47" t="n">
        <f aca="false">IFERROR((BE278+N(BE279))/(BE125*4)*365,"")</f>
        <v>63.1937972372799</v>
      </c>
      <c r="BF320" s="47" t="n">
        <f aca="false">IFERROR((BF278+N(BF279))/(BF125*4)*365,"")</f>
        <v>58.5185834470963</v>
      </c>
      <c r="BG320" s="47" t="n">
        <f aca="false">IFERROR((BG278+N(BG279))/(BG125*1)*365,"")</f>
        <v>48.0232724107039</v>
      </c>
      <c r="BH320" s="47" t="n">
        <f aca="false">IFERROR((BH278+N(BH279))/(BH125*4)*365,"")</f>
        <v>56.8531147610302</v>
      </c>
      <c r="BI320" s="47" t="n">
        <f aca="false">IFERROR((BI278+N(BI279))/(BI125*4)*365,"")</f>
        <v>55.5800553545842</v>
      </c>
      <c r="BJ320" s="47" t="n">
        <f aca="false">IFERROR((BJ278+N(BJ279))/(BJ125*4)*365,"")</f>
        <v>55.6415994591145</v>
      </c>
      <c r="BK320" s="47" t="n">
        <f aca="false">IFERROR((BK278+N(BK279))/(BK125*4)*365,"")</f>
        <v>55.5871103963702</v>
      </c>
      <c r="BL320" s="47" t="n">
        <f aca="false">IFERROR((BL278+N(BL279))/(BL125*1)*365,"")</f>
        <v>53.3477132281791</v>
      </c>
      <c r="BM320" s="47" t="n">
        <f aca="false">IFERROR((BM278+N(BM279))/(BM125*4)*365,"")</f>
        <v>58.4831979205455</v>
      </c>
      <c r="BN320" s="47" t="n">
        <f aca="false">IFERROR((BN278+N(BN279))/(BN125*4)*365,"")</f>
        <v>59.251945476907</v>
      </c>
      <c r="BO320" s="47" t="n">
        <f aca="false">IFERROR((BO278+N(BO279))/(BO125*4)*365,"")</f>
        <v>57.0450097757825</v>
      </c>
      <c r="BP320" s="47" t="n">
        <f aca="false">IFERROR((BP278+N(BP279))/(BP125*4)*365,"")</f>
        <v>56.3472221492041</v>
      </c>
      <c r="BQ320" s="47" t="n">
        <f aca="false">IFERROR((BQ278+N(BQ279))/(BQ125*1)*365,"")</f>
        <v>53.2116957018116</v>
      </c>
      <c r="BR320" s="47" t="n">
        <f aca="false">IFERROR((BR278+N(BR279))/(BR125*4)*365,"")</f>
        <v>60.4388007383721</v>
      </c>
      <c r="BS320" s="47" t="n">
        <f aca="false">IFERROR((BS278+N(BS279))/(BS125*4)*365,"")</f>
        <v>60.1557469002498</v>
      </c>
      <c r="BT320" s="47" t="n">
        <f aca="false">IFERROR((BT278+N(BT279))/(BT125*4)*365,"")</f>
        <v>60.0046119072356</v>
      </c>
      <c r="BU320" s="47" t="n">
        <f aca="false">IFERROR((BU278+N(BU279))/(BU125*4)*365,"")</f>
        <v>58.707481328435</v>
      </c>
      <c r="BV320" s="47" t="n">
        <f aca="false">IFERROR((BV278+N(BV279))/(BV125*1)*365,"")</f>
        <v>56.60179662575</v>
      </c>
      <c r="BW320" s="47" t="n">
        <f aca="false">IFERROR((BW278+N(BW279))/(BW125*4)*365,"")</f>
        <v>61.9417370183512</v>
      </c>
      <c r="BX320" s="47" t="n">
        <f aca="false">IFERROR((BX278+N(BX279))/(BX125*4)*365,"")</f>
        <v>60.7658003043312</v>
      </c>
      <c r="BY320" s="6"/>
      <c r="BZ320" s="6"/>
      <c r="CA320" s="57" t="n">
        <v>57</v>
      </c>
      <c r="CB320" s="57" t="n">
        <v>56</v>
      </c>
      <c r="CC320" s="57" t="n">
        <v>56</v>
      </c>
      <c r="CD320" s="57" t="n">
        <v>56</v>
      </c>
      <c r="CE320" s="57" t="n">
        <v>56</v>
      </c>
      <c r="CF320" s="23" t="s">
        <v>435</v>
      </c>
    </row>
    <row r="321" customFormat="false" ht="15" hidden="false" customHeight="false" outlineLevel="0" collapsed="false">
      <c r="B321" s="28" t="s">
        <v>436</v>
      </c>
      <c r="C321" s="47" t="n">
        <f aca="false">IFERROR(C288/(C132*1)*365,"")</f>
        <v>36.0174810227179</v>
      </c>
      <c r="D321" s="47" t="n">
        <f aca="false">IFERROR(D288/(D132*1)*365,"")</f>
        <v>37.1582081023377</v>
      </c>
      <c r="E321" s="47" t="n">
        <f aca="false">IFERROR(E288/(E132*1)*365,"")</f>
        <v>28.8182575752212</v>
      </c>
      <c r="F321" s="47" t="n">
        <f aca="false">IFERROR(F288/(F132*1)*365,"")</f>
        <v>35.7335579147183</v>
      </c>
      <c r="G321" s="47" t="n">
        <f aca="false">IFERROR(G288/(G132*1)*365,"")</f>
        <v>29.3428349850064</v>
      </c>
      <c r="H321" s="47" t="n">
        <f aca="false">IFERROR(H288/(H132*1)*365,"")</f>
        <v>29.5538983015016</v>
      </c>
      <c r="I321" s="47" t="n">
        <f aca="false">IFERROR(I288/(I132*1)*365,"")</f>
        <v>26.7829295355452</v>
      </c>
      <c r="J321" s="47" t="n">
        <f aca="false">IFERROR(J288/(J132*4)*365,"")</f>
        <v>27.2731116643589</v>
      </c>
      <c r="K321" s="47" t="n">
        <f aca="false">IFERROR(K288/(K132*4)*365,"")</f>
        <v>26.1847826086957</v>
      </c>
      <c r="L321" s="47" t="n">
        <f aca="false">IFERROR(L288/(L132*4)*365,"")</f>
        <v>25.9274095898904</v>
      </c>
      <c r="M321" s="47" t="n">
        <f aca="false">IFERROR(M288/(M132*4)*365,"")</f>
        <v>25.4371423418181</v>
      </c>
      <c r="N321" s="47" t="n">
        <f aca="false">IFERROR(N288/(N132*1)*365,"")</f>
        <v>25.2453311342334</v>
      </c>
      <c r="O321" s="47" t="n">
        <f aca="false">IFERROR(O288/(O132*4)*365,"")</f>
        <v>28.6477800845327</v>
      </c>
      <c r="P321" s="47" t="n">
        <f aca="false">IFERROR(P288/(P132*4)*365,"")</f>
        <v>26.8103627374801</v>
      </c>
      <c r="Q321" s="47" t="n">
        <f aca="false">IFERROR(Q288/(Q132*4)*365,"")</f>
        <v>25.5185122413173</v>
      </c>
      <c r="R321" s="47" t="n">
        <f aca="false">IFERROR(R288/(R132*4)*365,"")</f>
        <v>25.4140836825564</v>
      </c>
      <c r="S321" s="47" t="n">
        <f aca="false">IFERROR(S288/(S132*1)*365,"")</f>
        <v>25.3234658664863</v>
      </c>
      <c r="T321" s="47" t="n">
        <f aca="false">IFERROR(T288/(T132*4)*365,"")</f>
        <v>28.2140339832407</v>
      </c>
      <c r="U321" s="47" t="n">
        <f aca="false">IFERROR(U288/(U132*4)*365,"")</f>
        <v>27.5514248227837</v>
      </c>
      <c r="V321" s="47" t="n">
        <f aca="false">IFERROR(V288/(V132*4)*365,"")</f>
        <v>27.7292295344084</v>
      </c>
      <c r="W321" s="47" t="n">
        <f aca="false">IFERROR(W288/(W132*4)*365,"")</f>
        <v>27.0936608453696</v>
      </c>
      <c r="X321" s="47" t="n">
        <f aca="false">IFERROR(X288/(X132*1)*365,"")</f>
        <v>25.5288547846623</v>
      </c>
      <c r="Y321" s="47" t="n">
        <f aca="false">IFERROR(Y288/(Y132*4)*365,"")</f>
        <v>27.6622261420341</v>
      </c>
      <c r="Z321" s="47" t="n">
        <f aca="false">IFERROR(Z288/(Z132*4)*365,"")</f>
        <v>28.2203132588635</v>
      </c>
      <c r="AA321" s="47" t="n">
        <f aca="false">IFERROR(AA288/(AA132*4)*365,"")</f>
        <v>29.2835276045547</v>
      </c>
      <c r="AB321" s="47" t="n">
        <f aca="false">IFERROR(AB288/(AB132*4)*365,"")</f>
        <v>28.3505208065019</v>
      </c>
      <c r="AC321" s="47" t="n">
        <f aca="false">IFERROR(AC288/(AC132*1)*365,"")</f>
        <v>29.7774564652152</v>
      </c>
      <c r="AD321" s="47" t="n">
        <f aca="false">IFERROR(AD288/(AD132*4)*365,"")</f>
        <v>31.0066298467729</v>
      </c>
      <c r="AE321" s="47" t="n">
        <f aca="false">IFERROR(AE288/(AE132*4)*365,"")</f>
        <v>30.7042849071289</v>
      </c>
      <c r="AF321" s="47" t="n">
        <f aca="false">IFERROR(AF288/(AF132*4)*365,"")</f>
        <v>31.5756651168039</v>
      </c>
      <c r="AG321" s="47" t="n">
        <f aca="false">IFERROR(AG288/(AG132*4)*365,"")</f>
        <v>30.0698570916457</v>
      </c>
      <c r="AH321" s="47" t="n">
        <f aca="false">IFERROR(AH288/(AH132*1)*365,"")</f>
        <v>32.0191819590396</v>
      </c>
      <c r="AI321" s="47" t="n">
        <f aca="false">IFERROR(AI288/(AI132*4)*365,"")</f>
        <v>29.4531224900755</v>
      </c>
      <c r="AJ321" s="47" t="n">
        <f aca="false">IFERROR(AJ288/(AJ132*4)*365,"")</f>
        <v>28.7033087172505</v>
      </c>
      <c r="AK321" s="47" t="n">
        <f aca="false">IFERROR(AK288/(AK132*4)*365,"")</f>
        <v>29.2334549381632</v>
      </c>
      <c r="AL321" s="47" t="n">
        <f aca="false">IFERROR(AL288/(AL132*4)*365,"")</f>
        <v>28.3308914686234</v>
      </c>
      <c r="AM321" s="47" t="n">
        <f aca="false">IFERROR(AM288/(AM132*1)*365,"")</f>
        <v>27.8641254085811</v>
      </c>
      <c r="AN321" s="47" t="n">
        <f aca="false">IFERROR(AN288/(AN132*4)*365,"")</f>
        <v>31.4671589241019</v>
      </c>
      <c r="AO321" s="47" t="n">
        <f aca="false">IFERROR(AO288/(AO132*4)*365,"")</f>
        <v>31.8772066209364</v>
      </c>
      <c r="AP321" s="47" t="n">
        <f aca="false">IFERROR(AP288/(AP132*4)*365,"")</f>
        <v>30.4835838788643</v>
      </c>
      <c r="AQ321" s="47" t="n">
        <f aca="false">IFERROR(AQ288/(AQ132*4)*365,"")</f>
        <v>30.171040621715</v>
      </c>
      <c r="AR321" s="47" t="n">
        <f aca="false">IFERROR(AR288/(AR132*1)*365,"")</f>
        <v>30.4903511680004</v>
      </c>
      <c r="AS321" s="47" t="n">
        <f aca="false">IFERROR(AS288/(AS132*4)*365,"")</f>
        <v>32.4332000846448</v>
      </c>
      <c r="AT321" s="47" t="n">
        <f aca="false">IFERROR(AT288/(AT132*4)*365,"")</f>
        <v>39.0066645804248</v>
      </c>
      <c r="AU321" s="47" t="n">
        <f aca="false">IFERROR(AU288/(AU132*4)*365,"")</f>
        <v>31.8489124822894</v>
      </c>
      <c r="AV321" s="47" t="n">
        <f aca="false">IFERROR(AV288/(AV132*4)*365,"")</f>
        <v>29.9592580881349</v>
      </c>
      <c r="AW321" s="47" t="n">
        <f aca="false">IFERROR(AW288/(AW132*1)*365,"")</f>
        <v>33.9567225418705</v>
      </c>
      <c r="AX321" s="47" t="n">
        <f aca="false">IFERROR(AX288/(AX132*4)*365,"")</f>
        <v>32.8315110073439</v>
      </c>
      <c r="AY321" s="47" t="n">
        <f aca="false">IFERROR(AY288/(AY132*4)*365,"")</f>
        <v>32.2260308766502</v>
      </c>
      <c r="AZ321" s="47" t="n">
        <f aca="false">IFERROR(AZ288/(AZ132*4)*365,"")</f>
        <v>31.3879789807294</v>
      </c>
      <c r="BA321" s="47" t="n">
        <f aca="false">IFERROR(BA288/(BA132*4)*365,"")</f>
        <v>31.0222299343531</v>
      </c>
      <c r="BB321" s="47" t="n">
        <f aca="false">IFERROR(BB288/(BB132*1)*365,"")</f>
        <v>35.1149445798354</v>
      </c>
      <c r="BC321" s="47" t="n">
        <f aca="false">IFERROR(BC288/(BC132*4)*365,"")</f>
        <v>31.9143399212523</v>
      </c>
      <c r="BD321" s="47" t="n">
        <f aca="false">IFERROR(BD288/(BD132*4)*365,"")</f>
        <v>30.4889732492298</v>
      </c>
      <c r="BE321" s="47" t="n">
        <f aca="false">IFERROR(BE288/(BE132*4)*365,"")</f>
        <v>31.2418555445185</v>
      </c>
      <c r="BF321" s="47" t="n">
        <f aca="false">IFERROR(BF288/(BF132*4)*365,"")</f>
        <v>33.3392131873122</v>
      </c>
      <c r="BG321" s="47" t="n">
        <f aca="false">IFERROR(BG288/(BG132*1)*365,"")</f>
        <v>27.1639987456078</v>
      </c>
      <c r="BH321" s="47" t="n">
        <f aca="false">IFERROR(BH288/(BH132*4)*365,"")</f>
        <v>34.474084189372</v>
      </c>
      <c r="BI321" s="47" t="n">
        <f aca="false">IFERROR(BI288/(BI132*4)*365,"")</f>
        <v>35.2135857585535</v>
      </c>
      <c r="BJ321" s="47" t="n">
        <f aca="false">IFERROR(BJ288/(BJ132*4)*365,"")</f>
        <v>35.5573493307531</v>
      </c>
      <c r="BK321" s="47" t="n">
        <f aca="false">IFERROR(BK288/(BK132*4)*365,"")</f>
        <v>34.7026966383812</v>
      </c>
      <c r="BL321" s="47" t="n">
        <f aca="false">IFERROR(BL288/(BL132*1)*365,"")</f>
        <v>33.36295456827</v>
      </c>
      <c r="BM321" s="47" t="n">
        <f aca="false">IFERROR(BM288/(BM132*4)*365,"")</f>
        <v>35.3294444627924</v>
      </c>
      <c r="BN321" s="47" t="n">
        <f aca="false">IFERROR(BN288/(BN132*4)*365,"")</f>
        <v>35.7849981256285</v>
      </c>
      <c r="BO321" s="47" t="n">
        <f aca="false">IFERROR(BO288/(BO132*4)*365,"")</f>
        <v>32.0430304564295</v>
      </c>
      <c r="BP321" s="47" t="n">
        <f aca="false">IFERROR(BP288/(BP132*4)*365,"")</f>
        <v>31.6017148981167</v>
      </c>
      <c r="BQ321" s="47" t="n">
        <f aca="false">IFERROR(BQ288/(BQ132*1)*365,"")</f>
        <v>29.5741908625047</v>
      </c>
      <c r="BR321" s="47" t="n">
        <f aca="false">IFERROR(BR288/(BR132*4)*365,"")</f>
        <v>34.4744467568084</v>
      </c>
      <c r="BS321" s="47" t="n">
        <f aca="false">IFERROR(BS288/(BS132*4)*365,"")</f>
        <v>35.7270078924013</v>
      </c>
      <c r="BT321" s="47" t="n">
        <f aca="false">IFERROR(BT288/(BT132*4)*365,"")</f>
        <v>34.7833525078488</v>
      </c>
      <c r="BU321" s="47" t="n">
        <f aca="false">IFERROR(BU288/(BU132*4)*365,"")</f>
        <v>34.7910490167771</v>
      </c>
      <c r="BV321" s="47" t="n">
        <f aca="false">IFERROR(BV288/(BV132*1)*365,"")</f>
        <v>33.5520918397083</v>
      </c>
      <c r="BW321" s="47" t="n">
        <f aca="false">IFERROR(BW288/(BW132*4)*365,"")</f>
        <v>37.1894184714959</v>
      </c>
      <c r="BX321" s="47" t="n">
        <f aca="false">IFERROR(BX288/(BX132*4)*365,"")</f>
        <v>36.6819984452348</v>
      </c>
      <c r="BY321" s="6"/>
      <c r="BZ321" s="6"/>
      <c r="CA321" s="57" t="n">
        <v>34</v>
      </c>
      <c r="CB321" s="57" t="n">
        <v>34</v>
      </c>
      <c r="CC321" s="57" t="n">
        <v>34</v>
      </c>
      <c r="CD321" s="57" t="n">
        <v>34</v>
      </c>
      <c r="CE321" s="57" t="n">
        <v>34</v>
      </c>
    </row>
    <row r="322" customFormat="false" ht="15" hidden="false" customHeight="false" outlineLevel="0" collapsed="false">
      <c r="B322" s="25" t="s">
        <v>437</v>
      </c>
      <c r="C322" s="26" t="n">
        <f aca="false">IFERROR(N(C279)/(C125*1),"")</f>
        <v>0</v>
      </c>
      <c r="D322" s="26" t="n">
        <f aca="false">IFERROR(N(D279)/(D125*1),"")</f>
        <v>0</v>
      </c>
      <c r="E322" s="26" t="n">
        <f aca="false">IFERROR(N(E279)/(E125*1),"")</f>
        <v>0</v>
      </c>
      <c r="F322" s="26" t="n">
        <f aca="false">IFERROR(N(F279)/(F125*1),"")</f>
        <v>0</v>
      </c>
      <c r="G322" s="26" t="n">
        <f aca="false">IFERROR(N(G279)/(G125*1),"")</f>
        <v>0</v>
      </c>
      <c r="H322" s="26" t="n">
        <f aca="false">IFERROR(N(H279)/(H125*1),"")</f>
        <v>0</v>
      </c>
      <c r="I322" s="26" t="n">
        <f aca="false">IFERROR(N(I279)/(I125*1),"")</f>
        <v>0</v>
      </c>
      <c r="J322" s="26" t="n">
        <f aca="false">IFERROR(N(J279)/(J125*4),"")</f>
        <v>0</v>
      </c>
      <c r="K322" s="26" t="n">
        <f aca="false">IFERROR(N(K279)/(K125*4),"")</f>
        <v>0</v>
      </c>
      <c r="L322" s="26" t="n">
        <f aca="false">IFERROR(N(L279)/(L125*4),"")</f>
        <v>0</v>
      </c>
      <c r="M322" s="26" t="n">
        <f aca="false">IFERROR(N(M279)/(M125*4),"")</f>
        <v>0</v>
      </c>
      <c r="N322" s="26" t="n">
        <f aca="false">IFERROR(N(N279)/(N125*1),"")</f>
        <v>0</v>
      </c>
      <c r="O322" s="26" t="n">
        <f aca="false">IFERROR(N(O279)/(O125*4),"")</f>
        <v>0</v>
      </c>
      <c r="P322" s="26" t="n">
        <f aca="false">IFERROR(N(P279)/(P125*4),"")</f>
        <v>0</v>
      </c>
      <c r="Q322" s="26" t="n">
        <f aca="false">IFERROR(N(Q279)/(Q125*4),"")</f>
        <v>0</v>
      </c>
      <c r="R322" s="26" t="n">
        <f aca="false">IFERROR(N(R279)/(R125*4),"")</f>
        <v>0</v>
      </c>
      <c r="S322" s="26" t="n">
        <f aca="false">IFERROR(N(S279)/(S125*1),"")</f>
        <v>0</v>
      </c>
      <c r="T322" s="26" t="n">
        <f aca="false">IFERROR(N(T279)/(T125*4),"")</f>
        <v>0</v>
      </c>
      <c r="U322" s="26" t="n">
        <f aca="false">IFERROR(N(U279)/(U125*4),"")</f>
        <v>0</v>
      </c>
      <c r="V322" s="26" t="n">
        <f aca="false">IFERROR(N(V279)/(V125*4),"")</f>
        <v>0</v>
      </c>
      <c r="W322" s="26" t="n">
        <f aca="false">IFERROR(N(W279)/(W125*4),"")</f>
        <v>0</v>
      </c>
      <c r="X322" s="26" t="n">
        <f aca="false">IFERROR(N(X279)/(X125*1),"")</f>
        <v>0</v>
      </c>
      <c r="Y322" s="26" t="n">
        <f aca="false">IFERROR(N(Y279)/(Y125*4),"")</f>
        <v>0</v>
      </c>
      <c r="Z322" s="26" t="n">
        <f aca="false">IFERROR(N(Z279)/(Z125*4),"")</f>
        <v>0</v>
      </c>
      <c r="AA322" s="26" t="n">
        <f aca="false">IFERROR(N(AA279)/(AA125*4),"")</f>
        <v>0</v>
      </c>
      <c r="AB322" s="26" t="n">
        <f aca="false">IFERROR(N(AB279)/(AB125*4),"")</f>
        <v>0</v>
      </c>
      <c r="AC322" s="26" t="n">
        <f aca="false">IFERROR(N(AC279)/(AC125*1),"")</f>
        <v>0</v>
      </c>
      <c r="AD322" s="26" t="n">
        <f aca="false">IFERROR(N(AD279)/(AD125*4),"")</f>
        <v>0</v>
      </c>
      <c r="AE322" s="26" t="n">
        <f aca="false">IFERROR(N(AE279)/(AE125*4),"")</f>
        <v>0</v>
      </c>
      <c r="AF322" s="26" t="n">
        <f aca="false">IFERROR(N(AF279)/(AF125*4),"")</f>
        <v>0</v>
      </c>
      <c r="AG322" s="26" t="n">
        <f aca="false">IFERROR(N(AG279)/(AG125*4),"")</f>
        <v>0</v>
      </c>
      <c r="AH322" s="26" t="n">
        <f aca="false">IFERROR(N(AH279)/(AH125*1),"")</f>
        <v>0</v>
      </c>
      <c r="AI322" s="26" t="n">
        <f aca="false">IFERROR(N(AI279)/(AI125*4),"")</f>
        <v>0.0102557060851236</v>
      </c>
      <c r="AJ322" s="26" t="n">
        <f aca="false">IFERROR(N(AJ279)/(AJ125*4),"")</f>
        <v>0.0106551346492091</v>
      </c>
      <c r="AK322" s="26" t="n">
        <f aca="false">IFERROR(N(AK279)/(AK125*4),"")</f>
        <v>0.0117320417530697</v>
      </c>
      <c r="AL322" s="26" t="n">
        <f aca="false">IFERROR(N(AL279)/(AL125*4),"")</f>
        <v>0.00964466827198671</v>
      </c>
      <c r="AM322" s="26" t="n">
        <f aca="false">IFERROR(N(AM279)/(AM125*1),"")</f>
        <v>0.00959854182254865</v>
      </c>
      <c r="AN322" s="26" t="n">
        <f aca="false">IFERROR(N(AN279)/(AN125*4),"")</f>
        <v>0.0110335065218956</v>
      </c>
      <c r="AO322" s="26" t="n">
        <f aca="false">IFERROR(N(AO279)/(AO125*4),"")</f>
        <v>0.0114493686106364</v>
      </c>
      <c r="AP322" s="26" t="n">
        <f aca="false">IFERROR(N(AP279)/(AP125*4),"")</f>
        <v>0.00976166012989182</v>
      </c>
      <c r="AQ322" s="26" t="n">
        <f aca="false">IFERROR(N(AQ279)/(AQ125*4),"")</f>
        <v>0.00875709074305768</v>
      </c>
      <c r="AR322" s="26" t="n">
        <f aca="false">IFERROR(N(AR279)/(AR125*1),"")</f>
        <v>0.00867918159094335</v>
      </c>
      <c r="AS322" s="26" t="n">
        <f aca="false">IFERROR(N(AS279)/(AS125*4),"")</f>
        <v>0.00811811696585132</v>
      </c>
      <c r="AT322" s="26" t="n">
        <f aca="false">IFERROR(N(AT279)/(AT125*4),"")</f>
        <v>0.0106410250049203</v>
      </c>
      <c r="AU322" s="26" t="n">
        <f aca="false">IFERROR(N(AU279)/(AU125*4),"")</f>
        <v>0.0111231892633971</v>
      </c>
      <c r="AV322" s="26" t="n">
        <f aca="false">IFERROR(N(AV279)/(AV125*4),"")</f>
        <v>0.0108351511346861</v>
      </c>
      <c r="AW322" s="26" t="n">
        <f aca="false">IFERROR(N(AW279)/(AW125*1),"")</f>
        <v>0.0121660214969903</v>
      </c>
      <c r="AX322" s="26" t="n">
        <f aca="false">IFERROR(N(AX279)/(AX125*4),"")</f>
        <v>0.0125153287901897</v>
      </c>
      <c r="AY322" s="26" t="n">
        <f aca="false">IFERROR(N(AY279)/(AY125*4),"")</f>
        <v>0.0132285603877727</v>
      </c>
      <c r="AZ322" s="26" t="n">
        <f aca="false">IFERROR(N(AZ279)/(AZ125*4),"")</f>
        <v>0.0166423732317745</v>
      </c>
      <c r="BA322" s="26" t="n">
        <f aca="false">IFERROR(N(BA279)/(BA125*4),"")</f>
        <v>0.0174435022166006</v>
      </c>
      <c r="BB322" s="26" t="n">
        <f aca="false">IFERROR(N(BB279)/(BB125*1),"")</f>
        <v>0.0196371435405675</v>
      </c>
      <c r="BC322" s="26" t="n">
        <f aca="false">IFERROR(N(BC279)/(BC125*4),"")</f>
        <v>0.0185081968728364</v>
      </c>
      <c r="BD322" s="26" t="n">
        <f aca="false">IFERROR(N(BD279)/(BD125*4),"")</f>
        <v>0.0190760427890078</v>
      </c>
      <c r="BE322" s="26" t="n">
        <f aca="false">IFERROR(N(BE279)/(BE125*4),"")</f>
        <v>0.0151153061753746</v>
      </c>
      <c r="BF322" s="26" t="n">
        <f aca="false">IFERROR(N(BF279)/(BF125*4),"")</f>
        <v>0.0127099911364542</v>
      </c>
      <c r="BG322" s="26" t="n">
        <f aca="false">IFERROR(N(BG279)/(BG125*1),"")</f>
        <v>0.0104304535538763</v>
      </c>
      <c r="BH322" s="26" t="n">
        <f aca="false">IFERROR(N(BH279)/(BH125*4),"")</f>
        <v>0.0103927102329525</v>
      </c>
      <c r="BI322" s="26" t="n">
        <f aca="false">IFERROR(N(BI279)/(BI125*4),"")</f>
        <v>0.0106407241665038</v>
      </c>
      <c r="BJ322" s="26" t="n">
        <f aca="false">IFERROR(N(BJ279)/(BJ125*4),"")</f>
        <v>0.0117908077115339</v>
      </c>
      <c r="BK322" s="26" t="n">
        <f aca="false">IFERROR(N(BK279)/(BK125*4),"")</f>
        <v>0.0112449717389404</v>
      </c>
      <c r="BL322" s="26" t="n">
        <f aca="false">IFERROR(N(BL279)/(BL125*1),"")</f>
        <v>0.010791953805664</v>
      </c>
      <c r="BM322" s="26" t="n">
        <f aca="false">IFERROR(N(BM279)/(BM125*4),"")</f>
        <v>0.0133334889585072</v>
      </c>
      <c r="BN322" s="26" t="n">
        <f aca="false">IFERROR(N(BN279)/(BN125*4),"")</f>
        <v>0.0145204543568779</v>
      </c>
      <c r="BO322" s="26" t="n">
        <f aca="false">IFERROR(N(BO279)/(BO125*4),"")</f>
        <v>0.0147078643968393</v>
      </c>
      <c r="BP322" s="26" t="n">
        <f aca="false">IFERROR(N(BP279)/(BP125*4),"")</f>
        <v>0.011968247808183</v>
      </c>
      <c r="BQ322" s="26" t="n">
        <f aca="false">IFERROR(N(BQ279)/(BQ125*1),"")</f>
        <v>0.0113022565472095</v>
      </c>
      <c r="BR322" s="26" t="n">
        <f aca="false">IFERROR(N(BR279)/(BR125*4),"")</f>
        <v>0.0122004378833333</v>
      </c>
      <c r="BS322" s="26" t="n">
        <f aca="false">IFERROR(N(BS279)/(BS125*4),"")</f>
        <v>0.0114163566050202</v>
      </c>
      <c r="BT322" s="26" t="n">
        <f aca="false">IFERROR(N(BT279)/(BT125*4),"")</f>
        <v>0.0107342042705965</v>
      </c>
      <c r="BU322" s="26" t="n">
        <f aca="false">IFERROR(N(BU279)/(BU125*4),"")</f>
        <v>0.00999588768077975</v>
      </c>
      <c r="BV322" s="26" t="n">
        <f aca="false">IFERROR(N(BV279)/(BV125*1),"")</f>
        <v>0.00963736118121111</v>
      </c>
      <c r="BW322" s="26" t="n">
        <f aca="false">IFERROR(N(BW279)/(BW125*4),"")</f>
        <v>0.0113297402847891</v>
      </c>
      <c r="BX322" s="26" t="n">
        <f aca="false">IFERROR(N(BX279)/(BX125*4),"")</f>
        <v>0.0116838984551989</v>
      </c>
      <c r="BY322" s="6"/>
      <c r="BZ322" s="6"/>
      <c r="CA322" s="35" t="n">
        <v>0.011</v>
      </c>
      <c r="CB322" s="35" t="n">
        <v>0.011</v>
      </c>
      <c r="CC322" s="35" t="n">
        <v>0.011</v>
      </c>
      <c r="CD322" s="35" t="n">
        <v>0.011</v>
      </c>
      <c r="CE322" s="35" t="n">
        <v>0.011</v>
      </c>
    </row>
    <row r="323" customFormat="false" ht="15" hidden="false" customHeight="false" outlineLevel="0" collapsed="false">
      <c r="B323" s="25" t="s">
        <v>438</v>
      </c>
      <c r="C323" s="26" t="n">
        <f aca="false">IFERROR(C289/(C133*1),"")</f>
        <v>0.0909043881819122</v>
      </c>
      <c r="D323" s="26" t="n">
        <f aca="false">IFERROR(D289/(D133*1),"")</f>
        <v>0.0819487078883853</v>
      </c>
      <c r="E323" s="26" t="n">
        <f aca="false">IFERROR(E289/(E133*1),"")</f>
        <v>0.0679516466988566</v>
      </c>
      <c r="F323" s="26" t="n">
        <f aca="false">IFERROR(F289/(F133*1),"")</f>
        <v>0.0657436291525291</v>
      </c>
      <c r="G323" s="26" t="n">
        <f aca="false">IFERROR(G289/(G133*1),"")</f>
        <v>0.0660711536548913</v>
      </c>
      <c r="H323" s="26" t="n">
        <f aca="false">IFERROR(H289/(H133*1),"")</f>
        <v>0.0719936447192247</v>
      </c>
      <c r="I323" s="26" t="n">
        <f aca="false">IFERROR(I289/(I133*1),"")</f>
        <v>0.0601681094988214</v>
      </c>
      <c r="J323" s="26" t="n">
        <f aca="false">IFERROR(J289/(J133*4),"")</f>
        <v>0.0287455949021553</v>
      </c>
      <c r="K323" s="26" t="n">
        <f aca="false">IFERROR(K289/(K133*4),"")</f>
        <v>0.0357160993817207</v>
      </c>
      <c r="L323" s="26" t="n">
        <f aca="false">IFERROR(L289/(L133*4),"")</f>
        <v>0.0430439061872715</v>
      </c>
      <c r="M323" s="26" t="n">
        <f aca="false">IFERROR(M289/(M133*4),"")</f>
        <v>0.047949219848582</v>
      </c>
      <c r="N323" s="26" t="n">
        <f aca="false">IFERROR(N289/(N133*1),"")</f>
        <v>0.0464284255444299</v>
      </c>
      <c r="O323" s="26" t="n">
        <f aca="false">IFERROR(O289/(O133*4),"")</f>
        <v>0.025466116985795</v>
      </c>
      <c r="P323" s="26" t="n">
        <f aca="false">IFERROR(P289/(P133*4),"")</f>
        <v>0.0378653531323112</v>
      </c>
      <c r="Q323" s="26" t="n">
        <f aca="false">IFERROR(Q289/(Q133*4),"")</f>
        <v>0.0512511278252497</v>
      </c>
      <c r="R323" s="26" t="n">
        <f aca="false">IFERROR(R289/(R133*4),"")</f>
        <v>0.0625846923972133</v>
      </c>
      <c r="S323" s="26" t="n">
        <f aca="false">IFERROR(S289/(S133*1),"")</f>
        <v>0.0625725972429485</v>
      </c>
      <c r="T323" s="26" t="n">
        <f aca="false">IFERROR(T289/(T133*4),"")</f>
        <v>0.0297856639561235</v>
      </c>
      <c r="U323" s="26" t="n">
        <f aca="false">IFERROR(U289/(U133*4),"")</f>
        <v>0.0408925752288457</v>
      </c>
      <c r="V323" s="26" t="n">
        <f aca="false">IFERROR(V289/(V133*4),"")</f>
        <v>0.0526742556173809</v>
      </c>
      <c r="W323" s="26" t="n">
        <f aca="false">IFERROR(W289/(W133*4),"")</f>
        <v>0.06423962423153</v>
      </c>
      <c r="X323" s="26" t="n">
        <f aca="false">IFERROR(X289/(X133*1),"")</f>
        <v>0.0646538651431796</v>
      </c>
      <c r="Y323" s="26" t="n">
        <f aca="false">IFERROR(Y289/(Y133*4),"")</f>
        <v>0.0271800971003044</v>
      </c>
      <c r="Z323" s="26" t="n">
        <f aca="false">IFERROR(Z289/(Z133*4),"")</f>
        <v>0.0356133722642478</v>
      </c>
      <c r="AA323" s="26" t="n">
        <f aca="false">IFERROR(AA289/(AA133*4),"")</f>
        <v>0.0427835734571018</v>
      </c>
      <c r="AB323" s="26" t="n">
        <f aca="false">IFERROR(AB289/(AB133*4),"")</f>
        <v>0.0436795211534489</v>
      </c>
      <c r="AC323" s="26" t="n">
        <f aca="false">IFERROR(AC289/(AC133*1),"")</f>
        <v>0.0430760895145965</v>
      </c>
      <c r="AD323" s="26" t="n">
        <f aca="false">IFERROR(AD289/(AD133*4),"")</f>
        <v>0.0264890091915451</v>
      </c>
      <c r="AE323" s="26" t="n">
        <f aca="false">IFERROR(AE289/(AE133*4),"")</f>
        <v>0.0325703350883339</v>
      </c>
      <c r="AF323" s="26" t="n">
        <f aca="false">IFERROR(AF289/(AF133*4),"")</f>
        <v>0.0387326849048407</v>
      </c>
      <c r="AG323" s="26" t="n">
        <f aca="false">IFERROR(AG289/(AG133*4),"")</f>
        <v>0.0416697660358725</v>
      </c>
      <c r="AH323" s="26" t="n">
        <f aca="false">IFERROR(AH289/(AH133*1),"")</f>
        <v>0.0444737231055088</v>
      </c>
      <c r="AI323" s="26" t="n">
        <f aca="false">IFERROR(AI289/(AI133*4),"")</f>
        <v>0.0278479849822263</v>
      </c>
      <c r="AJ323" s="26" t="n">
        <f aca="false">IFERROR(AJ289/(AJ133*4),"")</f>
        <v>0.0369625887773778</v>
      </c>
      <c r="AK323" s="26" t="n">
        <f aca="false">IFERROR(AK289/(AK133*4),"")</f>
        <v>0.0438779817994248</v>
      </c>
      <c r="AL323" s="26" t="n">
        <f aca="false">IFERROR(AL289/(AL133*4),"")</f>
        <v>0.053806969345025</v>
      </c>
      <c r="AM323" s="26" t="n">
        <f aca="false">IFERROR(AM289/(AM133*1),"")</f>
        <v>0.0567884120972855</v>
      </c>
      <c r="AN323" s="26" t="n">
        <f aca="false">IFERROR(AN289/(AN133*4),"")</f>
        <v>0.0244486593989393</v>
      </c>
      <c r="AO323" s="26" t="n">
        <f aca="false">IFERROR(AO289/(AO133*4),"")</f>
        <v>0.0333263331108605</v>
      </c>
      <c r="AP323" s="26" t="n">
        <f aca="false">IFERROR(AP289/(AP133*4),"")</f>
        <v>0.0424904212139917</v>
      </c>
      <c r="AQ323" s="26" t="n">
        <f aca="false">IFERROR(AQ289/(AQ133*4),"")</f>
        <v>0.0487092800887256</v>
      </c>
      <c r="AR323" s="26" t="n">
        <f aca="false">IFERROR(AR289/(AR133*1),"")</f>
        <v>0.0436080748247503</v>
      </c>
      <c r="AS323" s="26" t="n">
        <f aca="false">IFERROR(AS289/(AS133*4),"")</f>
        <v>0.0389680131982752</v>
      </c>
      <c r="AT323" s="26" t="n">
        <f aca="false">IFERROR(AT289/(AT133*4),"")</f>
        <v>0.051013258947389</v>
      </c>
      <c r="AU323" s="26" t="n">
        <f aca="false">IFERROR(AU289/(AU133*4),"")</f>
        <v>0.0555591381244347</v>
      </c>
      <c r="AV323" s="26" t="n">
        <f aca="false">IFERROR(AV289/(AV133*4),"")</f>
        <v>0.0540371352122614</v>
      </c>
      <c r="AW323" s="26" t="n">
        <f aca="false">IFERROR(AW289/(AW133*1),"")</f>
        <v>0.0573985276029876</v>
      </c>
      <c r="AX323" s="26" t="n">
        <f aca="false">IFERROR(AX289/(AX133*4),"")</f>
        <v>0.0391536632592044</v>
      </c>
      <c r="AY323" s="26" t="n">
        <f aca="false">IFERROR(AY289/(AY133*4),"")</f>
        <v>0.05018613783677</v>
      </c>
      <c r="AZ323" s="26" t="n">
        <f aca="false">IFERROR(AZ289/(AZ133*4),"")</f>
        <v>0.0513369588908685</v>
      </c>
      <c r="BA323" s="26" t="n">
        <f aca="false">IFERROR(BA289/(BA133*4),"")</f>
        <v>0.0588028016876454</v>
      </c>
      <c r="BB323" s="26" t="n">
        <f aca="false">IFERROR(BB289/(BB133*1),"")</f>
        <v>0.0639007972173375</v>
      </c>
      <c r="BC323" s="26" t="n">
        <f aca="false">IFERROR(BC289/(BC133*4),"")</f>
        <v>0.0335931741036156</v>
      </c>
      <c r="BD323" s="26" t="n">
        <f aca="false">IFERROR(BD289/(BD133*4),"")</f>
        <v>0.0461481194983002</v>
      </c>
      <c r="BE323" s="26" t="n">
        <f aca="false">IFERROR(BE289/(BE133*4),"")</f>
        <v>0.057670870181719</v>
      </c>
      <c r="BF323" s="26" t="n">
        <f aca="false">IFERROR(BF289/(BF133*4),"")</f>
        <v>0.0789550935074606</v>
      </c>
      <c r="BG323" s="26" t="n">
        <f aca="false">IFERROR(BG289/(BG133*1),"")</f>
        <v>0.0675182436044759</v>
      </c>
      <c r="BH323" s="26" t="n">
        <f aca="false">IFERROR(BH289/(BH133*4),"")</f>
        <v>0.0394044250627151</v>
      </c>
      <c r="BI323" s="26" t="n">
        <f aca="false">IFERROR(BI289/(BI133*4),"")</f>
        <v>0.0422320344524986</v>
      </c>
      <c r="BJ323" s="26" t="n">
        <f aca="false">IFERROR(BJ289/(BJ133*4),"")</f>
        <v>0.0530748256672059</v>
      </c>
      <c r="BK323" s="26" t="n">
        <f aca="false">IFERROR(BK289/(BK133*4),"")</f>
        <v>0.0545986812646798</v>
      </c>
      <c r="BL323" s="26" t="n">
        <f aca="false">IFERROR(BL289/(BL133*1),"")</f>
        <v>0.0518711452932649</v>
      </c>
      <c r="BM323" s="26" t="n">
        <f aca="false">IFERROR(BM289/(BM133*4),"")</f>
        <v>0.0421522389920469</v>
      </c>
      <c r="BN323" s="26" t="n">
        <f aca="false">IFERROR(BN289/(BN133*4),"")</f>
        <v>0.0439399978760825</v>
      </c>
      <c r="BO323" s="26" t="n">
        <f aca="false">IFERROR(BO289/(BO133*4),"")</f>
        <v>0.0561585603866969</v>
      </c>
      <c r="BP323" s="26" t="n">
        <f aca="false">IFERROR(BP289/(BP133*4),"")</f>
        <v>0.0660221026754871</v>
      </c>
      <c r="BQ323" s="26" t="n">
        <f aca="false">IFERROR(BQ289/(BQ133*1),"")</f>
        <v>0.065388819007788</v>
      </c>
      <c r="BR323" s="26" t="n">
        <f aca="false">IFERROR(BR289/(BR133*4),"")</f>
        <v>0.0407249869259295</v>
      </c>
      <c r="BS323" s="26" t="n">
        <f aca="false">IFERROR(BS289/(BS133*4),"")</f>
        <v>0.0424111876127871</v>
      </c>
      <c r="BT323" s="26" t="n">
        <f aca="false">IFERROR(BT289/(BT133*4),"")</f>
        <v>0.0610259221019804</v>
      </c>
      <c r="BU323" s="26" t="n">
        <f aca="false">IFERROR(BU289/(BU133*4),"")</f>
        <v>0.0718546332346038</v>
      </c>
      <c r="BV323" s="26" t="n">
        <f aca="false">IFERROR(BV289/(BV133*1),"")</f>
        <v>0.0691863809394704</v>
      </c>
      <c r="BW323" s="26" t="n">
        <f aca="false">IFERROR(BW289/(BW133*4),"")</f>
        <v>0.0420027161529342</v>
      </c>
      <c r="BX323" s="26" t="n">
        <f aca="false">IFERROR(BX289/(BX133*4),"")</f>
        <v>0.0409077111953667</v>
      </c>
      <c r="BY323" s="6"/>
      <c r="BZ323" s="6"/>
      <c r="CA323" s="35" t="n">
        <v>0.065</v>
      </c>
      <c r="CB323" s="35" t="n">
        <v>0.065</v>
      </c>
      <c r="CC323" s="35" t="n">
        <v>0.065</v>
      </c>
      <c r="CD323" s="35" t="n">
        <v>0.065</v>
      </c>
      <c r="CE323" s="35" t="n">
        <v>0.065</v>
      </c>
    </row>
    <row r="324" customFormat="false" ht="15" hidden="false" customHeight="false" outlineLevel="0" collapsed="false">
      <c r="B324" s="25" t="s">
        <v>439</v>
      </c>
      <c r="C324" s="26" t="n">
        <f aca="false">IFERROR(N(C290)/(C125*1),"")</f>
        <v>0</v>
      </c>
      <c r="D324" s="26" t="n">
        <f aca="false">IFERROR(N(D290)/(D125*1),"")</f>
        <v>0</v>
      </c>
      <c r="E324" s="26" t="n">
        <f aca="false">IFERROR(N(E290)/(E125*1),"")</f>
        <v>0</v>
      </c>
      <c r="F324" s="26" t="n">
        <f aca="false">IFERROR(N(F290)/(F125*1),"")</f>
        <v>0</v>
      </c>
      <c r="G324" s="26" t="n">
        <f aca="false">IFERROR(N(G290)/(G125*1),"")</f>
        <v>0</v>
      </c>
      <c r="H324" s="26" t="n">
        <f aca="false">IFERROR(N(H290)/(H125*1),"")</f>
        <v>0</v>
      </c>
      <c r="I324" s="26" t="n">
        <f aca="false">IFERROR(N(I290)/(I125*1),"")</f>
        <v>0</v>
      </c>
      <c r="J324" s="26" t="n">
        <f aca="false">IFERROR(N(J290)/(J125*4),"")</f>
        <v>0</v>
      </c>
      <c r="K324" s="26" t="n">
        <f aca="false">IFERROR(N(K290)/(K125*4),"")</f>
        <v>0</v>
      </c>
      <c r="L324" s="26" t="n">
        <f aca="false">IFERROR(N(L290)/(L125*4),"")</f>
        <v>0</v>
      </c>
      <c r="M324" s="26" t="n">
        <f aca="false">IFERROR(N(M290)/(M125*4),"")</f>
        <v>0</v>
      </c>
      <c r="N324" s="26" t="n">
        <f aca="false">IFERROR(N(N290)/(N125*1),"")</f>
        <v>0</v>
      </c>
      <c r="O324" s="26" t="n">
        <f aca="false">IFERROR(N(O290)/(O125*4),"")</f>
        <v>0</v>
      </c>
      <c r="P324" s="26" t="n">
        <f aca="false">IFERROR(N(P290)/(P125*4),"")</f>
        <v>0</v>
      </c>
      <c r="Q324" s="26" t="n">
        <f aca="false">IFERROR(N(Q290)/(Q125*4),"")</f>
        <v>0</v>
      </c>
      <c r="R324" s="26" t="n">
        <f aca="false">IFERROR(N(R290)/(R125*4),"")</f>
        <v>0</v>
      </c>
      <c r="S324" s="26" t="n">
        <f aca="false">IFERROR(N(S290)/(S125*1),"")</f>
        <v>0</v>
      </c>
      <c r="T324" s="26" t="n">
        <f aca="false">IFERROR(N(T290)/(T125*4),"")</f>
        <v>0</v>
      </c>
      <c r="U324" s="26" t="n">
        <f aca="false">IFERROR(N(U290)/(U125*4),"")</f>
        <v>0</v>
      </c>
      <c r="V324" s="26" t="n">
        <f aca="false">IFERROR(N(V290)/(V125*4),"")</f>
        <v>0</v>
      </c>
      <c r="W324" s="26" t="n">
        <f aca="false">IFERROR(N(W290)/(W125*4),"")</f>
        <v>0</v>
      </c>
      <c r="X324" s="26" t="n">
        <f aca="false">IFERROR(N(X290)/(X125*1),"")</f>
        <v>0</v>
      </c>
      <c r="Y324" s="26" t="n">
        <f aca="false">IFERROR(N(Y290)/(Y125*4),"")</f>
        <v>0</v>
      </c>
      <c r="Z324" s="26" t="n">
        <f aca="false">IFERROR(N(Z290)/(Z125*4),"")</f>
        <v>0</v>
      </c>
      <c r="AA324" s="26" t="n">
        <f aca="false">IFERROR(N(AA290)/(AA125*4),"")</f>
        <v>0</v>
      </c>
      <c r="AB324" s="26" t="n">
        <f aca="false">IFERROR(N(AB290)/(AB125*4),"")</f>
        <v>0</v>
      </c>
      <c r="AC324" s="26" t="n">
        <f aca="false">IFERROR(N(AC290)/(AC125*1),"")</f>
        <v>0</v>
      </c>
      <c r="AD324" s="26" t="n">
        <f aca="false">IFERROR(N(AD290)/(AD125*4),"")</f>
        <v>0</v>
      </c>
      <c r="AE324" s="26" t="n">
        <f aca="false">IFERROR(N(AE290)/(AE125*4),"")</f>
        <v>0</v>
      </c>
      <c r="AF324" s="26" t="n">
        <f aca="false">IFERROR(N(AF290)/(AF125*4),"")</f>
        <v>0</v>
      </c>
      <c r="AG324" s="26" t="n">
        <f aca="false">IFERROR(N(AG290)/(AG125*4),"")</f>
        <v>0</v>
      </c>
      <c r="AH324" s="26" t="n">
        <f aca="false">IFERROR(N(AH290)/(AH125*1),"")</f>
        <v>0</v>
      </c>
      <c r="AI324" s="26" t="n">
        <f aca="false">IFERROR(N(AI290)/(AI125*4),"")</f>
        <v>0.00712806856600737</v>
      </c>
      <c r="AJ324" s="26" t="n">
        <f aca="false">IFERROR(N(AJ290)/(AJ125*4),"")</f>
        <v>0.00819865450182026</v>
      </c>
      <c r="AK324" s="26" t="n">
        <f aca="false">IFERROR(N(AK290)/(AK125*4),"")</f>
        <v>0.00913406649735549</v>
      </c>
      <c r="AL324" s="26" t="n">
        <f aca="false">IFERROR(N(AL290)/(AL125*4),"")</f>
        <v>0.00723916529802016</v>
      </c>
      <c r="AM324" s="26" t="n">
        <f aca="false">IFERROR(N(AM290)/(AM125*1),"")</f>
        <v>0.00720454337192833</v>
      </c>
      <c r="AN324" s="26" t="n">
        <f aca="false">IFERROR(N(AN290)/(AN125*4),"")</f>
        <v>0.0084739990563045</v>
      </c>
      <c r="AO324" s="26" t="n">
        <f aca="false">IFERROR(N(AO290)/(AO125*4),"")</f>
        <v>0.00888818677663962</v>
      </c>
      <c r="AP324" s="26" t="n">
        <f aca="false">IFERROR(N(AP290)/(AP125*4),"")</f>
        <v>0.00742311207188966</v>
      </c>
      <c r="AQ324" s="26" t="n">
        <f aca="false">IFERROR(N(AQ290)/(AQ125*4),"")</f>
        <v>0.00666921324452473</v>
      </c>
      <c r="AR324" s="26" t="n">
        <f aca="false">IFERROR(N(AR290)/(AR125*1),"")</f>
        <v>0.00660987929853788</v>
      </c>
      <c r="AS324" s="26" t="n">
        <f aca="false">IFERROR(N(AS290)/(AS125*4),"")</f>
        <v>0.00616950082627947</v>
      </c>
      <c r="AT324" s="26" t="n">
        <f aca="false">IFERROR(N(AT290)/(AT125*4),"")</f>
        <v>0.00837122082910906</v>
      </c>
      <c r="AU324" s="26" t="n">
        <f aca="false">IFERROR(N(AU290)/(AU125*4),"")</f>
        <v>0.00873354951713691</v>
      </c>
      <c r="AV324" s="26" t="n">
        <f aca="false">IFERROR(N(AV290)/(AV125*4),"")</f>
        <v>0.00843914827544065</v>
      </c>
      <c r="AW324" s="26" t="n">
        <f aca="false">IFERROR(N(AW290)/(AW125*1),"")</f>
        <v>0.0094757200946301</v>
      </c>
      <c r="AX324" s="26" t="n">
        <f aca="false">IFERROR(N(AX290)/(AX125*4),"")</f>
        <v>0.00924348686444197</v>
      </c>
      <c r="AY324" s="26" t="n">
        <f aca="false">IFERROR(N(AY290)/(AY125*4),"")</f>
        <v>0.0102454468195244</v>
      </c>
      <c r="AZ324" s="26" t="n">
        <f aca="false">IFERROR(N(AZ290)/(AZ125*4),"")</f>
        <v>0.0127382479510896</v>
      </c>
      <c r="BA324" s="26" t="n">
        <f aca="false">IFERROR(N(BA290)/(BA125*4),"")</f>
        <v>0.0131800220491159</v>
      </c>
      <c r="BB324" s="26" t="n">
        <f aca="false">IFERROR(N(BB290)/(BB125*1),"")</f>
        <v>0.0148375011871196</v>
      </c>
      <c r="BC324" s="26" t="n">
        <f aca="false">IFERROR(N(BC290)/(BC125*4),"")</f>
        <v>0.0141434000498536</v>
      </c>
      <c r="BD324" s="26" t="n">
        <f aca="false">IFERROR(N(BD290)/(BD125*4),"")</f>
        <v>0.0149034893854872</v>
      </c>
      <c r="BE324" s="26" t="n">
        <f aca="false">IFERROR(N(BE290)/(BE125*4),"")</f>
        <v>0.0116576253919954</v>
      </c>
      <c r="BF324" s="26" t="n">
        <f aca="false">IFERROR(N(BF290)/(BF125*4),"")</f>
        <v>0.00982331919757971</v>
      </c>
      <c r="BG324" s="26" t="n">
        <f aca="false">IFERROR(N(BG290)/(BG125*1),"")</f>
        <v>0.00806150637992033</v>
      </c>
      <c r="BH324" s="26" t="n">
        <f aca="false">IFERROR(N(BH290)/(BH125*4),"")</f>
        <v>0.00787187721584589</v>
      </c>
      <c r="BI324" s="26" t="n">
        <f aca="false">IFERROR(N(BI290)/(BI125*4),"")</f>
        <v>0.00806041625959778</v>
      </c>
      <c r="BJ324" s="26" t="n">
        <f aca="false">IFERROR(N(BJ290)/(BJ125*4),"")</f>
        <v>0.00901923045913067</v>
      </c>
      <c r="BK324" s="26" t="n">
        <f aca="false">IFERROR(N(BK290)/(BK125*4),"")</f>
        <v>0.0087591756956072</v>
      </c>
      <c r="BL324" s="26" t="n">
        <f aca="false">IFERROR(N(BL290)/(BL125*1),"")</f>
        <v>0.0084063012053061</v>
      </c>
      <c r="BM324" s="26" t="n">
        <f aca="false">IFERROR(N(BM290)/(BM125*4),"")</f>
        <v>0.0105402248390923</v>
      </c>
      <c r="BN324" s="26" t="n">
        <f aca="false">IFERROR(N(BN290)/(BN125*4),"")</f>
        <v>0.011783046955088</v>
      </c>
      <c r="BO324" s="26" t="n">
        <f aca="false">IFERROR(N(BO290)/(BO125*4),"")</f>
        <v>0.0114437262212515</v>
      </c>
      <c r="BP324" s="26" t="n">
        <f aca="false">IFERROR(N(BP290)/(BP125*4),"")</f>
        <v>0.00915690560944556</v>
      </c>
      <c r="BQ324" s="26" t="n">
        <f aca="false">IFERROR(N(BQ290)/(BQ125*1),"")</f>
        <v>0.00864735573955727</v>
      </c>
      <c r="BR324" s="26" t="n">
        <f aca="false">IFERROR(N(BR290)/(BR125*4),"")</f>
        <v>0.00934103747708032</v>
      </c>
      <c r="BS324" s="26" t="n">
        <f aca="false">IFERROR(N(BS290)/(BS125*4),"")</f>
        <v>0.00895784233356211</v>
      </c>
      <c r="BT324" s="26" t="n">
        <f aca="false">IFERROR(N(BT290)/(BT125*4),"")</f>
        <v>0.00841099717030801</v>
      </c>
      <c r="BU324" s="26" t="n">
        <f aca="false">IFERROR(N(BU290)/(BU125*4),"")</f>
        <v>0.0077127070919488</v>
      </c>
      <c r="BV324" s="26" t="n">
        <f aca="false">IFERROR(N(BV290)/(BV125*1),"")</f>
        <v>0.00743607234332196</v>
      </c>
      <c r="BW324" s="26" t="n">
        <f aca="false">IFERROR(N(BW290)/(BW125*4),"")</f>
        <v>0.00903179568864078</v>
      </c>
      <c r="BX324" s="26" t="n">
        <f aca="false">IFERROR(N(BX290)/(BX125*4),"")</f>
        <v>0.00953867353262947</v>
      </c>
      <c r="BY324" s="6"/>
      <c r="BZ324" s="6"/>
      <c r="CA324" s="35" t="n">
        <v>0.0085</v>
      </c>
      <c r="CB324" s="35" t="n">
        <v>0.0085</v>
      </c>
      <c r="CC324" s="35" t="n">
        <v>0.0085</v>
      </c>
      <c r="CD324" s="35" t="n">
        <v>0.0085</v>
      </c>
      <c r="CE324" s="35" t="n">
        <v>0.0085</v>
      </c>
    </row>
    <row r="325" customFormat="false" ht="15" hidden="false" customHeight="false" outlineLevel="0" collapsed="false">
      <c r="B325" s="18" t="s">
        <v>440</v>
      </c>
      <c r="C325" s="42" t="n">
        <f aca="false">IF(ISNUMBER(C278),C278+N(C279)-C288-N(C290),"")</f>
        <v>224.866</v>
      </c>
      <c r="D325" s="42" t="n">
        <f aca="false">IF(ISNUMBER(D278),D278+N(D279)-D288-N(D290),"")</f>
        <v>293.585</v>
      </c>
      <c r="E325" s="42" t="n">
        <f aca="false">IF(ISNUMBER(E278),E278+N(E279)-E288-N(E290),"")</f>
        <v>260.126</v>
      </c>
      <c r="F325" s="42" t="n">
        <f aca="false">IF(ISNUMBER(F278),F278+N(F279)-F288-N(F290),"")</f>
        <v>279.029</v>
      </c>
      <c r="G325" s="42" t="n">
        <f aca="false">IF(ISNUMBER(G278),G278+N(G279)-G288-N(G290),"")</f>
        <v>408.509</v>
      </c>
      <c r="H325" s="42" t="n">
        <f aca="false">IF(ISNUMBER(H278),H278+N(H279)-H288-N(H290),"")</f>
        <v>484.903</v>
      </c>
      <c r="I325" s="42" t="n">
        <f aca="false">IF(ISNUMBER(I278),I278+N(I279)-I288-N(I290),"")</f>
        <v>704.66</v>
      </c>
      <c r="J325" s="42" t="n">
        <f aca="false">IF(ISNUMBER(J278),J278+N(J279)-J288-N(J290),"")</f>
        <v>711.097</v>
      </c>
      <c r="K325" s="42" t="n">
        <f aca="false">IF(ISNUMBER(K278),K278+N(K279)-K288-N(K290),"")</f>
        <v>762.914</v>
      </c>
      <c r="L325" s="42" t="n">
        <f aca="false">IF(ISNUMBER(L278),L278+N(L279)-L288-N(L290),"")</f>
        <v>754.255</v>
      </c>
      <c r="M325" s="42" t="n">
        <f aca="false">IF(ISNUMBER(M278),M278+N(M279)-M288-N(M290),"")</f>
        <v>694.574</v>
      </c>
      <c r="N325" s="42" t="n">
        <f aca="false">IF(ISNUMBER(N278),N278+N(N279)-N288-N(N290),"")</f>
        <v>694.574</v>
      </c>
      <c r="O325" s="42" t="n">
        <f aca="false">IF(ISNUMBER(O278),O278+N(O279)-O288-N(O290),"")</f>
        <v>768.973</v>
      </c>
      <c r="P325" s="42" t="n">
        <f aca="false">IF(ISNUMBER(P278),P278+N(P279)-P288-N(P290),"")</f>
        <v>823.674</v>
      </c>
      <c r="Q325" s="42" t="n">
        <f aca="false">IF(ISNUMBER(Q278),Q278+N(Q279)-Q288-N(Q290),"")</f>
        <v>818.505</v>
      </c>
      <c r="R325" s="42" t="n">
        <f aca="false">IF(ISNUMBER(R278),R278+N(R279)-R288-N(R290),"")</f>
        <v>776.336</v>
      </c>
      <c r="S325" s="42" t="n">
        <f aca="false">IF(ISNUMBER(S278),S278+N(S279)-S288-N(S290),"")</f>
        <v>776.336</v>
      </c>
      <c r="T325" s="42" t="n">
        <f aca="false">IF(ISNUMBER(T278),T278+N(T279)-T288-N(T290),"")</f>
        <v>793.17</v>
      </c>
      <c r="U325" s="42" t="n">
        <f aca="false">IF(ISNUMBER(U278),U278+N(U279)-U288-N(U290),"")</f>
        <v>812.383</v>
      </c>
      <c r="V325" s="42" t="n">
        <f aca="false">IF(ISNUMBER(V278),V278+N(V279)-V288-N(V290),"")</f>
        <v>791.602</v>
      </c>
      <c r="W325" s="42" t="n">
        <f aca="false">IF(ISNUMBER(W278),W278+N(W279)-W288-N(W290),"")</f>
        <v>721.737</v>
      </c>
      <c r="X325" s="42" t="n">
        <f aca="false">IF(ISNUMBER(X278),X278+N(X279)-X288-N(X290),"")</f>
        <v>721.737</v>
      </c>
      <c r="Y325" s="42" t="n">
        <f aca="false">IF(ISNUMBER(Y278),Y278+N(Y279)-Y288-N(Y290),"")</f>
        <v>702.155</v>
      </c>
      <c r="Z325" s="42" t="n">
        <f aca="false">IF(ISNUMBER(Z278),Z278+N(Z279)-Z288-N(Z290),"")</f>
        <v>765.91</v>
      </c>
      <c r="AA325" s="42" t="n">
        <f aca="false">IF(ISNUMBER(AA278),AA278+N(AA279)-AA288-N(AA290),"")</f>
        <v>784.992</v>
      </c>
      <c r="AB325" s="42" t="n">
        <f aca="false">IF(ISNUMBER(AB278),AB278+N(AB279)-AB288-N(AB290),"")</f>
        <v>789.46</v>
      </c>
      <c r="AC325" s="42" t="n">
        <f aca="false">IF(ISNUMBER(AC278),AC278+N(AC279)-AC288-N(AC290),"")</f>
        <v>789.46</v>
      </c>
      <c r="AD325" s="42" t="n">
        <f aca="false">IF(ISNUMBER(AD278),AD278+N(AD279)-AD288-N(AD290),"")</f>
        <v>835.52</v>
      </c>
      <c r="AE325" s="42" t="n">
        <f aca="false">IF(ISNUMBER(AE278),AE278+N(AE279)-AE288-N(AE290),"")</f>
        <v>892.909</v>
      </c>
      <c r="AF325" s="42" t="n">
        <f aca="false">IF(ISNUMBER(AF278),AF278+N(AF279)-AF288-N(AF290),"")</f>
        <v>1000.254</v>
      </c>
      <c r="AG325" s="42" t="n">
        <f aca="false">IF(ISNUMBER(AG278),AG278+N(AG279)-AG288-N(AG290),"")</f>
        <v>1017.266</v>
      </c>
      <c r="AH325" s="42" t="n">
        <f aca="false">IF(ISNUMBER(AH278),AH278+N(AH279)-AH288-N(AH290),"")</f>
        <v>1017.266</v>
      </c>
      <c r="AI325" s="42" t="n">
        <f aca="false">IF(ISNUMBER(AI278),AI278+N(AI279)-AI288-N(AI290),"")</f>
        <v>1003.48</v>
      </c>
      <c r="AJ325" s="42" t="n">
        <f aca="false">IF(ISNUMBER(AJ278),AJ278+N(AJ279)-AJ288-N(AJ290),"")</f>
        <v>1110.639</v>
      </c>
      <c r="AK325" s="42" t="n">
        <f aca="false">IF(ISNUMBER(AK278),AK278+N(AK279)-AK288-N(AK290),"")</f>
        <v>1143.912</v>
      </c>
      <c r="AL325" s="42" t="n">
        <f aca="false">IF(ISNUMBER(AL278),AL278+N(AL279)-AL288-N(AL290),"")</f>
        <v>1139.146</v>
      </c>
      <c r="AM325" s="42" t="n">
        <f aca="false">IF(ISNUMBER(AM278),AM278+N(AM279)-AM288-N(AM290),"")</f>
        <v>1139.146</v>
      </c>
      <c r="AN325" s="42" t="n">
        <f aca="false">IF(ISNUMBER(AN278),AN278+N(AN279)-AN288-N(AN290),"")</f>
        <v>1036.829</v>
      </c>
      <c r="AO325" s="42" t="n">
        <f aca="false">IF(ISNUMBER(AO278),AO278+N(AO279)-AO288-N(AO290),"")</f>
        <v>1017.646</v>
      </c>
      <c r="AP325" s="42" t="n">
        <f aca="false">IF(ISNUMBER(AP278),AP278+N(AP279)-AP288-N(AP290),"")</f>
        <v>1033.923</v>
      </c>
      <c r="AQ325" s="42" t="n">
        <f aca="false">IF(ISNUMBER(AQ278),AQ278+N(AQ279)-AQ288-N(AQ290),"")</f>
        <v>943.226</v>
      </c>
      <c r="AR325" s="42" t="n">
        <f aca="false">IF(ISNUMBER(AR278),AR278+N(AR279)-AR288-N(AR290),"")</f>
        <v>943.226</v>
      </c>
      <c r="AS325" s="42" t="n">
        <f aca="false">IF(ISNUMBER(AS278),AS278+N(AS279)-AS288-N(AS290),"")</f>
        <v>971.717</v>
      </c>
      <c r="AT325" s="42" t="n">
        <f aca="false">IF(ISNUMBER(AT278),AT278+N(AT279)-AT288-N(AT290),"")</f>
        <v>762.992</v>
      </c>
      <c r="AU325" s="42" t="n">
        <f aca="false">IF(ISNUMBER(AU278),AU278+N(AU279)-AU288-N(AU290),"")</f>
        <v>1117.862</v>
      </c>
      <c r="AV325" s="42" t="n">
        <f aca="false">IF(ISNUMBER(AV278),AV278+N(AV279)-AV288-N(AV290),"")</f>
        <v>1209.815</v>
      </c>
      <c r="AW325" s="42" t="n">
        <f aca="false">IF(ISNUMBER(AW278),AW278+N(AW279)-AW288-N(AW290),"")</f>
        <v>1209.815</v>
      </c>
      <c r="AX325" s="42" t="n">
        <f aca="false">IF(ISNUMBER(AX278),AX278+N(AX279)-AX288-N(AX290),"")</f>
        <v>1461.628</v>
      </c>
      <c r="AY325" s="42" t="n">
        <f aca="false">IF(ISNUMBER(AY278),AY278+N(AY279)-AY288-N(AY290),"")</f>
        <v>1543.42</v>
      </c>
      <c r="AZ325" s="42" t="n">
        <f aca="false">IF(ISNUMBER(AZ278),AZ278+N(AZ279)-AZ288-N(AZ290),"")</f>
        <v>1955.199</v>
      </c>
      <c r="BA325" s="42" t="n">
        <f aca="false">IF(ISNUMBER(BA278),BA278+N(BA279)-BA288-N(BA290),"")</f>
        <v>2155.068</v>
      </c>
      <c r="BB325" s="42" t="n">
        <f aca="false">IF(ISNUMBER(BB278),BB278+N(BB279)-BB288-N(BB290),"")</f>
        <v>2155.068</v>
      </c>
      <c r="BC325" s="42" t="n">
        <f aca="false">IF(ISNUMBER(BC278),BC278+N(BC279)-BC288-N(BC290),"")</f>
        <v>2443.598</v>
      </c>
      <c r="BD325" s="42" t="n">
        <f aca="false">IF(ISNUMBER(BD278),BD278+N(BD279)-BD288-N(BD290),"")</f>
        <v>2488.932</v>
      </c>
      <c r="BE325" s="42" t="n">
        <f aca="false">IF(ISNUMBER(BE278),BE278+N(BE279)-BE288-N(BE290),"")</f>
        <v>2129.588</v>
      </c>
      <c r="BF325" s="42" t="n">
        <f aca="false">IF(ISNUMBER(BF278),BF278+N(BF279)-BF288-N(BF290),"")</f>
        <v>1479.699</v>
      </c>
      <c r="BG325" s="42" t="n">
        <f aca="false">IF(ISNUMBER(BG278),BG278+N(BG279)-BG288-N(BG290),"")</f>
        <v>1479.699</v>
      </c>
      <c r="BH325" s="42" t="n">
        <f aca="false">IF(ISNUMBER(BH278),BH278+N(BH279)-BH288-N(BH290),"")</f>
        <v>1244.834</v>
      </c>
      <c r="BI325" s="42" t="n">
        <f aca="false">IF(ISNUMBER(BI278),BI278+N(BI279)-BI288-N(BI290),"")</f>
        <v>1101.181</v>
      </c>
      <c r="BJ325" s="42" t="n">
        <f aca="false">IF(ISNUMBER(BJ278),BJ278+N(BJ279)-BJ288-N(BJ290),"")</f>
        <v>1046.237</v>
      </c>
      <c r="BK325" s="42" t="n">
        <f aca="false">IF(ISNUMBER(BK278),BK278+N(BK279)-BK288-N(BK290),"")</f>
        <v>1053.608</v>
      </c>
      <c r="BL325" s="42" t="n">
        <f aca="false">IF(ISNUMBER(BL278),BL278+N(BL279)-BL288-N(BL290),"")</f>
        <v>1053.608</v>
      </c>
      <c r="BM325" s="42" t="n">
        <f aca="false">IF(ISNUMBER(BM278),BM278+N(BM279)-BM288-N(BM290),"")</f>
        <v>1188.206</v>
      </c>
      <c r="BN325" s="42" t="n">
        <f aca="false">IF(ISNUMBER(BN278),BN278+N(BN279)-BN288-N(BN290),"")</f>
        <v>1211.259</v>
      </c>
      <c r="BO325" s="42" t="n">
        <f aca="false">IF(ISNUMBER(BO278),BO278+N(BO279)-BO288-N(BO290),"")</f>
        <v>1318.186</v>
      </c>
      <c r="BP325" s="42" t="n">
        <f aca="false">IF(ISNUMBER(BP278),BP278+N(BP279)-BP288-N(BP290),"")</f>
        <v>1218.635</v>
      </c>
      <c r="BQ325" s="42" t="n">
        <f aca="false">IF(ISNUMBER(BQ278),BQ278+N(BQ279)-BQ288-N(BQ290),"")</f>
        <v>1218.635</v>
      </c>
      <c r="BR325" s="42" t="n">
        <f aca="false">IF(ISNUMBER(BR278),BR278+N(BR279)-BR288-N(BR290),"")</f>
        <v>1254.554</v>
      </c>
      <c r="BS325" s="42" t="n">
        <f aca="false">IF(ISNUMBER(BS278),BS278+N(BS279)-BS288-N(BS290),"")</f>
        <v>1230.605</v>
      </c>
      <c r="BT325" s="42" t="n">
        <f aca="false">IF(ISNUMBER(BT278),BT278+N(BT279)-BT288-N(BT290),"")</f>
        <v>1273.381</v>
      </c>
      <c r="BU325" s="42" t="n">
        <f aca="false">IF(ISNUMBER(BU278),BU278+N(BU279)-BU288-N(BU290),"")</f>
        <v>1155.286</v>
      </c>
      <c r="BV325" s="42" t="n">
        <f aca="false">IF(ISNUMBER(BV278),BV278+N(BV279)-BV288-N(BV290),"")</f>
        <v>1155.286</v>
      </c>
      <c r="BW325" s="42" t="n">
        <f aca="false">IF(ISNUMBER(BW278),BW278+N(BW279)-BW288-N(BW290),"")</f>
        <v>1212.753</v>
      </c>
      <c r="BX325" s="42" t="n">
        <f aca="false">IF(ISNUMBER(BX278),BX278+N(BX279)-BX288-N(BX290),"")</f>
        <v>1410.666</v>
      </c>
      <c r="BY325" s="45"/>
      <c r="BZ325" s="45"/>
      <c r="CA325" s="32" t="n">
        <f aca="false">CA278+CA279-CA288-CA290</f>
        <v>1292.0451821955</v>
      </c>
      <c r="CB325" s="32" t="n">
        <f aca="false">CB278+CB279-CB288-CB290</f>
        <v>1304.37461855999</v>
      </c>
      <c r="CC325" s="32" t="n">
        <f aca="false">CC278+CC279-CC288-CC290</f>
        <v>1354.9386791099</v>
      </c>
      <c r="CD325" s="32" t="n">
        <f aca="false">CD278+CD279-CD288-CD290</f>
        <v>1407.17665779478</v>
      </c>
      <c r="CE325" s="32" t="n">
        <f aca="false">CE278+CE279-CE288-CE290</f>
        <v>1492.85807988021</v>
      </c>
    </row>
    <row r="326" customFormat="false" ht="15" hidden="false" customHeight="false" outlineLevel="0" collapsed="false">
      <c r="B326" s="25" t="s">
        <v>441</v>
      </c>
      <c r="C326" s="26" t="n">
        <f aca="false">IFERROR(C325/(C125*1),"")</f>
        <v>0.0342982529193004</v>
      </c>
      <c r="D326" s="26" t="n">
        <f aca="false">IFERROR(D325/(D125*1),"")</f>
        <v>0.0401279457993558</v>
      </c>
      <c r="E326" s="26" t="n">
        <f aca="false">IFERROR(E325/(E125*1),"")</f>
        <v>0.0303226138861126</v>
      </c>
      <c r="F326" s="26" t="n">
        <f aca="false">IFERROR(F325/(F125*1),"")</f>
        <v>0.0368248700144605</v>
      </c>
      <c r="G326" s="26" t="n">
        <f aca="false">IFERROR(G325/(G125*1),"")</f>
        <v>0.0440473976217086</v>
      </c>
      <c r="H326" s="26" t="n">
        <f aca="false">IFERROR(H325/(H125*1),"")</f>
        <v>0.0469124195339436</v>
      </c>
      <c r="I326" s="26" t="n">
        <f aca="false">IFERROR(I325/(I125*1),"")</f>
        <v>0.0620347733137262</v>
      </c>
      <c r="J326" s="26" t="n">
        <f aca="false">IFERROR(J325/(J125*4),"")</f>
        <v>0.0593715423507656</v>
      </c>
      <c r="K326" s="26" t="n">
        <f aca="false">IFERROR(K325/(K125*4),"")</f>
        <v>0.0580028294582366</v>
      </c>
      <c r="L326" s="26" t="n">
        <f aca="false">IFERROR(L325/(L125*4),"")</f>
        <v>0.0568534205293571</v>
      </c>
      <c r="M326" s="26" t="n">
        <f aca="false">IFERROR(M325/(M125*4),"")</f>
        <v>0.0550745318093097</v>
      </c>
      <c r="N326" s="26" t="n">
        <f aca="false">IFERROR(N325/(N125*1),"")</f>
        <v>0.054467523562438</v>
      </c>
      <c r="O326" s="26" t="n">
        <f aca="false">IFERROR(O325/(O125*4),"")</f>
        <v>0.0611736038961556</v>
      </c>
      <c r="P326" s="26" t="n">
        <f aca="false">IFERROR(P325/(P125*4),"")</f>
        <v>0.0587848473758164</v>
      </c>
      <c r="Q326" s="26" t="n">
        <f aca="false">IFERROR(Q325/(Q125*4),"")</f>
        <v>0.0590149658443508</v>
      </c>
      <c r="R326" s="26" t="n">
        <f aca="false">IFERROR(R325/(R125*4),"")</f>
        <v>0.0578112368573592</v>
      </c>
      <c r="S326" s="26" t="n">
        <f aca="false">IFERROR(S325/(S125*1),"")</f>
        <v>0.0576341602458251</v>
      </c>
      <c r="T326" s="26" t="n">
        <f aca="false">IFERROR(T325/(T125*4),"")</f>
        <v>0.0600724350099519</v>
      </c>
      <c r="U326" s="26" t="n">
        <f aca="false">IFERROR(U325/(U125*4),"")</f>
        <v>0.0572893395029968</v>
      </c>
      <c r="V326" s="26" t="n">
        <f aca="false">IFERROR(V325/(V125*4),"")</f>
        <v>0.0578782851108122</v>
      </c>
      <c r="W326" s="26" t="n">
        <f aca="false">IFERROR(W325/(W125*4),"")</f>
        <v>0.0561951138840676</v>
      </c>
      <c r="X326" s="26" t="n">
        <f aca="false">IFERROR(X325/(X125*1),"")</f>
        <v>0.0535568789865068</v>
      </c>
      <c r="Y326" s="26" t="n">
        <f aca="false">IFERROR(Y325/(Y125*4),"")</f>
        <v>0.0571054017592389</v>
      </c>
      <c r="Z326" s="26" t="n">
        <f aca="false">IFERROR(Z325/(Z125*4),"")</f>
        <v>0.058028039170347</v>
      </c>
      <c r="AA326" s="26" t="n">
        <f aca="false">IFERROR(AA325/(AA125*4),"")</f>
        <v>0.0584810447964899</v>
      </c>
      <c r="AB326" s="26" t="n">
        <f aca="false">IFERROR(AB325/(AB125*4),"")</f>
        <v>0.0577939809222615</v>
      </c>
      <c r="AC326" s="26" t="n">
        <f aca="false">IFERROR(AC325/(AC125*1),"")</f>
        <v>0.0600604987077019</v>
      </c>
      <c r="AD326" s="26" t="n">
        <f aca="false">IFERROR(AD325/(AD125*4),"")</f>
        <v>0.0611632077888804</v>
      </c>
      <c r="AE326" s="26" t="n">
        <f aca="false">IFERROR(AE325/(AE125*4),"")</f>
        <v>0.0601687781568715</v>
      </c>
      <c r="AF326" s="26" t="n">
        <f aca="false">IFERROR(AF325/(AF125*4),"")</f>
        <v>0.0660765590570469</v>
      </c>
      <c r="AG326" s="26" t="n">
        <f aca="false">IFERROR(AG325/(AG125*4),"")</f>
        <v>0.0642248091184726</v>
      </c>
      <c r="AH326" s="26" t="n">
        <f aca="false">IFERROR(AH325/(AH125*1),"")</f>
        <v>0.0684134778988768</v>
      </c>
      <c r="AI326" s="26" t="n">
        <f aca="false">IFERROR(AI325/(AI125*4),"")</f>
        <v>0.0639105990405385</v>
      </c>
      <c r="AJ326" s="26" t="n">
        <f aca="false">IFERROR(AJ325/(AJ125*4),"")</f>
        <v>0.0649338979059349</v>
      </c>
      <c r="AK326" s="26" t="n">
        <f aca="false">IFERROR(AK325/(AK125*4),"")</f>
        <v>0.0666320277732473</v>
      </c>
      <c r="AL326" s="26" t="n">
        <f aca="false">IFERROR(AL325/(AL125*4),"")</f>
        <v>0.0688237872857492</v>
      </c>
      <c r="AM326" s="26" t="n">
        <f aca="false">IFERROR(AM325/(AM125*1),"")</f>
        <v>0.0684946316471263</v>
      </c>
      <c r="AN326" s="26" t="n">
        <f aca="false">IFERROR(AN325/(AN125*4),"")</f>
        <v>0.0690996371837354</v>
      </c>
      <c r="AO326" s="26" t="n">
        <f aca="false">IFERROR(AO325/(AO125*4),"")</f>
        <v>0.0650861892530776</v>
      </c>
      <c r="AP326" s="26" t="n">
        <f aca="false">IFERROR(AP325/(AP125*4),"")</f>
        <v>0.0670310948899052</v>
      </c>
      <c r="AQ326" s="26" t="n">
        <f aca="false">IFERROR(AQ325/(AQ125*4),"")</f>
        <v>0.0621635208785114</v>
      </c>
      <c r="AR326" s="26" t="n">
        <f aca="false">IFERROR(AR325/(AR125*1),"")</f>
        <v>0.0616104710876405</v>
      </c>
      <c r="AS326" s="26" t="n">
        <f aca="false">IFERROR(AS325/(AS125*4),"")</f>
        <v>0.0638446095251311</v>
      </c>
      <c r="AT326" s="26" t="n">
        <f aca="false">IFERROR(AT325/(AT125*4),"")</f>
        <v>0.052578858088243</v>
      </c>
      <c r="AU326" s="26" t="n">
        <f aca="false">IFERROR(AU325/(AU125*4),"")</f>
        <v>0.0661488117780723</v>
      </c>
      <c r="AV326" s="26" t="n">
        <f aca="false">IFERROR(AV325/(AV125*4),"")</f>
        <v>0.0664813586339629</v>
      </c>
      <c r="AW326" s="26" t="n">
        <f aca="false">IFERROR(AW325/(AW125*1),"")</f>
        <v>0.0746471948785921</v>
      </c>
      <c r="AX326" s="26" t="n">
        <f aca="false">IFERROR(AX325/(AX125*4),"")</f>
        <v>0.0760651466557477</v>
      </c>
      <c r="AY326" s="26" t="n">
        <f aca="false">IFERROR(AY325/(AY125*4),"")</f>
        <v>0.0697404859738219</v>
      </c>
      <c r="AZ326" s="26" t="n">
        <f aca="false">IFERROR(AZ325/(AZ125*4),"")</f>
        <v>0.0780369654014124</v>
      </c>
      <c r="BA326" s="26" t="n">
        <f aca="false">IFERROR(BA325/(BA125*4),"")</f>
        <v>0.0828636719898712</v>
      </c>
      <c r="BB326" s="26" t="n">
        <f aca="false">IFERROR(BB325/(BB125*1),"")</f>
        <v>0.0932843531624649</v>
      </c>
      <c r="BC326" s="26" t="n">
        <f aca="false">IFERROR(BC325/(BC125*4),"")</f>
        <v>0.0896278920937395</v>
      </c>
      <c r="BD326" s="26" t="n">
        <f aca="false">IFERROR(BD325/(BD125*4),"")</f>
        <v>0.0915253788533458</v>
      </c>
      <c r="BE326" s="26" t="n">
        <f aca="false">IFERROR(BE325/(BE125*4),"")</f>
        <v>0.0885060219012078</v>
      </c>
      <c r="BF326" s="26" t="n">
        <f aca="false">IFERROR(BF325/(BF125*4),"")</f>
        <v>0.0730092399159157</v>
      </c>
      <c r="BG326" s="26" t="n">
        <f aca="false">IFERROR(BG325/(BG125*1),"")</f>
        <v>0.059915028875403</v>
      </c>
      <c r="BH326" s="26" t="n">
        <f aca="false">IFERROR(BH325/(BH125*4),"")</f>
        <v>0.0674828207569059</v>
      </c>
      <c r="BI326" s="26" t="n">
        <f aca="false">IFERROR(BI325/(BI125*4),"")</f>
        <v>0.0622578505496335</v>
      </c>
      <c r="BJ326" s="26" t="n">
        <f aca="false">IFERROR(BJ325/(BJ125*4),"")</f>
        <v>0.0602528086652246</v>
      </c>
      <c r="BK326" s="26" t="n">
        <f aca="false">IFERROR(BK325/(BK125*4),"")</f>
        <v>0.0623896376193868</v>
      </c>
      <c r="BL326" s="26" t="n">
        <f aca="false">IFERROR(BL325/(BL125*1),"")</f>
        <v>0.0598761920235811</v>
      </c>
      <c r="BM326" s="26" t="n">
        <f aca="false">IFERROR(BM325/(BM125*4),"")</f>
        <v>0.067323336908935</v>
      </c>
      <c r="BN326" s="26" t="n">
        <f aca="false">IFERROR(BN325/(BN125*4),"")</f>
        <v>0.0675421024644975</v>
      </c>
      <c r="BO326" s="26" t="n">
        <f aca="false">IFERROR(BO325/(BO125*4),"")</f>
        <v>0.0709519853095212</v>
      </c>
      <c r="BP326" s="26" t="n">
        <f aca="false">IFERROR(BP325/(BP125*4),"")</f>
        <v>0.0728037740736634</v>
      </c>
      <c r="BQ326" s="26" t="n">
        <f aca="false">IFERROR(BQ325/(BQ125*1),"")</f>
        <v>0.0687524978905448</v>
      </c>
      <c r="BR326" s="26" t="n">
        <f aca="false">IFERROR(BR325/(BR125*4),"")</f>
        <v>0.0775039908667223</v>
      </c>
      <c r="BS326" s="26" t="n">
        <f aca="false">IFERROR(BS325/(BS125*4),"")</f>
        <v>0.0743740002219244</v>
      </c>
      <c r="BT326" s="26" t="n">
        <f aca="false">IFERROR(BT325/(BT125*4),"")</f>
        <v>0.0769536139368011</v>
      </c>
      <c r="BU326" s="26" t="n">
        <f aca="false">IFERROR(BU325/(BU125*4),"")</f>
        <v>0.0738176634972757</v>
      </c>
      <c r="BV326" s="26" t="n">
        <f aca="false">IFERROR(BV325/(BV125*1),"")</f>
        <v>0.0711700158500435</v>
      </c>
      <c r="BW326" s="26" t="n">
        <f aca="false">IFERROR(BW325/(BW125*4),"")</f>
        <v>0.0755527626419971</v>
      </c>
      <c r="BX326" s="26" t="n">
        <f aca="false">IFERROR(BX325/(BX125*4),"")</f>
        <v>0.0714753740197296</v>
      </c>
      <c r="BY326" s="6"/>
      <c r="BZ326" s="6"/>
      <c r="CA326" s="27" t="n">
        <f aca="false">IFERROR(CA325/CA125,"")</f>
        <v>0.0687356338302131</v>
      </c>
      <c r="CB326" s="27" t="n">
        <f aca="false">IFERROR(CB325/CB125,"")</f>
        <v>0.0660742867851274</v>
      </c>
      <c r="CC326" s="27" t="n">
        <f aca="false">IFERROR(CC325/CC125,"")</f>
        <v>0.0664885747935349</v>
      </c>
      <c r="CD326" s="27" t="n">
        <f aca="false">IFERROR(CD325/CD125,"")</f>
        <v>0.0668555551024451</v>
      </c>
      <c r="CE326" s="27" t="n">
        <f aca="false">IFERROR(CE325/CE125,"")</f>
        <v>0.0668373743458197</v>
      </c>
    </row>
    <row r="327" customFormat="false" ht="15" hidden="false" customHeight="false" outlineLevel="0" collapsed="false">
      <c r="B327" s="28" t="s">
        <v>442</v>
      </c>
      <c r="D327" s="43" t="n">
        <f aca="false">IFERROR(D325-C325,"")</f>
        <v>68.7189999999999</v>
      </c>
      <c r="E327" s="43" t="n">
        <f aca="false">IFERROR(E325-D325,"")</f>
        <v>-33.4589999999999</v>
      </c>
      <c r="F327" s="43" t="n">
        <f aca="false">IFERROR(F325-E325,"")</f>
        <v>18.903</v>
      </c>
      <c r="G327" s="43" t="n">
        <f aca="false">IFERROR(G325-F325,"")</f>
        <v>129.48</v>
      </c>
      <c r="H327" s="43" t="n">
        <f aca="false">IFERROR(H325-G325,"")</f>
        <v>76.394</v>
      </c>
      <c r="I327" s="43" t="n">
        <f aca="false">IFERROR(I325-H325,"")</f>
        <v>219.757</v>
      </c>
      <c r="N327" s="43" t="n">
        <f aca="false">IFERROR(N325-I325,"")</f>
        <v>-10.086</v>
      </c>
      <c r="O327" s="43" t="n">
        <f aca="false">IFERROR(O325-J325,"")</f>
        <v>57.8760000000001</v>
      </c>
      <c r="P327" s="43" t="n">
        <f aca="false">IFERROR(P325-K325,"")</f>
        <v>60.76</v>
      </c>
      <c r="Q327" s="43" t="n">
        <f aca="false">IFERROR(Q325-L325,"")</f>
        <v>64.2499999999999</v>
      </c>
      <c r="R327" s="43" t="n">
        <f aca="false">IFERROR(R325-M325,"")</f>
        <v>81.7619999999999</v>
      </c>
      <c r="S327" s="43" t="n">
        <f aca="false">IFERROR(S325-N325,"")</f>
        <v>81.7619999999999</v>
      </c>
      <c r="T327" s="43" t="n">
        <f aca="false">IFERROR(T325-O325,"")</f>
        <v>24.1969999999999</v>
      </c>
      <c r="U327" s="43" t="n">
        <f aca="false">IFERROR(U325-P325,"")</f>
        <v>-11.2909999999999</v>
      </c>
      <c r="V327" s="43" t="n">
        <f aca="false">IFERROR(V325-Q325,"")</f>
        <v>-26.9029999999999</v>
      </c>
      <c r="W327" s="43" t="n">
        <f aca="false">IFERROR(W325-R325,"")</f>
        <v>-54.599</v>
      </c>
      <c r="X327" s="43" t="n">
        <f aca="false">IFERROR(X325-S325,"")</f>
        <v>-54.599</v>
      </c>
      <c r="Y327" s="43" t="n">
        <f aca="false">IFERROR(Y325-T325,"")</f>
        <v>-91.015</v>
      </c>
      <c r="Z327" s="43" t="n">
        <f aca="false">IFERROR(Z325-U325,"")</f>
        <v>-46.473</v>
      </c>
      <c r="AA327" s="43" t="n">
        <f aca="false">IFERROR(AA325-V325,"")</f>
        <v>-6.61000000000013</v>
      </c>
      <c r="AB327" s="43" t="n">
        <f aca="false">IFERROR(AB325-W325,"")</f>
        <v>67.7230000000001</v>
      </c>
      <c r="AC327" s="43" t="n">
        <f aca="false">IFERROR(AC325-X325,"")</f>
        <v>67.7230000000001</v>
      </c>
      <c r="AD327" s="43" t="n">
        <f aca="false">IFERROR(AD325-Y325,"")</f>
        <v>133.365</v>
      </c>
      <c r="AE327" s="43" t="n">
        <f aca="false">IFERROR(AE325-Z325,"")</f>
        <v>126.999</v>
      </c>
      <c r="AF327" s="43" t="n">
        <f aca="false">IFERROR(AF325-AA325,"")</f>
        <v>215.262</v>
      </c>
      <c r="AG327" s="43" t="n">
        <f aca="false">IFERROR(AG325-AB325,"")</f>
        <v>227.806</v>
      </c>
      <c r="AH327" s="43" t="n">
        <f aca="false">IFERROR(AH325-AC325,"")</f>
        <v>227.806</v>
      </c>
      <c r="AI327" s="43" t="n">
        <f aca="false">IFERROR(AI325-AD325,"")</f>
        <v>167.96</v>
      </c>
      <c r="AJ327" s="43" t="n">
        <f aca="false">IFERROR(AJ325-AE325,"")</f>
        <v>217.73</v>
      </c>
      <c r="AK327" s="43" t="n">
        <f aca="false">IFERROR(AK325-AF325,"")</f>
        <v>143.658</v>
      </c>
      <c r="AL327" s="43" t="n">
        <f aca="false">IFERROR(AL325-AG325,"")</f>
        <v>121.880000000001</v>
      </c>
      <c r="AM327" s="43" t="n">
        <f aca="false">IFERROR(AM325-AH325,"")</f>
        <v>121.880000000001</v>
      </c>
      <c r="AN327" s="43" t="n">
        <f aca="false">IFERROR(AN325-AI325,"")</f>
        <v>33.349</v>
      </c>
      <c r="AO327" s="43" t="n">
        <f aca="false">IFERROR(AO325-AJ325,"")</f>
        <v>-92.9929999999999</v>
      </c>
      <c r="AP327" s="43" t="n">
        <f aca="false">IFERROR(AP325-AK325,"")</f>
        <v>-109.989</v>
      </c>
      <c r="AQ327" s="43" t="n">
        <f aca="false">IFERROR(AQ325-AL325,"")</f>
        <v>-195.92</v>
      </c>
      <c r="AR327" s="43" t="n">
        <f aca="false">IFERROR(AR325-AM325,"")</f>
        <v>-195.92</v>
      </c>
      <c r="AS327" s="43" t="n">
        <f aca="false">IFERROR(AS325-AN325,"")</f>
        <v>-65.1120000000002</v>
      </c>
      <c r="AT327" s="43" t="n">
        <f aca="false">IFERROR(AT325-AO325,"")</f>
        <v>-254.654</v>
      </c>
      <c r="AU327" s="43" t="n">
        <f aca="false">IFERROR(AU325-AP325,"")</f>
        <v>83.9390000000001</v>
      </c>
      <c r="AV327" s="43" t="n">
        <f aca="false">IFERROR(AV325-AQ325,"")</f>
        <v>266.589</v>
      </c>
      <c r="AW327" s="43" t="n">
        <f aca="false">IFERROR(AW325-AR325,"")</f>
        <v>266.589</v>
      </c>
      <c r="AX327" s="43" t="n">
        <f aca="false">IFERROR(AX325-AS325,"")</f>
        <v>489.911</v>
      </c>
      <c r="AY327" s="43" t="n">
        <f aca="false">IFERROR(AY325-AT325,"")</f>
        <v>780.427999999999</v>
      </c>
      <c r="AZ327" s="43" t="n">
        <f aca="false">IFERROR(AZ325-AU325,"")</f>
        <v>837.336999999999</v>
      </c>
      <c r="BA327" s="43" t="n">
        <f aca="false">IFERROR(BA325-AV325,"")</f>
        <v>945.253</v>
      </c>
      <c r="BB327" s="43" t="n">
        <f aca="false">IFERROR(BB325-AW325,"")</f>
        <v>945.253</v>
      </c>
      <c r="BC327" s="43" t="n">
        <f aca="false">IFERROR(BC325-AX325,"")</f>
        <v>981.97</v>
      </c>
      <c r="BD327" s="43" t="n">
        <f aca="false">IFERROR(BD325-AY325,"")</f>
        <v>945.512000000001</v>
      </c>
      <c r="BE327" s="43" t="n">
        <f aca="false">IFERROR(BE325-AZ325,"")</f>
        <v>174.389000000001</v>
      </c>
      <c r="BF327" s="43" t="n">
        <f aca="false">IFERROR(BF325-BA325,"")</f>
        <v>-675.369</v>
      </c>
      <c r="BG327" s="43" t="n">
        <f aca="false">IFERROR(BG325-BB325,"")</f>
        <v>-675.369</v>
      </c>
      <c r="BH327" s="43" t="n">
        <f aca="false">IFERROR(BH325-BC325,"")</f>
        <v>-1198.764</v>
      </c>
      <c r="BI327" s="43" t="n">
        <f aca="false">IFERROR(BI325-BD325,"")</f>
        <v>-1387.751</v>
      </c>
      <c r="BJ327" s="43" t="n">
        <f aca="false">IFERROR(BJ325-BE325,"")</f>
        <v>-1083.351</v>
      </c>
      <c r="BK327" s="43" t="n">
        <f aca="false">IFERROR(BK325-BF325,"")</f>
        <v>-426.091</v>
      </c>
      <c r="BL327" s="43" t="n">
        <f aca="false">IFERROR(BL325-BG325,"")</f>
        <v>-426.091</v>
      </c>
      <c r="BM327" s="43" t="n">
        <f aca="false">IFERROR(BM325-BH325,"")</f>
        <v>-56.6280000000002</v>
      </c>
      <c r="BN327" s="43" t="n">
        <f aca="false">IFERROR(BN325-BI325,"")</f>
        <v>110.078</v>
      </c>
      <c r="BO327" s="43" t="n">
        <f aca="false">IFERROR(BO325-BJ325,"")</f>
        <v>271.949</v>
      </c>
      <c r="BP327" s="43" t="n">
        <f aca="false">IFERROR(BP325-BK325,"")</f>
        <v>165.027</v>
      </c>
      <c r="BQ327" s="43" t="n">
        <f aca="false">IFERROR(BQ325-BL325,"")</f>
        <v>165.027</v>
      </c>
      <c r="BR327" s="43" t="n">
        <f aca="false">IFERROR(BR325-BM325,"")</f>
        <v>66.348</v>
      </c>
      <c r="BS327" s="43" t="n">
        <f aca="false">IFERROR(BS325-BN325,"")</f>
        <v>19.3459999999998</v>
      </c>
      <c r="BT327" s="43" t="n">
        <f aca="false">IFERROR(BT325-BO325,"")</f>
        <v>-44.8049999999996</v>
      </c>
      <c r="BU327" s="43" t="n">
        <f aca="false">IFERROR(BU325-BP325,"")</f>
        <v>-63.3489999999999</v>
      </c>
      <c r="BV327" s="43" t="n">
        <f aca="false">IFERROR(BV325-BQ325,"")</f>
        <v>-63.3489999999999</v>
      </c>
      <c r="BW327" s="43" t="n">
        <f aca="false">IFERROR(BW325-BR325,"")</f>
        <v>-41.8009999999997</v>
      </c>
      <c r="BX327" s="43" t="n">
        <f aca="false">IFERROR(BX325-BS325,"")</f>
        <v>180.061</v>
      </c>
      <c r="BY327" s="6"/>
      <c r="BZ327" s="6"/>
      <c r="CA327" s="49" t="n">
        <f aca="false">CA325-BV325</f>
        <v>136.759182195502</v>
      </c>
      <c r="CB327" s="49" t="n">
        <f aca="false">CB325-CA325</f>
        <v>12.3294363644859</v>
      </c>
      <c r="CC327" s="49" t="n">
        <f aca="false">CC325-CB325</f>
        <v>50.5640605499139</v>
      </c>
      <c r="CD327" s="49" t="n">
        <f aca="false">CD325-CC325</f>
        <v>52.2379786848767</v>
      </c>
      <c r="CE327" s="49" t="n">
        <f aca="false">CE325-CD325</f>
        <v>85.6814220854358</v>
      </c>
    </row>
    <row r="329" customFormat="false" ht="15" hidden="false" customHeight="false" outlineLevel="0" collapsed="false">
      <c r="B329" s="8" t="s">
        <v>443</v>
      </c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  <c r="BU329" s="10"/>
      <c r="BV329" s="10"/>
      <c r="BW329" s="10"/>
      <c r="BX329" s="10"/>
      <c r="BY329" s="10"/>
      <c r="BZ329" s="10"/>
      <c r="CA329" s="10"/>
      <c r="CB329" s="10"/>
      <c r="CC329" s="10"/>
      <c r="CD329" s="10"/>
      <c r="CE329" s="10"/>
      <c r="CF329" s="10"/>
    </row>
    <row r="330" customFormat="false" ht="15" hidden="false" customHeight="false" outlineLevel="0" collapsed="false">
      <c r="B330" s="15" t="s">
        <v>444</v>
      </c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AY330" s="16"/>
      <c r="AZ330" s="16"/>
      <c r="BA330" s="16"/>
      <c r="BB330" s="16"/>
      <c r="BC330" s="16"/>
      <c r="BD330" s="16"/>
      <c r="BE330" s="16"/>
      <c r="BF330" s="16"/>
      <c r="BG330" s="16"/>
      <c r="BH330" s="16"/>
      <c r="BI330" s="16"/>
      <c r="BJ330" s="16"/>
      <c r="BK330" s="16"/>
      <c r="BL330" s="16"/>
      <c r="BM330" s="16"/>
      <c r="BN330" s="16"/>
      <c r="BO330" s="16"/>
      <c r="BP330" s="16"/>
      <c r="BQ330" s="16"/>
      <c r="BR330" s="16"/>
      <c r="BS330" s="16"/>
      <c r="BT330" s="16"/>
      <c r="BU330" s="16"/>
      <c r="BV330" s="16"/>
      <c r="BW330" s="16"/>
      <c r="BX330" s="16"/>
      <c r="BY330" s="16"/>
      <c r="BZ330" s="16"/>
      <c r="CA330" s="16"/>
      <c r="CB330" s="16"/>
      <c r="CC330" s="16"/>
      <c r="CD330" s="16"/>
      <c r="CE330" s="16"/>
      <c r="CF330" s="16"/>
    </row>
    <row r="331" customFormat="false" ht="15" hidden="true" customHeight="false" outlineLevel="1" collapsed="false">
      <c r="B331" s="25" t="s">
        <v>445</v>
      </c>
      <c r="BY331" s="6"/>
      <c r="BZ331" s="6"/>
      <c r="CA331" s="35" t="n">
        <v>0.3</v>
      </c>
      <c r="CB331" s="35" t="n">
        <v>0.3</v>
      </c>
      <c r="CC331" s="35" t="n">
        <v>0.3</v>
      </c>
      <c r="CD331" s="35" t="n">
        <v>0.3</v>
      </c>
      <c r="CE331" s="35" t="n">
        <v>0.3</v>
      </c>
      <c r="CF331" s="23" t="s">
        <v>446</v>
      </c>
    </row>
    <row r="332" customFormat="false" ht="15" hidden="true" customHeight="false" outlineLevel="1" collapsed="false">
      <c r="B332" s="25" t="s">
        <v>447</v>
      </c>
      <c r="BY332" s="6"/>
      <c r="BZ332" s="6"/>
      <c r="CA332" s="35" t="n">
        <v>0.7</v>
      </c>
      <c r="CB332" s="35" t="n">
        <v>0.7</v>
      </c>
      <c r="CC332" s="35" t="n">
        <v>0.7</v>
      </c>
      <c r="CD332" s="35" t="n">
        <v>0.7</v>
      </c>
      <c r="CE332" s="35" t="n">
        <v>0.7</v>
      </c>
    </row>
    <row r="333" customFormat="false" ht="15" hidden="true" customHeight="false" outlineLevel="1" collapsed="false">
      <c r="B333" s="28" t="s">
        <v>448</v>
      </c>
      <c r="BY333" s="6"/>
      <c r="BZ333" s="6"/>
      <c r="CA333" s="6"/>
      <c r="CB333" s="48" t="n">
        <v>60</v>
      </c>
      <c r="CC333" s="48" t="n">
        <v>60</v>
      </c>
      <c r="CD333" s="48" t="n">
        <v>60</v>
      </c>
      <c r="CE333" s="48" t="n">
        <v>60</v>
      </c>
    </row>
    <row r="334" customFormat="false" ht="15" hidden="true" customHeight="false" outlineLevel="1" collapsed="false">
      <c r="B334" s="28" t="s">
        <v>449</v>
      </c>
      <c r="BY334" s="6"/>
      <c r="BZ334" s="6"/>
      <c r="CA334" s="6"/>
      <c r="CB334" s="48" t="n">
        <v>60</v>
      </c>
      <c r="CC334" s="48" t="n">
        <v>60</v>
      </c>
      <c r="CD334" s="48" t="n">
        <v>60</v>
      </c>
      <c r="CE334" s="48" t="n">
        <v>60</v>
      </c>
    </row>
    <row r="335" customFormat="false" ht="15" hidden="true" customHeight="false" outlineLevel="1" collapsed="false">
      <c r="B335" s="28" t="s">
        <v>450</v>
      </c>
      <c r="BY335" s="6"/>
      <c r="BZ335" s="6"/>
      <c r="CA335" s="6"/>
      <c r="CB335" s="57" t="n">
        <v>1.1</v>
      </c>
      <c r="CC335" s="57" t="n">
        <v>1.1</v>
      </c>
      <c r="CD335" s="57" t="n">
        <v>1.1</v>
      </c>
      <c r="CE335" s="57" t="n">
        <v>1.1</v>
      </c>
    </row>
    <row r="336" customFormat="false" ht="15" hidden="true" customHeight="false" outlineLevel="1" collapsed="false">
      <c r="B336" s="25" t="s">
        <v>451</v>
      </c>
      <c r="BY336" s="6"/>
      <c r="BZ336" s="6"/>
      <c r="CA336" s="6"/>
      <c r="CB336" s="35" t="n">
        <v>0.07</v>
      </c>
      <c r="CC336" s="35" t="n">
        <v>0.07</v>
      </c>
      <c r="CD336" s="35" t="n">
        <v>0.07</v>
      </c>
      <c r="CE336" s="35" t="n">
        <v>0.07</v>
      </c>
    </row>
    <row r="337" customFormat="false" ht="15" hidden="false" customHeight="false" outlineLevel="0" collapsed="false">
      <c r="B337" s="15" t="s">
        <v>452</v>
      </c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  <c r="AY337" s="16"/>
      <c r="AZ337" s="16"/>
      <c r="BA337" s="16"/>
      <c r="BB337" s="16"/>
      <c r="BC337" s="16"/>
      <c r="BD337" s="16"/>
      <c r="BE337" s="16"/>
      <c r="BF337" s="16"/>
      <c r="BG337" s="16"/>
      <c r="BH337" s="16"/>
      <c r="BI337" s="16"/>
      <c r="BJ337" s="16"/>
      <c r="BK337" s="16"/>
      <c r="BL337" s="16"/>
      <c r="BM337" s="16"/>
      <c r="BN337" s="16"/>
      <c r="BO337" s="16"/>
      <c r="BP337" s="16"/>
      <c r="BQ337" s="16"/>
      <c r="BR337" s="16"/>
      <c r="BS337" s="16"/>
      <c r="BT337" s="16"/>
      <c r="BU337" s="16"/>
      <c r="BV337" s="16"/>
      <c r="BW337" s="16"/>
      <c r="BX337" s="16"/>
      <c r="BY337" s="16"/>
      <c r="BZ337" s="16"/>
      <c r="CA337" s="16"/>
      <c r="CB337" s="16"/>
      <c r="CC337" s="16"/>
      <c r="CD337" s="16"/>
      <c r="CE337" s="16"/>
      <c r="CF337" s="16"/>
    </row>
    <row r="338" customFormat="false" ht="15" hidden="false" customHeight="false" outlineLevel="0" collapsed="false">
      <c r="B338" s="18" t="s">
        <v>453</v>
      </c>
      <c r="C338" s="42" t="n">
        <f aca="false">IF(ISNUMBER(C301),N(C294)+N(C296),"")</f>
        <v>0</v>
      </c>
      <c r="D338" s="42" t="n">
        <f aca="false">IF(ISNUMBER(D301),N(D294)+N(D296),"")</f>
        <v>0</v>
      </c>
      <c r="E338" s="42" t="n">
        <f aca="false">IF(ISNUMBER(E301),N(E294)+N(E296),"")</f>
        <v>0</v>
      </c>
      <c r="F338" s="42" t="n">
        <f aca="false">IF(ISNUMBER(F301),N(F294)+N(F296),"")</f>
        <v>0</v>
      </c>
      <c r="G338" s="42" t="n">
        <f aca="false">IF(ISNUMBER(G301),N(G294)+N(G296),"")</f>
        <v>0</v>
      </c>
      <c r="H338" s="42" t="n">
        <f aca="false">IF(ISNUMBER(H301),N(H294)+N(H296),"")</f>
        <v>0</v>
      </c>
      <c r="I338" s="42" t="n">
        <f aca="false">IF(ISNUMBER(I301),N(I294)+N(I296),"")</f>
        <v>253.646</v>
      </c>
      <c r="J338" s="42" t="n">
        <f aca="false">IF(ISNUMBER(J301),N(J294)+N(J296),"")</f>
        <v>390.629</v>
      </c>
      <c r="K338" s="42" t="n">
        <f aca="false">IF(ISNUMBER(K301),N(K294)+N(K296),"")</f>
        <v>365.652</v>
      </c>
      <c r="L338" s="42" t="n">
        <f aca="false">IF(ISNUMBER(L301),N(L294)+N(L296),"")</f>
        <v>850</v>
      </c>
      <c r="M338" s="42" t="n">
        <f aca="false">IF(ISNUMBER(M301),N(M294)+N(M296),"")</f>
        <v>875</v>
      </c>
      <c r="N338" s="42" t="n">
        <f aca="false">IF(ISNUMBER(N301),N(N294)+N(N296),"")</f>
        <v>875</v>
      </c>
      <c r="O338" s="42" t="n">
        <f aca="false">IF(ISNUMBER(O301),N(O294)+N(O296),"")</f>
        <v>910</v>
      </c>
      <c r="P338" s="42" t="n">
        <f aca="false">IF(ISNUMBER(P301),N(P294)+N(P296),"")</f>
        <v>900</v>
      </c>
      <c r="Q338" s="42" t="n">
        <f aca="false">IF(ISNUMBER(Q301),N(Q294)+N(Q296),"")</f>
        <v>845</v>
      </c>
      <c r="R338" s="42" t="n">
        <f aca="false">IF(ISNUMBER(R301),N(R294)+N(R296),"")</f>
        <v>1105</v>
      </c>
      <c r="S338" s="42" t="n">
        <f aca="false">IF(ISNUMBER(S301),N(S294)+N(S296),"")</f>
        <v>1105</v>
      </c>
      <c r="T338" s="42" t="n">
        <f aca="false">IF(ISNUMBER(T301),N(T294)+N(T296),"")</f>
        <v>1130</v>
      </c>
      <c r="U338" s="42" t="n">
        <f aca="false">IF(ISNUMBER(U301),N(U294)+N(U296),"")</f>
        <v>1130</v>
      </c>
      <c r="V338" s="42" t="n">
        <f aca="false">IF(ISNUMBER(V301),N(V294)+N(V296),"")</f>
        <v>1030</v>
      </c>
      <c r="W338" s="42" t="n">
        <f aca="false">IF(ISNUMBER(W301),N(W294)+N(W296),"")</f>
        <v>950</v>
      </c>
      <c r="X338" s="42" t="n">
        <f aca="false">IF(ISNUMBER(X301),N(X294)+N(X296),"")</f>
        <v>950</v>
      </c>
      <c r="Y338" s="42" t="n">
        <f aca="false">IF(ISNUMBER(Y301),N(Y294)+N(Y296),"")</f>
        <v>970</v>
      </c>
      <c r="Z338" s="42" t="n">
        <f aca="false">IF(ISNUMBER(Z301),N(Z294)+N(Z296),"")</f>
        <v>965</v>
      </c>
      <c r="AA338" s="42" t="n">
        <f aca="false">IF(ISNUMBER(AA301),N(AA294)+N(AA296),"")</f>
        <v>1225</v>
      </c>
      <c r="AB338" s="42" t="n">
        <f aca="false">IF(ISNUMBER(AB301),N(AB294)+N(AB296),"")</f>
        <v>1240</v>
      </c>
      <c r="AC338" s="42" t="n">
        <f aca="false">IF(ISNUMBER(AC301),N(AC294)+N(AC296),"")</f>
        <v>1240</v>
      </c>
      <c r="AD338" s="42" t="n">
        <f aca="false">IF(ISNUMBER(AD301),N(AD294)+N(AD296),"")</f>
        <v>1240</v>
      </c>
      <c r="AE338" s="42" t="n">
        <f aca="false">IF(ISNUMBER(AE301),N(AE294)+N(AE296),"")</f>
        <v>1342</v>
      </c>
      <c r="AF338" s="42" t="n">
        <f aca="false">IF(ISNUMBER(AF301),N(AF294)+N(AF296),"")</f>
        <v>1469</v>
      </c>
      <c r="AG338" s="42" t="n">
        <f aca="false">IF(ISNUMBER(AG301),N(AG294)+N(AG296),"")</f>
        <v>1465</v>
      </c>
      <c r="AH338" s="42" t="n">
        <f aca="false">IF(ISNUMBER(AH301),N(AH294)+N(AH296),"")</f>
        <v>1465</v>
      </c>
      <c r="AI338" s="42" t="n">
        <f aca="false">IF(ISNUMBER(AI301),N(AI294)+N(AI296),"")</f>
        <v>1401</v>
      </c>
      <c r="AJ338" s="42" t="n">
        <f aca="false">IF(ISNUMBER(AJ301),N(AJ294)+N(AJ296),"")</f>
        <v>1407.054</v>
      </c>
      <c r="AK338" s="42" t="n">
        <f aca="false">IF(ISNUMBER(AK301),N(AK294)+N(AK296),"")</f>
        <v>1341.303</v>
      </c>
      <c r="AL338" s="42" t="n">
        <f aca="false">IF(ISNUMBER(AL301),N(AL294)+N(AL296),"")</f>
        <v>1346.352</v>
      </c>
      <c r="AM338" s="42" t="n">
        <f aca="false">IF(ISNUMBER(AM301),N(AM294)+N(AM296),"")</f>
        <v>1346.352</v>
      </c>
      <c r="AN338" s="42" t="n">
        <f aca="false">IF(ISNUMBER(AN301),N(AN294)+N(AN296),"")</f>
        <v>1341.605</v>
      </c>
      <c r="AO338" s="42" t="n">
        <f aca="false">IF(ISNUMBER(AO301),N(AO294)+N(AO296),"")</f>
        <v>1253.849</v>
      </c>
      <c r="AP338" s="42" t="n">
        <f aca="false">IF(ISNUMBER(AP301),N(AP294)+N(AP296),"")</f>
        <v>1253.091</v>
      </c>
      <c r="AQ338" s="42" t="n">
        <f aca="false">IF(ISNUMBER(AQ301),N(AQ294)+N(AQ296),"")</f>
        <v>1235.333</v>
      </c>
      <c r="AR338" s="42" t="n">
        <f aca="false">IF(ISNUMBER(AR301),N(AR294)+N(AR296),"")</f>
        <v>1235.333</v>
      </c>
      <c r="AS338" s="42" t="n">
        <f aca="false">IF(ISNUMBER(AS301),N(AS294)+N(AS296),"")</f>
        <v>1413.577</v>
      </c>
      <c r="AT338" s="42" t="n">
        <f aca="false">IF(ISNUMBER(AT301),N(AT294)+N(AT296),"")</f>
        <v>1092.873</v>
      </c>
      <c r="AU338" s="42" t="n">
        <f aca="false">IF(ISNUMBER(AU301),N(AU294)+N(AU296),"")</f>
        <v>1153.066</v>
      </c>
      <c r="AV338" s="42" t="n">
        <f aca="false">IF(ISNUMBER(AV301),N(AV294)+N(AV296),"")</f>
        <v>1093.301</v>
      </c>
      <c r="AW338" s="42" t="n">
        <f aca="false">IF(ISNUMBER(AW301),N(AW294)+N(AW296),"")</f>
        <v>1093.301</v>
      </c>
      <c r="AX338" s="42" t="n">
        <f aca="false">IF(ISNUMBER(AX301),N(AX294)+N(AX296),"")</f>
        <v>1343.517</v>
      </c>
      <c r="AY338" s="42" t="n">
        <f aca="false">IF(ISNUMBER(AY301),N(AY294)+N(AY296),"")</f>
        <v>1367.013</v>
      </c>
      <c r="AZ338" s="42" t="n">
        <f aca="false">IF(ISNUMBER(AZ301),N(AZ294)+N(AZ296),"")</f>
        <v>1725.95</v>
      </c>
      <c r="BA338" s="42" t="n">
        <f aca="false">IF(ISNUMBER(BA301),N(BA294)+N(BA296),"")</f>
        <v>1918.649</v>
      </c>
      <c r="BB338" s="42" t="n">
        <f aca="false">IF(ISNUMBER(BB301),N(BB294)+N(BB296),"")</f>
        <v>1918.649</v>
      </c>
      <c r="BC338" s="42" t="n">
        <f aca="false">IF(ISNUMBER(BC301),N(BC294)+N(BC296),"")</f>
        <v>2165.756</v>
      </c>
      <c r="BD338" s="42" t="n">
        <f aca="false">IF(ISNUMBER(BD301),N(BD294)+N(BD296),"")</f>
        <v>2268.055</v>
      </c>
      <c r="BE338" s="42" t="n">
        <f aca="false">IF(ISNUMBER(BE301),N(BE294)+N(BE296),"")</f>
        <v>2198.38</v>
      </c>
      <c r="BF338" s="42" t="n">
        <f aca="false">IF(ISNUMBER(BF301),N(BF294)+N(BF296),"")</f>
        <v>1973.704</v>
      </c>
      <c r="BG338" s="42" t="n">
        <f aca="false">IF(ISNUMBER(BG301),N(BG294)+N(BG296),"")</f>
        <v>1973.704</v>
      </c>
      <c r="BH338" s="42" t="n">
        <f aca="false">IF(ISNUMBER(BH301),N(BH294)+N(BH296),"")</f>
        <v>1873.031</v>
      </c>
      <c r="BI338" s="42" t="n">
        <f aca="false">IF(ISNUMBER(BI301),N(BI294)+N(BI296),"")</f>
        <v>1736.358</v>
      </c>
      <c r="BJ338" s="42" t="n">
        <f aca="false">IF(ISNUMBER(BJ301),N(BJ294)+N(BJ296),"")</f>
        <v>1583.686</v>
      </c>
      <c r="BK338" s="42" t="n">
        <f aca="false">IF(ISNUMBER(BK301),N(BK294)+N(BK296),"")</f>
        <v>1580.487</v>
      </c>
      <c r="BL338" s="42" t="n">
        <f aca="false">IF(ISNUMBER(BL301),N(BL294)+N(BL296),"")</f>
        <v>1580.487</v>
      </c>
      <c r="BM338" s="42" t="n">
        <f aca="false">IF(ISNUMBER(BM301),N(BM294)+N(BM296),"")</f>
        <v>1700.776</v>
      </c>
      <c r="BN338" s="42" t="n">
        <f aca="false">IF(ISNUMBER(BN301),N(BN294)+N(BN296),"")</f>
        <v>1609.066</v>
      </c>
      <c r="BO338" s="42" t="n">
        <f aca="false">IF(ISNUMBER(BO301),N(BO294)+N(BO296),"")</f>
        <v>1561.356</v>
      </c>
      <c r="BP338" s="42" t="n">
        <f aca="false">IF(ISNUMBER(BP301),N(BP294)+N(BP296),"")</f>
        <v>1377.649</v>
      </c>
      <c r="BQ338" s="42" t="n">
        <f aca="false">IF(ISNUMBER(BQ301),N(BQ294)+N(BQ296),"")</f>
        <v>1377.649</v>
      </c>
      <c r="BR338" s="42" t="n">
        <f aca="false">IF(ISNUMBER(BR301),N(BR294)+N(BR296),"")</f>
        <v>1389.941</v>
      </c>
      <c r="BS338" s="42" t="n">
        <f aca="false">IF(ISNUMBER(BS301),N(BS294)+N(BS296),"")</f>
        <v>1354.235</v>
      </c>
      <c r="BT338" s="42" t="n">
        <f aca="false">IF(ISNUMBER(BT301),N(BT294)+N(BT296),"")</f>
        <v>1183.15</v>
      </c>
      <c r="BU338" s="42" t="n">
        <f aca="false">IF(ISNUMBER(BU301),N(BU294)+N(BU296),"")</f>
        <v>1089.438</v>
      </c>
      <c r="BV338" s="42" t="n">
        <f aca="false">IF(ISNUMBER(BV301),N(BV294)+N(BV296),"")</f>
        <v>1089.438</v>
      </c>
      <c r="BW338" s="42" t="n">
        <f aca="false">IF(ISNUMBER(BW301),N(BW294)+N(BW296),"")</f>
        <v>1342.727</v>
      </c>
      <c r="BX338" s="42" t="n">
        <f aca="false">IF(ISNUMBER(BX301),N(BX294)+N(BX296),"")</f>
        <v>1685.017</v>
      </c>
      <c r="BY338" s="45"/>
      <c r="BZ338" s="45"/>
      <c r="CA338" s="32" t="n">
        <f aca="false">CA342+CA346</f>
        <v>1441.65350560939</v>
      </c>
      <c r="CB338" s="32" t="n">
        <f aca="false">CB342+CB346</f>
        <v>1655.03476840497</v>
      </c>
      <c r="CC338" s="32" t="n">
        <f aca="false">CC342+CC346</f>
        <v>1784.9285235896</v>
      </c>
      <c r="CD338" s="32" t="n">
        <f aca="false">CD342+CD346</f>
        <v>1908.28653078962</v>
      </c>
      <c r="CE338" s="32" t="n">
        <f aca="false">CE342+CE346</f>
        <v>2019.14538531802</v>
      </c>
    </row>
    <row r="339" customFormat="false" ht="15" hidden="true" customHeight="false" outlineLevel="1" collapsed="false">
      <c r="B339" s="28" t="s">
        <v>454</v>
      </c>
      <c r="BY339" s="6"/>
      <c r="BZ339" s="6"/>
      <c r="CA339" s="48" t="n">
        <v>0</v>
      </c>
      <c r="CB339" s="48" t="n">
        <v>0</v>
      </c>
      <c r="CC339" s="48" t="n">
        <v>-750</v>
      </c>
      <c r="CD339" s="48" t="n">
        <v>0</v>
      </c>
      <c r="CE339" s="48" t="n">
        <v>0</v>
      </c>
      <c r="CF339" s="23" t="s">
        <v>455</v>
      </c>
    </row>
    <row r="340" customFormat="false" ht="15" hidden="true" customHeight="false" outlineLevel="1" collapsed="false">
      <c r="B340" s="25" t="s">
        <v>456</v>
      </c>
      <c r="BY340" s="6"/>
      <c r="BZ340" s="6"/>
      <c r="CA340" s="35" t="n">
        <v>1</v>
      </c>
      <c r="CB340" s="35" t="n">
        <v>1</v>
      </c>
      <c r="CC340" s="35" t="n">
        <v>1</v>
      </c>
      <c r="CD340" s="35" t="n">
        <v>1</v>
      </c>
      <c r="CE340" s="35" t="n">
        <v>1</v>
      </c>
    </row>
    <row r="341" customFormat="false" ht="15" hidden="true" customHeight="false" outlineLevel="1" collapsed="false">
      <c r="B341" s="28" t="s">
        <v>457</v>
      </c>
      <c r="BY341" s="6"/>
      <c r="BZ341" s="6"/>
      <c r="CA341" s="49" t="n">
        <f aca="false">-CA339*CA340</f>
        <v>-0</v>
      </c>
      <c r="CB341" s="49" t="n">
        <f aca="false">-CB339*CB340</f>
        <v>-0</v>
      </c>
      <c r="CC341" s="49" t="n">
        <f aca="false">-CC339*CC340</f>
        <v>750</v>
      </c>
      <c r="CD341" s="49" t="n">
        <f aca="false">-CD339*CD340</f>
        <v>-0</v>
      </c>
      <c r="CE341" s="49" t="n">
        <f aca="false">-CE339*CE340</f>
        <v>-0</v>
      </c>
    </row>
    <row r="342" customFormat="false" ht="15" hidden="true" customHeight="false" outlineLevel="1" collapsed="false">
      <c r="B342" s="28" t="s">
        <v>458</v>
      </c>
      <c r="BV342" s="37" t="n">
        <v>925</v>
      </c>
      <c r="BW342" s="37" t="n">
        <v>925</v>
      </c>
      <c r="BX342" s="37" t="n">
        <v>925</v>
      </c>
      <c r="BY342" s="6"/>
      <c r="BZ342" s="6"/>
      <c r="CA342" s="49" t="n">
        <f aca="false">BV342+CA339+CA341</f>
        <v>925</v>
      </c>
      <c r="CB342" s="49" t="n">
        <f aca="false">CA342+CB339+CB341</f>
        <v>925</v>
      </c>
      <c r="CC342" s="49" t="n">
        <f aca="false">CB342+CC339+CC341</f>
        <v>925</v>
      </c>
      <c r="CD342" s="49" t="n">
        <f aca="false">CC342+CD339+CD341</f>
        <v>925</v>
      </c>
      <c r="CE342" s="49" t="n">
        <f aca="false">CD342+CE339+CE341</f>
        <v>925</v>
      </c>
    </row>
    <row r="343" customFormat="false" ht="15" hidden="true" customHeight="false" outlineLevel="1" collapsed="false">
      <c r="B343" s="25" t="s">
        <v>459</v>
      </c>
      <c r="BY343" s="6"/>
      <c r="BZ343" s="6"/>
      <c r="CA343" s="6"/>
      <c r="CB343" s="35" t="n">
        <v>0.0429</v>
      </c>
      <c r="CC343" s="35" t="n">
        <v>0.046</v>
      </c>
      <c r="CD343" s="35" t="n">
        <v>0.049</v>
      </c>
      <c r="CE343" s="35" t="n">
        <v>0.049</v>
      </c>
    </row>
    <row r="344" customFormat="false" ht="15" hidden="true" customHeight="false" outlineLevel="1" collapsed="false">
      <c r="B344" s="28" t="s">
        <v>460</v>
      </c>
      <c r="BY344" s="6"/>
      <c r="BZ344" s="6"/>
      <c r="CA344" s="49" t="n">
        <f aca="false">CA260+CA245+CA251+CA252+CA253+CA254+CA257+CA339+CA341</f>
        <v>-202.215505609388</v>
      </c>
      <c r="CB344" s="49" t="n">
        <f aca="false">CB260+CB245+CB251+CB252+CB253+CB254+CB257+CB339+CB341</f>
        <v>-63.3812627955808</v>
      </c>
      <c r="CC344" s="49" t="n">
        <f aca="false">CC260+CC245+CC251+CC252+CC253+CC254+CC257+CC339+CC341</f>
        <v>20.1062448153696</v>
      </c>
      <c r="CD344" s="49" t="n">
        <f aca="false">CD260+CD245+CD251+CD252+CD253+CD254+CD257+CD339+CD341</f>
        <v>26.6419927999762</v>
      </c>
      <c r="CE344" s="49" t="n">
        <f aca="false">CE260+CE245+CE251+CE252+CE253+CE254+CE257+CE339+CE341</f>
        <v>39.1411454716037</v>
      </c>
    </row>
    <row r="345" customFormat="false" ht="15" hidden="true" customHeight="false" outlineLevel="1" collapsed="false">
      <c r="B345" s="28" t="s">
        <v>461</v>
      </c>
      <c r="BY345" s="6"/>
      <c r="BZ345" s="6"/>
      <c r="CA345" s="48" t="n">
        <v>150</v>
      </c>
      <c r="CB345" s="48" t="n">
        <v>150</v>
      </c>
      <c r="CC345" s="48" t="n">
        <v>150</v>
      </c>
      <c r="CD345" s="48" t="n">
        <v>150</v>
      </c>
      <c r="CE345" s="48" t="n">
        <v>150</v>
      </c>
    </row>
    <row r="346" customFormat="false" ht="15" hidden="true" customHeight="false" outlineLevel="1" collapsed="false">
      <c r="B346" s="28" t="s">
        <v>462</v>
      </c>
      <c r="C346" s="43" t="str">
        <f aca="false">IF(AND(ISNUMBER(C338),ISNUMBER(C342)),C338-C342,"")</f>
        <v/>
      </c>
      <c r="D346" s="43" t="str">
        <f aca="false">IF(AND(ISNUMBER(D338),ISNUMBER(D342)),D338-D342,"")</f>
        <v/>
      </c>
      <c r="E346" s="43" t="str">
        <f aca="false">IF(AND(ISNUMBER(E338),ISNUMBER(E342)),E338-E342,"")</f>
        <v/>
      </c>
      <c r="F346" s="43" t="str">
        <f aca="false">IF(AND(ISNUMBER(F338),ISNUMBER(F342)),F338-F342,"")</f>
        <v/>
      </c>
      <c r="G346" s="43" t="str">
        <f aca="false">IF(AND(ISNUMBER(G338),ISNUMBER(G342)),G338-G342,"")</f>
        <v/>
      </c>
      <c r="H346" s="43" t="str">
        <f aca="false">IF(AND(ISNUMBER(H338),ISNUMBER(H342)),H338-H342,"")</f>
        <v/>
      </c>
      <c r="I346" s="43" t="str">
        <f aca="false">IF(AND(ISNUMBER(I338),ISNUMBER(I342)),I338-I342,"")</f>
        <v/>
      </c>
      <c r="J346" s="43" t="str">
        <f aca="false">IF(AND(ISNUMBER(J338),ISNUMBER(J342)),J338-J342,"")</f>
        <v/>
      </c>
      <c r="K346" s="43" t="str">
        <f aca="false">IF(AND(ISNUMBER(K338),ISNUMBER(K342)),K338-K342,"")</f>
        <v/>
      </c>
      <c r="L346" s="43" t="str">
        <f aca="false">IF(AND(ISNUMBER(L338),ISNUMBER(L342)),L338-L342,"")</f>
        <v/>
      </c>
      <c r="M346" s="43" t="str">
        <f aca="false">IF(AND(ISNUMBER(M338),ISNUMBER(M342)),M338-M342,"")</f>
        <v/>
      </c>
      <c r="N346" s="43" t="str">
        <f aca="false">IF(AND(ISNUMBER(N338),ISNUMBER(N342)),N338-N342,"")</f>
        <v/>
      </c>
      <c r="O346" s="43" t="str">
        <f aca="false">IF(AND(ISNUMBER(O338),ISNUMBER(O342)),O338-O342,"")</f>
        <v/>
      </c>
      <c r="P346" s="43" t="str">
        <f aca="false">IF(AND(ISNUMBER(P338),ISNUMBER(P342)),P338-P342,"")</f>
        <v/>
      </c>
      <c r="Q346" s="43" t="str">
        <f aca="false">IF(AND(ISNUMBER(Q338),ISNUMBER(Q342)),Q338-Q342,"")</f>
        <v/>
      </c>
      <c r="R346" s="43" t="str">
        <f aca="false">IF(AND(ISNUMBER(R338),ISNUMBER(R342)),R338-R342,"")</f>
        <v/>
      </c>
      <c r="S346" s="43" t="str">
        <f aca="false">IF(AND(ISNUMBER(S338),ISNUMBER(S342)),S338-S342,"")</f>
        <v/>
      </c>
      <c r="T346" s="43" t="str">
        <f aca="false">IF(AND(ISNUMBER(T338),ISNUMBER(T342)),T338-T342,"")</f>
        <v/>
      </c>
      <c r="U346" s="43" t="str">
        <f aca="false">IF(AND(ISNUMBER(U338),ISNUMBER(U342)),U338-U342,"")</f>
        <v/>
      </c>
      <c r="V346" s="43" t="str">
        <f aca="false">IF(AND(ISNUMBER(V338),ISNUMBER(V342)),V338-V342,"")</f>
        <v/>
      </c>
      <c r="W346" s="43" t="str">
        <f aca="false">IF(AND(ISNUMBER(W338),ISNUMBER(W342)),W338-W342,"")</f>
        <v/>
      </c>
      <c r="X346" s="43" t="str">
        <f aca="false">IF(AND(ISNUMBER(X338),ISNUMBER(X342)),X338-X342,"")</f>
        <v/>
      </c>
      <c r="Y346" s="43" t="str">
        <f aca="false">IF(AND(ISNUMBER(Y338),ISNUMBER(Y342)),Y338-Y342,"")</f>
        <v/>
      </c>
      <c r="Z346" s="43" t="str">
        <f aca="false">IF(AND(ISNUMBER(Z338),ISNUMBER(Z342)),Z338-Z342,"")</f>
        <v/>
      </c>
      <c r="AA346" s="43" t="str">
        <f aca="false">IF(AND(ISNUMBER(AA338),ISNUMBER(AA342)),AA338-AA342,"")</f>
        <v/>
      </c>
      <c r="AB346" s="43" t="str">
        <f aca="false">IF(AND(ISNUMBER(AB338),ISNUMBER(AB342)),AB338-AB342,"")</f>
        <v/>
      </c>
      <c r="AC346" s="43" t="str">
        <f aca="false">IF(AND(ISNUMBER(AC338),ISNUMBER(AC342)),AC338-AC342,"")</f>
        <v/>
      </c>
      <c r="AD346" s="43" t="str">
        <f aca="false">IF(AND(ISNUMBER(AD338),ISNUMBER(AD342)),AD338-AD342,"")</f>
        <v/>
      </c>
      <c r="AE346" s="43" t="str">
        <f aca="false">IF(AND(ISNUMBER(AE338),ISNUMBER(AE342)),AE338-AE342,"")</f>
        <v/>
      </c>
      <c r="AF346" s="43" t="str">
        <f aca="false">IF(AND(ISNUMBER(AF338),ISNUMBER(AF342)),AF338-AF342,"")</f>
        <v/>
      </c>
      <c r="AG346" s="43" t="str">
        <f aca="false">IF(AND(ISNUMBER(AG338),ISNUMBER(AG342)),AG338-AG342,"")</f>
        <v/>
      </c>
      <c r="AH346" s="43" t="str">
        <f aca="false">IF(AND(ISNUMBER(AH338),ISNUMBER(AH342)),AH338-AH342,"")</f>
        <v/>
      </c>
      <c r="AI346" s="43" t="str">
        <f aca="false">IF(AND(ISNUMBER(AI338),ISNUMBER(AI342)),AI338-AI342,"")</f>
        <v/>
      </c>
      <c r="AJ346" s="43" t="str">
        <f aca="false">IF(AND(ISNUMBER(AJ338),ISNUMBER(AJ342)),AJ338-AJ342,"")</f>
        <v/>
      </c>
      <c r="AK346" s="43" t="str">
        <f aca="false">IF(AND(ISNUMBER(AK338),ISNUMBER(AK342)),AK338-AK342,"")</f>
        <v/>
      </c>
      <c r="AL346" s="43" t="str">
        <f aca="false">IF(AND(ISNUMBER(AL338),ISNUMBER(AL342)),AL338-AL342,"")</f>
        <v/>
      </c>
      <c r="AM346" s="43" t="str">
        <f aca="false">IF(AND(ISNUMBER(AM338),ISNUMBER(AM342)),AM338-AM342,"")</f>
        <v/>
      </c>
      <c r="AN346" s="43" t="str">
        <f aca="false">IF(AND(ISNUMBER(AN338),ISNUMBER(AN342)),AN338-AN342,"")</f>
        <v/>
      </c>
      <c r="AO346" s="43" t="str">
        <f aca="false">IF(AND(ISNUMBER(AO338),ISNUMBER(AO342)),AO338-AO342,"")</f>
        <v/>
      </c>
      <c r="AP346" s="43" t="str">
        <f aca="false">IF(AND(ISNUMBER(AP338),ISNUMBER(AP342)),AP338-AP342,"")</f>
        <v/>
      </c>
      <c r="AQ346" s="43" t="str">
        <f aca="false">IF(AND(ISNUMBER(AQ338),ISNUMBER(AQ342)),AQ338-AQ342,"")</f>
        <v/>
      </c>
      <c r="AR346" s="43" t="str">
        <f aca="false">IF(AND(ISNUMBER(AR338),ISNUMBER(AR342)),AR338-AR342,"")</f>
        <v/>
      </c>
      <c r="AS346" s="43" t="str">
        <f aca="false">IF(AND(ISNUMBER(AS338),ISNUMBER(AS342)),AS338-AS342,"")</f>
        <v/>
      </c>
      <c r="AT346" s="43" t="str">
        <f aca="false">IF(AND(ISNUMBER(AT338),ISNUMBER(AT342)),AT338-AT342,"")</f>
        <v/>
      </c>
      <c r="AU346" s="43" t="str">
        <f aca="false">IF(AND(ISNUMBER(AU338),ISNUMBER(AU342)),AU338-AU342,"")</f>
        <v/>
      </c>
      <c r="AV346" s="43" t="str">
        <f aca="false">IF(AND(ISNUMBER(AV338),ISNUMBER(AV342)),AV338-AV342,"")</f>
        <v/>
      </c>
      <c r="AW346" s="43" t="str">
        <f aca="false">IF(AND(ISNUMBER(AW338),ISNUMBER(AW342)),AW338-AW342,"")</f>
        <v/>
      </c>
      <c r="AX346" s="43" t="str">
        <f aca="false">IF(AND(ISNUMBER(AX338),ISNUMBER(AX342)),AX338-AX342,"")</f>
        <v/>
      </c>
      <c r="AY346" s="43" t="str">
        <f aca="false">IF(AND(ISNUMBER(AY338),ISNUMBER(AY342)),AY338-AY342,"")</f>
        <v/>
      </c>
      <c r="AZ346" s="43" t="str">
        <f aca="false">IF(AND(ISNUMBER(AZ338),ISNUMBER(AZ342)),AZ338-AZ342,"")</f>
        <v/>
      </c>
      <c r="BA346" s="43" t="str">
        <f aca="false">IF(AND(ISNUMBER(BA338),ISNUMBER(BA342)),BA338-BA342,"")</f>
        <v/>
      </c>
      <c r="BB346" s="43" t="str">
        <f aca="false">IF(AND(ISNUMBER(BB338),ISNUMBER(BB342)),BB338-BB342,"")</f>
        <v/>
      </c>
      <c r="BC346" s="43" t="str">
        <f aca="false">IF(AND(ISNUMBER(BC338),ISNUMBER(BC342)),BC338-BC342,"")</f>
        <v/>
      </c>
      <c r="BD346" s="43" t="str">
        <f aca="false">IF(AND(ISNUMBER(BD338),ISNUMBER(BD342)),BD338-BD342,"")</f>
        <v/>
      </c>
      <c r="BE346" s="43" t="str">
        <f aca="false">IF(AND(ISNUMBER(BE338),ISNUMBER(BE342)),BE338-BE342,"")</f>
        <v/>
      </c>
      <c r="BF346" s="43" t="str">
        <f aca="false">IF(AND(ISNUMBER(BF338),ISNUMBER(BF342)),BF338-BF342,"")</f>
        <v/>
      </c>
      <c r="BG346" s="43" t="str">
        <f aca="false">IF(AND(ISNUMBER(BG338),ISNUMBER(BG342)),BG338-BG342,"")</f>
        <v/>
      </c>
      <c r="BH346" s="43" t="str">
        <f aca="false">IF(AND(ISNUMBER(BH338),ISNUMBER(BH342)),BH338-BH342,"")</f>
        <v/>
      </c>
      <c r="BI346" s="43" t="str">
        <f aca="false">IF(AND(ISNUMBER(BI338),ISNUMBER(BI342)),BI338-BI342,"")</f>
        <v/>
      </c>
      <c r="BJ346" s="43" t="str">
        <f aca="false">IF(AND(ISNUMBER(BJ338),ISNUMBER(BJ342)),BJ338-BJ342,"")</f>
        <v/>
      </c>
      <c r="BK346" s="43" t="str">
        <f aca="false">IF(AND(ISNUMBER(BK338),ISNUMBER(BK342)),BK338-BK342,"")</f>
        <v/>
      </c>
      <c r="BL346" s="43" t="str">
        <f aca="false">IF(AND(ISNUMBER(BL338),ISNUMBER(BL342)),BL338-BL342,"")</f>
        <v/>
      </c>
      <c r="BM346" s="43" t="str">
        <f aca="false">IF(AND(ISNUMBER(BM338),ISNUMBER(BM342)),BM338-BM342,"")</f>
        <v/>
      </c>
      <c r="BN346" s="43" t="str">
        <f aca="false">IF(AND(ISNUMBER(BN338),ISNUMBER(BN342)),BN338-BN342,"")</f>
        <v/>
      </c>
      <c r="BO346" s="43" t="str">
        <f aca="false">IF(AND(ISNUMBER(BO338),ISNUMBER(BO342)),BO338-BO342,"")</f>
        <v/>
      </c>
      <c r="BP346" s="43" t="str">
        <f aca="false">IF(AND(ISNUMBER(BP338),ISNUMBER(BP342)),BP338-BP342,"")</f>
        <v/>
      </c>
      <c r="BQ346" s="43" t="str">
        <f aca="false">IF(AND(ISNUMBER(BQ338),ISNUMBER(BQ342)),BQ338-BQ342,"")</f>
        <v/>
      </c>
      <c r="BR346" s="43" t="str">
        <f aca="false">IF(AND(ISNUMBER(BR338),ISNUMBER(BR342)),BR338-BR342,"")</f>
        <v/>
      </c>
      <c r="BS346" s="43" t="str">
        <f aca="false">IF(AND(ISNUMBER(BS338),ISNUMBER(BS342)),BS338-BS342,"")</f>
        <v/>
      </c>
      <c r="BT346" s="43" t="str">
        <f aca="false">IF(AND(ISNUMBER(BT338),ISNUMBER(BT342)),BT338-BT342,"")</f>
        <v/>
      </c>
      <c r="BU346" s="43" t="str">
        <f aca="false">IF(AND(ISNUMBER(BU338),ISNUMBER(BU342)),BU338-BU342,"")</f>
        <v/>
      </c>
      <c r="BV346" s="43" t="n">
        <f aca="false">IF(AND(ISNUMBER(BV338),ISNUMBER(BV342)),BV338-BV342,"")</f>
        <v>164.438</v>
      </c>
      <c r="BW346" s="43" t="n">
        <f aca="false">IF(AND(ISNUMBER(BW338),ISNUMBER(BW342)),BW338-BW342,"")</f>
        <v>417.727</v>
      </c>
      <c r="BX346" s="43" t="n">
        <f aca="false">IF(AND(ISNUMBER(BX338),ISNUMBER(BX342)),BX338-BX342,"")</f>
        <v>760.017</v>
      </c>
      <c r="BY346" s="6"/>
      <c r="BZ346" s="6"/>
      <c r="CA346" s="49" t="n">
        <f aca="false">MAX(0,BV346+CA345-CA344)</f>
        <v>516.653505609388</v>
      </c>
      <c r="CB346" s="49" t="n">
        <f aca="false">MAX(0,CA346+CB345-CB344)</f>
        <v>730.034768404969</v>
      </c>
      <c r="CC346" s="49" t="n">
        <f aca="false">MAX(0,CB346+CC345-CC344)</f>
        <v>859.9285235896</v>
      </c>
      <c r="CD346" s="49" t="n">
        <f aca="false">MAX(0,CC346+CD345-CD344)</f>
        <v>983.286530789623</v>
      </c>
      <c r="CE346" s="49" t="n">
        <f aca="false">MAX(0,CD346+CE345-CE344)</f>
        <v>1094.14538531802</v>
      </c>
    </row>
    <row r="347" customFormat="false" ht="15" hidden="true" customHeight="false" outlineLevel="1" collapsed="false">
      <c r="B347" s="28" t="s">
        <v>463</v>
      </c>
      <c r="D347" s="43" t="n">
        <f aca="false">IFERROR(D338-C338,"")</f>
        <v>0</v>
      </c>
      <c r="E347" s="43" t="n">
        <f aca="false">IFERROR(E338-D338,"")</f>
        <v>0</v>
      </c>
      <c r="F347" s="43" t="n">
        <f aca="false">IFERROR(F338-E338,"")</f>
        <v>0</v>
      </c>
      <c r="G347" s="43" t="n">
        <f aca="false">IFERROR(G338-F338,"")</f>
        <v>0</v>
      </c>
      <c r="H347" s="43" t="n">
        <f aca="false">IFERROR(H338-G338,"")</f>
        <v>0</v>
      </c>
      <c r="I347" s="43" t="n">
        <f aca="false">IFERROR(I338-H338,"")</f>
        <v>253.646</v>
      </c>
      <c r="N347" s="43" t="n">
        <f aca="false">IFERROR(N338-I338,"")</f>
        <v>621.354</v>
      </c>
      <c r="O347" s="43" t="n">
        <f aca="false">IFERROR(O338-J338,"")</f>
        <v>519.371</v>
      </c>
      <c r="P347" s="43" t="n">
        <f aca="false">IFERROR(P338-K338,"")</f>
        <v>534.348</v>
      </c>
      <c r="Q347" s="43" t="n">
        <f aca="false">IFERROR(Q338-L338,"")</f>
        <v>-5</v>
      </c>
      <c r="R347" s="43" t="n">
        <f aca="false">IFERROR(R338-M338,"")</f>
        <v>230</v>
      </c>
      <c r="S347" s="43" t="n">
        <f aca="false">IFERROR(S338-N338,"")</f>
        <v>230</v>
      </c>
      <c r="T347" s="43" t="n">
        <f aca="false">IFERROR(T338-O338,"")</f>
        <v>220</v>
      </c>
      <c r="U347" s="43" t="n">
        <f aca="false">IFERROR(U338-P338,"")</f>
        <v>230</v>
      </c>
      <c r="V347" s="43" t="n">
        <f aca="false">IFERROR(V338-Q338,"")</f>
        <v>185</v>
      </c>
      <c r="W347" s="43" t="n">
        <f aca="false">IFERROR(W338-R338,"")</f>
        <v>-155</v>
      </c>
      <c r="X347" s="43" t="n">
        <f aca="false">IFERROR(X338-S338,"")</f>
        <v>-155</v>
      </c>
      <c r="Y347" s="43" t="n">
        <f aca="false">IFERROR(Y338-T338,"")</f>
        <v>-160</v>
      </c>
      <c r="Z347" s="43" t="n">
        <f aca="false">IFERROR(Z338-U338,"")</f>
        <v>-165</v>
      </c>
      <c r="AA347" s="43" t="n">
        <f aca="false">IFERROR(AA338-V338,"")</f>
        <v>195</v>
      </c>
      <c r="AB347" s="43" t="n">
        <f aca="false">IFERROR(AB338-W338,"")</f>
        <v>290</v>
      </c>
      <c r="AC347" s="43" t="n">
        <f aca="false">IFERROR(AC338-X338,"")</f>
        <v>290</v>
      </c>
      <c r="AD347" s="43" t="n">
        <f aca="false">IFERROR(AD338-Y338,"")</f>
        <v>270</v>
      </c>
      <c r="AE347" s="43" t="n">
        <f aca="false">IFERROR(AE338-Z338,"")</f>
        <v>377</v>
      </c>
      <c r="AF347" s="43" t="n">
        <f aca="false">IFERROR(AF338-AA338,"")</f>
        <v>244</v>
      </c>
      <c r="AG347" s="43" t="n">
        <f aca="false">IFERROR(AG338-AB338,"")</f>
        <v>225</v>
      </c>
      <c r="AH347" s="43" t="n">
        <f aca="false">IFERROR(AH338-AC338,"")</f>
        <v>225</v>
      </c>
      <c r="AI347" s="43" t="n">
        <f aca="false">IFERROR(AI338-AD338,"")</f>
        <v>161</v>
      </c>
      <c r="AJ347" s="43" t="n">
        <f aca="false">IFERROR(AJ338-AE338,"")</f>
        <v>65.0540000000001</v>
      </c>
      <c r="AK347" s="43" t="n">
        <f aca="false">IFERROR(AK338-AF338,"")</f>
        <v>-127.697</v>
      </c>
      <c r="AL347" s="43" t="n">
        <f aca="false">IFERROR(AL338-AG338,"")</f>
        <v>-118.648</v>
      </c>
      <c r="AM347" s="43" t="n">
        <f aca="false">IFERROR(AM338-AH338,"")</f>
        <v>-118.648</v>
      </c>
      <c r="AN347" s="43" t="n">
        <f aca="false">IFERROR(AN338-AI338,"")</f>
        <v>-59.395</v>
      </c>
      <c r="AO347" s="43" t="n">
        <f aca="false">IFERROR(AO338-AJ338,"")</f>
        <v>-153.205</v>
      </c>
      <c r="AP347" s="43" t="n">
        <f aca="false">IFERROR(AP338-AK338,"")</f>
        <v>-88.2120000000002</v>
      </c>
      <c r="AQ347" s="43" t="n">
        <f aca="false">IFERROR(AQ338-AL338,"")</f>
        <v>-111.019</v>
      </c>
      <c r="AR347" s="43" t="n">
        <f aca="false">IFERROR(AR338-AM338,"")</f>
        <v>-111.019</v>
      </c>
      <c r="AS347" s="43" t="n">
        <f aca="false">IFERROR(AS338-AN338,"")</f>
        <v>71.972</v>
      </c>
      <c r="AT347" s="43" t="n">
        <f aca="false">IFERROR(AT338-AO338,"")</f>
        <v>-160.976</v>
      </c>
      <c r="AU347" s="43" t="n">
        <f aca="false">IFERROR(AU338-AP338,"")</f>
        <v>-100.025</v>
      </c>
      <c r="AV347" s="43" t="n">
        <f aca="false">IFERROR(AV338-AQ338,"")</f>
        <v>-142.032</v>
      </c>
      <c r="AW347" s="43" t="n">
        <f aca="false">IFERROR(AW338-AR338,"")</f>
        <v>-142.032</v>
      </c>
      <c r="AX347" s="43" t="n">
        <f aca="false">IFERROR(AX338-AS338,"")</f>
        <v>-70.06</v>
      </c>
      <c r="AY347" s="43" t="n">
        <f aca="false">IFERROR(AY338-AT338,"")</f>
        <v>274.14</v>
      </c>
      <c r="AZ347" s="43" t="n">
        <f aca="false">IFERROR(AZ338-AU338,"")</f>
        <v>572.884</v>
      </c>
      <c r="BA347" s="43" t="n">
        <f aca="false">IFERROR(BA338-AV338,"")</f>
        <v>825.348</v>
      </c>
      <c r="BB347" s="43" t="n">
        <f aca="false">IFERROR(BB338-AW338,"")</f>
        <v>825.348</v>
      </c>
      <c r="BC347" s="43" t="n">
        <f aca="false">IFERROR(BC338-AX338,"")</f>
        <v>822.239</v>
      </c>
      <c r="BD347" s="43" t="n">
        <f aca="false">IFERROR(BD338-AY338,"")</f>
        <v>901.042</v>
      </c>
      <c r="BE347" s="43" t="n">
        <f aca="false">IFERROR(BE338-AZ338,"")</f>
        <v>472.43</v>
      </c>
      <c r="BF347" s="43" t="n">
        <f aca="false">IFERROR(BF338-BA338,"")</f>
        <v>55.0550000000001</v>
      </c>
      <c r="BG347" s="43" t="n">
        <f aca="false">IFERROR(BG338-BB338,"")</f>
        <v>55.0550000000001</v>
      </c>
      <c r="BH347" s="43" t="n">
        <f aca="false">IFERROR(BH338-BC338,"")</f>
        <v>-292.725</v>
      </c>
      <c r="BI347" s="43" t="n">
        <f aca="false">IFERROR(BI338-BD338,"")</f>
        <v>-531.697</v>
      </c>
      <c r="BJ347" s="43" t="n">
        <f aca="false">IFERROR(BJ338-BE338,"")</f>
        <v>-614.694</v>
      </c>
      <c r="BK347" s="43" t="n">
        <f aca="false">IFERROR(BK338-BF338,"")</f>
        <v>-393.217</v>
      </c>
      <c r="BL347" s="43" t="n">
        <f aca="false">IFERROR(BL338-BG338,"")</f>
        <v>-393.217</v>
      </c>
      <c r="BM347" s="43" t="n">
        <f aca="false">IFERROR(BM338-BH338,"")</f>
        <v>-172.255</v>
      </c>
      <c r="BN347" s="43" t="n">
        <f aca="false">IFERROR(BN338-BI338,"")</f>
        <v>-127.292</v>
      </c>
      <c r="BO347" s="43" t="n">
        <f aca="false">IFERROR(BO338-BJ338,"")</f>
        <v>-22.3300000000002</v>
      </c>
      <c r="BP347" s="43" t="n">
        <f aca="false">IFERROR(BP338-BK338,"")</f>
        <v>-202.838</v>
      </c>
      <c r="BQ347" s="43" t="n">
        <f aca="false">IFERROR(BQ338-BL338,"")</f>
        <v>-202.838</v>
      </c>
      <c r="BR347" s="43" t="n">
        <f aca="false">IFERROR(BR338-BM338,"")</f>
        <v>-310.835</v>
      </c>
      <c r="BS347" s="43" t="n">
        <f aca="false">IFERROR(BS338-BN338,"")</f>
        <v>-254.831</v>
      </c>
      <c r="BT347" s="43" t="n">
        <f aca="false">IFERROR(BT338-BO338,"")</f>
        <v>-378.206</v>
      </c>
      <c r="BU347" s="43" t="n">
        <f aca="false">IFERROR(BU338-BP338,"")</f>
        <v>-288.211</v>
      </c>
      <c r="BV347" s="43" t="n">
        <f aca="false">IFERROR(BV338-BQ338,"")</f>
        <v>-288.211</v>
      </c>
      <c r="BW347" s="43" t="n">
        <f aca="false">IFERROR(BW338-BR338,"")</f>
        <v>-47.2139999999999</v>
      </c>
      <c r="BX347" s="43" t="n">
        <f aca="false">IFERROR(BX338-BS338,"")</f>
        <v>330.782</v>
      </c>
      <c r="BY347" s="6"/>
      <c r="BZ347" s="6"/>
      <c r="CA347" s="49" t="n">
        <f aca="false">CA338-BV338</f>
        <v>352.215505609388</v>
      </c>
      <c r="CB347" s="49" t="n">
        <f aca="false">CB338-CA338</f>
        <v>213.381262795581</v>
      </c>
      <c r="CC347" s="49" t="n">
        <f aca="false">CC338-CB338</f>
        <v>129.89375518463</v>
      </c>
      <c r="CD347" s="49" t="n">
        <f aca="false">CD338-CC338</f>
        <v>123.358007200024</v>
      </c>
      <c r="CE347" s="49" t="n">
        <f aca="false">CE338-CD338</f>
        <v>110.858854528396</v>
      </c>
    </row>
    <row r="348" customFormat="false" ht="15" hidden="true" customHeight="false" outlineLevel="1" collapsed="false">
      <c r="B348" s="25" t="s">
        <v>464</v>
      </c>
      <c r="BY348" s="6"/>
      <c r="BZ348" s="6"/>
      <c r="CA348" s="6"/>
      <c r="CB348" s="35" t="n">
        <v>0.0465</v>
      </c>
      <c r="CC348" s="35" t="n">
        <v>0.0465</v>
      </c>
      <c r="CD348" s="35" t="n">
        <v>0.0465</v>
      </c>
      <c r="CE348" s="35" t="n">
        <v>0.0465</v>
      </c>
    </row>
    <row r="349" customFormat="false" ht="15" hidden="true" customHeight="false" outlineLevel="1" collapsed="false">
      <c r="B349" s="25" t="s">
        <v>465</v>
      </c>
      <c r="BY349" s="6"/>
      <c r="BZ349" s="6"/>
      <c r="CA349" s="6"/>
      <c r="CB349" s="35" t="n">
        <v>0.02</v>
      </c>
      <c r="CC349" s="35" t="n">
        <v>0.02</v>
      </c>
      <c r="CD349" s="35" t="n">
        <v>0.02</v>
      </c>
      <c r="CE349" s="35" t="n">
        <v>0.02</v>
      </c>
    </row>
    <row r="350" customFormat="false" ht="15" hidden="false" customHeight="false" outlineLevel="0" collapsed="false">
      <c r="B350" s="15" t="s">
        <v>466</v>
      </c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16"/>
      <c r="BE350" s="16"/>
      <c r="BF350" s="16"/>
      <c r="BG350" s="16"/>
      <c r="BH350" s="16"/>
      <c r="BI350" s="16"/>
      <c r="BJ350" s="16"/>
      <c r="BK350" s="16"/>
      <c r="BL350" s="16"/>
      <c r="BM350" s="16"/>
      <c r="BN350" s="16"/>
      <c r="BO350" s="16"/>
      <c r="BP350" s="16"/>
      <c r="BQ350" s="16"/>
      <c r="BR350" s="16"/>
      <c r="BS350" s="16"/>
      <c r="BT350" s="16"/>
      <c r="BU350" s="16"/>
      <c r="BV350" s="16"/>
      <c r="BW350" s="16"/>
      <c r="BX350" s="16"/>
      <c r="BY350" s="16"/>
      <c r="BZ350" s="16"/>
      <c r="CA350" s="16"/>
      <c r="CB350" s="16"/>
      <c r="CC350" s="16"/>
      <c r="CD350" s="16"/>
      <c r="CE350" s="16"/>
      <c r="CF350" s="16"/>
    </row>
    <row r="351" customFormat="false" ht="15" hidden="true" customHeight="false" outlineLevel="1" collapsed="false">
      <c r="B351" s="28" t="s">
        <v>467</v>
      </c>
      <c r="BY351" s="6"/>
      <c r="BZ351" s="6"/>
      <c r="CA351" s="6"/>
      <c r="CB351" s="66" t="n">
        <f aca="false">CHOOSE(MATCH($CF$2,{"Bull","Base","Bear"},0),$CO$17,$CP$17,$CQ$17)</f>
        <v>1.25</v>
      </c>
      <c r="CC351" s="66" t="n">
        <f aca="false">CHOOSE(MATCH($CF$2,{"Bull","Base","Bear"},0),$CO$17,$CP$17,$CQ$17)</f>
        <v>1.25</v>
      </c>
      <c r="CD351" s="66" t="n">
        <f aca="false">CHOOSE(MATCH($CF$2,{"Bull","Base","Bear"},0),$CO$17,$CP$17,$CQ$17)</f>
        <v>1.25</v>
      </c>
      <c r="CE351" s="66" t="n">
        <f aca="false">CHOOSE(MATCH($CF$2,{"Bull","Base","Bear"},0),$CO$17,$CP$17,$CQ$17)</f>
        <v>1.25</v>
      </c>
    </row>
    <row r="352" customFormat="false" ht="15" hidden="true" customHeight="false" outlineLevel="1" collapsed="false">
      <c r="B352" s="28" t="s">
        <v>468</v>
      </c>
      <c r="BY352" s="6"/>
      <c r="BZ352" s="6"/>
      <c r="CA352" s="6"/>
      <c r="CB352" s="49" t="n">
        <f aca="false">CA338-CA276-CB245-CB251-CB254-CB252-CB257+CB334</f>
        <v>642.998524972893</v>
      </c>
      <c r="CC352" s="49" t="n">
        <f aca="false">CB338-CB276-CC245-CC251-CC254-CC252-CC257+CC334</f>
        <v>914.391902319209</v>
      </c>
      <c r="CD352" s="49" t="n">
        <f aca="false">CC338-CC276-CD245-CD251-CD254-CD252-CD257+CD334</f>
        <v>1020.94744336937</v>
      </c>
      <c r="CE352" s="49" t="n">
        <f aca="false">CD338-CD276-CE245-CE251-CE254-CE252-CE257+CE334</f>
        <v>1107.22204992422</v>
      </c>
    </row>
    <row r="353" customFormat="false" ht="15" hidden="true" customHeight="false" outlineLevel="1" collapsed="false">
      <c r="B353" s="28" t="s">
        <v>469</v>
      </c>
      <c r="BY353" s="6"/>
      <c r="BZ353" s="6"/>
      <c r="CA353" s="6"/>
      <c r="CB353" s="49" t="n">
        <f aca="false">CB351*CB193</f>
        <v>1505.03476840497</v>
      </c>
      <c r="CC353" s="49" t="n">
        <f aca="false">CC351*CC193</f>
        <v>1634.9285235896</v>
      </c>
      <c r="CD353" s="49" t="n">
        <f aca="false">CD351*CD193</f>
        <v>1758.28653078962</v>
      </c>
      <c r="CE353" s="49" t="n">
        <f aca="false">CE351*CE193</f>
        <v>1869.14538531802</v>
      </c>
    </row>
    <row r="354" customFormat="false" ht="15" hidden="true" customHeight="false" outlineLevel="1" collapsed="false">
      <c r="B354" s="28" t="s">
        <v>470</v>
      </c>
      <c r="BY354" s="6"/>
      <c r="BZ354" s="6"/>
      <c r="CA354" s="6"/>
      <c r="CB354" s="49" t="n">
        <f aca="false">MAX(0,CB353-CB352)</f>
        <v>862.036243432077</v>
      </c>
      <c r="CC354" s="49" t="n">
        <f aca="false">MAX(0,CC353-CC352)</f>
        <v>720.536621270391</v>
      </c>
      <c r="CD354" s="49" t="n">
        <f aca="false">MAX(0,CD353-CD352)</f>
        <v>737.339087420252</v>
      </c>
      <c r="CE354" s="49" t="n">
        <f aca="false">MAX(0,CE353-CE352)</f>
        <v>761.923335393804</v>
      </c>
    </row>
    <row r="355" customFormat="false" ht="15" hidden="false" customHeight="false" outlineLevel="0" collapsed="false">
      <c r="B355" s="15" t="s">
        <v>471</v>
      </c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6"/>
      <c r="BA355" s="16"/>
      <c r="BB355" s="16"/>
      <c r="BC355" s="16"/>
      <c r="BD355" s="16"/>
      <c r="BE355" s="16"/>
      <c r="BF355" s="16"/>
      <c r="BG355" s="16"/>
      <c r="BH355" s="16"/>
      <c r="BI355" s="16"/>
      <c r="BJ355" s="16"/>
      <c r="BK355" s="16"/>
      <c r="BL355" s="16"/>
      <c r="BM355" s="16"/>
      <c r="BN355" s="16"/>
      <c r="BO355" s="16"/>
      <c r="BP355" s="16"/>
      <c r="BQ355" s="16"/>
      <c r="BR355" s="16"/>
      <c r="BS355" s="16"/>
      <c r="BT355" s="16"/>
      <c r="BU355" s="16"/>
      <c r="BV355" s="16"/>
      <c r="BW355" s="16"/>
      <c r="BX355" s="16"/>
      <c r="BY355" s="16"/>
      <c r="BZ355" s="16"/>
      <c r="CA355" s="16"/>
      <c r="CB355" s="16"/>
      <c r="CC355" s="16"/>
      <c r="CD355" s="16"/>
      <c r="CE355" s="16"/>
      <c r="CF355" s="16"/>
    </row>
    <row r="356" customFormat="false" ht="15" hidden="false" customHeight="false" outlineLevel="0" collapsed="false">
      <c r="B356" s="28" t="s">
        <v>472</v>
      </c>
      <c r="BY356" s="6"/>
      <c r="BZ356" s="6"/>
      <c r="CA356" s="59" t="n">
        <f aca="false">CA394</f>
        <v>151.88</v>
      </c>
      <c r="CB356" s="59" t="n">
        <f aca="false">CA356*(1+CB336)</f>
        <v>162.5116</v>
      </c>
      <c r="CC356" s="59" t="n">
        <f aca="false">CB356*(1+CC336)</f>
        <v>173.887412</v>
      </c>
      <c r="CD356" s="59" t="n">
        <f aca="false">CC356*(1+CD336)</f>
        <v>186.05953084</v>
      </c>
      <c r="CE356" s="59" t="n">
        <f aca="false">CD356*(1+CE336)</f>
        <v>199.0836979988</v>
      </c>
    </row>
    <row r="357" customFormat="false" ht="15" hidden="false" customHeight="false" outlineLevel="0" collapsed="false">
      <c r="B357" s="28" t="s">
        <v>473</v>
      </c>
      <c r="BY357" s="6"/>
      <c r="BZ357" s="6"/>
      <c r="CA357" s="49" t="n">
        <f aca="false">CHOOSE(MATCH($CF$2,{"Bull","Base","Bear"},0),$CO$16,$CP$16,$CQ$16)</f>
        <v>250</v>
      </c>
      <c r="CB357" s="49" t="n">
        <f aca="false">CB354</f>
        <v>862.036243432077</v>
      </c>
      <c r="CC357" s="49" t="n">
        <f aca="false">CC354</f>
        <v>720.536621270391</v>
      </c>
      <c r="CD357" s="49" t="n">
        <f aca="false">CD354</f>
        <v>737.339087420252</v>
      </c>
      <c r="CE357" s="49" t="n">
        <f aca="false">CE354</f>
        <v>761.923335393804</v>
      </c>
    </row>
    <row r="358" customFormat="false" ht="15" hidden="false" customHeight="false" outlineLevel="0" collapsed="false">
      <c r="B358" s="28" t="s">
        <v>474</v>
      </c>
      <c r="BY358" s="6"/>
      <c r="BZ358" s="6"/>
      <c r="CA358" s="59" t="n">
        <f aca="false">IFERROR(CA357/CA356,0)</f>
        <v>1.64603634448249</v>
      </c>
      <c r="CB358" s="59" t="n">
        <f aca="false">IFERROR(CB357/CB356,0)</f>
        <v>5.30445976430037</v>
      </c>
      <c r="CC358" s="59" t="n">
        <f aca="false">IFERROR(CC357/CC356,0)</f>
        <v>4.14369627440537</v>
      </c>
      <c r="CD358" s="59" t="n">
        <f aca="false">IFERROR(CD357/CD356,0)</f>
        <v>3.96292027659857</v>
      </c>
      <c r="CE358" s="59" t="n">
        <f aca="false">IFERROR(CE357/CE356,0)</f>
        <v>3.82715080668431</v>
      </c>
    </row>
    <row r="359" customFormat="false" ht="15" hidden="false" customHeight="false" outlineLevel="0" collapsed="false">
      <c r="B359" s="28" t="s">
        <v>475</v>
      </c>
      <c r="BY359" s="6"/>
      <c r="BZ359" s="6"/>
      <c r="CA359" s="67" t="n">
        <v>0.3</v>
      </c>
      <c r="CB359" s="67" t="n">
        <v>0.8</v>
      </c>
      <c r="CC359" s="67" t="n">
        <v>0.8</v>
      </c>
      <c r="CD359" s="67" t="n">
        <v>0.8</v>
      </c>
      <c r="CE359" s="67" t="n">
        <v>0.8</v>
      </c>
    </row>
    <row r="360" customFormat="false" ht="15" hidden="false" customHeight="false" outlineLevel="0" collapsed="false">
      <c r="B360" s="28" t="s">
        <v>476</v>
      </c>
      <c r="BY360" s="6"/>
      <c r="BZ360" s="6"/>
      <c r="CA360" s="59" t="n">
        <f aca="false">$BX$316</f>
        <v>117.113</v>
      </c>
      <c r="CB360" s="59" t="n">
        <f aca="false">CA361</f>
        <v>115.766963655518</v>
      </c>
      <c r="CC360" s="59" t="n">
        <f aca="false">CB361</f>
        <v>111.262503891217</v>
      </c>
      <c r="CD360" s="59" t="n">
        <f aca="false">CC361</f>
        <v>107.918807616812</v>
      </c>
      <c r="CE360" s="59" t="n">
        <f aca="false">CD361</f>
        <v>104.755887340213</v>
      </c>
    </row>
    <row r="361" customFormat="false" ht="15" hidden="false" customHeight="false" outlineLevel="0" collapsed="false">
      <c r="B361" s="28" t="s">
        <v>477</v>
      </c>
      <c r="BY361" s="6"/>
      <c r="BZ361" s="6"/>
      <c r="CA361" s="59" t="n">
        <f aca="false">CA360-CA358+CA359</f>
        <v>115.766963655518</v>
      </c>
      <c r="CB361" s="59" t="n">
        <f aca="false">CB360-CB358+CB359</f>
        <v>111.262503891217</v>
      </c>
      <c r="CC361" s="59" t="n">
        <f aca="false">CC360-CC358+CC359</f>
        <v>107.918807616812</v>
      </c>
      <c r="CD361" s="59" t="n">
        <f aca="false">CD360-CD358+CD359</f>
        <v>104.755887340213</v>
      </c>
      <c r="CE361" s="59" t="n">
        <f aca="false">CE360-CE358+CE359</f>
        <v>101.728736533529</v>
      </c>
      <c r="CF361" s="23" t="s">
        <v>478</v>
      </c>
    </row>
    <row r="362" customFormat="false" ht="15" hidden="false" customHeight="false" outlineLevel="0" collapsed="false">
      <c r="B362" s="25" t="s">
        <v>479</v>
      </c>
      <c r="BY362" s="6"/>
      <c r="BZ362" s="6"/>
      <c r="CA362" s="27" t="n">
        <f aca="false">IFERROR(CA358/CA360,"")</f>
        <v>0.0140551121095223</v>
      </c>
      <c r="CB362" s="27" t="n">
        <f aca="false">IFERROR(CB358/CB360,"")</f>
        <v>0.0458201510759547</v>
      </c>
      <c r="CC362" s="27" t="n">
        <f aca="false">IFERROR(CC358/CC360,"")</f>
        <v>0.0372425222288428</v>
      </c>
      <c r="CD362" s="27" t="n">
        <f aca="false">IFERROR(CD358/CD360,"")</f>
        <v>0.0367213126619203</v>
      </c>
      <c r="CE362" s="27" t="n">
        <f aca="false">IFERROR(CE358/CE360,"")</f>
        <v>0.0365339925407244</v>
      </c>
    </row>
    <row r="364" customFormat="false" ht="15" hidden="false" customHeight="false" outlineLevel="0" collapsed="false">
      <c r="B364" s="8" t="s">
        <v>480</v>
      </c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  <c r="BU364" s="10"/>
      <c r="BV364" s="10"/>
      <c r="BW364" s="10"/>
      <c r="BX364" s="10"/>
      <c r="BY364" s="10"/>
      <c r="BZ364" s="10"/>
      <c r="CA364" s="10"/>
      <c r="CB364" s="10"/>
      <c r="CC364" s="10"/>
      <c r="CD364" s="10"/>
      <c r="CE364" s="10"/>
      <c r="CF364" s="10"/>
    </row>
    <row r="365" customFormat="false" ht="15" hidden="false" customHeight="false" outlineLevel="0" collapsed="false">
      <c r="B365" s="28" t="s">
        <v>481</v>
      </c>
    </row>
    <row r="366" customFormat="false" ht="15" hidden="false" customHeight="false" outlineLevel="0" collapsed="false">
      <c r="B366" s="28" t="s">
        <v>482</v>
      </c>
      <c r="C366" s="43" t="n">
        <f aca="false">C181</f>
        <v>417.845000000001</v>
      </c>
      <c r="D366" s="43" t="n">
        <f aca="false">D181</f>
        <v>509.683999999999</v>
      </c>
      <c r="E366" s="43" t="n">
        <f aca="false">E181</f>
        <v>571.586000000001</v>
      </c>
      <c r="F366" s="43" t="n">
        <f aca="false">F181</f>
        <v>584.811</v>
      </c>
      <c r="G366" s="43" t="n">
        <f aca="false">G181</f>
        <v>622.860000000001</v>
      </c>
      <c r="H366" s="43" t="n">
        <f aca="false">H181</f>
        <v>692.73</v>
      </c>
      <c r="I366" s="43" t="n">
        <f aca="false">I181</f>
        <v>675.319999999998</v>
      </c>
      <c r="N366" s="43" t="n">
        <f aca="false">N181</f>
        <v>682.649999999999</v>
      </c>
      <c r="S366" s="43" t="n">
        <f aca="false">S181</f>
        <v>748.417999999998</v>
      </c>
      <c r="X366" s="43" t="n">
        <f aca="false">X181</f>
        <v>858.31</v>
      </c>
      <c r="AC366" s="43" t="n">
        <f aca="false">AC181</f>
        <v>837.531000000002</v>
      </c>
      <c r="AH366" s="43" t="n">
        <f aca="false">AH181</f>
        <v>775.118999999997</v>
      </c>
      <c r="AM366" s="43" t="n">
        <f aca="false">AM181</f>
        <v>912.082999999999</v>
      </c>
      <c r="AR366" s="43" t="n">
        <f aca="false">AR181</f>
        <v>784.176</v>
      </c>
      <c r="AW366" s="43" t="n">
        <f aca="false">AW181</f>
        <v>673.268</v>
      </c>
      <c r="BB366" s="43" t="n">
        <f aca="false">BB181</f>
        <v>1082.108</v>
      </c>
      <c r="BG366" s="43" t="n">
        <f aca="false">BG181</f>
        <v>1278.17</v>
      </c>
      <c r="BL366" s="43" t="n">
        <f aca="false">BL181</f>
        <v>552.648</v>
      </c>
      <c r="BQ366" s="43" t="n">
        <f aca="false">BQ181</f>
        <v>759.348999999999</v>
      </c>
      <c r="BV366" s="43" t="n">
        <f aca="false">BV181</f>
        <v>833.733</v>
      </c>
      <c r="BY366" s="6"/>
      <c r="BZ366" s="6"/>
      <c r="CA366" s="49" t="n">
        <f aca="false">CA181</f>
        <v>1002</v>
      </c>
      <c r="CB366" s="49" t="n">
        <f aca="false">CB181</f>
        <v>1097.9566283493</v>
      </c>
      <c r="CC366" s="49" t="n">
        <f aca="false">CC181</f>
        <v>1194.14915759875</v>
      </c>
      <c r="CD366" s="49" t="n">
        <f aca="false">CD181</f>
        <v>1283.45430512775</v>
      </c>
      <c r="CE366" s="49" t="n">
        <f aca="false">CE181</f>
        <v>1361.71108281689</v>
      </c>
    </row>
    <row r="367" customFormat="false" ht="15" hidden="false" customHeight="false" outlineLevel="0" collapsed="false">
      <c r="B367" s="25" t="s">
        <v>483</v>
      </c>
      <c r="C367" s="26" t="n">
        <f aca="false">C148</f>
        <v>0.378793450131257</v>
      </c>
      <c r="D367" s="26" t="n">
        <f aca="false">D148</f>
        <v>0.380606822358142</v>
      </c>
      <c r="E367" s="26" t="n">
        <f aca="false">E148</f>
        <v>0.379002294311594</v>
      </c>
      <c r="F367" s="26" t="n">
        <f aca="false">F148</f>
        <v>0.385361998156921</v>
      </c>
      <c r="G367" s="26" t="n">
        <f aca="false">G148</f>
        <v>0.379867393470938</v>
      </c>
      <c r="H367" s="26" t="n">
        <f aca="false">H148</f>
        <v>0.378710933001681</v>
      </c>
      <c r="I367" s="26" t="n">
        <f aca="false">I148</f>
        <v>0.38046161454497</v>
      </c>
      <c r="N367" s="26" t="n">
        <f aca="false">N148</f>
        <v>0.38234617092466</v>
      </c>
      <c r="S367" s="26" t="n">
        <f aca="false">S148</f>
        <v>0.378363658731794</v>
      </c>
      <c r="X367" s="26" t="n">
        <f aca="false">X148</f>
        <v>0.380516808239374</v>
      </c>
      <c r="AC367" s="26" t="n">
        <f aca="false">AC148</f>
        <v>0.36771476076113</v>
      </c>
      <c r="AH367" s="26" t="n">
        <f aca="false">AH148</f>
        <v>0.306906459216186</v>
      </c>
      <c r="AM367" s="26" t="n">
        <f aca="false">AM148</f>
        <v>0.245114867773975</v>
      </c>
      <c r="AR367" s="26" t="n">
        <f aca="false">AR148</f>
        <v>0.222684326318243</v>
      </c>
      <c r="AW367" s="26" t="n">
        <f aca="false">AW148</f>
        <v>0.194021940665032</v>
      </c>
      <c r="BB367" s="26" t="n">
        <f aca="false">BB148</f>
        <v>0.174163716593416</v>
      </c>
      <c r="BG367" s="26" t="n">
        <f aca="false">BG148</f>
        <v>0.193904513762412</v>
      </c>
      <c r="BL367" s="26" t="n">
        <f aca="false">BL148</f>
        <v>0.205424916786009</v>
      </c>
      <c r="BQ367" s="26" t="n">
        <f aca="false">BQ148</f>
        <v>0.195982762549983</v>
      </c>
      <c r="BV367" s="26" t="n">
        <f aca="false">BV148</f>
        <v>0.187382778490623</v>
      </c>
      <c r="BY367" s="6"/>
      <c r="BZ367" s="6"/>
      <c r="CA367" s="27" t="n">
        <f aca="false">CA148</f>
        <v>0.19</v>
      </c>
      <c r="CB367" s="27" t="n">
        <f aca="false">CB148</f>
        <v>0.2</v>
      </c>
      <c r="CC367" s="27" t="n">
        <f aca="false">CC148</f>
        <v>0.2</v>
      </c>
      <c r="CD367" s="27" t="n">
        <f aca="false">CD148</f>
        <v>0.2</v>
      </c>
      <c r="CE367" s="27" t="n">
        <f aca="false">CE148</f>
        <v>0.2</v>
      </c>
    </row>
    <row r="368" customFormat="false" ht="15" hidden="false" customHeight="false" outlineLevel="0" collapsed="false">
      <c r="B368" s="28" t="s">
        <v>484</v>
      </c>
      <c r="C368" s="43" t="n">
        <f aca="false">IFERROR(C366*(1-C367),"n/a")</f>
        <v>259.568050829905</v>
      </c>
      <c r="D368" s="43" t="n">
        <f aca="false">IFERROR(D366*(1-D367),"n/a")</f>
        <v>315.694792353212</v>
      </c>
      <c r="E368" s="43" t="n">
        <f aca="false">IFERROR(E366*(1-E367),"n/a")</f>
        <v>354.953594603614</v>
      </c>
      <c r="F368" s="43" t="n">
        <f aca="false">IFERROR(F366*(1-F367),"n/a")</f>
        <v>359.447064495853</v>
      </c>
      <c r="G368" s="43" t="n">
        <f aca="false">IFERROR(G366*(1-G367),"n/a")</f>
        <v>386.255795302692</v>
      </c>
      <c r="H368" s="43" t="n">
        <f aca="false">IFERROR(H366*(1-H367),"n/a")</f>
        <v>430.385575381745</v>
      </c>
      <c r="I368" s="43" t="n">
        <f aca="false">IFERROR(I366*(1-I367),"n/a")</f>
        <v>418.38666246549</v>
      </c>
      <c r="N368" s="43" t="n">
        <f aca="false">IFERROR(N366*(1-N367),"n/a")</f>
        <v>421.64138641828</v>
      </c>
      <c r="S368" s="43" t="n">
        <f aca="false">IFERROR(S366*(1-S367),"n/a")</f>
        <v>465.243827259267</v>
      </c>
      <c r="X368" s="43" t="n">
        <f aca="false">IFERROR(X366*(1-X367),"n/a")</f>
        <v>531.708618320063</v>
      </c>
      <c r="AC368" s="43" t="n">
        <f aca="false">IFERROR(AC366*(1-AC367),"n/a")</f>
        <v>529.558488704972</v>
      </c>
      <c r="AH368" s="43" t="n">
        <f aca="false">IFERROR(AH366*(1-AH367),"n/a")</f>
        <v>537.229972238807</v>
      </c>
      <c r="AM368" s="43" t="n">
        <f aca="false">IFERROR(AM366*(1-AM367),"n/a")</f>
        <v>688.517896056109</v>
      </c>
      <c r="AR368" s="43" t="n">
        <f aca="false">IFERROR(AR366*(1-AR367),"n/a")</f>
        <v>609.552295725065</v>
      </c>
      <c r="AW368" s="43" t="n">
        <f aca="false">IFERROR(AW366*(1-AW367),"n/a")</f>
        <v>542.639236052335</v>
      </c>
      <c r="BB368" s="43" t="n">
        <f aca="false">IFERROR(BB366*(1-BB367),"n/a")</f>
        <v>893.644048964532</v>
      </c>
      <c r="BG368" s="43" t="n">
        <f aca="false">IFERROR(BG366*(1-BG367),"n/a")</f>
        <v>1030.3270676443</v>
      </c>
      <c r="BL368" s="43" t="n">
        <f aca="false">IFERROR(BL366*(1-BL367),"n/a")</f>
        <v>439.120330588046</v>
      </c>
      <c r="BQ368" s="43" t="n">
        <f aca="false">IFERROR(BQ366*(1-BQ367),"n/a")</f>
        <v>610.529685240433</v>
      </c>
      <c r="BV368" s="43" t="n">
        <f aca="false">IFERROR(BV366*(1-BV367),"n/a")</f>
        <v>677.505793940677</v>
      </c>
      <c r="BY368" s="6"/>
      <c r="BZ368" s="6"/>
      <c r="CA368" s="49" t="n">
        <f aca="false">IFERROR(CA366*(1-CA367),"n/a")</f>
        <v>811.62</v>
      </c>
      <c r="CB368" s="49" t="n">
        <f aca="false">IFERROR(CB366*(1-CB367),"n/a")</f>
        <v>878.36530267944</v>
      </c>
      <c r="CC368" s="49" t="n">
        <f aca="false">IFERROR(CC366*(1-CC367),"n/a")</f>
        <v>955.319326079003</v>
      </c>
      <c r="CD368" s="49" t="n">
        <f aca="false">IFERROR(CD366*(1-CD367),"n/a")</f>
        <v>1026.7634441022</v>
      </c>
      <c r="CE368" s="49" t="n">
        <f aca="false">IFERROR(CE366*(1-CE367),"n/a")</f>
        <v>1089.36886625351</v>
      </c>
    </row>
    <row r="369" customFormat="false" ht="15" hidden="false" customHeight="false" outlineLevel="0" collapsed="false">
      <c r="B369" s="28" t="s">
        <v>485</v>
      </c>
      <c r="C369" s="43" t="n">
        <f aca="false">IFERROR(C370+C371,"n/a")</f>
        <v>470.363</v>
      </c>
      <c r="D369" s="43" t="n">
        <f aca="false">IFERROR(D370+D371,"n/a")</f>
        <v>587.522</v>
      </c>
      <c r="E369" s="43" t="n">
        <f aca="false">IFERROR(E370+E371,"n/a")</f>
        <v>609.834</v>
      </c>
      <c r="F369" s="43" t="n">
        <f aca="false">IFERROR(F370+F371,"n/a")</f>
        <v>694.282</v>
      </c>
      <c r="G369" s="43" t="n">
        <f aca="false">IFERROR(G370+G371,"n/a")</f>
        <v>796.171</v>
      </c>
      <c r="H369" s="43" t="n">
        <f aca="false">IFERROR(H370+H371,"n/a")</f>
        <v>874.805</v>
      </c>
      <c r="I369" s="43" t="n">
        <f aca="false">IFERROR(I370+I371,"n/a")</f>
        <v>1547.999</v>
      </c>
      <c r="N369" s="43" t="n">
        <f aca="false">IFERROR(N370+N371,"n/a")</f>
        <v>1652.677</v>
      </c>
      <c r="S369" s="43" t="n">
        <f aca="false">IFERROR(S370+S371,"n/a")</f>
        <v>2023.075</v>
      </c>
      <c r="X369" s="43" t="n">
        <f aca="false">IFERROR(X370+X371,"n/a")</f>
        <v>1919.576</v>
      </c>
      <c r="AC369" s="43" t="n">
        <f aca="false">IFERROR(AC370+AC371,"n/a")</f>
        <v>2250.181</v>
      </c>
      <c r="AH369" s="43" t="n">
        <f aca="false">IFERROR(AH370+AH371,"n/a")</f>
        <v>2556.855</v>
      </c>
      <c r="AM369" s="43" t="n">
        <f aca="false">IFERROR(AM370+AM371,"n/a")</f>
        <v>2562.824</v>
      </c>
      <c r="AR369" s="43" t="n">
        <f aca="false">IFERROR(AR370+AR371,"n/a")</f>
        <v>2458.205</v>
      </c>
      <c r="AW369" s="43" t="n">
        <f aca="false">IFERROR(AW370+AW371,"n/a")</f>
        <v>2729.438</v>
      </c>
      <c r="BB369" s="43" t="n">
        <f aca="false">IFERROR(BB370+BB371,"n/a")</f>
        <v>3683.17</v>
      </c>
      <c r="BG369" s="43" t="n">
        <f aca="false">IFERROR(BG370+BG371,"n/a")</f>
        <v>3109.644</v>
      </c>
      <c r="BL369" s="43" t="n">
        <f aca="false">IFERROR(BL370+BL371,"n/a")</f>
        <v>2853.66</v>
      </c>
      <c r="BQ369" s="43" t="n">
        <f aca="false">IFERROR(BQ370+BQ371,"n/a")</f>
        <v>2953.938</v>
      </c>
      <c r="BV369" s="43" t="n">
        <f aca="false">IFERROR(BV370+BV371,"n/a")</f>
        <v>2774.214</v>
      </c>
      <c r="BY369" s="6"/>
      <c r="BZ369" s="6"/>
      <c r="CA369" s="49" t="n">
        <f aca="false">IFERROR(CA370+CA371,"n/a")</f>
        <v>2956.68799460261</v>
      </c>
      <c r="CB369" s="49" t="n">
        <f aca="false">IFERROR(CB370+CB371,"n/a")</f>
        <v>2928.26623512234</v>
      </c>
      <c r="CC369" s="49" t="n">
        <f aca="false">IFERROR(CC370+CC371,"n/a")</f>
        <v>3033.26179621181</v>
      </c>
      <c r="CD369" s="49" t="n">
        <f aca="false">IFERROR(CD370+CD371,"n/a")</f>
        <v>3185.25531832366</v>
      </c>
      <c r="CE369" s="49" t="n">
        <f aca="false">IFERROR(CE370+CE371,"n/a")</f>
        <v>3364.36129355031</v>
      </c>
    </row>
    <row r="370" customFormat="false" ht="15" hidden="false" customHeight="false" outlineLevel="0" collapsed="false">
      <c r="B370" s="28" t="s">
        <v>486</v>
      </c>
      <c r="C370" s="43" t="n">
        <f aca="false">C306</f>
        <v>943.722</v>
      </c>
      <c r="D370" s="43" t="n">
        <f aca="false">D306</f>
        <v>1042.249</v>
      </c>
      <c r="E370" s="43" t="n">
        <f aca="false">E306</f>
        <v>1107.221</v>
      </c>
      <c r="F370" s="43" t="n">
        <f aca="false">F306</f>
        <v>1079.9</v>
      </c>
      <c r="G370" s="43" t="n">
        <f aca="false">G306</f>
        <v>1204.068</v>
      </c>
      <c r="H370" s="43" t="n">
        <f aca="false">H306</f>
        <v>1248.474</v>
      </c>
      <c r="I370" s="43" t="n">
        <f aca="false">I306</f>
        <v>1504.372</v>
      </c>
      <c r="N370" s="43" t="n">
        <f aca="false">N306</f>
        <v>939.724</v>
      </c>
      <c r="S370" s="43" t="n">
        <f aca="false">S306</f>
        <v>1047.015</v>
      </c>
      <c r="X370" s="43" t="n">
        <f aca="false">X306</f>
        <v>1137.805</v>
      </c>
      <c r="AC370" s="43" t="n">
        <f aca="false">AC306</f>
        <v>1257.847</v>
      </c>
      <c r="AH370" s="43" t="n">
        <f aca="false">AH306</f>
        <v>1425.745</v>
      </c>
      <c r="AM370" s="43" t="n">
        <f aca="false">AM306</f>
        <v>1595.087</v>
      </c>
      <c r="AR370" s="43" t="n">
        <f aca="false">AR306</f>
        <v>1670.73</v>
      </c>
      <c r="AW370" s="43" t="n">
        <f aca="false">AW306</f>
        <v>1879.933</v>
      </c>
      <c r="BB370" s="43" t="n">
        <f aca="false">BB306</f>
        <v>2021.934</v>
      </c>
      <c r="BG370" s="43" t="n">
        <f aca="false">BG306</f>
        <v>1353.422</v>
      </c>
      <c r="BL370" s="43" t="n">
        <f aca="false">BL306</f>
        <v>1418.697</v>
      </c>
      <c r="BQ370" s="43" t="n">
        <f aca="false">BQ306</f>
        <v>1722.051</v>
      </c>
      <c r="BV370" s="43" t="n">
        <f aca="false">BV306</f>
        <v>1845.647</v>
      </c>
      <c r="BY370" s="6"/>
      <c r="BZ370" s="6"/>
      <c r="CA370" s="49" t="n">
        <f aca="false">CA306</f>
        <v>1665.03448899322</v>
      </c>
      <c r="CB370" s="49" t="n">
        <f aca="false">CB306</f>
        <v>1423.23146671737</v>
      </c>
      <c r="CC370" s="49" t="n">
        <f aca="false">CC306</f>
        <v>1398.33327262221</v>
      </c>
      <c r="CD370" s="49" t="n">
        <f aca="false">CD306</f>
        <v>1426.96878753403</v>
      </c>
      <c r="CE370" s="49" t="n">
        <f aca="false">CE306</f>
        <v>1495.21590823229</v>
      </c>
    </row>
    <row r="371" customFormat="false" ht="15" hidden="false" customHeight="false" outlineLevel="0" collapsed="false">
      <c r="B371" s="28" t="s">
        <v>487</v>
      </c>
      <c r="C371" s="43" t="n">
        <f aca="false">N(C338)-C276-N(C277)</f>
        <v>-473.359</v>
      </c>
      <c r="D371" s="43" t="n">
        <f aca="false">N(D338)-D276-N(D277)</f>
        <v>-454.727</v>
      </c>
      <c r="E371" s="43" t="n">
        <f aca="false">N(E338)-E276-N(E277)</f>
        <v>-497.387</v>
      </c>
      <c r="F371" s="43" t="n">
        <f aca="false">N(F338)-F276-N(F277)</f>
        <v>-385.618</v>
      </c>
      <c r="G371" s="43" t="n">
        <f aca="false">N(G338)-G276-N(G277)</f>
        <v>-407.897</v>
      </c>
      <c r="H371" s="43" t="n">
        <f aca="false">N(H338)-H276-N(H277)</f>
        <v>-373.669</v>
      </c>
      <c r="I371" s="43" t="n">
        <f aca="false">N(I338)-I276-N(I277)</f>
        <v>43.627</v>
      </c>
      <c r="N371" s="43" t="n">
        <f aca="false">N(N338)-N276-N(N277)</f>
        <v>712.953</v>
      </c>
      <c r="S371" s="43" t="n">
        <f aca="false">N(S338)-S276-N(S277)</f>
        <v>976.06</v>
      </c>
      <c r="X371" s="43" t="n">
        <f aca="false">N(X338)-X276-N(X277)</f>
        <v>781.771</v>
      </c>
      <c r="AC371" s="43" t="n">
        <f aca="false">N(AC338)-AC276-N(AC277)</f>
        <v>992.334</v>
      </c>
      <c r="AH371" s="43" t="n">
        <f aca="false">N(AH338)-AH276-N(AH277)</f>
        <v>1131.11</v>
      </c>
      <c r="AM371" s="43" t="n">
        <f aca="false">N(AM338)-AM276-N(AM277)</f>
        <v>967.737</v>
      </c>
      <c r="AR371" s="43" t="n">
        <f aca="false">N(AR338)-AR276-N(AR277)</f>
        <v>787.475</v>
      </c>
      <c r="AW371" s="43" t="n">
        <f aca="false">N(AW338)-AW276-N(AW277)</f>
        <v>849.505</v>
      </c>
      <c r="BB371" s="43" t="n">
        <f aca="false">N(BB338)-BB276-N(BB277)</f>
        <v>1661.236</v>
      </c>
      <c r="BG371" s="43" t="n">
        <f aca="false">N(BG338)-BG276-N(BG277)</f>
        <v>1756.222</v>
      </c>
      <c r="BL371" s="43" t="n">
        <f aca="false">N(BL338)-BL276-N(BL277)</f>
        <v>1434.963</v>
      </c>
      <c r="BQ371" s="43" t="n">
        <f aca="false">N(BQ338)-BQ276-N(BQ277)</f>
        <v>1231.887</v>
      </c>
      <c r="BV371" s="43" t="n">
        <f aca="false">N(BV338)-BV276-N(BV277)</f>
        <v>928.567</v>
      </c>
      <c r="BY371" s="6"/>
      <c r="BZ371" s="6"/>
      <c r="CA371" s="49" t="n">
        <f aca="false">CA338-CA276</f>
        <v>1291.65350560939</v>
      </c>
      <c r="CB371" s="49" t="n">
        <f aca="false">CB338-CB276</f>
        <v>1505.03476840497</v>
      </c>
      <c r="CC371" s="49" t="n">
        <f aca="false">CC338-CC276</f>
        <v>1634.9285235896</v>
      </c>
      <c r="CD371" s="49" t="n">
        <f aca="false">CD338-CD276</f>
        <v>1758.28653078962</v>
      </c>
      <c r="CE371" s="49" t="n">
        <f aca="false">CE338-CE276</f>
        <v>1869.14538531802</v>
      </c>
    </row>
    <row r="372" customFormat="false" ht="15" hidden="false" customHeight="false" outlineLevel="0" collapsed="false">
      <c r="B372" s="51" t="s">
        <v>488</v>
      </c>
      <c r="C372" s="68" t="n">
        <f aca="false">IFERROR(C368/C369,"n/a")</f>
        <v>0.551846235417976</v>
      </c>
      <c r="D372" s="68" t="n">
        <f aca="false">IFERROR(D368/D369,"n/a")</f>
        <v>0.537332716652674</v>
      </c>
      <c r="E372" s="68" t="n">
        <f aca="false">IFERROR(E368/E369,"n/a")</f>
        <v>0.582049532501654</v>
      </c>
      <c r="F372" s="68" t="n">
        <f aca="false">IFERROR(F368/F369,"n/a")</f>
        <v>0.517724879077742</v>
      </c>
      <c r="G372" s="68" t="n">
        <f aca="false">IFERROR(G368/G369,"n/a")</f>
        <v>0.485141753847719</v>
      </c>
      <c r="H372" s="68" t="n">
        <f aca="false">IFERROR(H368/H369,"n/a")</f>
        <v>0.491978870013026</v>
      </c>
      <c r="I372" s="68" t="n">
        <f aca="false">IFERROR(I368/I369,"n/a")</f>
        <v>0.2702757963445</v>
      </c>
      <c r="J372" s="64"/>
      <c r="K372" s="64"/>
      <c r="L372" s="64"/>
      <c r="M372" s="64"/>
      <c r="N372" s="68" t="n">
        <f aca="false">IFERROR(N368/N369,"n/a")</f>
        <v>0.255126311080919</v>
      </c>
      <c r="O372" s="64"/>
      <c r="P372" s="64"/>
      <c r="Q372" s="64"/>
      <c r="R372" s="64"/>
      <c r="S372" s="68" t="n">
        <f aca="false">IFERROR(S368/S369,"n/a")</f>
        <v>0.229968650326492</v>
      </c>
      <c r="T372" s="64"/>
      <c r="U372" s="64"/>
      <c r="V372" s="64"/>
      <c r="W372" s="64"/>
      <c r="X372" s="68" t="n">
        <f aca="false">IFERROR(X368/X369,"n/a")</f>
        <v>0.276992741272064</v>
      </c>
      <c r="Y372" s="64"/>
      <c r="Z372" s="64"/>
      <c r="AA372" s="64"/>
      <c r="AB372" s="64"/>
      <c r="AC372" s="68" t="n">
        <f aca="false">IFERROR(AC368/AC369,"n/a")</f>
        <v>0.23534039648587</v>
      </c>
      <c r="AD372" s="64"/>
      <c r="AE372" s="64"/>
      <c r="AF372" s="64"/>
      <c r="AG372" s="64"/>
      <c r="AH372" s="68" t="n">
        <f aca="false">IFERROR(AH368/AH369,"n/a")</f>
        <v>0.210113585728877</v>
      </c>
      <c r="AI372" s="64"/>
      <c r="AJ372" s="64"/>
      <c r="AK372" s="64"/>
      <c r="AL372" s="64"/>
      <c r="AM372" s="68" t="n">
        <f aca="false">IFERROR(AM368/AM369,"n/a")</f>
        <v>0.268655942060832</v>
      </c>
      <c r="AN372" s="64"/>
      <c r="AO372" s="64"/>
      <c r="AP372" s="64"/>
      <c r="AQ372" s="64"/>
      <c r="AR372" s="68" t="n">
        <f aca="false">IFERROR(AR368/AR369,"n/a")</f>
        <v>0.247966420914881</v>
      </c>
      <c r="AS372" s="64"/>
      <c r="AT372" s="64"/>
      <c r="AU372" s="64"/>
      <c r="AV372" s="64"/>
      <c r="AW372" s="68" t="n">
        <f aca="false">IFERROR(AW368/AW369,"n/a")</f>
        <v>0.198809878096639</v>
      </c>
      <c r="AX372" s="64"/>
      <c r="AY372" s="64"/>
      <c r="AZ372" s="64"/>
      <c r="BA372" s="64"/>
      <c r="BB372" s="68" t="n">
        <f aca="false">IFERROR(BB368/BB369,"n/a")</f>
        <v>0.2426290529529</v>
      </c>
      <c r="BC372" s="64"/>
      <c r="BD372" s="64"/>
      <c r="BE372" s="64"/>
      <c r="BF372" s="64"/>
      <c r="BG372" s="68" t="n">
        <f aca="false">IFERROR(BG368/BG369,"n/a")</f>
        <v>0.331332804541066</v>
      </c>
      <c r="BH372" s="64"/>
      <c r="BI372" s="64"/>
      <c r="BJ372" s="64"/>
      <c r="BK372" s="64"/>
      <c r="BL372" s="68" t="n">
        <f aca="false">IFERROR(BL368/BL369,"n/a")</f>
        <v>0.153879695054087</v>
      </c>
      <c r="BM372" s="64"/>
      <c r="BN372" s="64"/>
      <c r="BO372" s="64"/>
      <c r="BP372" s="64"/>
      <c r="BQ372" s="68" t="n">
        <f aca="false">IFERROR(BQ368/BQ369,"n/a")</f>
        <v>0.206683310631581</v>
      </c>
      <c r="BR372" s="64"/>
      <c r="BS372" s="64"/>
      <c r="BT372" s="64"/>
      <c r="BU372" s="64"/>
      <c r="BV372" s="68" t="n">
        <f aca="false">IFERROR(BV368/BV369,"n/a")</f>
        <v>0.244215404413891</v>
      </c>
      <c r="BW372" s="64"/>
      <c r="BX372" s="64"/>
      <c r="BY372" s="64"/>
      <c r="BZ372" s="64"/>
      <c r="CA372" s="68" t="n">
        <f aca="false">IFERROR(CA368/CA369,"n/a")</f>
        <v>0.274503093150715</v>
      </c>
      <c r="CB372" s="68" t="n">
        <f aca="false">IFERROR(CB368/CB369,"n/a")</f>
        <v>0.299960875190961</v>
      </c>
      <c r="CC372" s="68" t="n">
        <f aca="false">IFERROR(CC368/CC369,"n/a")</f>
        <v>0.31494786479429</v>
      </c>
      <c r="CD372" s="68" t="n">
        <f aca="false">IFERROR(CD368/CD369,"n/a")</f>
        <v>0.32234886735628</v>
      </c>
      <c r="CE372" s="68" t="n">
        <f aca="false">IFERROR(CE368/CE369,"n/a")</f>
        <v>0.323796635141981</v>
      </c>
      <c r="CF372" s="6"/>
    </row>
    <row r="373" customFormat="false" ht="15" hidden="false" customHeight="false" outlineLevel="0" collapsed="false">
      <c r="B373" s="25" t="s">
        <v>489</v>
      </c>
      <c r="C373" s="26" t="n">
        <f aca="false">IFERROR(C366/C133,"n/a")</f>
        <v>0.385984311030314</v>
      </c>
      <c r="D373" s="26" t="n">
        <f aca="false">IFERROR(D366/D133,"n/a")</f>
        <v>0.409786955549945</v>
      </c>
      <c r="E373" s="26" t="n">
        <f aca="false">IFERROR(E366/E133,"n/a")</f>
        <v>0.41571009547166</v>
      </c>
      <c r="F373" s="26" t="n">
        <f aca="false">IFERROR(F366/F133,"n/a")</f>
        <v>0.423175361931866</v>
      </c>
      <c r="G373" s="26" t="n">
        <f aca="false">IFERROR(G366/G133,"n/a")</f>
        <v>0.424297911821567</v>
      </c>
      <c r="H373" s="26" t="n">
        <f aca="false">IFERROR(H366/H133,"n/a")</f>
        <v>0.424295841505079</v>
      </c>
      <c r="I373" s="26" t="n">
        <f aca="false">IFERROR(I366/I133,"n/a")</f>
        <v>0.393183163898319</v>
      </c>
      <c r="N373" s="26" t="n">
        <f aca="false">IFERROR(N366/N133,"n/a")</f>
        <v>0.371794487757986</v>
      </c>
      <c r="S373" s="26" t="n">
        <f aca="false">IFERROR(S366/S133,"n/a")</f>
        <v>0.372782733262537</v>
      </c>
      <c r="X373" s="26" t="n">
        <f aca="false">IFERROR(X366/X133,"n/a")</f>
        <v>0.378363485682042</v>
      </c>
      <c r="AC373" s="26" t="n">
        <f aca="false">IFERROR(AC366/AC133,"n/a")</f>
        <v>0.36773686207151</v>
      </c>
      <c r="AH373" s="26" t="n">
        <f aca="false">IFERROR(AH366/AH133,"n/a")</f>
        <v>0.32732374738709</v>
      </c>
      <c r="AM373" s="26" t="n">
        <f aca="false">IFERROR(AM366/AM133,"n/a")</f>
        <v>0.337154812798148</v>
      </c>
      <c r="AR373" s="26" t="n">
        <f aca="false">IFERROR(AR366/AR133,"n/a")</f>
        <v>0.303202632321725</v>
      </c>
      <c r="AW373" s="26" t="n">
        <f aca="false">IFERROR(AW366/AW133,"n/a")</f>
        <v>0.279102931404075</v>
      </c>
      <c r="BB373" s="26" t="n">
        <f aca="false">IFERROR(BB366/BB133,"n/a")</f>
        <v>0.343298682238985</v>
      </c>
      <c r="BG373" s="26" t="n">
        <f aca="false">IFERROR(BG366/BG133,"n/a")</f>
        <v>0.355721413111572</v>
      </c>
      <c r="BL373" s="26" t="n">
        <f aca="false">IFERROR(BL366/BL133,"n/a")</f>
        <v>0.212180873283043</v>
      </c>
      <c r="BQ373" s="26" t="n">
        <f aca="false">IFERROR(BQ366/BQ133,"n/a")</f>
        <v>0.274627542573021</v>
      </c>
      <c r="BV373" s="26" t="n">
        <f aca="false">IFERROR(BV366/BV133,"n/a")</f>
        <v>0.305462719049172</v>
      </c>
      <c r="BY373" s="6"/>
      <c r="BZ373" s="6"/>
      <c r="CA373" s="27" t="n">
        <f aca="false">IFERROR(CA366/CA133,"n/a")</f>
        <v>0.349139768310631</v>
      </c>
      <c r="CB373" s="27" t="n">
        <f aca="false">IFERROR(CB366/CB133,"n/a")</f>
        <v>0.362289546347529</v>
      </c>
      <c r="CC373" s="27" t="n">
        <f aca="false">IFERROR(CC366/CC133,"n/a")</f>
        <v>0.370956928428504</v>
      </c>
      <c r="CD373" s="27" t="n">
        <f aca="false">IFERROR(CD366/CD133,"n/a")</f>
        <v>0.376624376920453</v>
      </c>
      <c r="CE373" s="27" t="n">
        <f aca="false">IFERROR(CE366/CE133,"n/a")</f>
        <v>0.377006487348014</v>
      </c>
    </row>
    <row r="374" customFormat="false" ht="15" hidden="false" customHeight="false" outlineLevel="0" collapsed="false">
      <c r="B374" s="28" t="s">
        <v>490</v>
      </c>
      <c r="C374" s="65" t="n">
        <f aca="false">IFERROR(C133/C369,"n/a")</f>
        <v>2.30150755905546</v>
      </c>
      <c r="D374" s="65" t="n">
        <f aca="false">IFERROR(D133/D369,"n/a")</f>
        <v>2.11698966166373</v>
      </c>
      <c r="E374" s="65" t="n">
        <f aca="false">IFERROR(E133/E369,"n/a")</f>
        <v>2.25465126575429</v>
      </c>
      <c r="F374" s="65" t="n">
        <f aca="false">IFERROR(F133/F369,"n/a")</f>
        <v>1.99048657461953</v>
      </c>
      <c r="G374" s="65" t="n">
        <f aca="false">IFERROR(G133/G369,"n/a")</f>
        <v>1.84379737518699</v>
      </c>
      <c r="H374" s="65" t="n">
        <f aca="false">IFERROR(H133/H369,"n/a")</f>
        <v>1.86631077783049</v>
      </c>
      <c r="I374" s="65" t="n">
        <f aca="false">IFERROR(I133/I369,"n/a")</f>
        <v>1.10954270642294</v>
      </c>
      <c r="N374" s="65" t="n">
        <f aca="false">IFERROR(N133/N369,"n/a")</f>
        <v>1.11098236376497</v>
      </c>
      <c r="S374" s="65" t="n">
        <f aca="false">IFERROR(S133/S369,"n/a")</f>
        <v>0.992376456631612</v>
      </c>
      <c r="X374" s="65" t="n">
        <f aca="false">IFERROR(X133/X369,"n/a")</f>
        <v>1.1817609722147</v>
      </c>
      <c r="AC374" s="65" t="n">
        <f aca="false">IFERROR(AC133/AC369,"n/a")</f>
        <v>1.01215324456122</v>
      </c>
      <c r="AH374" s="65" t="n">
        <f aca="false">IFERROR(AH133/AH369,"n/a")</f>
        <v>0.926157330001114</v>
      </c>
      <c r="AM374" s="65" t="n">
        <f aca="false">IFERROR(AM133/AM369,"n/a")</f>
        <v>1.05556799842674</v>
      </c>
      <c r="AR374" s="65" t="n">
        <f aca="false">IFERROR(AR133/AR369,"n/a")</f>
        <v>1.05211322896178</v>
      </c>
      <c r="AW374" s="65" t="n">
        <f aca="false">IFERROR(AW133/AW369,"n/a")</f>
        <v>0.883792560959436</v>
      </c>
      <c r="BB374" s="65" t="n">
        <f aca="false">IFERROR(BB133/BB369,"n/a")</f>
        <v>0.855808719119671</v>
      </c>
      <c r="BG374" s="65" t="n">
        <f aca="false">IFERROR(BG133/BG369,"n/a")</f>
        <v>1.15549464826199</v>
      </c>
      <c r="BL374" s="65" t="n">
        <f aca="false">IFERROR(BL133/BL369,"n/a")</f>
        <v>0.912725412277566</v>
      </c>
      <c r="BQ374" s="65" t="n">
        <f aca="false">IFERROR(BQ133/BQ369,"n/a")</f>
        <v>0.936043342818976</v>
      </c>
      <c r="BV374" s="65" t="n">
        <f aca="false">IFERROR(BV133/BV369,"n/a")</f>
        <v>0.983849839990714</v>
      </c>
      <c r="BY374" s="6"/>
      <c r="BZ374" s="6"/>
      <c r="CA374" s="66" t="n">
        <f aca="false">IFERROR(CA133/CA369,"n/a")</f>
        <v>0.970650548441566</v>
      </c>
      <c r="CB374" s="66" t="n">
        <f aca="false">IFERROR(CB133/CB369,"n/a")</f>
        <v>1.03494869716453</v>
      </c>
      <c r="CC374" s="66" t="n">
        <f aca="false">IFERROR(CC133/CC369,"n/a")</f>
        <v>1.06126830589373</v>
      </c>
      <c r="CD374" s="66" t="n">
        <f aca="false">IFERROR(CD133/CD369,"n/a")</f>
        <v>1.06986193376552</v>
      </c>
      <c r="CE374" s="66" t="n">
        <f aca="false">IFERROR(CE133/CE369,"n/a")</f>
        <v>1.07357779643154</v>
      </c>
    </row>
    <row r="375" customFormat="false" ht="15" hidden="false" customHeight="false" outlineLevel="0" collapsed="false">
      <c r="B375" s="25" t="s">
        <v>491</v>
      </c>
      <c r="C375" s="26" t="n">
        <f aca="false">IFERROR(1-C367,"n/a")</f>
        <v>0.621206549868743</v>
      </c>
      <c r="D375" s="26" t="n">
        <f aca="false">IFERROR(1-D367,"n/a")</f>
        <v>0.619393177641858</v>
      </c>
      <c r="E375" s="26" t="n">
        <f aca="false">IFERROR(1-E367,"n/a")</f>
        <v>0.620997705688406</v>
      </c>
      <c r="F375" s="26" t="n">
        <f aca="false">IFERROR(1-F367,"n/a")</f>
        <v>0.614638001843079</v>
      </c>
      <c r="G375" s="26" t="n">
        <f aca="false">IFERROR(1-G367,"n/a")</f>
        <v>0.620132606529062</v>
      </c>
      <c r="H375" s="26" t="n">
        <f aca="false">IFERROR(1-H367,"n/a")</f>
        <v>0.621289066998319</v>
      </c>
      <c r="I375" s="26" t="n">
        <f aca="false">IFERROR(1-I367,"n/a")</f>
        <v>0.61953838545503</v>
      </c>
      <c r="N375" s="26" t="n">
        <f aca="false">IFERROR(1-N367,"n/a")</f>
        <v>0.61765382907534</v>
      </c>
      <c r="S375" s="26" t="n">
        <f aca="false">IFERROR(1-S367,"n/a")</f>
        <v>0.621636341268206</v>
      </c>
      <c r="X375" s="26" t="n">
        <f aca="false">IFERROR(1-X367,"n/a")</f>
        <v>0.619483191760626</v>
      </c>
      <c r="AC375" s="26" t="n">
        <f aca="false">IFERROR(1-AC367,"n/a")</f>
        <v>0.632285239238871</v>
      </c>
      <c r="AH375" s="26" t="n">
        <f aca="false">IFERROR(1-AH367,"n/a")</f>
        <v>0.693093540783814</v>
      </c>
      <c r="AM375" s="26" t="n">
        <f aca="false">IFERROR(1-AM367,"n/a")</f>
        <v>0.754885132226025</v>
      </c>
      <c r="AR375" s="26" t="n">
        <f aca="false">IFERROR(1-AR367,"n/a")</f>
        <v>0.777315673681757</v>
      </c>
      <c r="AW375" s="26" t="n">
        <f aca="false">IFERROR(1-AW367,"n/a")</f>
        <v>0.805978059334968</v>
      </c>
      <c r="BB375" s="26" t="n">
        <f aca="false">IFERROR(1-BB367,"n/a")</f>
        <v>0.825836283406584</v>
      </c>
      <c r="BG375" s="26" t="n">
        <f aca="false">IFERROR(1-BG367,"n/a")</f>
        <v>0.806095486237588</v>
      </c>
      <c r="BL375" s="26" t="n">
        <f aca="false">IFERROR(1-BL367,"n/a")</f>
        <v>0.794575083213991</v>
      </c>
      <c r="BQ375" s="26" t="n">
        <f aca="false">IFERROR(1-BQ367,"n/a")</f>
        <v>0.804017237450017</v>
      </c>
      <c r="BV375" s="26" t="n">
        <f aca="false">IFERROR(1-BV367,"n/a")</f>
        <v>0.812617221509377</v>
      </c>
      <c r="BY375" s="6"/>
      <c r="BZ375" s="6"/>
      <c r="CA375" s="27" t="n">
        <f aca="false">IFERROR(1-CA367,"n/a")</f>
        <v>0.81</v>
      </c>
      <c r="CB375" s="27" t="n">
        <f aca="false">IFERROR(1-CB367,"n/a")</f>
        <v>0.8</v>
      </c>
      <c r="CC375" s="27" t="n">
        <f aca="false">IFERROR(1-CC367,"n/a")</f>
        <v>0.8</v>
      </c>
      <c r="CD375" s="27" t="n">
        <f aca="false">IFERROR(1-CD367,"n/a")</f>
        <v>0.8</v>
      </c>
      <c r="CE375" s="27" t="n">
        <f aca="false">IFERROR(1-CE367,"n/a")</f>
        <v>0.8</v>
      </c>
    </row>
    <row r="376" customFormat="false" ht="15" hidden="false" customHeight="false" outlineLevel="0" collapsed="false">
      <c r="B376" s="25" t="s">
        <v>492</v>
      </c>
      <c r="C376" s="26" t="n">
        <f aca="false">IFERROR(C373*C374*C375,"n/a")</f>
        <v>0.551846235417976</v>
      </c>
      <c r="D376" s="26" t="n">
        <f aca="false">IFERROR(D373*D374*D375,"n/a")</f>
        <v>0.537332716652674</v>
      </c>
      <c r="E376" s="26" t="n">
        <f aca="false">IFERROR(E373*E374*E375,"n/a")</f>
        <v>0.582049532501654</v>
      </c>
      <c r="F376" s="26" t="n">
        <f aca="false">IFERROR(F373*F374*F375,"n/a")</f>
        <v>0.517724879077742</v>
      </c>
      <c r="G376" s="26" t="n">
        <f aca="false">IFERROR(G373*G374*G375,"n/a")</f>
        <v>0.485141753847719</v>
      </c>
      <c r="H376" s="26" t="n">
        <f aca="false">IFERROR(H373*H374*H375,"n/a")</f>
        <v>0.491978870013026</v>
      </c>
      <c r="I376" s="26" t="n">
        <f aca="false">IFERROR(I373*I374*I375,"n/a")</f>
        <v>0.2702757963445</v>
      </c>
      <c r="N376" s="26" t="n">
        <f aca="false">IFERROR(N373*N374*N375,"n/a")</f>
        <v>0.255126311080919</v>
      </c>
      <c r="S376" s="26" t="n">
        <f aca="false">IFERROR(S373*S374*S375,"n/a")</f>
        <v>0.229968650326492</v>
      </c>
      <c r="X376" s="26" t="n">
        <f aca="false">IFERROR(X373*X374*X375,"n/a")</f>
        <v>0.276992741272064</v>
      </c>
      <c r="AC376" s="26" t="n">
        <f aca="false">IFERROR(AC373*AC374*AC375,"n/a")</f>
        <v>0.23534039648587</v>
      </c>
      <c r="AH376" s="26" t="n">
        <f aca="false">IFERROR(AH373*AH374*AH375,"n/a")</f>
        <v>0.210113585728877</v>
      </c>
      <c r="AM376" s="26" t="n">
        <f aca="false">IFERROR(AM373*AM374*AM375,"n/a")</f>
        <v>0.268655942060832</v>
      </c>
      <c r="AR376" s="26" t="n">
        <f aca="false">IFERROR(AR373*AR374*AR375,"n/a")</f>
        <v>0.247966420914881</v>
      </c>
      <c r="AW376" s="26" t="n">
        <f aca="false">IFERROR(AW373*AW374*AW375,"n/a")</f>
        <v>0.198809878096639</v>
      </c>
      <c r="BB376" s="26" t="n">
        <f aca="false">IFERROR(BB373*BB374*BB375,"n/a")</f>
        <v>0.2426290529529</v>
      </c>
      <c r="BG376" s="26" t="n">
        <f aca="false">IFERROR(BG373*BG374*BG375,"n/a")</f>
        <v>0.331332804541066</v>
      </c>
      <c r="BL376" s="26" t="n">
        <f aca="false">IFERROR(BL373*BL374*BL375,"n/a")</f>
        <v>0.153879695054087</v>
      </c>
      <c r="BQ376" s="26" t="n">
        <f aca="false">IFERROR(BQ373*BQ374*BQ375,"n/a")</f>
        <v>0.206683310631581</v>
      </c>
      <c r="BV376" s="26" t="n">
        <f aca="false">IFERROR(BV373*BV374*BV375,"n/a")</f>
        <v>0.244215404413891</v>
      </c>
      <c r="BY376" s="6"/>
      <c r="BZ376" s="6"/>
      <c r="CA376" s="27" t="n">
        <f aca="false">IFERROR(CA373*CA374*CA375,"n/a")</f>
        <v>0.274503093150715</v>
      </c>
      <c r="CB376" s="27" t="n">
        <f aca="false">IFERROR(CB373*CB374*CB375,"n/a")</f>
        <v>0.299960875190961</v>
      </c>
      <c r="CC376" s="27" t="n">
        <f aca="false">IFERROR(CC373*CC374*CC375,"n/a")</f>
        <v>0.31494786479429</v>
      </c>
      <c r="CD376" s="27" t="n">
        <f aca="false">IFERROR(CD373*CD374*CD375,"n/a")</f>
        <v>0.32234886735628</v>
      </c>
      <c r="CE376" s="27" t="n">
        <f aca="false">IFERROR(CE373*CE374*CE375,"n/a")</f>
        <v>0.323796635141981</v>
      </c>
    </row>
    <row r="377" customFormat="false" ht="15" hidden="false" customHeight="false" outlineLevel="0" collapsed="false">
      <c r="B377" s="28" t="s">
        <v>493</v>
      </c>
    </row>
    <row r="378" customFormat="false" ht="15" hidden="false" customHeight="false" outlineLevel="0" collapsed="false">
      <c r="B378" s="28" t="s">
        <v>484</v>
      </c>
      <c r="C378" s="43" t="n">
        <f aca="false">C368</f>
        <v>259.568050829905</v>
      </c>
      <c r="D378" s="43" t="n">
        <f aca="false">D368</f>
        <v>315.694792353212</v>
      </c>
      <c r="E378" s="43" t="n">
        <f aca="false">E368</f>
        <v>354.953594603614</v>
      </c>
      <c r="F378" s="43" t="n">
        <f aca="false">F368</f>
        <v>359.447064495853</v>
      </c>
      <c r="G378" s="43" t="n">
        <f aca="false">G368</f>
        <v>386.255795302692</v>
      </c>
      <c r="H378" s="43" t="n">
        <f aca="false">H368</f>
        <v>430.385575381745</v>
      </c>
      <c r="I378" s="43" t="n">
        <f aca="false">I368</f>
        <v>418.38666246549</v>
      </c>
      <c r="N378" s="43" t="n">
        <f aca="false">N368</f>
        <v>421.64138641828</v>
      </c>
      <c r="S378" s="43" t="n">
        <f aca="false">S368</f>
        <v>465.243827259267</v>
      </c>
      <c r="X378" s="43" t="n">
        <f aca="false">X368</f>
        <v>531.708618320063</v>
      </c>
      <c r="AC378" s="43" t="n">
        <f aca="false">AC368</f>
        <v>529.558488704972</v>
      </c>
      <c r="AH378" s="43" t="n">
        <f aca="false">AH368</f>
        <v>537.229972238807</v>
      </c>
      <c r="AM378" s="43" t="n">
        <f aca="false">AM368</f>
        <v>688.517896056109</v>
      </c>
      <c r="AR378" s="43" t="n">
        <f aca="false">AR368</f>
        <v>609.552295725065</v>
      </c>
      <c r="AW378" s="43" t="n">
        <f aca="false">AW368</f>
        <v>542.639236052335</v>
      </c>
      <c r="BB378" s="43" t="n">
        <f aca="false">BB368</f>
        <v>893.644048964532</v>
      </c>
      <c r="BG378" s="43" t="n">
        <f aca="false">BG368</f>
        <v>1030.3270676443</v>
      </c>
      <c r="BL378" s="43" t="n">
        <f aca="false">BL368</f>
        <v>439.120330588046</v>
      </c>
      <c r="BQ378" s="43" t="n">
        <f aca="false">BQ368</f>
        <v>610.529685240433</v>
      </c>
      <c r="BV378" s="43" t="n">
        <f aca="false">BV368</f>
        <v>677.505793940677</v>
      </c>
      <c r="BY378" s="6"/>
      <c r="BZ378" s="6"/>
      <c r="CA378" s="49" t="n">
        <f aca="false">CA368</f>
        <v>811.62</v>
      </c>
      <c r="CB378" s="49" t="n">
        <f aca="false">CB368</f>
        <v>878.36530267944</v>
      </c>
      <c r="CC378" s="49" t="n">
        <f aca="false">CC368</f>
        <v>955.319326079003</v>
      </c>
      <c r="CD378" s="49" t="n">
        <f aca="false">CD368</f>
        <v>1026.7634441022</v>
      </c>
      <c r="CE378" s="49" t="n">
        <f aca="false">CE368</f>
        <v>1089.36886625351</v>
      </c>
    </row>
    <row r="379" customFormat="false" ht="15" hidden="false" customHeight="false" outlineLevel="0" collapsed="false">
      <c r="B379" s="28" t="s">
        <v>494</v>
      </c>
      <c r="C379" s="43" t="n">
        <f aca="false">C286</f>
        <v>1631.693</v>
      </c>
      <c r="D379" s="43" t="n">
        <f aca="false">D286</f>
        <v>1811.307</v>
      </c>
      <c r="E379" s="43" t="n">
        <f aca="false">E286</f>
        <v>1815.721</v>
      </c>
      <c r="F379" s="43" t="n">
        <f aca="false">F286</f>
        <v>1834.248</v>
      </c>
      <c r="G379" s="43" t="n">
        <f aca="false">G286</f>
        <v>1995.699</v>
      </c>
      <c r="H379" s="43" t="n">
        <f aca="false">H286</f>
        <v>2138.041</v>
      </c>
      <c r="I379" s="43" t="n">
        <f aca="false">I286</f>
        <v>2804.225</v>
      </c>
      <c r="N379" s="43" t="n">
        <f aca="false">N286</f>
        <v>2802.818</v>
      </c>
      <c r="S379" s="43" t="n">
        <f aca="false">S286</f>
        <v>3214.338</v>
      </c>
      <c r="X379" s="43" t="n">
        <f aca="false">X286</f>
        <v>3184.358</v>
      </c>
      <c r="AC379" s="43" t="n">
        <f aca="false">AC286</f>
        <v>3652.57</v>
      </c>
      <c r="AH379" s="43" t="n">
        <f aca="false">AH286</f>
        <v>4235.834</v>
      </c>
      <c r="AM379" s="43" t="n">
        <f aca="false">AM286</f>
        <v>4427.412</v>
      </c>
      <c r="AR379" s="43" t="n">
        <f aca="false">AR286</f>
        <v>4641.06</v>
      </c>
      <c r="AW379" s="43" t="n">
        <f aca="false">AW286</f>
        <v>5144.258</v>
      </c>
      <c r="BB379" s="43" t="n">
        <f aca="false">BB286</f>
        <v>7028.112</v>
      </c>
      <c r="BG379" s="43" t="n">
        <f aca="false">BG286</f>
        <v>5954.564</v>
      </c>
      <c r="BL379" s="43" t="n">
        <f aca="false">BL286</f>
        <v>5225.28</v>
      </c>
      <c r="BQ379" s="43" t="n">
        <f aca="false">BQ286</f>
        <v>5297.926</v>
      </c>
      <c r="BV379" s="43" t="n">
        <f aca="false">BV286</f>
        <v>5058.381</v>
      </c>
      <c r="BY379" s="6"/>
      <c r="BZ379" s="6"/>
      <c r="CA379" s="49" t="n">
        <f aca="false">CA286</f>
        <v>5534.0347196732</v>
      </c>
      <c r="CB379" s="49" t="n">
        <f aca="false">CB286</f>
        <v>5597.01905699455</v>
      </c>
      <c r="CC379" s="49" t="n">
        <f aca="false">CC286</f>
        <v>5761.50920230964</v>
      </c>
      <c r="CD379" s="49" t="n">
        <f aca="false">CD286</f>
        <v>5976.24591764868</v>
      </c>
      <c r="CE379" s="49" t="n">
        <f aca="false">CE286</f>
        <v>6280.49771322508</v>
      </c>
    </row>
    <row r="380" customFormat="false" ht="15" hidden="false" customHeight="false" outlineLevel="0" collapsed="false">
      <c r="B380" s="28" t="s">
        <v>495</v>
      </c>
      <c r="C380" s="43" t="n">
        <f aca="false">-(N(C284)+N(C285))</f>
        <v>-293.474</v>
      </c>
      <c r="D380" s="43" t="n">
        <f aca="false">-(N(D284)+N(D285))</f>
        <v>-320.486</v>
      </c>
      <c r="E380" s="43" t="n">
        <f aca="false">-(N(E284)+N(E285))</f>
        <v>-363.762</v>
      </c>
      <c r="F380" s="43" t="n">
        <f aca="false">-(N(F284)+N(F285))</f>
        <v>-409.28</v>
      </c>
      <c r="G380" s="43" t="n">
        <f aca="false">-(N(G284)+N(G285))</f>
        <v>-399.598</v>
      </c>
      <c r="H380" s="43" t="n">
        <f aca="false">-(N(H284)+N(H285))</f>
        <v>-399.668</v>
      </c>
      <c r="I380" s="43" t="n">
        <f aca="false">-(N(I284)+N(I285))</f>
        <v>-982.084</v>
      </c>
      <c r="N380" s="43" t="n">
        <f aca="false">-(N(N284)+N(N285))</f>
        <v>-977.63</v>
      </c>
      <c r="S380" s="43" t="n">
        <f aca="false">-(N(S284)+N(S285))</f>
        <v>-956.408</v>
      </c>
      <c r="X380" s="43" t="n">
        <f aca="false">-(N(X284)+N(X285))</f>
        <v>-1262.786</v>
      </c>
      <c r="AC380" s="43" t="n">
        <f aca="false">-(N(AC284)+N(AC285))</f>
        <v>-1446.703</v>
      </c>
      <c r="AH380" s="43" t="n">
        <f aca="false">-(N(AH284)+N(AH285))</f>
        <v>-1494.572</v>
      </c>
      <c r="AM380" s="43" t="n">
        <f aca="false">-(N(AM284)+N(AM285))</f>
        <v>-1446.037</v>
      </c>
      <c r="AR380" s="43" t="n">
        <f aca="false">-(N(AR284)+N(AR285))</f>
        <v>-1481.659</v>
      </c>
      <c r="AW380" s="43" t="n">
        <f aca="false">-(N(AW284)+N(AW285))</f>
        <v>-1703.823</v>
      </c>
      <c r="BB380" s="43" t="n">
        <f aca="false">-(N(BB284)+N(BB285))</f>
        <v>-1791.569</v>
      </c>
      <c r="BG380" s="43" t="n">
        <f aca="false">-(N(BG284)+N(BG285))</f>
        <v>-1833.753</v>
      </c>
      <c r="BL380" s="43" t="n">
        <f aca="false">-(N(BL284)+N(BL285))</f>
        <v>-1845.978</v>
      </c>
      <c r="BQ380" s="43" t="n">
        <f aca="false">-(N(BQ284)+N(BQ285))</f>
        <v>-1866.396</v>
      </c>
      <c r="BV380" s="43" t="n">
        <f aca="false">-(N(BV284)+N(BV285))</f>
        <v>-1865.153</v>
      </c>
      <c r="BY380" s="6"/>
      <c r="BZ380" s="6"/>
      <c r="CA380" s="49" t="n">
        <f aca="false">-(CA284+CA285)</f>
        <v>-1931.90561115566</v>
      </c>
      <c r="CB380" s="49" t="n">
        <f aca="false">-(CB284+CB285)</f>
        <v>-1912.20667654322</v>
      </c>
      <c r="CC380" s="49" t="n">
        <f aca="false">-(CC284+CC285)</f>
        <v>-1990.49499659254</v>
      </c>
      <c r="CD380" s="49" t="n">
        <f aca="false">-(CD284+CD285)</f>
        <v>-2115.61265439895</v>
      </c>
      <c r="CE380" s="49" t="n">
        <f aca="false">-(CE284+CE285)</f>
        <v>-2237.10326110341</v>
      </c>
    </row>
    <row r="381" customFormat="false" ht="15" hidden="false" customHeight="false" outlineLevel="0" collapsed="false">
      <c r="B381" s="28" t="s">
        <v>496</v>
      </c>
      <c r="C381" s="43" t="n">
        <f aca="false">-(C295-N(C294))</f>
        <v>-686.949</v>
      </c>
      <c r="D381" s="43" t="n">
        <f aca="false">-(D295-N(D294))</f>
        <v>-757.619</v>
      </c>
      <c r="E381" s="43" t="n">
        <f aca="false">-(E295-N(E294))</f>
        <v>-697.653</v>
      </c>
      <c r="F381" s="43" t="n">
        <f aca="false">-(F295-N(F294))</f>
        <v>-731.807</v>
      </c>
      <c r="G381" s="43" t="n">
        <f aca="false">-(G295-N(G294))</f>
        <v>-771.607</v>
      </c>
      <c r="H381" s="43" t="n">
        <f aca="false">-(H295-N(H294))</f>
        <v>-876.632</v>
      </c>
      <c r="I381" s="43" t="n">
        <f aca="false">-(I295-N(I294))</f>
        <v>-978.571</v>
      </c>
      <c r="N381" s="43" t="n">
        <f aca="false">-(N295-N(N294))</f>
        <v>-894.981</v>
      </c>
      <c r="S381" s="43" t="n">
        <f aca="false">-(S295-N(S294))</f>
        <v>-970.86</v>
      </c>
      <c r="X381" s="43" t="n">
        <f aca="false">-(X295-N(X294))</f>
        <v>-998.597</v>
      </c>
      <c r="AC381" s="43" t="n">
        <f aca="false">-(AC295-N(AC294))</f>
        <v>-1070.53</v>
      </c>
      <c r="AH381" s="43" t="n">
        <f aca="false">-(AH295-N(AH294))</f>
        <v>-1272.449</v>
      </c>
      <c r="AM381" s="43" t="n">
        <f aca="false">-(AM295-N(AM294))</f>
        <v>-1428.323</v>
      </c>
      <c r="AR381" s="43" t="n">
        <f aca="false">-(AR295-N(AR294))</f>
        <v>-1413.153</v>
      </c>
      <c r="AW381" s="43" t="n">
        <f aca="false">-(AW295-N(AW294))</f>
        <v>-1839.732</v>
      </c>
      <c r="BB381" s="43" t="n">
        <f aca="false">-(BB295-N(BB294))</f>
        <v>-2801.342</v>
      </c>
      <c r="BG381" s="43" t="n">
        <f aca="false">-(BG295-N(BG294))</f>
        <v>-2269.197</v>
      </c>
      <c r="BL381" s="43" t="n">
        <f aca="false">-(BL295-N(BL294))</f>
        <v>-1891.993</v>
      </c>
      <c r="BQ381" s="43" t="n">
        <f aca="false">-(BQ295-N(BQ294))</f>
        <v>-1869.106</v>
      </c>
      <c r="BV381" s="43" t="n">
        <f aca="false">-(BV295-N(BV294))</f>
        <v>-1831.702</v>
      </c>
      <c r="BY381" s="6"/>
      <c r="BZ381" s="6"/>
      <c r="CA381" s="49" t="n">
        <f aca="false">-(CA295-CA294)</f>
        <v>-2110.84972507059</v>
      </c>
      <c r="CB381" s="49" t="n">
        <f aca="false">-(CB295-CB294)</f>
        <v>-2202.25582187221</v>
      </c>
      <c r="CC381" s="49" t="n">
        <f aca="false">-(CC295-CC294)</f>
        <v>-2261.75040609782</v>
      </c>
      <c r="CD381" s="49" t="n">
        <f aca="false">-(CD295-CD294)</f>
        <v>-2324.49359932503</v>
      </c>
      <c r="CE381" s="49" t="n">
        <f aca="false">-(CE295-CE294)</f>
        <v>-2449.63941967477</v>
      </c>
    </row>
    <row r="382" customFormat="false" ht="15" hidden="false" customHeight="false" outlineLevel="0" collapsed="false">
      <c r="B382" s="28" t="s">
        <v>497</v>
      </c>
      <c r="C382" s="43" t="n">
        <f aca="false">SUM(C379:C381)</f>
        <v>651.27</v>
      </c>
      <c r="D382" s="43" t="n">
        <f aca="false">SUM(D379:D381)</f>
        <v>733.202</v>
      </c>
      <c r="E382" s="43" t="n">
        <f aca="false">SUM(E379:E381)</f>
        <v>754.306</v>
      </c>
      <c r="F382" s="43" t="n">
        <f aca="false">SUM(F379:F381)</f>
        <v>693.161</v>
      </c>
      <c r="G382" s="43" t="n">
        <f aca="false">SUM(G379:G381)</f>
        <v>824.494</v>
      </c>
      <c r="H382" s="43" t="n">
        <f aca="false">SUM(H379:H381)</f>
        <v>861.741</v>
      </c>
      <c r="I382" s="43" t="n">
        <f aca="false">SUM(I379:I381)</f>
        <v>843.57</v>
      </c>
      <c r="N382" s="43" t="n">
        <f aca="false">SUM(N379:N381)</f>
        <v>930.207</v>
      </c>
      <c r="S382" s="43" t="n">
        <f aca="false">SUM(S379:S381)</f>
        <v>1287.07</v>
      </c>
      <c r="X382" s="43" t="n">
        <f aca="false">SUM(X379:X381)</f>
        <v>922.975</v>
      </c>
      <c r="AC382" s="43" t="n">
        <f aca="false">SUM(AC379:AC381)</f>
        <v>1135.337</v>
      </c>
      <c r="AH382" s="43" t="n">
        <f aca="false">SUM(AH379:AH381)</f>
        <v>1468.813</v>
      </c>
      <c r="AM382" s="43" t="n">
        <f aca="false">SUM(AM379:AM381)</f>
        <v>1553.052</v>
      </c>
      <c r="AR382" s="43" t="n">
        <f aca="false">SUM(AR379:AR381)</f>
        <v>1746.248</v>
      </c>
      <c r="AW382" s="43" t="n">
        <f aca="false">SUM(AW379:AW381)</f>
        <v>1600.703</v>
      </c>
      <c r="BB382" s="43" t="n">
        <f aca="false">SUM(BB379:BB381)</f>
        <v>2435.201</v>
      </c>
      <c r="BG382" s="43" t="n">
        <f aca="false">SUM(BG379:BG381)</f>
        <v>1851.614</v>
      </c>
      <c r="BL382" s="43" t="n">
        <f aca="false">SUM(BL379:BL381)</f>
        <v>1487.309</v>
      </c>
      <c r="BQ382" s="43" t="n">
        <f aca="false">SUM(BQ379:BQ381)</f>
        <v>1562.424</v>
      </c>
      <c r="BV382" s="43" t="n">
        <f aca="false">SUM(BV379:BV381)</f>
        <v>1361.526</v>
      </c>
      <c r="BY382" s="6"/>
      <c r="BZ382" s="6"/>
      <c r="CA382" s="49" t="n">
        <f aca="false">SUM(CA379:CA381)</f>
        <v>1491.27938344695</v>
      </c>
      <c r="CB382" s="49" t="n">
        <f aca="false">SUM(CB379:CB381)</f>
        <v>1482.55655857912</v>
      </c>
      <c r="CC382" s="49" t="n">
        <f aca="false">SUM(CC379:CC381)</f>
        <v>1509.26379961928</v>
      </c>
      <c r="CD382" s="49" t="n">
        <f aca="false">SUM(CD379:CD381)</f>
        <v>1536.13966392471</v>
      </c>
      <c r="CE382" s="49" t="n">
        <f aca="false">SUM(CE379:CE381)</f>
        <v>1593.7550324469</v>
      </c>
    </row>
    <row r="383" customFormat="false" ht="15" hidden="false" customHeight="false" outlineLevel="0" collapsed="false">
      <c r="B383" s="51" t="s">
        <v>498</v>
      </c>
      <c r="C383" s="68" t="n">
        <f aca="false">IFERROR(C378/C382,"n/a")</f>
        <v>0.39855674425339</v>
      </c>
      <c r="D383" s="68" t="n">
        <f aca="false">IFERROR(D378/D382,"n/a")</f>
        <v>0.430570009837961</v>
      </c>
      <c r="E383" s="68" t="n">
        <f aca="false">IFERROR(E378/E382,"n/a")</f>
        <v>0.470569761613475</v>
      </c>
      <c r="F383" s="68" t="n">
        <f aca="false">IFERROR(F378/F382,"n/a")</f>
        <v>0.518562158713276</v>
      </c>
      <c r="G383" s="68" t="n">
        <f aca="false">IFERROR(G378/G382,"n/a")</f>
        <v>0.468476174845047</v>
      </c>
      <c r="H383" s="68" t="n">
        <f aca="false">IFERROR(H378/H382,"n/a")</f>
        <v>0.499437273359101</v>
      </c>
      <c r="I383" s="68" t="n">
        <f aca="false">IFERROR(I378/I382,"n/a")</f>
        <v>0.495971481282513</v>
      </c>
      <c r="J383" s="64"/>
      <c r="K383" s="64"/>
      <c r="L383" s="64"/>
      <c r="M383" s="64"/>
      <c r="N383" s="68" t="n">
        <f aca="false">IFERROR(N378/N382,"n/a")</f>
        <v>0.453276944183693</v>
      </c>
      <c r="O383" s="64"/>
      <c r="P383" s="64"/>
      <c r="Q383" s="64"/>
      <c r="R383" s="64"/>
      <c r="S383" s="68" t="n">
        <f aca="false">IFERROR(S378/S382,"n/a")</f>
        <v>0.361475154621945</v>
      </c>
      <c r="T383" s="64"/>
      <c r="U383" s="64"/>
      <c r="V383" s="64"/>
      <c r="W383" s="64"/>
      <c r="X383" s="68" t="n">
        <f aca="false">IFERROR(X378/X382,"n/a")</f>
        <v>0.576081278821271</v>
      </c>
      <c r="Y383" s="64"/>
      <c r="Z383" s="64"/>
      <c r="AA383" s="64"/>
      <c r="AB383" s="64"/>
      <c r="AC383" s="68" t="n">
        <f aca="false">IFERROR(AC378/AC382,"n/a")</f>
        <v>0.466432864167179</v>
      </c>
      <c r="AD383" s="64"/>
      <c r="AE383" s="64"/>
      <c r="AF383" s="64"/>
      <c r="AG383" s="64"/>
      <c r="AH383" s="68" t="n">
        <f aca="false">IFERROR(AH378/AH382,"n/a")</f>
        <v>0.365757909440349</v>
      </c>
      <c r="AI383" s="64"/>
      <c r="AJ383" s="64"/>
      <c r="AK383" s="64"/>
      <c r="AL383" s="64"/>
      <c r="AM383" s="68" t="n">
        <f aca="false">IFERROR(AM378/AM382,"n/a")</f>
        <v>0.443332158907821</v>
      </c>
      <c r="AN383" s="64"/>
      <c r="AO383" s="64"/>
      <c r="AP383" s="64"/>
      <c r="AQ383" s="64"/>
      <c r="AR383" s="68" t="n">
        <f aca="false">IFERROR(AR378/AR382,"n/a")</f>
        <v>0.349063990753355</v>
      </c>
      <c r="AS383" s="64"/>
      <c r="AT383" s="64"/>
      <c r="AU383" s="64"/>
      <c r="AV383" s="64"/>
      <c r="AW383" s="68" t="n">
        <f aca="false">IFERROR(AW378/AW382,"n/a")</f>
        <v>0.33900057415544</v>
      </c>
      <c r="AX383" s="64"/>
      <c r="AY383" s="64"/>
      <c r="AZ383" s="64"/>
      <c r="BA383" s="64"/>
      <c r="BB383" s="68" t="n">
        <f aca="false">IFERROR(BB378/BB382,"n/a")</f>
        <v>0.36696931750789</v>
      </c>
      <c r="BC383" s="64"/>
      <c r="BD383" s="64"/>
      <c r="BE383" s="64"/>
      <c r="BF383" s="64"/>
      <c r="BG383" s="68" t="n">
        <f aca="false">IFERROR(BG378/BG382,"n/a")</f>
        <v>0.556448086720179</v>
      </c>
      <c r="BH383" s="64"/>
      <c r="BI383" s="64"/>
      <c r="BJ383" s="64"/>
      <c r="BK383" s="64"/>
      <c r="BL383" s="68" t="n">
        <f aca="false">IFERROR(BL378/BL382,"n/a")</f>
        <v>0.295244855364989</v>
      </c>
      <c r="BM383" s="64"/>
      <c r="BN383" s="64"/>
      <c r="BO383" s="64"/>
      <c r="BP383" s="64"/>
      <c r="BQ383" s="68" t="n">
        <f aca="false">IFERROR(BQ378/BQ382,"n/a")</f>
        <v>0.390758005023241</v>
      </c>
      <c r="BR383" s="64"/>
      <c r="BS383" s="64"/>
      <c r="BT383" s="64"/>
      <c r="BU383" s="64"/>
      <c r="BV383" s="68" t="n">
        <f aca="false">IFERROR(BV378/BV382,"n/a")</f>
        <v>0.497607679868528</v>
      </c>
      <c r="BW383" s="64"/>
      <c r="BX383" s="64"/>
      <c r="BY383" s="64"/>
      <c r="BZ383" s="64"/>
      <c r="CA383" s="68" t="n">
        <f aca="false">IFERROR(CA378/CA382,"n/a")</f>
        <v>0.544244096048602</v>
      </c>
      <c r="CB383" s="68" t="n">
        <f aca="false">IFERROR(CB378/CB382,"n/a")</f>
        <v>0.592466639870565</v>
      </c>
      <c r="CC383" s="68" t="n">
        <f aca="false">IFERROR(CC378/CC382,"n/a")</f>
        <v>0.632970410023741</v>
      </c>
      <c r="CD383" s="68" t="n">
        <f aca="false">IFERROR(CD378/CD382,"n/a")</f>
        <v>0.668405007835617</v>
      </c>
      <c r="CE383" s="68" t="n">
        <f aca="false">IFERROR(CE378/CE382,"n/a")</f>
        <v>0.683523404836563</v>
      </c>
      <c r="CF383" s="6"/>
    </row>
    <row r="384" customFormat="false" ht="15" hidden="false" customHeight="false" outlineLevel="0" collapsed="false">
      <c r="B384" s="28" t="s">
        <v>499</v>
      </c>
    </row>
    <row r="385" customFormat="false" ht="15" hidden="false" customHeight="false" outlineLevel="0" collapsed="false">
      <c r="B385" s="28" t="s">
        <v>271</v>
      </c>
      <c r="C385" s="43" t="n">
        <f aca="false">C149</f>
        <v>266.925000000001</v>
      </c>
      <c r="D385" s="43" t="n">
        <f aca="false">D149</f>
        <v>324.260999999999</v>
      </c>
      <c r="E385" s="43" t="n">
        <f aca="false">E149</f>
        <v>359.177000000001</v>
      </c>
      <c r="F385" s="43" t="n">
        <f aca="false">F149</f>
        <v>360.83</v>
      </c>
      <c r="G385" s="43" t="n">
        <f aca="false">G149</f>
        <v>387.026000000001</v>
      </c>
      <c r="H385" s="43" t="n">
        <f aca="false">H149</f>
        <v>431.612</v>
      </c>
      <c r="I385" s="43" t="n">
        <f aca="false">I149</f>
        <v>593.803999999998</v>
      </c>
      <c r="N385" s="43" t="n">
        <f aca="false">N149</f>
        <v>415.903999999999</v>
      </c>
      <c r="S385" s="43" t="n">
        <f aca="false">S149</f>
        <v>449.710999999998</v>
      </c>
      <c r="X385" s="43" t="n">
        <f aca="false">X149</f>
        <v>509.699</v>
      </c>
      <c r="AC385" s="43" t="n">
        <f aca="false">AC149</f>
        <v>513.384000000002</v>
      </c>
      <c r="AH385" s="43" t="n">
        <f aca="false">AH149</f>
        <v>504.892999999997</v>
      </c>
      <c r="AM385" s="43" t="n">
        <f aca="false">AM149</f>
        <v>664.504999999999</v>
      </c>
      <c r="AR385" s="43" t="n">
        <f aca="false">AR149</f>
        <v>576.967999999999</v>
      </c>
      <c r="AW385" s="43" t="n">
        <f aca="false">AW149</f>
        <v>506.421</v>
      </c>
      <c r="BB385" s="43" t="n">
        <f aca="false">BB149</f>
        <v>844.245</v>
      </c>
      <c r="BG385" s="43" t="n">
        <f aca="false">BG149</f>
        <v>940.524</v>
      </c>
      <c r="BL385" s="43" t="n">
        <f aca="false">BL149</f>
        <v>325.129</v>
      </c>
      <c r="BQ385" s="43" t="n">
        <f aca="false">BQ149</f>
        <v>465.689999999999</v>
      </c>
      <c r="BV385" s="43" t="n">
        <f aca="false">BV149</f>
        <v>587.081</v>
      </c>
      <c r="BY385" s="6"/>
      <c r="BZ385" s="6"/>
      <c r="CA385" s="49" t="n">
        <f aca="false">CA149</f>
        <v>716.93424</v>
      </c>
      <c r="CB385" s="49" t="n">
        <f aca="false">CB149</f>
        <v>829.79979227077</v>
      </c>
      <c r="CC385" s="49" t="n">
        <f aca="false">CC149</f>
        <v>896.522032694338</v>
      </c>
      <c r="CD385" s="49" t="n">
        <f aca="false">CD149</f>
        <v>960.914103024663</v>
      </c>
      <c r="CE385" s="49" t="n">
        <f aca="false">CE149</f>
        <v>1018.93060730814</v>
      </c>
    </row>
    <row r="386" customFormat="false" ht="15" hidden="false" customHeight="false" outlineLevel="0" collapsed="false">
      <c r="B386" s="28" t="s">
        <v>500</v>
      </c>
      <c r="C386" s="43" t="n">
        <f aca="false">C306</f>
        <v>943.722</v>
      </c>
      <c r="D386" s="43" t="n">
        <f aca="false">D306</f>
        <v>1042.249</v>
      </c>
      <c r="E386" s="43" t="n">
        <f aca="false">E306</f>
        <v>1107.221</v>
      </c>
      <c r="F386" s="43" t="n">
        <f aca="false">F306</f>
        <v>1079.9</v>
      </c>
      <c r="G386" s="43" t="n">
        <f aca="false">G306</f>
        <v>1204.068</v>
      </c>
      <c r="H386" s="43" t="n">
        <f aca="false">H306</f>
        <v>1248.474</v>
      </c>
      <c r="I386" s="43" t="n">
        <f aca="false">I306</f>
        <v>1504.372</v>
      </c>
      <c r="N386" s="43" t="n">
        <f aca="false">N306</f>
        <v>939.724</v>
      </c>
      <c r="S386" s="43" t="n">
        <f aca="false">S306</f>
        <v>1047.015</v>
      </c>
      <c r="X386" s="43" t="n">
        <f aca="false">X306</f>
        <v>1137.805</v>
      </c>
      <c r="AC386" s="43" t="n">
        <f aca="false">AC306</f>
        <v>1257.847</v>
      </c>
      <c r="AH386" s="43" t="n">
        <f aca="false">AH306</f>
        <v>1425.745</v>
      </c>
      <c r="AM386" s="43" t="n">
        <f aca="false">AM306</f>
        <v>1595.087</v>
      </c>
      <c r="AR386" s="43" t="n">
        <f aca="false">AR306</f>
        <v>1670.73</v>
      </c>
      <c r="AW386" s="43" t="n">
        <f aca="false">AW306</f>
        <v>1879.933</v>
      </c>
      <c r="BB386" s="43" t="n">
        <f aca="false">BB306</f>
        <v>2021.934</v>
      </c>
      <c r="BG386" s="43" t="n">
        <f aca="false">BG306</f>
        <v>1353.422</v>
      </c>
      <c r="BL386" s="43" t="n">
        <f aca="false">BL306</f>
        <v>1418.697</v>
      </c>
      <c r="BQ386" s="43" t="n">
        <f aca="false">BQ306</f>
        <v>1722.051</v>
      </c>
      <c r="BV386" s="43" t="n">
        <f aca="false">BV306</f>
        <v>1845.647</v>
      </c>
      <c r="BY386" s="6"/>
      <c r="BZ386" s="6"/>
      <c r="CA386" s="49" t="n">
        <f aca="false">CA306</f>
        <v>1665.03448899322</v>
      </c>
      <c r="CB386" s="49" t="n">
        <f aca="false">CB306</f>
        <v>1423.23146671737</v>
      </c>
      <c r="CC386" s="49" t="n">
        <f aca="false">CC306</f>
        <v>1398.33327262221</v>
      </c>
      <c r="CD386" s="49" t="n">
        <f aca="false">CD306</f>
        <v>1426.96878753403</v>
      </c>
      <c r="CE386" s="49" t="n">
        <f aca="false">CE306</f>
        <v>1495.21590823229</v>
      </c>
    </row>
    <row r="387" customFormat="false" ht="15" hidden="false" customHeight="false" outlineLevel="0" collapsed="false">
      <c r="B387" s="51" t="s">
        <v>501</v>
      </c>
      <c r="C387" s="68" t="n">
        <f aca="false">IFERROR(C385/C386,"n/a")</f>
        <v>0.282842828714389</v>
      </c>
      <c r="D387" s="68" t="n">
        <f aca="false">IFERROR(D385/D386,"n/a")</f>
        <v>0.311116633357287</v>
      </c>
      <c r="E387" s="68" t="n">
        <f aca="false">IFERROR(E385/E386,"n/a")</f>
        <v>0.324395039472699</v>
      </c>
      <c r="F387" s="68" t="n">
        <f aca="false">IFERROR(F385/F386,"n/a")</f>
        <v>0.334132790073155</v>
      </c>
      <c r="G387" s="68" t="n">
        <f aca="false">IFERROR(G385/G386,"n/a")</f>
        <v>0.321432012145494</v>
      </c>
      <c r="H387" s="68" t="n">
        <f aca="false">IFERROR(H385/H386,"n/a")</f>
        <v>0.345711644775942</v>
      </c>
      <c r="I387" s="68" t="n">
        <f aca="false">IFERROR(I385/I386,"n/a")</f>
        <v>0.394718859431044</v>
      </c>
      <c r="J387" s="64"/>
      <c r="K387" s="64"/>
      <c r="L387" s="64"/>
      <c r="M387" s="64"/>
      <c r="N387" s="68" t="n">
        <f aca="false">IFERROR(N385/N386,"n/a")</f>
        <v>0.442581013148541</v>
      </c>
      <c r="O387" s="64"/>
      <c r="P387" s="64"/>
      <c r="Q387" s="64"/>
      <c r="R387" s="64"/>
      <c r="S387" s="68" t="n">
        <f aca="false">IFERROR(S385/S386,"n/a")</f>
        <v>0.429517246648805</v>
      </c>
      <c r="T387" s="64"/>
      <c r="U387" s="64"/>
      <c r="V387" s="64"/>
      <c r="W387" s="64"/>
      <c r="X387" s="68" t="n">
        <f aca="false">IFERROR(X385/X386,"n/a")</f>
        <v>0.447966918760244</v>
      </c>
      <c r="Y387" s="64"/>
      <c r="Z387" s="64"/>
      <c r="AA387" s="64"/>
      <c r="AB387" s="64"/>
      <c r="AC387" s="68" t="n">
        <f aca="false">IFERROR(AC385/AC386,"n/a")</f>
        <v>0.408145028767412</v>
      </c>
      <c r="AD387" s="64"/>
      <c r="AE387" s="64"/>
      <c r="AF387" s="64"/>
      <c r="AG387" s="64"/>
      <c r="AH387" s="68" t="n">
        <f aca="false">IFERROR(AH385/AH386,"n/a")</f>
        <v>0.354125737772181</v>
      </c>
      <c r="AI387" s="64"/>
      <c r="AJ387" s="64"/>
      <c r="AK387" s="64"/>
      <c r="AL387" s="64"/>
      <c r="AM387" s="68" t="n">
        <f aca="false">IFERROR(AM385/AM386,"n/a")</f>
        <v>0.416594831504488</v>
      </c>
      <c r="AN387" s="64"/>
      <c r="AO387" s="64"/>
      <c r="AP387" s="64"/>
      <c r="AQ387" s="64"/>
      <c r="AR387" s="68" t="n">
        <f aca="false">IFERROR(AR385/AR386,"n/a")</f>
        <v>0.345338863849934</v>
      </c>
      <c r="AS387" s="64"/>
      <c r="AT387" s="64"/>
      <c r="AU387" s="64"/>
      <c r="AV387" s="64"/>
      <c r="AW387" s="68" t="n">
        <f aca="false">IFERROR(AW385/AW386,"n/a")</f>
        <v>0.269382472673228</v>
      </c>
      <c r="AX387" s="64"/>
      <c r="AY387" s="64"/>
      <c r="AZ387" s="64"/>
      <c r="BA387" s="64"/>
      <c r="BB387" s="68" t="n">
        <f aca="false">IFERROR(BB385/BB386,"n/a")</f>
        <v>0.417543302600382</v>
      </c>
      <c r="BC387" s="64"/>
      <c r="BD387" s="64"/>
      <c r="BE387" s="64"/>
      <c r="BF387" s="64"/>
      <c r="BG387" s="68" t="n">
        <f aca="false">IFERROR(BG385/BG386,"n/a")</f>
        <v>0.694922943472176</v>
      </c>
      <c r="BH387" s="64"/>
      <c r="BI387" s="64"/>
      <c r="BJ387" s="64"/>
      <c r="BK387" s="64"/>
      <c r="BL387" s="68" t="n">
        <f aca="false">IFERROR(BL385/BL386,"n/a")</f>
        <v>0.229174376205772</v>
      </c>
      <c r="BM387" s="64"/>
      <c r="BN387" s="64"/>
      <c r="BO387" s="64"/>
      <c r="BP387" s="64"/>
      <c r="BQ387" s="68" t="n">
        <f aca="false">IFERROR(BQ385/BQ386,"n/a")</f>
        <v>0.270427530891942</v>
      </c>
      <c r="BR387" s="64"/>
      <c r="BS387" s="64"/>
      <c r="BT387" s="64"/>
      <c r="BU387" s="64"/>
      <c r="BV387" s="68" t="n">
        <f aca="false">IFERROR(BV385/BV386,"n/a")</f>
        <v>0.318089537165016</v>
      </c>
      <c r="BW387" s="64"/>
      <c r="BX387" s="64"/>
      <c r="BY387" s="64"/>
      <c r="BZ387" s="64"/>
      <c r="CA387" s="68" t="n">
        <f aca="false">IFERROR(CA385/CA386,"n/a")</f>
        <v>0.43058221600773</v>
      </c>
      <c r="CB387" s="68" t="n">
        <f aca="false">IFERROR(CB385/CB386,"n/a")</f>
        <v>0.583039239699126</v>
      </c>
      <c r="CC387" s="68" t="n">
        <f aca="false">IFERROR(CC385/CC386,"n/a")</f>
        <v>0.641136165638926</v>
      </c>
      <c r="CD387" s="68" t="n">
        <f aca="false">IFERROR(CD385/CD386,"n/a")</f>
        <v>0.673395319798995</v>
      </c>
      <c r="CE387" s="68" t="n">
        <f aca="false">IFERROR(CE385/CE386,"n/a")</f>
        <v>0.681460517974802</v>
      </c>
      <c r="CF387" s="6"/>
    </row>
    <row r="388" customFormat="false" ht="15" hidden="false" customHeight="false" outlineLevel="0" collapsed="false">
      <c r="B388" s="28" t="s">
        <v>502</v>
      </c>
    </row>
    <row r="389" customFormat="false" ht="15" hidden="false" customHeight="false" outlineLevel="0" collapsed="false">
      <c r="B389" s="28" t="s">
        <v>503</v>
      </c>
      <c r="C389" s="43" t="n">
        <f aca="false">C371</f>
        <v>-473.359</v>
      </c>
      <c r="D389" s="43" t="n">
        <f aca="false">D371</f>
        <v>-454.727</v>
      </c>
      <c r="E389" s="43" t="n">
        <f aca="false">E371</f>
        <v>-497.387</v>
      </c>
      <c r="F389" s="43" t="n">
        <f aca="false">F371</f>
        <v>-385.618</v>
      </c>
      <c r="G389" s="43" t="n">
        <f aca="false">G371</f>
        <v>-407.897</v>
      </c>
      <c r="H389" s="43" t="n">
        <f aca="false">H371</f>
        <v>-373.669</v>
      </c>
      <c r="I389" s="43" t="n">
        <f aca="false">I371</f>
        <v>43.627</v>
      </c>
      <c r="N389" s="43" t="n">
        <f aca="false">N371</f>
        <v>712.953</v>
      </c>
      <c r="S389" s="43" t="n">
        <f aca="false">S371</f>
        <v>976.06</v>
      </c>
      <c r="X389" s="43" t="n">
        <f aca="false">X371</f>
        <v>781.771</v>
      </c>
      <c r="AC389" s="43" t="n">
        <f aca="false">AC371</f>
        <v>992.334</v>
      </c>
      <c r="AH389" s="43" t="n">
        <f aca="false">AH371</f>
        <v>1131.11</v>
      </c>
      <c r="AM389" s="43" t="n">
        <f aca="false">AM371</f>
        <v>967.737</v>
      </c>
      <c r="AR389" s="43" t="n">
        <f aca="false">AR371</f>
        <v>787.475</v>
      </c>
      <c r="AW389" s="43" t="n">
        <f aca="false">AW371</f>
        <v>849.505</v>
      </c>
      <c r="BB389" s="43" t="n">
        <f aca="false">BB371</f>
        <v>1661.236</v>
      </c>
      <c r="BG389" s="43" t="n">
        <f aca="false">BG371</f>
        <v>1756.222</v>
      </c>
      <c r="BL389" s="43" t="n">
        <f aca="false">BL371</f>
        <v>1434.963</v>
      </c>
      <c r="BQ389" s="43" t="n">
        <f aca="false">BQ371</f>
        <v>1231.887</v>
      </c>
      <c r="BV389" s="43" t="n">
        <f aca="false">BV371</f>
        <v>928.567</v>
      </c>
      <c r="BY389" s="6"/>
      <c r="BZ389" s="6"/>
      <c r="CA389" s="49" t="n">
        <f aca="false">CA371</f>
        <v>1291.65350560939</v>
      </c>
      <c r="CB389" s="49" t="n">
        <f aca="false">CB371</f>
        <v>1505.03476840497</v>
      </c>
      <c r="CC389" s="49" t="n">
        <f aca="false">CC371</f>
        <v>1634.9285235896</v>
      </c>
      <c r="CD389" s="49" t="n">
        <f aca="false">CD371</f>
        <v>1758.28653078962</v>
      </c>
      <c r="CE389" s="49" t="n">
        <f aca="false">CE371</f>
        <v>1869.14538531802</v>
      </c>
    </row>
    <row r="390" customFormat="false" ht="15" hidden="false" customHeight="false" outlineLevel="0" collapsed="false">
      <c r="B390" s="28" t="s">
        <v>504</v>
      </c>
      <c r="C390" s="43" t="n">
        <f aca="false">C193</f>
        <v>441.777000000001</v>
      </c>
      <c r="D390" s="43" t="n">
        <f aca="false">D193</f>
        <v>537.049999999999</v>
      </c>
      <c r="E390" s="43" t="n">
        <f aca="false">E193</f>
        <v>602.750000000001</v>
      </c>
      <c r="F390" s="43" t="n">
        <f aca="false">F193</f>
        <v>615.325</v>
      </c>
      <c r="G390" s="43" t="n">
        <f aca="false">G193</f>
        <v>652.229000000001</v>
      </c>
      <c r="H390" s="43" t="n">
        <f aca="false">H193</f>
        <v>725.228</v>
      </c>
      <c r="I390" s="43" t="n">
        <f aca="false">I193</f>
        <v>713.409999999998</v>
      </c>
      <c r="N390" s="43" t="n">
        <f aca="false">N193</f>
        <v>739.531999999999</v>
      </c>
      <c r="S390" s="43" t="n">
        <f aca="false">S193</f>
        <v>805.426999999998</v>
      </c>
      <c r="X390" s="43" t="n">
        <f aca="false">X193</f>
        <v>924.719</v>
      </c>
      <c r="AC390" s="43" t="n">
        <f aca="false">AC193</f>
        <v>912.200000000002</v>
      </c>
      <c r="AH390" s="43" t="n">
        <f aca="false">AH193</f>
        <v>868.095999999997</v>
      </c>
      <c r="AM390" s="43" t="n">
        <f aca="false">AM193</f>
        <v>1008.812</v>
      </c>
      <c r="AR390" s="43" t="n">
        <f aca="false">AR193</f>
        <v>884.624999999999</v>
      </c>
      <c r="AW390" s="43" t="n">
        <f aca="false">AW193</f>
        <v>774.995</v>
      </c>
      <c r="BB390" s="43" t="n">
        <f aca="false">BB193</f>
        <v>1173.367</v>
      </c>
      <c r="BG390" s="43" t="n">
        <f aca="false">BG193</f>
        <v>1370.946</v>
      </c>
      <c r="BL390" s="43" t="n">
        <f aca="false">BL193</f>
        <v>651.633000000001</v>
      </c>
      <c r="BQ390" s="43" t="n">
        <f aca="false">BQ193</f>
        <v>856.508999999999</v>
      </c>
      <c r="BV390" s="43" t="n">
        <f aca="false">BV193</f>
        <v>936.551</v>
      </c>
      <c r="BY390" s="6"/>
      <c r="BZ390" s="6"/>
      <c r="CA390" s="49" t="n">
        <f aca="false">CA193</f>
        <v>1094.42198406334</v>
      </c>
      <c r="CB390" s="49" t="n">
        <f aca="false">CB193</f>
        <v>1204.02781472398</v>
      </c>
      <c r="CC390" s="49" t="n">
        <f aca="false">CC193</f>
        <v>1307.94281887168</v>
      </c>
      <c r="CD390" s="49" t="n">
        <f aca="false">CD193</f>
        <v>1406.6292246317</v>
      </c>
      <c r="CE390" s="49" t="n">
        <f aca="false">CE193</f>
        <v>1495.31630825442</v>
      </c>
    </row>
    <row r="391" customFormat="false" ht="15" hidden="false" customHeight="false" outlineLevel="0" collapsed="false">
      <c r="B391" s="51" t="s">
        <v>505</v>
      </c>
      <c r="C391" s="69" t="n">
        <f aca="false">IFERROR(C389/C390,"n/a")</f>
        <v>-1.07148855644363</v>
      </c>
      <c r="D391" s="69" t="n">
        <f aca="false">IFERROR(D389/D390,"n/a")</f>
        <v>-0.846712596592497</v>
      </c>
      <c r="E391" s="69" t="n">
        <f aca="false">IFERROR(E389/E390,"n/a")</f>
        <v>-0.825196184155951</v>
      </c>
      <c r="F391" s="69" t="n">
        <f aca="false">IFERROR(F389/F390,"n/a")</f>
        <v>-0.626689960589932</v>
      </c>
      <c r="G391" s="69" t="n">
        <f aca="false">IFERROR(G389/G390,"n/a")</f>
        <v>-0.625389242122015</v>
      </c>
      <c r="H391" s="69" t="n">
        <f aca="false">IFERROR(H389/H390,"n/a")</f>
        <v>-0.515243482049783</v>
      </c>
      <c r="I391" s="69" t="n">
        <f aca="false">IFERROR(I389/I390,"n/a")</f>
        <v>0.061152773300066</v>
      </c>
      <c r="J391" s="64"/>
      <c r="K391" s="64"/>
      <c r="L391" s="64"/>
      <c r="M391" s="64"/>
      <c r="N391" s="69" t="n">
        <f aca="false">IFERROR(N389/N390,"n/a")</f>
        <v>0.964059702622741</v>
      </c>
      <c r="O391" s="64"/>
      <c r="P391" s="64"/>
      <c r="Q391" s="64"/>
      <c r="R391" s="64"/>
      <c r="S391" s="69" t="n">
        <f aca="false">IFERROR(S389/S390,"n/a")</f>
        <v>1.21185408485189</v>
      </c>
      <c r="T391" s="64"/>
      <c r="U391" s="64"/>
      <c r="V391" s="64"/>
      <c r="W391" s="64"/>
      <c r="X391" s="69" t="n">
        <f aca="false">IFERROR(X389/X390,"n/a")</f>
        <v>0.845414661102454</v>
      </c>
      <c r="Y391" s="64"/>
      <c r="Z391" s="64"/>
      <c r="AA391" s="64"/>
      <c r="AB391" s="64"/>
      <c r="AC391" s="69" t="n">
        <f aca="false">IFERROR(AC389/AC390,"n/a")</f>
        <v>1.08784696338522</v>
      </c>
      <c r="AD391" s="64"/>
      <c r="AE391" s="64"/>
      <c r="AF391" s="64"/>
      <c r="AG391" s="64"/>
      <c r="AH391" s="69" t="n">
        <f aca="false">IFERROR(AH389/AH390,"n/a")</f>
        <v>1.30297801164849</v>
      </c>
      <c r="AI391" s="64"/>
      <c r="AJ391" s="64"/>
      <c r="AK391" s="64"/>
      <c r="AL391" s="64"/>
      <c r="AM391" s="69" t="n">
        <f aca="false">IFERROR(AM389/AM390,"n/a")</f>
        <v>0.959283791231668</v>
      </c>
      <c r="AN391" s="64"/>
      <c r="AO391" s="64"/>
      <c r="AP391" s="64"/>
      <c r="AQ391" s="64"/>
      <c r="AR391" s="69" t="n">
        <f aca="false">IFERROR(AR389/AR390,"n/a")</f>
        <v>0.890179454571147</v>
      </c>
      <c r="AS391" s="64"/>
      <c r="AT391" s="64"/>
      <c r="AU391" s="64"/>
      <c r="AV391" s="64"/>
      <c r="AW391" s="69" t="n">
        <f aca="false">IFERROR(AW389/AW390,"n/a")</f>
        <v>1.09614255575842</v>
      </c>
      <c r="AX391" s="64"/>
      <c r="AY391" s="64"/>
      <c r="AZ391" s="64"/>
      <c r="BA391" s="64"/>
      <c r="BB391" s="69" t="n">
        <f aca="false">IFERROR(BB389/BB390,"n/a")</f>
        <v>1.4157855129725</v>
      </c>
      <c r="BC391" s="64"/>
      <c r="BD391" s="64"/>
      <c r="BE391" s="64"/>
      <c r="BF391" s="64"/>
      <c r="BG391" s="69" t="n">
        <f aca="false">IFERROR(BG389/BG390,"n/a")</f>
        <v>1.28102930385296</v>
      </c>
      <c r="BH391" s="64"/>
      <c r="BI391" s="64"/>
      <c r="BJ391" s="64"/>
      <c r="BK391" s="64"/>
      <c r="BL391" s="69" t="n">
        <f aca="false">IFERROR(BL389/BL390,"n/a")</f>
        <v>2.20210302424831</v>
      </c>
      <c r="BM391" s="64"/>
      <c r="BN391" s="64"/>
      <c r="BO391" s="64"/>
      <c r="BP391" s="64"/>
      <c r="BQ391" s="69" t="n">
        <f aca="false">IFERROR(BQ389/BQ390,"n/a")</f>
        <v>1.43826509703926</v>
      </c>
      <c r="BR391" s="64"/>
      <c r="BS391" s="64"/>
      <c r="BT391" s="64"/>
      <c r="BU391" s="64"/>
      <c r="BV391" s="69" t="n">
        <f aca="false">IFERROR(BV389/BV390,"n/a")</f>
        <v>0.99147510386514</v>
      </c>
      <c r="BW391" s="64"/>
      <c r="BX391" s="64"/>
      <c r="BY391" s="64"/>
      <c r="BZ391" s="64"/>
      <c r="CA391" s="69" t="n">
        <f aca="false">IFERROR(CA389/CA390,"n/a")</f>
        <v>1.18021524093821</v>
      </c>
      <c r="CB391" s="69" t="n">
        <f aca="false">IFERROR(CB389/CB390,"n/a")</f>
        <v>1.25</v>
      </c>
      <c r="CC391" s="69" t="n">
        <f aca="false">IFERROR(CC389/CC390,"n/a")</f>
        <v>1.25</v>
      </c>
      <c r="CD391" s="69" t="n">
        <f aca="false">IFERROR(CD389/CD390,"n/a")</f>
        <v>1.25</v>
      </c>
      <c r="CE391" s="69" t="n">
        <f aca="false">IFERROR(CE389/CE390,"n/a")</f>
        <v>1.25</v>
      </c>
      <c r="CF391" s="6"/>
    </row>
    <row r="393" customFormat="false" ht="15" hidden="false" customHeight="false" outlineLevel="0" collapsed="false">
      <c r="B393" s="8" t="s">
        <v>506</v>
      </c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/>
      <c r="BT393" s="10"/>
      <c r="BU393" s="10"/>
      <c r="BV393" s="10"/>
      <c r="BW393" s="10"/>
      <c r="BX393" s="10"/>
      <c r="BY393" s="10"/>
      <c r="BZ393" s="10"/>
      <c r="CA393" s="10"/>
      <c r="CB393" s="10"/>
      <c r="CC393" s="10"/>
      <c r="CD393" s="10"/>
      <c r="CE393" s="10"/>
      <c r="CF393" s="10"/>
    </row>
    <row r="394" customFormat="false" ht="15" hidden="false" customHeight="false" outlineLevel="0" collapsed="false">
      <c r="B394" s="28" t="s">
        <v>507</v>
      </c>
      <c r="BY394" s="6"/>
      <c r="BZ394" s="6"/>
      <c r="CA394" s="67" t="n">
        <v>151.88</v>
      </c>
      <c r="CB394" s="59" t="n">
        <f aca="false">$CA$394</f>
        <v>151.88</v>
      </c>
      <c r="CC394" s="59" t="n">
        <f aca="false">$CA$394</f>
        <v>151.88</v>
      </c>
      <c r="CD394" s="59" t="n">
        <f aca="false">$CA$394</f>
        <v>151.88</v>
      </c>
      <c r="CE394" s="59" t="n">
        <f aca="false">$CA$394</f>
        <v>151.88</v>
      </c>
      <c r="CF394" s="23" t="s">
        <v>508</v>
      </c>
    </row>
    <row r="395" customFormat="false" ht="15" hidden="false" customHeight="false" outlineLevel="0" collapsed="false">
      <c r="B395" s="28" t="s">
        <v>509</v>
      </c>
      <c r="BY395" s="6"/>
      <c r="BZ395" s="6"/>
      <c r="CA395" s="53" t="n">
        <f aca="false">CA361+CB335</f>
        <v>116.866963655518</v>
      </c>
      <c r="CB395" s="53" t="n">
        <f aca="false">CB361+CB335</f>
        <v>112.362503891217</v>
      </c>
      <c r="CC395" s="53" t="n">
        <f aca="false">CC361+CC335</f>
        <v>109.018807616812</v>
      </c>
      <c r="CD395" s="53" t="n">
        <f aca="false">CD361+CD335</f>
        <v>105.855887340213</v>
      </c>
      <c r="CE395" s="53" t="n">
        <f aca="false">CE361+CE335</f>
        <v>102.828736533529</v>
      </c>
    </row>
    <row r="396" customFormat="false" ht="15" hidden="false" customHeight="false" outlineLevel="0" collapsed="false">
      <c r="B396" s="28" t="s">
        <v>510</v>
      </c>
      <c r="BY396" s="6"/>
      <c r="BZ396" s="6"/>
      <c r="CA396" s="49" t="n">
        <f aca="false">IFERROR(CA394*CA395,"n/a")</f>
        <v>17749.75444</v>
      </c>
      <c r="CB396" s="49" t="n">
        <f aca="false">IFERROR(CB394*CB395,"n/a")</f>
        <v>17065.6170909981</v>
      </c>
      <c r="CC396" s="49" t="n">
        <f aca="false">IFERROR(CC394*CC395,"n/a")</f>
        <v>16557.7765008414</v>
      </c>
      <c r="CD396" s="49" t="n">
        <f aca="false">IFERROR(CD394*CD395,"n/a")</f>
        <v>16077.3921692316</v>
      </c>
      <c r="CE396" s="49" t="n">
        <f aca="false">IFERROR(CE394*CE395,"n/a")</f>
        <v>15617.6285047124</v>
      </c>
    </row>
    <row r="397" customFormat="false" ht="15" hidden="false" customHeight="false" outlineLevel="0" collapsed="false">
      <c r="B397" s="28" t="s">
        <v>511</v>
      </c>
      <c r="BY397" s="6"/>
      <c r="BZ397" s="6"/>
      <c r="CA397" s="49" t="n">
        <f aca="false">CA389</f>
        <v>1291.65350560939</v>
      </c>
      <c r="CB397" s="49" t="n">
        <f aca="false">CB389</f>
        <v>1505.03476840497</v>
      </c>
      <c r="CC397" s="49" t="n">
        <f aca="false">CC389</f>
        <v>1634.9285235896</v>
      </c>
      <c r="CD397" s="49" t="n">
        <f aca="false">CD389</f>
        <v>1758.28653078962</v>
      </c>
      <c r="CE397" s="49" t="n">
        <f aca="false">CE389</f>
        <v>1869.14538531802</v>
      </c>
    </row>
    <row r="398" customFormat="false" ht="15" hidden="false" customHeight="false" outlineLevel="0" collapsed="false">
      <c r="B398" s="51" t="s">
        <v>512</v>
      </c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  <c r="AA398" s="64"/>
      <c r="AB398" s="64"/>
      <c r="AC398" s="64"/>
      <c r="AD398" s="64"/>
      <c r="AE398" s="64"/>
      <c r="AF398" s="64"/>
      <c r="AG398" s="64"/>
      <c r="AH398" s="64"/>
      <c r="AI398" s="64"/>
      <c r="AJ398" s="64"/>
      <c r="AK398" s="64"/>
      <c r="AL398" s="64"/>
      <c r="AM398" s="64"/>
      <c r="AN398" s="64"/>
      <c r="AO398" s="64"/>
      <c r="AP398" s="64"/>
      <c r="AQ398" s="64"/>
      <c r="AR398" s="64"/>
      <c r="AS398" s="64"/>
      <c r="AT398" s="64"/>
      <c r="AU398" s="64"/>
      <c r="AV398" s="64"/>
      <c r="AW398" s="64"/>
      <c r="AX398" s="64"/>
      <c r="AY398" s="64"/>
      <c r="AZ398" s="64"/>
      <c r="BA398" s="64"/>
      <c r="BB398" s="64"/>
      <c r="BC398" s="64"/>
      <c r="BD398" s="64"/>
      <c r="BE398" s="64"/>
      <c r="BF398" s="64"/>
      <c r="BG398" s="64"/>
      <c r="BH398" s="64"/>
      <c r="BI398" s="64"/>
      <c r="BJ398" s="64"/>
      <c r="BK398" s="64"/>
      <c r="BL398" s="64"/>
      <c r="BM398" s="64"/>
      <c r="BN398" s="64"/>
      <c r="BO398" s="64"/>
      <c r="BP398" s="64"/>
      <c r="BQ398" s="64"/>
      <c r="BR398" s="64"/>
      <c r="BS398" s="64"/>
      <c r="BT398" s="64"/>
      <c r="BU398" s="64"/>
      <c r="BV398" s="64"/>
      <c r="BW398" s="64"/>
      <c r="BX398" s="64"/>
      <c r="BY398" s="64"/>
      <c r="BZ398" s="64"/>
      <c r="CA398" s="52" t="n">
        <f aca="false">IFERROR(CA396+CA397,"n/a")</f>
        <v>19041.4079456094</v>
      </c>
      <c r="CB398" s="52" t="n">
        <f aca="false">IFERROR(CB396+CB397,"n/a")</f>
        <v>18570.651859403</v>
      </c>
      <c r="CC398" s="52" t="n">
        <f aca="false">IFERROR(CC396+CC397,"n/a")</f>
        <v>18192.705024431</v>
      </c>
      <c r="CD398" s="52" t="n">
        <f aca="false">IFERROR(CD396+CD397,"n/a")</f>
        <v>17835.6787000212</v>
      </c>
      <c r="CE398" s="52" t="n">
        <f aca="false">IFERROR(CE396+CE397,"n/a")</f>
        <v>17486.7738900304</v>
      </c>
      <c r="CF398" s="6"/>
    </row>
    <row r="399" customFormat="false" ht="15" hidden="false" customHeight="false" outlineLevel="0" collapsed="false">
      <c r="B399" s="28" t="s">
        <v>513</v>
      </c>
    </row>
    <row r="400" customFormat="false" ht="15" hidden="false" customHeight="false" outlineLevel="0" collapsed="false">
      <c r="B400" s="28" t="s">
        <v>514</v>
      </c>
      <c r="BY400" s="6"/>
      <c r="BZ400" s="6"/>
      <c r="CA400" s="66" t="n">
        <f aca="false">IFERROR(CA398/CA125,"n/a")</f>
        <v>1.01298566195426</v>
      </c>
      <c r="CB400" s="66" t="n">
        <f aca="false">IFERROR(CB398/CB125,"n/a")</f>
        <v>0.940713319076688</v>
      </c>
      <c r="CC400" s="66" t="n">
        <f aca="false">IFERROR(CC398/CC125,"n/a")</f>
        <v>0.892739315338036</v>
      </c>
      <c r="CD400" s="66" t="n">
        <f aca="false">IFERROR(CD398/CD125,"n/a")</f>
        <v>0.847380599666453</v>
      </c>
      <c r="CE400" s="66" t="n">
        <f aca="false">IFERROR(CE398/CE125,"n/a")</f>
        <v>0.782907677789739</v>
      </c>
    </row>
    <row r="401" customFormat="false" ht="15" hidden="false" customHeight="false" outlineLevel="0" collapsed="false">
      <c r="B401" s="28" t="s">
        <v>515</v>
      </c>
      <c r="BY401" s="6"/>
      <c r="BZ401" s="6"/>
      <c r="CA401" s="66" t="n">
        <f aca="false">IFERROR(CA398/CA133,"n/a")</f>
        <v>6.63484307229368</v>
      </c>
      <c r="CB401" s="66" t="n">
        <f aca="false">IFERROR(CB398/CB133,"n/a")</f>
        <v>6.12770383073876</v>
      </c>
      <c r="CC401" s="66" t="n">
        <f aca="false">IFERROR(CC398/CC133,"n/a")</f>
        <v>5.65147991163795</v>
      </c>
      <c r="CD401" s="66" t="n">
        <f aca="false">IFERROR(CD398/CD133,"n/a")</f>
        <v>5.23380641641175</v>
      </c>
      <c r="CE401" s="66" t="n">
        <f aca="false">IFERROR(CE398/CE133,"n/a")</f>
        <v>4.84142876012403</v>
      </c>
    </row>
    <row r="402" customFormat="false" ht="15" hidden="false" customHeight="false" outlineLevel="0" collapsed="false">
      <c r="B402" s="28" t="s">
        <v>516</v>
      </c>
      <c r="BY402" s="6"/>
      <c r="BZ402" s="6"/>
      <c r="CA402" s="66" t="n">
        <f aca="false">IFERROR(CA398/CA193,"n/a")</f>
        <v>17.3985978195659</v>
      </c>
      <c r="CB402" s="66" t="n">
        <f aca="false">IFERROR(CB398/CB193,"n/a")</f>
        <v>15.4237731324009</v>
      </c>
      <c r="CC402" s="66" t="n">
        <f aca="false">IFERROR(CC398/CC193,"n/a")</f>
        <v>13.9094039601251</v>
      </c>
      <c r="CD402" s="66" t="n">
        <f aca="false">IFERROR(CD398/CD193,"n/a")</f>
        <v>12.6797299442511</v>
      </c>
      <c r="CE402" s="66" t="n">
        <f aca="false">IFERROR(CE398/CE193,"n/a")</f>
        <v>11.6943644588775</v>
      </c>
    </row>
    <row r="403" customFormat="false" ht="15" hidden="false" customHeight="false" outlineLevel="0" collapsed="false">
      <c r="B403" s="28" t="s">
        <v>517</v>
      </c>
      <c r="BY403" s="6"/>
      <c r="BZ403" s="6"/>
      <c r="CA403" s="66" t="n">
        <f aca="false">IFERROR(CA398/CA181,"n/a")</f>
        <v>19.0034011433227</v>
      </c>
      <c r="CB403" s="66" t="n">
        <f aca="false">IFERROR(CB398/CB181,"n/a")</f>
        <v>16.9138300911965</v>
      </c>
      <c r="CC403" s="66" t="n">
        <f aca="false">IFERROR(CC398/CC181,"n/a")</f>
        <v>15.2348681977163</v>
      </c>
      <c r="CD403" s="66" t="n">
        <f aca="false">IFERROR(CD398/CD181,"n/a")</f>
        <v>13.8966215071023</v>
      </c>
      <c r="CE403" s="66" t="n">
        <f aca="false">IFERROR(CE398/CE181,"n/a")</f>
        <v>12.8417651223463</v>
      </c>
    </row>
    <row r="404" customFormat="false" ht="15" hidden="false" customHeight="false" outlineLevel="0" collapsed="false">
      <c r="B404" s="28" t="s">
        <v>518</v>
      </c>
      <c r="BY404" s="6"/>
      <c r="BZ404" s="6"/>
      <c r="CA404" s="66" t="n">
        <f aca="false">IFERROR(CA398/CA369,"n/a")</f>
        <v>6.44011406694558</v>
      </c>
      <c r="CB404" s="66" t="n">
        <f aca="false">IFERROR(CB398/CB369,"n/a")</f>
        <v>6.34185909623315</v>
      </c>
      <c r="CC404" s="66" t="n">
        <f aca="false">IFERROR(CC398/CC369,"n/a")</f>
        <v>5.99773651161648</v>
      </c>
      <c r="CD404" s="66" t="n">
        <f aca="false">IFERROR(CD398/CD369,"n/a")</f>
        <v>5.59945025361666</v>
      </c>
      <c r="CE404" s="66" t="n">
        <f aca="false">IFERROR(CE398/CE369,"n/a")</f>
        <v>5.19765041987424</v>
      </c>
    </row>
    <row r="405" customFormat="false" ht="15" hidden="false" customHeight="false" outlineLevel="0" collapsed="false">
      <c r="B405" s="28" t="s">
        <v>519</v>
      </c>
      <c r="BY405" s="6"/>
      <c r="BZ405" s="6"/>
      <c r="CA405" s="66" t="n">
        <f aca="false">IFERROR(CA394/CA158,"n/a")</f>
        <v>25.3642190530613</v>
      </c>
      <c r="CB405" s="66" t="n">
        <f aca="false">IFERROR(CB394/CB158,"n/a")</f>
        <v>20.9781756125323</v>
      </c>
      <c r="CC405" s="66" t="n">
        <f aca="false">IFERROR(CC394/CC158,"n/a")</f>
        <v>18.7521289860497</v>
      </c>
      <c r="CD405" s="66" t="n">
        <f aca="false">IFERROR(CD394/CD158,"n/a")</f>
        <v>16.9813142336799</v>
      </c>
      <c r="CE405" s="66" t="n">
        <f aca="false">IFERROR(CE394/CE158,"n/a")</f>
        <v>15.5530810668635</v>
      </c>
    </row>
    <row r="406" customFormat="false" ht="15" hidden="false" customHeight="false" outlineLevel="0" collapsed="false">
      <c r="B406" s="28" t="s">
        <v>520</v>
      </c>
      <c r="BY406" s="6"/>
      <c r="BZ406" s="6"/>
      <c r="CA406" s="66" t="n">
        <f aca="false">IFERROR(CA394/CA211,"n/a")</f>
        <v>23.9849024513816</v>
      </c>
      <c r="CB406" s="66" t="n">
        <f aca="false">IFERROR(CB394/CB211,"n/a")</f>
        <v>20.9781756125323</v>
      </c>
      <c r="CC406" s="66" t="n">
        <f aca="false">IFERROR(CC394/CC211,"n/a")</f>
        <v>18.7521289860497</v>
      </c>
      <c r="CD406" s="66" t="n">
        <f aca="false">IFERROR(CD394/CD211,"n/a")</f>
        <v>16.9813142336799</v>
      </c>
      <c r="CE406" s="66" t="n">
        <f aca="false">IFERROR(CE394/CE211,"n/a")</f>
        <v>15.5530810668635</v>
      </c>
    </row>
    <row r="407" customFormat="false" ht="15" hidden="false" customHeight="false" outlineLevel="0" collapsed="false">
      <c r="B407" s="28" t="s">
        <v>521</v>
      </c>
      <c r="BY407" s="6"/>
      <c r="BZ407" s="6"/>
      <c r="CA407" s="27" t="n">
        <f aca="false">IFERROR(CA264/CA396,"n/a")</f>
        <v>0.0396543644517928</v>
      </c>
      <c r="CB407" s="27" t="n">
        <f aca="false">IFERROR(CB264/CB396,"n/a")</f>
        <v>0.0556170753415895</v>
      </c>
      <c r="CC407" s="27" t="n">
        <f aca="false">IFERROR(CC264/CC396,"n/a")</f>
        <v>0.0596758634704724</v>
      </c>
      <c r="CD407" s="27" t="n">
        <f aca="false">IFERROR(CD264/CD396,"n/a")</f>
        <v>0.0660028736112805</v>
      </c>
      <c r="CE407" s="27" t="n">
        <f aca="false">IFERROR(CE264/CE396,"n/a")</f>
        <v>0.0703168050941927</v>
      </c>
    </row>
    <row r="408" customFormat="false" ht="15" hidden="false" customHeight="false" outlineLevel="0" collapsed="false">
      <c r="B408" s="28" t="s">
        <v>522</v>
      </c>
      <c r="BY408" s="6"/>
      <c r="BZ408" s="6"/>
      <c r="CA408" s="27" t="n">
        <f aca="false">IFERROR(CA161/CA394,"n/a")</f>
        <v>0.0165920463523835</v>
      </c>
      <c r="CB408" s="27" t="n">
        <f aca="false">IFERROR(CB161/CB394,"n/a")</f>
        <v>0.017089807742955</v>
      </c>
      <c r="CC408" s="27" t="n">
        <f aca="false">IFERROR(CC161/CC394,"n/a")</f>
        <v>0.0176025019752436</v>
      </c>
      <c r="CD408" s="27" t="n">
        <f aca="false">IFERROR(CD161/CD394,"n/a")</f>
        <v>0.0181305770345009</v>
      </c>
      <c r="CE408" s="27" t="n">
        <f aca="false">IFERROR(CE161/CE394,"n/a")</f>
        <v>0.018674494345536</v>
      </c>
    </row>
  </sheetData>
  <dataValidations count="1">
    <dataValidation allowBlank="false" errorStyle="stop" operator="between" showDropDown="false" showErrorMessage="false" showInputMessage="false" sqref="CF2" type="list">
      <formula1>"Bull,Base,Bear"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J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63.86"/>
    <col collapsed="false" customWidth="true" hidden="false" outlineLevel="0" max="8" min="3" style="0" width="11.86"/>
    <col collapsed="false" customWidth="true" hidden="false" outlineLevel="0" max="9" min="9" style="0" width="13.29"/>
    <col collapsed="false" customWidth="true" hidden="false" outlineLevel="0" max="12" min="10" style="0" width="12.57"/>
    <col collapsed="false" customWidth="true" hidden="false" outlineLevel="0" max="13" min="13" style="0" width="3.86"/>
    <col collapsed="false" customWidth="true" hidden="false" outlineLevel="0" max="14" min="14" style="0" width="63.86"/>
    <col collapsed="false" customWidth="true" hidden="false" outlineLevel="0" max="20" min="15" style="0" width="11.86"/>
    <col collapsed="false" customWidth="true" hidden="false" outlineLevel="0" max="21" min="21" style="0" width="13.29"/>
    <col collapsed="false" customWidth="true" hidden="false" outlineLevel="0" max="24" min="22" style="0" width="12.57"/>
    <col collapsed="false" customWidth="true" hidden="false" outlineLevel="0" max="25" min="25" style="0" width="3.86"/>
    <col collapsed="false" customWidth="true" hidden="false" outlineLevel="0" max="26" min="26" style="0" width="63.86"/>
    <col collapsed="false" customWidth="true" hidden="false" outlineLevel="0" max="32" min="27" style="0" width="11.86"/>
    <col collapsed="false" customWidth="true" hidden="false" outlineLevel="0" max="33" min="33" style="0" width="13.29"/>
    <col collapsed="false" customWidth="true" hidden="false" outlineLevel="0" max="36" min="34" style="0" width="12.57"/>
    <col collapsed="false" customWidth="true" hidden="false" outlineLevel="0" max="37" min="37" style="0" width="3.86"/>
  </cols>
  <sheetData>
    <row r="2" customFormat="false" ht="19.7" hidden="false" customHeight="false" outlineLevel="0" collapsed="false">
      <c r="B2" s="70" t="s">
        <v>523</v>
      </c>
      <c r="J2" s="71" t="s">
        <v>524</v>
      </c>
      <c r="K2" s="72" t="n">
        <f aca="false">Model!$CA$394</f>
        <v>151.88</v>
      </c>
    </row>
    <row r="3" customFormat="false" ht="15" hidden="false" customHeight="false" outlineLevel="0" collapsed="false">
      <c r="B3" s="14" t="s">
        <v>525</v>
      </c>
      <c r="J3" s="71" t="s">
        <v>526</v>
      </c>
      <c r="K3" s="73" t="n">
        <f aca="true">TODAY()</f>
        <v>46300</v>
      </c>
    </row>
    <row r="5" customFormat="false" ht="15" hidden="false" customHeight="false" outlineLevel="0" collapsed="false">
      <c r="B5" s="8" t="s">
        <v>527</v>
      </c>
      <c r="C5" s="74" t="str">
        <f aca="false">Model!$CF$2</f>
        <v>Base</v>
      </c>
      <c r="N5" s="75" t="s">
        <v>527</v>
      </c>
      <c r="O5" s="76" t="s">
        <v>80</v>
      </c>
      <c r="P5" s="14" t="s">
        <v>528</v>
      </c>
      <c r="Z5" s="75" t="s">
        <v>527</v>
      </c>
      <c r="AA5" s="76" t="s">
        <v>81</v>
      </c>
      <c r="AB5" s="14" t="s">
        <v>529</v>
      </c>
    </row>
    <row r="7" customFormat="false" ht="15" hidden="false" customHeight="false" outlineLevel="0" collapsed="false">
      <c r="B7" s="77" t="s">
        <v>530</v>
      </c>
      <c r="C7" s="78" t="s">
        <v>531</v>
      </c>
      <c r="D7" s="78" t="s">
        <v>64</v>
      </c>
      <c r="E7" s="78" t="s">
        <v>65</v>
      </c>
      <c r="F7" s="78" t="s">
        <v>66</v>
      </c>
      <c r="G7" s="78" t="s">
        <v>67</v>
      </c>
      <c r="H7" s="78" t="s">
        <v>68</v>
      </c>
      <c r="I7" s="78" t="s">
        <v>532</v>
      </c>
      <c r="J7" s="79" t="s">
        <v>533</v>
      </c>
      <c r="K7" s="79" t="s">
        <v>534</v>
      </c>
      <c r="L7" s="79" t="s">
        <v>535</v>
      </c>
      <c r="N7" s="77" t="s">
        <v>530</v>
      </c>
      <c r="O7" s="78" t="s">
        <v>531</v>
      </c>
      <c r="P7" s="78" t="s">
        <v>64</v>
      </c>
      <c r="Q7" s="78" t="s">
        <v>65</v>
      </c>
      <c r="R7" s="78" t="s">
        <v>66</v>
      </c>
      <c r="S7" s="78" t="s">
        <v>67</v>
      </c>
      <c r="T7" s="78" t="s">
        <v>68</v>
      </c>
      <c r="U7" s="78" t="s">
        <v>532</v>
      </c>
      <c r="V7" s="79" t="s">
        <v>533</v>
      </c>
      <c r="W7" s="79" t="s">
        <v>534</v>
      </c>
      <c r="X7" s="79" t="s">
        <v>535</v>
      </c>
      <c r="Z7" s="77" t="s">
        <v>530</v>
      </c>
      <c r="AA7" s="78" t="s">
        <v>531</v>
      </c>
      <c r="AB7" s="78" t="s">
        <v>64</v>
      </c>
      <c r="AC7" s="78" t="s">
        <v>65</v>
      </c>
      <c r="AD7" s="78" t="s">
        <v>66</v>
      </c>
      <c r="AE7" s="78" t="s">
        <v>67</v>
      </c>
      <c r="AF7" s="78" t="s">
        <v>68</v>
      </c>
      <c r="AG7" s="78" t="s">
        <v>532</v>
      </c>
      <c r="AH7" s="79" t="s">
        <v>533</v>
      </c>
      <c r="AI7" s="79" t="s">
        <v>534</v>
      </c>
      <c r="AJ7" s="79" t="s">
        <v>535</v>
      </c>
    </row>
    <row r="9" customFormat="false" ht="15" hidden="false" customHeight="false" outlineLevel="0" collapsed="false">
      <c r="B9" s="71" t="s">
        <v>536</v>
      </c>
      <c r="C9" s="80" t="n">
        <f aca="false">Model!BV125</f>
        <v>16232.763</v>
      </c>
      <c r="D9" s="80" t="n">
        <f aca="false">Model!CA125</f>
        <v>18797.3124011199</v>
      </c>
      <c r="E9" s="80" t="n">
        <f aca="false">Model!CB125</f>
        <v>19741.0321325419</v>
      </c>
      <c r="F9" s="80" t="n">
        <f aca="false">Model!CC125</f>
        <v>20378.5189157288</v>
      </c>
      <c r="G9" s="80" t="n">
        <f aca="false">Model!CD125</f>
        <v>21048.013970395</v>
      </c>
      <c r="H9" s="80" t="n">
        <f aca="false">Model!CE125</f>
        <v>22335.6781215865</v>
      </c>
      <c r="I9" s="81" t="n">
        <f aca="false">IFERROR((H9/C9)^(1/5)-1,"n/m")</f>
        <v>0.0659119690226462</v>
      </c>
      <c r="N9" s="71" t="s">
        <v>536</v>
      </c>
      <c r="O9" s="82" t="n">
        <v>16232.763</v>
      </c>
      <c r="P9" s="82" t="n">
        <v>19050.4088907682</v>
      </c>
      <c r="Q9" s="82" t="n">
        <v>20909.202702253</v>
      </c>
      <c r="R9" s="82" t="n">
        <v>22671.3806249057</v>
      </c>
      <c r="S9" s="82" t="n">
        <v>24548.7516466149</v>
      </c>
      <c r="T9" s="82" t="n">
        <v>27234.5023250202</v>
      </c>
      <c r="U9" s="81" t="n">
        <v>0.109035375032257</v>
      </c>
      <c r="Z9" s="71" t="s">
        <v>536</v>
      </c>
      <c r="AA9" s="82" t="n">
        <v>16232.763</v>
      </c>
      <c r="AB9" s="82" t="n">
        <v>18544.2159114716</v>
      </c>
      <c r="AC9" s="82" t="n">
        <v>18516.5510650713</v>
      </c>
      <c r="AD9" s="82" t="n">
        <v>18097.8742406285</v>
      </c>
      <c r="AE9" s="82" t="n">
        <v>17626.3664002028</v>
      </c>
      <c r="AF9" s="82" t="n">
        <v>17665.9006276693</v>
      </c>
      <c r="AG9" s="81" t="n">
        <v>0.0170649010269166</v>
      </c>
    </row>
    <row r="10" customFormat="false" ht="15" hidden="false" customHeight="false" outlineLevel="0" collapsed="false">
      <c r="B10" s="83" t="s">
        <v>537</v>
      </c>
      <c r="D10" s="84" t="n">
        <f aca="false">IFERROR(D9/C9-1,"")</f>
        <v>0.1579860065178</v>
      </c>
      <c r="E10" s="84" t="n">
        <f aca="false">IFERROR(E9/D9-1,"")</f>
        <v>0.0502050352350241</v>
      </c>
      <c r="F10" s="84" t="n">
        <f aca="false">IFERROR(F9/E9-1,"")</f>
        <v>0.0322924748263842</v>
      </c>
      <c r="G10" s="84" t="n">
        <f aca="false">IFERROR(G9/F9-1,"")</f>
        <v>0.0328529790332033</v>
      </c>
      <c r="H10" s="84" t="n">
        <f aca="false">IFERROR(H9/G9-1,"")</f>
        <v>0.0611774656270512</v>
      </c>
      <c r="N10" s="83" t="s">
        <v>537</v>
      </c>
      <c r="P10" s="85" t="n">
        <v>0.173577713835173</v>
      </c>
      <c r="Q10" s="85" t="n">
        <v>0.0975723839914848</v>
      </c>
      <c r="R10" s="85" t="n">
        <v>0.0842776239604206</v>
      </c>
      <c r="S10" s="85" t="n">
        <v>0.0828079706644238</v>
      </c>
      <c r="T10" s="85" t="n">
        <v>0.109404776139632</v>
      </c>
      <c r="Z10" s="83" t="s">
        <v>537</v>
      </c>
      <c r="AB10" s="85" t="n">
        <v>0.142394299200427</v>
      </c>
      <c r="AC10" s="85" t="n">
        <v>-0.0014918315518111</v>
      </c>
      <c r="AD10" s="85" t="n">
        <v>-0.0226109507635333</v>
      </c>
      <c r="AE10" s="85" t="n">
        <v>-0.026053216756649</v>
      </c>
      <c r="AF10" s="85" t="n">
        <v>0.0022429028518296</v>
      </c>
    </row>
    <row r="11" customFormat="false" ht="15" hidden="false" customHeight="false" outlineLevel="0" collapsed="false">
      <c r="B11" s="83" t="s">
        <v>538</v>
      </c>
      <c r="C11" s="86" t="n">
        <f aca="false">Model!BV11</f>
        <v>0.01</v>
      </c>
      <c r="D11" s="87" t="n">
        <f aca="false">Model!CA11</f>
        <v>0.01125</v>
      </c>
      <c r="E11" s="87" t="n">
        <f aca="false">Model!CB11</f>
        <v>0.03</v>
      </c>
      <c r="F11" s="87" t="n">
        <f aca="false">Model!CC11</f>
        <v>0.035</v>
      </c>
      <c r="G11" s="87" t="n">
        <f aca="false">Model!CD11</f>
        <v>0.03</v>
      </c>
      <c r="H11" s="87" t="n">
        <f aca="false">Model!CE11</f>
        <v>0.03</v>
      </c>
      <c r="N11" s="83" t="s">
        <v>538</v>
      </c>
      <c r="O11" s="88" t="n">
        <v>0.01</v>
      </c>
      <c r="P11" s="85" t="n">
        <v>0.01125</v>
      </c>
      <c r="Q11" s="85" t="n">
        <v>0.05</v>
      </c>
      <c r="R11" s="85" t="n">
        <v>0.055</v>
      </c>
      <c r="S11" s="85" t="n">
        <v>0.05</v>
      </c>
      <c r="T11" s="85" t="n">
        <v>0.05</v>
      </c>
      <c r="Z11" s="83" t="s">
        <v>538</v>
      </c>
      <c r="AA11" s="88" t="n">
        <v>0.01</v>
      </c>
      <c r="AB11" s="85" t="n">
        <v>0.01125</v>
      </c>
      <c r="AC11" s="85" t="n">
        <v>0.01</v>
      </c>
      <c r="AD11" s="85" t="n">
        <v>0.015</v>
      </c>
      <c r="AE11" s="85" t="n">
        <v>0.01</v>
      </c>
      <c r="AF11" s="85" t="n">
        <v>0.01</v>
      </c>
    </row>
    <row r="12" customFormat="false" ht="15" hidden="false" customHeight="false" outlineLevel="0" collapsed="false">
      <c r="B12" s="71" t="s">
        <v>539</v>
      </c>
      <c r="C12" s="80" t="n">
        <f aca="false">Model!BV133</f>
        <v>2729.41</v>
      </c>
      <c r="D12" s="80" t="n">
        <f aca="false">Model!CA133</f>
        <v>2869.91082353162</v>
      </c>
      <c r="E12" s="80" t="n">
        <f aca="false">Model!CB133</f>
        <v>3030.60532499074</v>
      </c>
      <c r="F12" s="80" t="n">
        <f aca="false">Model!CC133</f>
        <v>3219.1046077979</v>
      </c>
      <c r="G12" s="80" t="n">
        <f aca="false">Model!CD133</f>
        <v>3407.78341439865</v>
      </c>
      <c r="H12" s="80" t="n">
        <f aca="false">Model!CE133</f>
        <v>3611.90358392931</v>
      </c>
      <c r="I12" s="81" t="n">
        <f aca="false">IFERROR((H12/C12)^(1/5)-1,"n/m")</f>
        <v>0.0576293007345061</v>
      </c>
      <c r="N12" s="71" t="s">
        <v>539</v>
      </c>
      <c r="O12" s="82" t="n">
        <v>2729.41</v>
      </c>
      <c r="P12" s="82" t="n">
        <v>2907.91082353162</v>
      </c>
      <c r="Q12" s="82" t="n">
        <v>3211.36391227398</v>
      </c>
      <c r="R12" s="82" t="n">
        <v>3582.19051699479</v>
      </c>
      <c r="S12" s="82" t="n">
        <v>3973.29571558951</v>
      </c>
      <c r="T12" s="82" t="n">
        <v>4402.93064140666</v>
      </c>
      <c r="U12" s="81" t="n">
        <v>0.100359540159962</v>
      </c>
      <c r="Z12" s="71" t="s">
        <v>539</v>
      </c>
      <c r="AA12" s="82" t="n">
        <v>2729.41</v>
      </c>
      <c r="AB12" s="82" t="n">
        <v>2831.91082353162</v>
      </c>
      <c r="AC12" s="82" t="n">
        <v>2838.71979650284</v>
      </c>
      <c r="AD12" s="82" t="n">
        <v>2852.07229845125</v>
      </c>
      <c r="AE12" s="82" t="n">
        <v>2846.17159055558</v>
      </c>
      <c r="AF12" s="82" t="n">
        <v>2847.503888619</v>
      </c>
      <c r="AG12" s="81" t="n">
        <v>0.00850744704950923</v>
      </c>
    </row>
    <row r="13" customFormat="false" ht="15" hidden="false" customHeight="false" outlineLevel="0" collapsed="false">
      <c r="B13" s="83" t="s">
        <v>540</v>
      </c>
      <c r="D13" s="84" t="n">
        <f aca="false">IFERROR(D12/C12-1,"")</f>
        <v>0.0514766281106966</v>
      </c>
      <c r="E13" s="84" t="n">
        <f aca="false">IFERROR(E12/D12-1,"")</f>
        <v>0.055992855297635</v>
      </c>
      <c r="F13" s="84" t="n">
        <f aca="false">IFERROR(F12/E12-1,"")</f>
        <v>0.0621985585693958</v>
      </c>
      <c r="G13" s="84" t="n">
        <f aca="false">IFERROR(G12/F12-1,"")</f>
        <v>0.0586122010896153</v>
      </c>
      <c r="H13" s="84" t="n">
        <f aca="false">IFERROR(H12/G12-1,"")</f>
        <v>0.0598982226007081</v>
      </c>
      <c r="N13" s="83" t="s">
        <v>540</v>
      </c>
      <c r="P13" s="85" t="n">
        <v>0.0653990509053666</v>
      </c>
      <c r="Q13" s="85" t="n">
        <v>0.104354331049886</v>
      </c>
      <c r="R13" s="85" t="n">
        <v>0.11547324278743</v>
      </c>
      <c r="S13" s="85" t="n">
        <v>0.109180457247938</v>
      </c>
      <c r="T13" s="85" t="n">
        <v>0.108130619156146</v>
      </c>
      <c r="Z13" s="83" t="s">
        <v>540</v>
      </c>
      <c r="AB13" s="85" t="n">
        <v>0.0375542053160267</v>
      </c>
      <c r="AC13" s="85" t="n">
        <v>0.00240437407655647</v>
      </c>
      <c r="AD13" s="85" t="n">
        <v>0.00470370551009225</v>
      </c>
      <c r="AE13" s="85" t="n">
        <v>-0.00206891946563936</v>
      </c>
      <c r="AF13" s="85" t="n">
        <v>0.000468101806595067</v>
      </c>
    </row>
    <row r="15" customFormat="false" ht="15" hidden="false" customHeight="false" outlineLevel="0" collapsed="false">
      <c r="B15" s="71" t="s">
        <v>541</v>
      </c>
      <c r="C15" s="80" t="n">
        <f aca="false">Model!BV193</f>
        <v>936.551</v>
      </c>
      <c r="D15" s="80" t="n">
        <f aca="false">Model!CA193</f>
        <v>1094.42198406334</v>
      </c>
      <c r="E15" s="80" t="n">
        <f aca="false">Model!CB193</f>
        <v>1204.02781472398</v>
      </c>
      <c r="F15" s="80" t="n">
        <f aca="false">Model!CC193</f>
        <v>1307.94281887168</v>
      </c>
      <c r="G15" s="80" t="n">
        <f aca="false">Model!CD193</f>
        <v>1406.6292246317</v>
      </c>
      <c r="H15" s="80" t="n">
        <f aca="false">Model!CE193</f>
        <v>1495.31630825442</v>
      </c>
      <c r="I15" s="81" t="n">
        <f aca="false">IFERROR((H15/C15)^(1/5)-1,"n/m")</f>
        <v>0.0980960455899069</v>
      </c>
      <c r="N15" s="71" t="s">
        <v>541</v>
      </c>
      <c r="O15" s="82" t="n">
        <v>936.551</v>
      </c>
      <c r="P15" s="82" t="n">
        <v>1133.58412703469</v>
      </c>
      <c r="Q15" s="82" t="n">
        <v>1377.03896224024</v>
      </c>
      <c r="R15" s="82" t="n">
        <v>1614.9314332057</v>
      </c>
      <c r="S15" s="82" t="n">
        <v>1866.15675402023</v>
      </c>
      <c r="T15" s="82" t="n">
        <v>2124.85059866988</v>
      </c>
      <c r="U15" s="81" t="n">
        <v>0.178038254461058</v>
      </c>
      <c r="Z15" s="71" t="s">
        <v>541</v>
      </c>
      <c r="AA15" s="82" t="n">
        <v>936.551</v>
      </c>
      <c r="AB15" s="82" t="n">
        <v>1055.25984109198</v>
      </c>
      <c r="AC15" s="82" t="n">
        <v>1005.57301192072</v>
      </c>
      <c r="AD15" s="82" t="n">
        <v>959.432737420762</v>
      </c>
      <c r="AE15" s="82" t="n">
        <v>896.017980793662</v>
      </c>
      <c r="AF15" s="82" t="n">
        <v>816.993949652151</v>
      </c>
      <c r="AG15" s="81" t="n">
        <v>-0.0269447914341159</v>
      </c>
    </row>
    <row r="16" customFormat="false" ht="15" hidden="false" customHeight="false" outlineLevel="0" collapsed="false">
      <c r="B16" s="83" t="s">
        <v>542</v>
      </c>
      <c r="C16" s="86" t="n">
        <f aca="false">IFERROR(C15/Model!BV133,"")</f>
        <v>0.343133131336076</v>
      </c>
      <c r="D16" s="87" t="n">
        <f aca="false">IFERROR(D15/Model!CA133,"")</f>
        <v>0.381343550848238</v>
      </c>
      <c r="E16" s="87" t="n">
        <f aca="false">IFERROR(E15/Model!CB133,"")</f>
        <v>0.397289546347529</v>
      </c>
      <c r="F16" s="87" t="n">
        <f aca="false">IFERROR(F15/Model!CC133,"")</f>
        <v>0.406306404490039</v>
      </c>
      <c r="G16" s="87" t="n">
        <f aca="false">IFERROR(G15/Model!CD133,"")</f>
        <v>0.412769549463846</v>
      </c>
      <c r="H16" s="87" t="n">
        <f aca="false">IFERROR(H15/Model!CE133,"")</f>
        <v>0.413996739809897</v>
      </c>
      <c r="J16" s="89" t="n">
        <f aca="false">IFERROR(AVERAGE(Model!C194,Model!D194,Model!E194,Model!F194,Model!G194,Model!H194,Model!I194,Model!N194,Model!S194,Model!X194,Model!AC194,Model!AH194,Model!AM194,Model!AR194,Model!AW194,Model!BB194,Model!BG194,Model!BL194,Model!BQ194,Model!BV194),"")</f>
        <v>0.384958970376373</v>
      </c>
      <c r="K16" s="89" t="n">
        <f aca="false">IFERROR(MIN(Model!C194,Model!D194,Model!E194,Model!F194,Model!G194,Model!H194,Model!I194,Model!N194,Model!S194,Model!X194,Model!AC194,Model!AH194,Model!AM194,Model!AR194,Model!AW194,Model!BB194,Model!BG194,Model!BL194,Model!BQ194,Model!BV194),"")</f>
        <v>0.250184672703148</v>
      </c>
      <c r="L16" s="89" t="n">
        <f aca="false">IFERROR(MAX(Model!C194,Model!D194,Model!E194,Model!F194,Model!G194,Model!H194,Model!I194,Model!N194,Model!S194,Model!X194,Model!AC194,Model!AH194,Model!AM194,Model!AR194,Model!AW194,Model!BB194,Model!BG194,Model!BL194,Model!BQ194,Model!BV194),"")</f>
        <v>0.445255611780089</v>
      </c>
      <c r="N16" s="83" t="s">
        <v>542</v>
      </c>
      <c r="O16" s="88" t="n">
        <v>0.343133131336076</v>
      </c>
      <c r="P16" s="85" t="n">
        <v>0.389827678985689</v>
      </c>
      <c r="Q16" s="85" t="n">
        <v>0.428801904691378</v>
      </c>
      <c r="R16" s="85" t="n">
        <v>0.45082231822793</v>
      </c>
      <c r="S16" s="85" t="n">
        <v>0.469674770669154</v>
      </c>
      <c r="T16" s="85" t="n">
        <v>0.482599153092955</v>
      </c>
      <c r="Z16" s="83" t="s">
        <v>542</v>
      </c>
      <c r="AA16" s="88" t="n">
        <v>0.343133131336076</v>
      </c>
      <c r="AB16" s="85" t="n">
        <v>0.372631734136313</v>
      </c>
      <c r="AC16" s="85" t="n">
        <v>0.354234684648883</v>
      </c>
      <c r="AD16" s="85" t="n">
        <v>0.33639846294982</v>
      </c>
      <c r="AE16" s="85" t="n">
        <v>0.314815165665664</v>
      </c>
      <c r="AF16" s="85" t="n">
        <v>0.286915832816784</v>
      </c>
    </row>
    <row r="18" customFormat="false" ht="15" hidden="false" customHeight="false" outlineLevel="0" collapsed="false">
      <c r="B18" s="71" t="s">
        <v>543</v>
      </c>
      <c r="C18" s="80" t="n">
        <f aca="false">Model!BV139</f>
        <v>794.961</v>
      </c>
      <c r="D18" s="80" t="n">
        <f aca="false">Model!CA139</f>
        <v>947.751</v>
      </c>
      <c r="E18" s="80" t="n">
        <f aca="false">Model!CB139</f>
        <v>1097.9566283493</v>
      </c>
      <c r="F18" s="80" t="n">
        <f aca="false">Model!CC139</f>
        <v>1194.14915759875</v>
      </c>
      <c r="G18" s="80" t="n">
        <f aca="false">Model!CD139</f>
        <v>1283.45430512775</v>
      </c>
      <c r="H18" s="80" t="n">
        <f aca="false">Model!CE139</f>
        <v>1361.71108281689</v>
      </c>
      <c r="I18" s="81" t="n">
        <f aca="false">IFERROR((H18/C18)^(1/5)-1,"n/m")</f>
        <v>0.113647713707797</v>
      </c>
      <c r="N18" s="71" t="s">
        <v>543</v>
      </c>
      <c r="O18" s="82" t="n">
        <v>794.961</v>
      </c>
      <c r="P18" s="82" t="n">
        <v>985.751</v>
      </c>
      <c r="Q18" s="82" t="n">
        <v>1262.95372531065</v>
      </c>
      <c r="R18" s="82" t="n">
        <v>1483.41976511088</v>
      </c>
      <c r="S18" s="82" t="n">
        <v>1714.9110039746</v>
      </c>
      <c r="T18" s="82" t="n">
        <v>1952.07041022064</v>
      </c>
      <c r="U18" s="81" t="n">
        <v>0.196823012074927</v>
      </c>
      <c r="Z18" s="71" t="s">
        <v>543</v>
      </c>
      <c r="AA18" s="82" t="n">
        <v>794.961</v>
      </c>
      <c r="AB18" s="82" t="n">
        <v>909.751</v>
      </c>
      <c r="AC18" s="82" t="n">
        <v>906.217819043124</v>
      </c>
      <c r="AD18" s="82" t="n">
        <v>859.610206974968</v>
      </c>
      <c r="AE18" s="82" t="n">
        <v>795.839475124216</v>
      </c>
      <c r="AF18" s="82" t="n">
        <v>715.661313550486</v>
      </c>
      <c r="AG18" s="81" t="n">
        <v>-0.020797883250434</v>
      </c>
    </row>
    <row r="19" customFormat="false" ht="15" hidden="false" customHeight="false" outlineLevel="0" collapsed="false">
      <c r="B19" s="83" t="s">
        <v>544</v>
      </c>
      <c r="D19" s="84" t="n">
        <f aca="false">IFERROR(D18/C18-1,"")</f>
        <v>0.192198107831705</v>
      </c>
      <c r="E19" s="84" t="n">
        <f aca="false">IFERROR(E18/D18-1,"")</f>
        <v>0.158486383395322</v>
      </c>
      <c r="F19" s="84" t="n">
        <f aca="false">IFERROR(F18/E18-1,"")</f>
        <v>0.0876105000559744</v>
      </c>
      <c r="G19" s="84" t="n">
        <f aca="false">IFERROR(G18/F18-1,"")</f>
        <v>0.0747855885177451</v>
      </c>
      <c r="H19" s="84" t="n">
        <f aca="false">IFERROR(H18/G18-1,"")</f>
        <v>0.0609735596947139</v>
      </c>
      <c r="N19" s="83" t="s">
        <v>544</v>
      </c>
      <c r="P19" s="85" t="n">
        <v>0.239999194929059</v>
      </c>
      <c r="Q19" s="85" t="n">
        <v>0.281209682070471</v>
      </c>
      <c r="R19" s="85" t="n">
        <v>0.174563830314528</v>
      </c>
      <c r="S19" s="85" t="n">
        <v>0.156052416388303</v>
      </c>
      <c r="T19" s="85" t="n">
        <v>0.138292544450637</v>
      </c>
      <c r="Z19" s="83" t="s">
        <v>544</v>
      </c>
      <c r="AB19" s="85" t="n">
        <v>0.144397020734351</v>
      </c>
      <c r="AC19" s="85" t="n">
        <v>-0.0038836791131589</v>
      </c>
      <c r="AD19" s="85" t="n">
        <v>-0.0514309154915643</v>
      </c>
      <c r="AE19" s="85" t="n">
        <v>-0.0741856382501149</v>
      </c>
      <c r="AF19" s="85" t="n">
        <v>-0.100746650649888</v>
      </c>
    </row>
    <row r="20" customFormat="false" ht="15" hidden="false" customHeight="false" outlineLevel="0" collapsed="false">
      <c r="B20" s="83" t="s">
        <v>545</v>
      </c>
      <c r="C20" s="86" t="n">
        <f aca="false">IFERROR(C18/Model!BV133,"")</f>
        <v>0.291257451244042</v>
      </c>
      <c r="D20" s="87" t="n">
        <f aca="false">IFERROR(D18/Model!CA133,"")</f>
        <v>0.330237090375418</v>
      </c>
      <c r="E20" s="87" t="n">
        <f aca="false">IFERROR(E18/Model!CB133,"")</f>
        <v>0.362289546347529</v>
      </c>
      <c r="F20" s="87" t="n">
        <f aca="false">IFERROR(F18/Model!CC133,"")</f>
        <v>0.370956928428504</v>
      </c>
      <c r="G20" s="87" t="n">
        <f aca="false">IFERROR(G18/Model!CD133,"")</f>
        <v>0.376624376920453</v>
      </c>
      <c r="H20" s="87" t="n">
        <f aca="false">IFERROR(H18/Model!CE133,"")</f>
        <v>0.377006487348014</v>
      </c>
      <c r="J20" s="89" t="n">
        <f aca="false">IFERROR(AVERAGE(Model!C231,Model!D231,Model!E231,Model!F231,Model!G231,Model!H231,Model!I231,Model!N231,Model!S231,Model!X231,Model!AC231,Model!AH231,Model!AM231,Model!AR231,Model!AW231,Model!BB231,Model!BG231,Model!BL231,Model!BQ231,Model!BV231),"")</f>
        <v>0.352141223753739</v>
      </c>
      <c r="K20" s="89" t="n">
        <f aca="false">IFERROR(MIN(Model!C231,Model!D231,Model!E231,Model!F231,Model!G231,Model!H231,Model!I231,Model!N231,Model!S231,Model!X231,Model!AC231,Model!AH231,Model!AM231,Model!AR231,Model!AW231,Model!BB231,Model!BG231,Model!BL231,Model!BQ231,Model!BV231),"")</f>
        <v>0.19757560446716</v>
      </c>
      <c r="L20" s="89" t="n">
        <f aca="false">IFERROR(MAX(Model!C231,Model!D231,Model!E231,Model!F231,Model!G231,Model!H231,Model!I231,Model!N231,Model!S231,Model!X231,Model!AC231,Model!AH231,Model!AM231,Model!AR231,Model!AW231,Model!BB231,Model!BG231,Model!BL231,Model!BQ231,Model!BV231),"")</f>
        <v>0.424297911821567</v>
      </c>
      <c r="N20" s="83" t="s">
        <v>545</v>
      </c>
      <c r="O20" s="88" t="n">
        <v>0.291257451244042</v>
      </c>
      <c r="P20" s="85" t="n">
        <v>0.338989418803022</v>
      </c>
      <c r="Q20" s="85" t="n">
        <v>0.393276427029519</v>
      </c>
      <c r="R20" s="85" t="n">
        <v>0.414109679000369</v>
      </c>
      <c r="S20" s="85" t="n">
        <v>0.431609204732994</v>
      </c>
      <c r="T20" s="85" t="n">
        <v>0.443357065828543</v>
      </c>
      <c r="Z20" s="83" t="s">
        <v>545</v>
      </c>
      <c r="AA20" s="88" t="n">
        <v>0.291257451244042</v>
      </c>
      <c r="AB20" s="85" t="n">
        <v>0.321249875681279</v>
      </c>
      <c r="AC20" s="85" t="n">
        <v>0.319234684648883</v>
      </c>
      <c r="AD20" s="85" t="n">
        <v>0.30139846294982</v>
      </c>
      <c r="AE20" s="85" t="n">
        <v>0.279617531762682</v>
      </c>
      <c r="AF20" s="85" t="n">
        <v>0.251329354249828</v>
      </c>
    </row>
    <row r="22" customFormat="false" ht="15" hidden="false" customHeight="false" outlineLevel="0" collapsed="false">
      <c r="B22" s="71" t="s">
        <v>546</v>
      </c>
      <c r="C22" s="80" t="n">
        <f aca="false">Model!BV181</f>
        <v>833.733</v>
      </c>
      <c r="D22" s="80" t="n">
        <f aca="false">Model!CA181</f>
        <v>1002</v>
      </c>
      <c r="E22" s="80" t="n">
        <f aca="false">Model!CB181</f>
        <v>1097.9566283493</v>
      </c>
      <c r="F22" s="80" t="n">
        <f aca="false">Model!CC181</f>
        <v>1194.14915759875</v>
      </c>
      <c r="G22" s="80" t="n">
        <f aca="false">Model!CD181</f>
        <v>1283.45430512775</v>
      </c>
      <c r="H22" s="80" t="n">
        <f aca="false">Model!CE181</f>
        <v>1361.71108281689</v>
      </c>
      <c r="I22" s="81" t="n">
        <f aca="false">IFERROR((H22/C22)^(1/5)-1,"n/m")</f>
        <v>0.103091647329946</v>
      </c>
      <c r="N22" s="71" t="s">
        <v>546</v>
      </c>
      <c r="O22" s="82" t="n">
        <v>833.733</v>
      </c>
      <c r="P22" s="82" t="n">
        <v>1040</v>
      </c>
      <c r="Q22" s="82" t="n">
        <v>1262.95372531065</v>
      </c>
      <c r="R22" s="82" t="n">
        <v>1483.41976511088</v>
      </c>
      <c r="S22" s="82" t="n">
        <v>1714.9110039746</v>
      </c>
      <c r="T22" s="82" t="n">
        <v>1952.07041022064</v>
      </c>
      <c r="U22" s="81" t="n">
        <v>0.185478542003742</v>
      </c>
      <c r="Z22" s="71" t="s">
        <v>546</v>
      </c>
      <c r="AA22" s="82" t="n">
        <v>833.733</v>
      </c>
      <c r="AB22" s="82" t="n">
        <v>964</v>
      </c>
      <c r="AC22" s="82" t="n">
        <v>906.217819043124</v>
      </c>
      <c r="AD22" s="82" t="n">
        <v>859.610206974968</v>
      </c>
      <c r="AE22" s="82" t="n">
        <v>795.839475124216</v>
      </c>
      <c r="AF22" s="82" t="n">
        <v>715.661313550486</v>
      </c>
      <c r="AG22" s="81" t="n">
        <v>-0.030079563996067</v>
      </c>
    </row>
    <row r="23" customFormat="false" ht="15" hidden="false" customHeight="false" outlineLevel="0" collapsed="false">
      <c r="B23" s="83" t="s">
        <v>547</v>
      </c>
      <c r="C23" s="86" t="n">
        <f aca="false">IFERROR(C22/Model!BV133,"")</f>
        <v>0.305462719049172</v>
      </c>
      <c r="D23" s="87" t="n">
        <f aca="false">IFERROR(D22/Model!CA133,"")</f>
        <v>0.349139768310631</v>
      </c>
      <c r="E23" s="87" t="n">
        <f aca="false">IFERROR(E22/Model!CB133,"")</f>
        <v>0.362289546347529</v>
      </c>
      <c r="F23" s="87" t="n">
        <f aca="false">IFERROR(F22/Model!CC133,"")</f>
        <v>0.370956928428504</v>
      </c>
      <c r="G23" s="87" t="n">
        <f aca="false">IFERROR(G22/Model!CD133,"")</f>
        <v>0.376624376920453</v>
      </c>
      <c r="H23" s="87" t="n">
        <f aca="false">IFERROR(H22/Model!CE133,"")</f>
        <v>0.377006487348014</v>
      </c>
      <c r="J23" s="89" t="n">
        <f aca="false">IFERROR(AVERAGE(Model!C182,Model!D182,Model!E182,Model!F182,Model!G182,Model!H182,Model!I182,Model!N182,Model!S182,Model!X182,Model!AC182,Model!AH182,Model!AM182,Model!AR182,Model!AW182,Model!BB182,Model!BG182,Model!BL182,Model!BQ182,Model!BV182),"")</f>
        <v>0.355259328207483</v>
      </c>
      <c r="K23" s="89" t="n">
        <f aca="false">IFERROR(MIN(Model!C182,Model!D182,Model!E182,Model!F182,Model!G182,Model!H182,Model!I182,Model!N182,Model!S182,Model!X182,Model!AC182,Model!AH182,Model!AM182,Model!AR182,Model!AW182,Model!BB182,Model!BG182,Model!BL182,Model!BQ182,Model!BV182),"")</f>
        <v>0.212180873283043</v>
      </c>
      <c r="L23" s="89" t="n">
        <f aca="false">IFERROR(MAX(Model!C182,Model!D182,Model!E182,Model!F182,Model!G182,Model!H182,Model!I182,Model!N182,Model!S182,Model!X182,Model!AC182,Model!AH182,Model!AM182,Model!AR182,Model!AW182,Model!BB182,Model!BG182,Model!BL182,Model!BQ182,Model!BV182),"")</f>
        <v>0.424297911821567</v>
      </c>
      <c r="N23" s="83" t="s">
        <v>547</v>
      </c>
      <c r="O23" s="88" t="n">
        <v>0.305462719049172</v>
      </c>
      <c r="P23" s="85" t="n">
        <v>0.3576450803044</v>
      </c>
      <c r="Q23" s="85" t="n">
        <v>0.393276427029519</v>
      </c>
      <c r="R23" s="85" t="n">
        <v>0.414109679000369</v>
      </c>
      <c r="S23" s="85" t="n">
        <v>0.431609204732994</v>
      </c>
      <c r="T23" s="85" t="n">
        <v>0.443357065828543</v>
      </c>
      <c r="Z23" s="83" t="s">
        <v>547</v>
      </c>
      <c r="AA23" s="88" t="n">
        <v>0.305462719049172</v>
      </c>
      <c r="AB23" s="85" t="n">
        <v>0.340406199231166</v>
      </c>
      <c r="AC23" s="85" t="n">
        <v>0.319234684648883</v>
      </c>
      <c r="AD23" s="85" t="n">
        <v>0.30139846294982</v>
      </c>
      <c r="AE23" s="85" t="n">
        <v>0.279617531762682</v>
      </c>
      <c r="AF23" s="85" t="n">
        <v>0.251329354249828</v>
      </c>
    </row>
    <row r="25" customFormat="false" ht="15" hidden="false" customHeight="false" outlineLevel="0" collapsed="false">
      <c r="B25" s="71" t="s">
        <v>548</v>
      </c>
      <c r="C25" s="80" t="n">
        <f aca="false">Model!BV209</f>
        <v>618.196</v>
      </c>
      <c r="D25" s="80" t="n">
        <f aca="false">Model!CA209</f>
        <v>758.16348</v>
      </c>
      <c r="E25" s="80" t="n">
        <f aca="false">Model!CB209</f>
        <v>829.79979227077</v>
      </c>
      <c r="F25" s="80" t="n">
        <f aca="false">Model!CC209</f>
        <v>896.522032694338</v>
      </c>
      <c r="G25" s="80" t="n">
        <f aca="false">Model!CD209</f>
        <v>960.914103024663</v>
      </c>
      <c r="H25" s="80" t="n">
        <f aca="false">Model!CE209</f>
        <v>1018.93060730814</v>
      </c>
      <c r="I25" s="81" t="n">
        <f aca="false">IFERROR((H25/C25)^(1/5)-1,"n/m")</f>
        <v>0.105105355271736</v>
      </c>
      <c r="N25" s="71" t="s">
        <v>548</v>
      </c>
      <c r="O25" s="82" t="n">
        <v>618.196</v>
      </c>
      <c r="P25" s="82" t="n">
        <v>798.17452</v>
      </c>
      <c r="Q25" s="82" t="n">
        <v>958.932825122797</v>
      </c>
      <c r="R25" s="82" t="n">
        <v>1107.0870379957</v>
      </c>
      <c r="S25" s="82" t="n">
        <v>1276.7856292068</v>
      </c>
      <c r="T25" s="82" t="n">
        <v>1452.49478130219</v>
      </c>
      <c r="U25" s="81" t="n">
        <v>0.186308597884799</v>
      </c>
      <c r="Z25" s="71" t="s">
        <v>548</v>
      </c>
      <c r="AA25" s="82" t="n">
        <v>618.196</v>
      </c>
      <c r="AB25" s="82" t="n">
        <v>718.91244</v>
      </c>
      <c r="AC25" s="82" t="n">
        <v>679.301661542883</v>
      </c>
      <c r="AD25" s="82" t="n">
        <v>647.470849536523</v>
      </c>
      <c r="AE25" s="82" t="n">
        <v>595.950682267321</v>
      </c>
      <c r="AF25" s="82" t="n">
        <v>534.167181954865</v>
      </c>
      <c r="AG25" s="81" t="n">
        <v>-0.0287965815856474</v>
      </c>
    </row>
    <row r="27" customFormat="false" ht="15" hidden="false" customHeight="false" outlineLevel="0" collapsed="false">
      <c r="B27" s="71" t="s">
        <v>549</v>
      </c>
      <c r="C27" s="90" t="n">
        <f aca="false">Model!BV156</f>
        <v>121.502</v>
      </c>
      <c r="D27" s="90" t="n">
        <f aca="false">Model!CA156</f>
        <v>119.729240913879</v>
      </c>
      <c r="E27" s="90" t="n">
        <f aca="false">Model!CB156</f>
        <v>114.614733773367</v>
      </c>
      <c r="F27" s="90" t="n">
        <f aca="false">Model!CC156</f>
        <v>110.690655754014</v>
      </c>
      <c r="G27" s="90" t="n">
        <f aca="false">Model!CD156</f>
        <v>107.437347478512</v>
      </c>
      <c r="H27" s="90" t="n">
        <f aca="false">Model!CE156</f>
        <v>104.342311936871</v>
      </c>
      <c r="I27" s="81" t="n">
        <f aca="false">IFERROR((H27/C27)^(1/5)-1,"n/m")</f>
        <v>-0.0299917997899414</v>
      </c>
      <c r="N27" s="71" t="s">
        <v>549</v>
      </c>
      <c r="O27" s="91" t="n">
        <v>121.502</v>
      </c>
      <c r="P27" s="91" t="n">
        <v>119.564637279431</v>
      </c>
      <c r="Q27" s="91" t="n">
        <v>112.656182518148</v>
      </c>
      <c r="R27" s="91" t="n">
        <v>106.706230878359</v>
      </c>
      <c r="S27" s="91" t="n">
        <v>101.665737376146</v>
      </c>
      <c r="T27" s="91" t="n">
        <v>96.1416785064249</v>
      </c>
      <c r="U27" s="81" t="n">
        <v>-0.0457423402946205</v>
      </c>
      <c r="Z27" s="71" t="s">
        <v>549</v>
      </c>
      <c r="AA27" s="91" t="n">
        <v>121.502</v>
      </c>
      <c r="AB27" s="91" t="n">
        <v>119.893844548328</v>
      </c>
      <c r="AC27" s="91" t="n">
        <v>116.896560745115</v>
      </c>
      <c r="AD27" s="91" t="n">
        <v>115.434713067564</v>
      </c>
      <c r="AE27" s="91" t="n">
        <v>114.17136573399</v>
      </c>
      <c r="AF27" s="91" t="n">
        <v>113.640889254859</v>
      </c>
      <c r="AG27" s="81" t="n">
        <v>-0.0132883876187537</v>
      </c>
    </row>
    <row r="29" customFormat="false" ht="15" hidden="false" customHeight="false" outlineLevel="0" collapsed="false">
      <c r="B29" s="71" t="s">
        <v>550</v>
      </c>
      <c r="C29" s="92" t="n">
        <f aca="false">Model!BV211</f>
        <v>5.08794916956099</v>
      </c>
      <c r="D29" s="92" t="n">
        <f aca="false">Model!CA211</f>
        <v>6.33231676917874</v>
      </c>
      <c r="E29" s="92" t="n">
        <f aca="false">Model!CB211</f>
        <v>7.23990507111912</v>
      </c>
      <c r="F29" s="92" t="n">
        <f aca="false">Model!CC211</f>
        <v>8.09934701883653</v>
      </c>
      <c r="G29" s="92" t="n">
        <f aca="false">Model!CD211</f>
        <v>8.94394850186381</v>
      </c>
      <c r="H29" s="92" t="n">
        <f aca="false">Model!CE211</f>
        <v>9.76526768857306</v>
      </c>
      <c r="I29" s="81" t="n">
        <f aca="false">IFERROR((H29/C29)^(1/5)-1,"n/m")</f>
        <v>0.139274240189332</v>
      </c>
      <c r="N29" s="71" t="s">
        <v>550</v>
      </c>
      <c r="O29" s="93" t="n">
        <v>5.08794916956099</v>
      </c>
      <c r="P29" s="93" t="n">
        <v>6.67567382933307</v>
      </c>
      <c r="Q29" s="93" t="n">
        <v>8.51203017613628</v>
      </c>
      <c r="R29" s="93" t="n">
        <v>10.3750927090446</v>
      </c>
      <c r="S29" s="93" t="n">
        <v>12.5586619657605</v>
      </c>
      <c r="T29" s="93" t="n">
        <v>15.107857527213</v>
      </c>
      <c r="U29" s="81" t="n">
        <v>0.243174299749466</v>
      </c>
      <c r="Z29" s="71" t="s">
        <v>550</v>
      </c>
      <c r="AA29" s="93" t="n">
        <v>5.08794916956099</v>
      </c>
      <c r="AB29" s="93" t="n">
        <v>5.99624144766011</v>
      </c>
      <c r="AC29" s="93" t="n">
        <v>5.81113470929271</v>
      </c>
      <c r="AD29" s="93" t="n">
        <v>5.60897872338935</v>
      </c>
      <c r="AE29" s="93" t="n">
        <v>5.2197911309552</v>
      </c>
      <c r="AF29" s="93" t="n">
        <v>4.70048400234624</v>
      </c>
      <c r="AG29" s="81" t="n">
        <v>-0.0157170481955385</v>
      </c>
    </row>
    <row r="30" customFormat="false" ht="15" hidden="false" customHeight="false" outlineLevel="0" collapsed="false">
      <c r="B30" s="83" t="s">
        <v>551</v>
      </c>
      <c r="D30" s="84" t="n">
        <f aca="false">IFERROR(D29/C29-1,"")</f>
        <v>0.244571547031614</v>
      </c>
      <c r="E30" s="84" t="n">
        <f aca="false">IFERROR(E29/D29-1,"")</f>
        <v>0.143326421438341</v>
      </c>
      <c r="F30" s="84" t="n">
        <f aca="false">IFERROR(F29/E29-1,"")</f>
        <v>0.118709007821916</v>
      </c>
      <c r="G30" s="84" t="n">
        <f aca="false">IFERROR(G29/F29-1,"")</f>
        <v>0.104280194571612</v>
      </c>
      <c r="H30" s="84" t="n">
        <f aca="false">IFERROR(H29/G29-1,"")</f>
        <v>0.0918295970217287</v>
      </c>
      <c r="N30" s="83" t="s">
        <v>551</v>
      </c>
      <c r="P30" s="85" t="n">
        <v>0.312055920147699</v>
      </c>
      <c r="Q30" s="85" t="n">
        <v>0.275081796047946</v>
      </c>
      <c r="R30" s="85" t="n">
        <v>0.218874051707604</v>
      </c>
      <c r="S30" s="85" t="n">
        <v>0.210462626017051</v>
      </c>
      <c r="T30" s="85" t="n">
        <v>0.202983054118547</v>
      </c>
      <c r="Z30" s="83" t="s">
        <v>551</v>
      </c>
      <c r="AB30" s="85" t="n">
        <v>0.178518347536377</v>
      </c>
      <c r="AC30" s="85" t="n">
        <v>-0.0308704611018664</v>
      </c>
      <c r="AD30" s="85" t="n">
        <v>-0.0347876956939393</v>
      </c>
      <c r="AE30" s="85" t="n">
        <v>-0.0693865339177077</v>
      </c>
      <c r="AF30" s="85" t="n">
        <v>-0.0994881050947196</v>
      </c>
    </row>
    <row r="32" customFormat="false" ht="15" hidden="false" customHeight="false" outlineLevel="0" collapsed="false">
      <c r="B32" s="83" t="s">
        <v>552</v>
      </c>
      <c r="G32" s="94" t="n">
        <v>20</v>
      </c>
      <c r="H32" s="94" t="n">
        <v>20</v>
      </c>
      <c r="N32" s="83" t="s">
        <v>552</v>
      </c>
      <c r="S32" s="94" t="n">
        <v>24</v>
      </c>
      <c r="T32" s="94" t="n">
        <v>24</v>
      </c>
      <c r="Z32" s="83" t="s">
        <v>552</v>
      </c>
      <c r="AE32" s="94" t="n">
        <v>16</v>
      </c>
      <c r="AF32" s="94" t="n">
        <v>16</v>
      </c>
    </row>
    <row r="33" customFormat="false" ht="15" hidden="false" customHeight="false" outlineLevel="0" collapsed="false">
      <c r="B33" s="8" t="s">
        <v>553</v>
      </c>
      <c r="G33" s="82" t="n">
        <f aca="false">G32*G29</f>
        <v>178.878970037276</v>
      </c>
      <c r="H33" s="82" t="n">
        <f aca="false">H32*H29</f>
        <v>195.305353771461</v>
      </c>
      <c r="N33" s="8" t="s">
        <v>553</v>
      </c>
      <c r="S33" s="82" t="n">
        <v>251.17323931521</v>
      </c>
      <c r="T33" s="82" t="n">
        <v>302.15715054426</v>
      </c>
      <c r="Z33" s="8" t="s">
        <v>553</v>
      </c>
      <c r="AE33" s="82" t="n">
        <v>104.395822619104</v>
      </c>
      <c r="AF33" s="82" t="n">
        <v>94.0096800469248</v>
      </c>
    </row>
    <row r="34" customFormat="false" ht="15" hidden="false" customHeight="false" outlineLevel="0" collapsed="false">
      <c r="B34" s="83" t="s">
        <v>554</v>
      </c>
      <c r="G34" s="84" t="n">
        <f aca="false">IFERROR(G33/$K$2-1,"")</f>
        <v>0.177765143779802</v>
      </c>
      <c r="H34" s="84" t="n">
        <f aca="false">IFERROR(H33/$K$2-1,"")</f>
        <v>0.285918842319339</v>
      </c>
      <c r="N34" s="83" t="s">
        <v>554</v>
      </c>
      <c r="S34" s="85" t="n">
        <v>0.653761122696933</v>
      </c>
      <c r="T34" s="85" t="n">
        <v>0.989446606164473</v>
      </c>
      <c r="Z34" s="83" t="s">
        <v>554</v>
      </c>
      <c r="AE34" s="85" t="n">
        <v>-0.312642727027233</v>
      </c>
      <c r="AF34" s="85" t="n">
        <v>-0.381026599638367</v>
      </c>
    </row>
    <row r="35" customFormat="false" ht="15" hidden="false" customHeight="false" outlineLevel="0" collapsed="false">
      <c r="B35" s="83" t="s">
        <v>555</v>
      </c>
      <c r="G35" s="84" t="n">
        <f aca="false">IFERROR((G33/$K$2)^(1/((DATE(2029-1,12,31)-$K$3)/365.25))-1,"")</f>
        <v>0.0757933058948181</v>
      </c>
      <c r="H35" s="84" t="n">
        <f aca="false">IFERROR((H33/$K$2)^(1/((DATE(2030-1,12,31)-$K$3)/365.25))-1,"")</f>
        <v>0.080735882837327</v>
      </c>
      <c r="N35" s="83" t="s">
        <v>555</v>
      </c>
      <c r="S35" s="85" t="n">
        <v>0.251847906821552</v>
      </c>
      <c r="T35" s="85" t="n">
        <v>0.236611492200935</v>
      </c>
      <c r="Z35" s="83" t="s">
        <v>555</v>
      </c>
      <c r="AE35" s="85" t="n">
        <v>-0.154138198229425</v>
      </c>
      <c r="AF35" s="85" t="n">
        <v>-0.137659177264599</v>
      </c>
    </row>
    <row r="37" customFormat="false" ht="15" hidden="false" customHeight="false" outlineLevel="0" collapsed="false">
      <c r="B37" s="71" t="s">
        <v>556</v>
      </c>
      <c r="C37" s="80" t="n">
        <f aca="false">Model!BV264</f>
        <v>843.976</v>
      </c>
      <c r="D37" s="80" t="n">
        <f aca="false">Model!CA264</f>
        <v>703.855231493588</v>
      </c>
      <c r="E37" s="80" t="n">
        <f aca="false">Model!CB264</f>
        <v>949.139711500757</v>
      </c>
      <c r="F37" s="80" t="n">
        <f aca="false">Model!CC264</f>
        <v>988.099609838805</v>
      </c>
      <c r="G37" s="80" t="n">
        <f aca="false">Model!CD264</f>
        <v>1061.15408334478</v>
      </c>
      <c r="H37" s="80" t="n">
        <f aca="false">Model!CE264</f>
        <v>1098.18173959937</v>
      </c>
      <c r="I37" s="81" t="n">
        <f aca="false">IFERROR((H37/C37)^(1/5)-1,"n/m")</f>
        <v>0.054068473935482</v>
      </c>
      <c r="N37" s="71" t="s">
        <v>556</v>
      </c>
      <c r="O37" s="82" t="n">
        <v>843.976</v>
      </c>
      <c r="P37" s="82" t="n">
        <v>726.433851919379</v>
      </c>
      <c r="Q37" s="82" t="n">
        <v>1036.48823052172</v>
      </c>
      <c r="R37" s="82" t="n">
        <v>1154.8356842732</v>
      </c>
      <c r="S37" s="82" t="n">
        <v>1339.68902276652</v>
      </c>
      <c r="T37" s="82" t="n">
        <v>1496.14312348466</v>
      </c>
      <c r="U37" s="81" t="n">
        <v>0.121317522499281</v>
      </c>
      <c r="Z37" s="71" t="s">
        <v>556</v>
      </c>
      <c r="AA37" s="82" t="n">
        <v>843.976</v>
      </c>
      <c r="AB37" s="82" t="n">
        <v>682.036611067796</v>
      </c>
      <c r="AC37" s="82" t="n">
        <v>844.897166140099</v>
      </c>
      <c r="AD37" s="82" t="n">
        <v>782.854421837278</v>
      </c>
      <c r="AE37" s="82" t="n">
        <v>734.937988870563</v>
      </c>
      <c r="AF37" s="82" t="n">
        <v>647.652988386891</v>
      </c>
      <c r="AG37" s="81" t="n">
        <v>-0.0515761745748851</v>
      </c>
    </row>
    <row r="38" customFormat="false" ht="15" hidden="false" customHeight="false" outlineLevel="0" collapsed="false">
      <c r="B38" s="83" t="s">
        <v>557</v>
      </c>
      <c r="C38" s="86" t="n">
        <f aca="false">IFERROR(C37/Model!BV133,"")</f>
        <v>0.30921554475143</v>
      </c>
      <c r="D38" s="87" t="n">
        <f aca="false">IFERROR(D37/Model!CA133,"")</f>
        <v>0.245253345756384</v>
      </c>
      <c r="E38" s="87" t="n">
        <f aca="false">IFERROR(E37/Model!CB133,"")</f>
        <v>0.313184862335599</v>
      </c>
      <c r="F38" s="87" t="n">
        <f aca="false">IFERROR(F37/Model!CC133,"")</f>
        <v>0.306948586711116</v>
      </c>
      <c r="G38" s="87" t="n">
        <f aca="false">IFERROR(G37/Model!CD133,"")</f>
        <v>0.311391292903524</v>
      </c>
      <c r="H38" s="87" t="n">
        <f aca="false">IFERROR(H37/Model!CE133,"")</f>
        <v>0.304045142424505</v>
      </c>
      <c r="J38" s="89" t="n">
        <f aca="false">IFERROR(AVERAGE(Model!C266,Model!D266,Model!E266,Model!F266,Model!G266,Model!H266,Model!I266,Model!N266,Model!S266,Model!X266,Model!AC266,Model!AH266,Model!AM266,Model!AR266,Model!AW266,Model!BB266,Model!BG266,Model!BL266,Model!BQ266,Model!BV266),"")</f>
        <v>0.232753585707559</v>
      </c>
      <c r="K38" s="89" t="n">
        <f aca="false">IFERROR(MIN(Model!C266,Model!D266,Model!E266,Model!F266,Model!G266,Model!H266,Model!I266,Model!N266,Model!S266,Model!X266,Model!AC266,Model!AH266,Model!AM266,Model!AR266,Model!AW266,Model!BB266,Model!BG266,Model!BL266,Model!BQ266,Model!BV266),"")</f>
        <v>0.00762446745634403</v>
      </c>
      <c r="L38" s="89" t="n">
        <f aca="false">IFERROR(MAX(Model!C266,Model!D266,Model!E266,Model!F266,Model!G266,Model!H266,Model!I266,Model!N266,Model!S266,Model!X266,Model!AC266,Model!AH266,Model!AM266,Model!AR266,Model!AW266,Model!BB266,Model!BG266,Model!BL266,Model!BQ266,Model!BV266),"")</f>
        <v>0.423489853129974</v>
      </c>
      <c r="N38" s="83" t="s">
        <v>557</v>
      </c>
      <c r="O38" s="88" t="n">
        <v>0.30921554475143</v>
      </c>
      <c r="P38" s="85" t="n">
        <v>0.249812974332251</v>
      </c>
      <c r="Q38" s="85" t="n">
        <v>0.322756392248232</v>
      </c>
      <c r="R38" s="85" t="n">
        <v>0.322382541853756</v>
      </c>
      <c r="S38" s="85" t="n">
        <v>0.33717324827099</v>
      </c>
      <c r="T38" s="85" t="n">
        <v>0.33980619849298</v>
      </c>
      <c r="Z38" s="83" t="s">
        <v>557</v>
      </c>
      <c r="AA38" s="88" t="n">
        <v>0.30921554475143</v>
      </c>
      <c r="AB38" s="85" t="n">
        <v>0.240839720446155</v>
      </c>
      <c r="AC38" s="85" t="n">
        <v>0.297633168015023</v>
      </c>
      <c r="AD38" s="85" t="n">
        <v>0.274486177037794</v>
      </c>
      <c r="AE38" s="85" t="n">
        <v>0.258219845672447</v>
      </c>
      <c r="AF38" s="85" t="n">
        <v>0.227445866176146</v>
      </c>
    </row>
    <row r="39" customFormat="false" ht="15" hidden="false" customHeight="false" outlineLevel="0" collapsed="false">
      <c r="B39" s="83" t="s">
        <v>558</v>
      </c>
      <c r="C39" s="95" t="n">
        <f aca="false">IFERROR(C37/C27,"")</f>
        <v>6.94619018616978</v>
      </c>
      <c r="D39" s="96" t="n">
        <f aca="false">IFERROR(D37/D27,"")</f>
        <v>5.87872457990331</v>
      </c>
      <c r="E39" s="96" t="n">
        <f aca="false">IFERROR(E37/E27,"")</f>
        <v>8.28113175551698</v>
      </c>
      <c r="F39" s="96" t="n">
        <f aca="false">IFERROR(F37/F27,"")</f>
        <v>8.92667590690436</v>
      </c>
      <c r="G39" s="96" t="n">
        <f aca="false">IFERROR(G37/G27,"")</f>
        <v>9.87695720575207</v>
      </c>
      <c r="H39" s="96" t="n">
        <f aca="false">IFERROR(H37/H27,"")</f>
        <v>10.5247978429286</v>
      </c>
      <c r="N39" s="83" t="s">
        <v>558</v>
      </c>
      <c r="O39" s="95" t="n">
        <v>6.94619018616978</v>
      </c>
      <c r="P39" s="96" t="n">
        <v>6.07565805783905</v>
      </c>
      <c r="Q39" s="96" t="n">
        <v>9.20045582367166</v>
      </c>
      <c r="R39" s="96" t="n">
        <v>10.8225702919792</v>
      </c>
      <c r="S39" s="96" t="n">
        <v>13.1773895251445</v>
      </c>
      <c r="T39" s="96" t="n">
        <v>15.5618577367013</v>
      </c>
      <c r="Z39" s="83" t="s">
        <v>558</v>
      </c>
      <c r="AA39" s="95" t="n">
        <v>6.94619018616978</v>
      </c>
      <c r="AB39" s="96" t="n">
        <v>5.68867078737204</v>
      </c>
      <c r="AC39" s="96" t="n">
        <v>7.22773331186654</v>
      </c>
      <c r="AD39" s="96" t="n">
        <v>6.78179380390603</v>
      </c>
      <c r="AE39" s="96" t="n">
        <v>6.43714809002909</v>
      </c>
      <c r="AF39" s="96" t="n">
        <v>5.69911932785407</v>
      </c>
    </row>
    <row r="40" customFormat="false" ht="15" hidden="false" customHeight="false" outlineLevel="0" collapsed="false">
      <c r="B40" s="83" t="s">
        <v>559</v>
      </c>
      <c r="G40" s="84" t="n">
        <f aca="false">IFERROR(G39/G33,"")</f>
        <v>0.0552158658096803</v>
      </c>
      <c r="H40" s="84" t="n">
        <f aca="false">IFERROR(H39/H33,"")</f>
        <v>0.0538889366813997</v>
      </c>
      <c r="N40" s="83" t="s">
        <v>559</v>
      </c>
      <c r="S40" s="85" t="n">
        <v>0.052463349842009</v>
      </c>
      <c r="T40" s="85" t="n">
        <v>0.051502530086316</v>
      </c>
      <c r="Z40" s="83" t="s">
        <v>559</v>
      </c>
      <c r="AE40" s="85" t="n">
        <v>0.0616609738640167</v>
      </c>
      <c r="AF40" s="85" t="n">
        <v>0.060622686142633</v>
      </c>
    </row>
    <row r="41" customFormat="false" ht="15" hidden="false" customHeight="false" outlineLevel="0" collapsed="false">
      <c r="B41" s="71" t="s">
        <v>560</v>
      </c>
      <c r="C41" s="80" t="n">
        <f aca="false">Model!BV193</f>
        <v>936.551</v>
      </c>
      <c r="D41" s="80" t="n">
        <f aca="false">Model!CA193</f>
        <v>1094.42198406334</v>
      </c>
      <c r="E41" s="80" t="n">
        <f aca="false">Model!CB193</f>
        <v>1204.02781472398</v>
      </c>
      <c r="F41" s="80" t="n">
        <f aca="false">Model!CC193</f>
        <v>1307.94281887168</v>
      </c>
      <c r="G41" s="80" t="n">
        <f aca="false">Model!CD193</f>
        <v>1406.6292246317</v>
      </c>
      <c r="H41" s="80" t="n">
        <f aca="false">Model!CE193</f>
        <v>1495.31630825442</v>
      </c>
      <c r="I41" s="81" t="n">
        <f aca="false">IFERROR((H41/C41)^(1/5)-1,"n/m")</f>
        <v>0.0980960455899069</v>
      </c>
      <c r="N41" s="71" t="s">
        <v>560</v>
      </c>
      <c r="O41" s="82" t="n">
        <v>936.551</v>
      </c>
      <c r="P41" s="82" t="n">
        <v>1133.58412703469</v>
      </c>
      <c r="Q41" s="82" t="n">
        <v>1377.03896224024</v>
      </c>
      <c r="R41" s="82" t="n">
        <v>1614.9314332057</v>
      </c>
      <c r="S41" s="82" t="n">
        <v>1866.15675402023</v>
      </c>
      <c r="T41" s="82" t="n">
        <v>2124.85059866988</v>
      </c>
      <c r="U41" s="81" t="n">
        <v>0.178038254461058</v>
      </c>
      <c r="Z41" s="71" t="s">
        <v>560</v>
      </c>
      <c r="AA41" s="82" t="n">
        <v>936.551</v>
      </c>
      <c r="AB41" s="82" t="n">
        <v>1055.25984109198</v>
      </c>
      <c r="AC41" s="82" t="n">
        <v>1005.57301192072</v>
      </c>
      <c r="AD41" s="82" t="n">
        <v>959.432737420762</v>
      </c>
      <c r="AE41" s="82" t="n">
        <v>896.017980793662</v>
      </c>
      <c r="AF41" s="82" t="n">
        <v>816.993949652151</v>
      </c>
      <c r="AG41" s="81" t="n">
        <v>-0.0269447914341159</v>
      </c>
    </row>
    <row r="42" customFormat="false" ht="15" hidden="false" customHeight="false" outlineLevel="0" collapsed="false">
      <c r="B42" s="83" t="s">
        <v>561</v>
      </c>
      <c r="C42" s="86" t="n">
        <f aca="false">IFERROR(C41/Model!BV125,"")</f>
        <v>0.0576951071114634</v>
      </c>
      <c r="D42" s="87" t="n">
        <f aca="false">IFERROR(D41/Model!CA125,"")</f>
        <v>0.0582222586244901</v>
      </c>
      <c r="E42" s="87" t="n">
        <f aca="false">IFERROR(E41/Model!CB125,"")</f>
        <v>0.0609911278518821</v>
      </c>
      <c r="F42" s="87" t="n">
        <f aca="false">IFERROR(F41/Model!CC125,"")</f>
        <v>0.0641824277946993</v>
      </c>
      <c r="G42" s="87" t="n">
        <f aca="false">IFERROR(G41/Model!CD125,"")</f>
        <v>0.0668295463225265</v>
      </c>
      <c r="H42" s="87" t="n">
        <f aca="false">IFERROR(H41/Model!CE125,"")</f>
        <v>0.0669474327179372</v>
      </c>
      <c r="N42" s="83" t="s">
        <v>561</v>
      </c>
      <c r="O42" s="88" t="n">
        <v>0.0576951071114634</v>
      </c>
      <c r="P42" s="85" t="n">
        <v>0.0595044512448249</v>
      </c>
      <c r="Q42" s="85" t="n">
        <v>0.0658580330321184</v>
      </c>
      <c r="R42" s="85" t="n">
        <v>0.0712321609311966</v>
      </c>
      <c r="S42" s="85" t="n">
        <v>0.0760183972237775</v>
      </c>
      <c r="T42" s="85" t="n">
        <v>0.0780205407578822</v>
      </c>
      <c r="Z42" s="83" t="s">
        <v>561</v>
      </c>
      <c r="AA42" s="88" t="n">
        <v>0.0576951071114634</v>
      </c>
      <c r="AB42" s="85" t="n">
        <v>0.0569050665786946</v>
      </c>
      <c r="AC42" s="85" t="n">
        <v>0.054306712323851</v>
      </c>
      <c r="AD42" s="85" t="n">
        <v>0.0530135597509513</v>
      </c>
      <c r="AE42" s="85" t="n">
        <v>0.0508339586531771</v>
      </c>
      <c r="AF42" s="85" t="n">
        <v>0.0462469458461989</v>
      </c>
    </row>
    <row r="44" customFormat="false" ht="15" hidden="false" customHeight="false" outlineLevel="0" collapsed="false">
      <c r="B44" s="71" t="s">
        <v>562</v>
      </c>
      <c r="C44" s="80" t="n">
        <f aca="false">Model!BV389</f>
        <v>928.567</v>
      </c>
      <c r="D44" s="80" t="n">
        <f aca="false">Model!CA389</f>
        <v>1291.65350560939</v>
      </c>
      <c r="E44" s="80" t="n">
        <f aca="false">Model!CB389</f>
        <v>1505.03476840497</v>
      </c>
      <c r="F44" s="80" t="n">
        <f aca="false">Model!CC389</f>
        <v>1634.9285235896</v>
      </c>
      <c r="G44" s="80" t="n">
        <f aca="false">Model!CD389</f>
        <v>1758.28653078962</v>
      </c>
      <c r="H44" s="80" t="n">
        <f aca="false">Model!CE389</f>
        <v>1869.14538531802</v>
      </c>
      <c r="I44" s="81" t="n">
        <f aca="false">IFERROR((H44/C44)^(1/5)-1,"n/m")</f>
        <v>0.150180412977006</v>
      </c>
      <c r="N44" s="71" t="s">
        <v>562</v>
      </c>
      <c r="O44" s="82" t="n">
        <v>928.567</v>
      </c>
      <c r="P44" s="82" t="n">
        <v>1368.66008402479</v>
      </c>
      <c r="Q44" s="82" t="n">
        <v>2065.55844336036</v>
      </c>
      <c r="R44" s="82" t="n">
        <v>2422.39714980854</v>
      </c>
      <c r="S44" s="82" t="n">
        <v>2799.23513103035</v>
      </c>
      <c r="T44" s="82" t="n">
        <v>3187.27589800481</v>
      </c>
      <c r="U44" s="81" t="n">
        <v>0.279738638717291</v>
      </c>
      <c r="Z44" s="71" t="s">
        <v>562</v>
      </c>
      <c r="AA44" s="82" t="n">
        <v>928.567</v>
      </c>
      <c r="AB44" s="82" t="n">
        <v>1213.88692719399</v>
      </c>
      <c r="AC44" s="82" t="n">
        <v>1005.57301192072</v>
      </c>
      <c r="AD44" s="82" t="n">
        <v>959.432737420762</v>
      </c>
      <c r="AE44" s="82" t="n">
        <v>896.017980793661</v>
      </c>
      <c r="AF44" s="82" t="n">
        <v>816.993949652151</v>
      </c>
      <c r="AG44" s="81" t="n">
        <v>-0.0252772132214825</v>
      </c>
    </row>
    <row r="45" customFormat="false" ht="15" hidden="false" customHeight="false" outlineLevel="0" collapsed="false">
      <c r="B45" s="83" t="s">
        <v>563</v>
      </c>
      <c r="C45" s="97" t="n">
        <f aca="false">IFERROR(C44/C41,"")</f>
        <v>0.99147510386514</v>
      </c>
      <c r="D45" s="98" t="n">
        <f aca="false">IFERROR(D44/D41,"")</f>
        <v>1.18021524093821</v>
      </c>
      <c r="E45" s="98" t="n">
        <f aca="false">IFERROR(E44/E41,"")</f>
        <v>1.25</v>
      </c>
      <c r="F45" s="98" t="n">
        <f aca="false">IFERROR(F44/F41,"")</f>
        <v>1.25</v>
      </c>
      <c r="G45" s="98" t="n">
        <f aca="false">IFERROR(G44/G41,"")</f>
        <v>1.25</v>
      </c>
      <c r="H45" s="98" t="n">
        <f aca="false">IFERROR(H44/H41,"")</f>
        <v>1.25</v>
      </c>
      <c r="N45" s="83" t="s">
        <v>563</v>
      </c>
      <c r="O45" s="97" t="n">
        <v>0.99147510386514</v>
      </c>
      <c r="P45" s="98" t="n">
        <v>1.20737407254018</v>
      </c>
      <c r="Q45" s="98" t="n">
        <v>1.5</v>
      </c>
      <c r="R45" s="98" t="n">
        <v>1.5</v>
      </c>
      <c r="S45" s="98" t="n">
        <v>1.5</v>
      </c>
      <c r="T45" s="98" t="n">
        <v>1.5</v>
      </c>
      <c r="Z45" s="83" t="s">
        <v>563</v>
      </c>
      <c r="AA45" s="97" t="n">
        <v>0.99147510386514</v>
      </c>
      <c r="AB45" s="98" t="n">
        <v>1.15032040443978</v>
      </c>
      <c r="AC45" s="98" t="n">
        <v>1</v>
      </c>
      <c r="AD45" s="98" t="n">
        <v>1</v>
      </c>
      <c r="AE45" s="98" t="n">
        <v>1</v>
      </c>
      <c r="AF45" s="98" t="n">
        <v>1</v>
      </c>
    </row>
    <row r="47" customFormat="false" ht="15" hidden="false" customHeight="false" outlineLevel="0" collapsed="false">
      <c r="B47" s="71" t="s">
        <v>564</v>
      </c>
      <c r="C47" s="99" t="n">
        <f aca="false">Model!BV372</f>
        <v>0.244215404413891</v>
      </c>
      <c r="D47" s="99" t="n">
        <f aca="false">Model!CA372</f>
        <v>0.274503093150715</v>
      </c>
      <c r="E47" s="99" t="n">
        <f aca="false">Model!CB372</f>
        <v>0.299960875190961</v>
      </c>
      <c r="F47" s="99" t="n">
        <f aca="false">Model!CC372</f>
        <v>0.31494786479429</v>
      </c>
      <c r="G47" s="99" t="n">
        <f aca="false">Model!CD372</f>
        <v>0.32234886735628</v>
      </c>
      <c r="H47" s="99" t="n">
        <f aca="false">Model!CE372</f>
        <v>0.323796635141981</v>
      </c>
      <c r="N47" s="71" t="s">
        <v>564</v>
      </c>
      <c r="O47" s="100" t="n">
        <v>0.244215404413891</v>
      </c>
      <c r="P47" s="100" t="n">
        <v>0.286617618695541</v>
      </c>
      <c r="Q47" s="100" t="n">
        <v>0.321344045693389</v>
      </c>
      <c r="R47" s="100" t="n">
        <v>0.343593444483789</v>
      </c>
      <c r="S47" s="100" t="n">
        <v>0.36006826237281</v>
      </c>
      <c r="T47" s="100" t="n">
        <v>0.371944221013502</v>
      </c>
      <c r="Z47" s="71" t="s">
        <v>564</v>
      </c>
      <c r="AA47" s="100" t="n">
        <v>0.244215404413891</v>
      </c>
      <c r="AB47" s="100" t="n">
        <v>0.262492993061089</v>
      </c>
      <c r="AC47" s="100" t="n">
        <v>0.25370490075393</v>
      </c>
      <c r="AD47" s="100" t="n">
        <v>0.244926929173779</v>
      </c>
      <c r="AE47" s="100" t="n">
        <v>0.227048158783286</v>
      </c>
      <c r="AF47" s="100" t="n">
        <v>0.202588774909784</v>
      </c>
    </row>
    <row r="48" customFormat="false" ht="15" hidden="false" customHeight="false" outlineLevel="0" collapsed="false">
      <c r="B48" s="71" t="s">
        <v>565</v>
      </c>
      <c r="C48" s="99" t="n">
        <f aca="false">Model!BV383</f>
        <v>0.497607679868528</v>
      </c>
      <c r="D48" s="99" t="n">
        <f aca="false">Model!CA383</f>
        <v>0.544244096048602</v>
      </c>
      <c r="E48" s="99" t="n">
        <f aca="false">Model!CB383</f>
        <v>0.592466639870565</v>
      </c>
      <c r="F48" s="99" t="n">
        <f aca="false">Model!CC383</f>
        <v>0.632970410023741</v>
      </c>
      <c r="G48" s="99" t="n">
        <f aca="false">Model!CD383</f>
        <v>0.668405007835617</v>
      </c>
      <c r="H48" s="99" t="n">
        <f aca="false">Model!CE383</f>
        <v>0.683523404836563</v>
      </c>
      <c r="N48" s="71" t="s">
        <v>565</v>
      </c>
      <c r="O48" s="100" t="n">
        <v>0.497607679868528</v>
      </c>
      <c r="P48" s="100" t="n">
        <v>0.565874593307401</v>
      </c>
      <c r="Q48" s="100" t="n">
        <v>0.652736355305169</v>
      </c>
      <c r="R48" s="100" t="n">
        <v>0.725750569767459</v>
      </c>
      <c r="S48" s="100" t="n">
        <v>0.79493749033495</v>
      </c>
      <c r="T48" s="100" t="n">
        <v>0.841425406915997</v>
      </c>
      <c r="Z48" s="71" t="s">
        <v>565</v>
      </c>
      <c r="AA48" s="100" t="n">
        <v>0.497607679868528</v>
      </c>
      <c r="AB48" s="100" t="n">
        <v>0.52266635832282</v>
      </c>
      <c r="AC48" s="100" t="n">
        <v>0.512882534423168</v>
      </c>
      <c r="AD48" s="100" t="n">
        <v>0.497515066634485</v>
      </c>
      <c r="AE48" s="100" t="n">
        <v>0.4724703583359</v>
      </c>
      <c r="AF48" s="100" t="n">
        <v>0.427530180330857</v>
      </c>
    </row>
    <row r="50" customFormat="false" ht="15" hidden="false" customHeight="false" outlineLevel="0" collapsed="false">
      <c r="B50" s="83" t="s">
        <v>566</v>
      </c>
      <c r="G50" s="101" t="n">
        <f aca="false">G33*G27</f>
        <v>19218.2820604933</v>
      </c>
      <c r="H50" s="101" t="n">
        <f aca="false">H33*H27</f>
        <v>20378.6121461628</v>
      </c>
      <c r="N50" s="83" t="s">
        <v>566</v>
      </c>
      <c r="S50" s="101" t="n">
        <v>25535.712584136</v>
      </c>
      <c r="T50" s="101" t="n">
        <v>29049.8956260437</v>
      </c>
      <c r="Z50" s="83" t="s">
        <v>566</v>
      </c>
      <c r="AE50" s="101" t="n">
        <v>11919.0136453464</v>
      </c>
      <c r="AF50" s="101" t="n">
        <v>10683.3436390973</v>
      </c>
    </row>
    <row r="51" customFormat="false" ht="15" hidden="false" customHeight="false" outlineLevel="0" collapsed="false">
      <c r="B51" s="83" t="s">
        <v>567</v>
      </c>
      <c r="G51" s="101" t="n">
        <f aca="false">G44</f>
        <v>1758.28653078962</v>
      </c>
      <c r="H51" s="101" t="n">
        <f aca="false">H44</f>
        <v>1869.14538531802</v>
      </c>
      <c r="N51" s="83" t="s">
        <v>567</v>
      </c>
      <c r="S51" s="101" t="n">
        <v>2799.23513103035</v>
      </c>
      <c r="T51" s="101" t="n">
        <v>3187.27589800481</v>
      </c>
      <c r="Z51" s="83" t="s">
        <v>567</v>
      </c>
      <c r="AE51" s="101" t="n">
        <v>896.017980793661</v>
      </c>
      <c r="AF51" s="101" t="n">
        <v>816.993949652151</v>
      </c>
    </row>
    <row r="52" customFormat="false" ht="15" hidden="false" customHeight="false" outlineLevel="0" collapsed="false">
      <c r="B52" s="83" t="s">
        <v>568</v>
      </c>
      <c r="G52" s="101" t="n">
        <f aca="false">G50+G51</f>
        <v>20976.5685912829</v>
      </c>
      <c r="H52" s="101" t="n">
        <f aca="false">H50+H51</f>
        <v>22247.7575314808</v>
      </c>
      <c r="N52" s="83" t="s">
        <v>568</v>
      </c>
      <c r="S52" s="101" t="n">
        <v>28334.9477151664</v>
      </c>
      <c r="T52" s="101" t="n">
        <v>32237.1715240485</v>
      </c>
      <c r="Z52" s="83" t="s">
        <v>568</v>
      </c>
      <c r="AE52" s="101" t="n">
        <v>12815.0316261401</v>
      </c>
      <c r="AF52" s="101" t="n">
        <v>11500.3375887494</v>
      </c>
    </row>
    <row r="53" customFormat="false" ht="15" hidden="false" customHeight="false" outlineLevel="0" collapsed="false">
      <c r="B53" s="83" t="s">
        <v>569</v>
      </c>
      <c r="G53" s="98" t="n">
        <f aca="false">IFERROR(G52/G41,"")</f>
        <v>14.9126494913933</v>
      </c>
      <c r="H53" s="98" t="n">
        <f aca="false">IFERROR(H52/H41,"")</f>
        <v>14.8782952534318</v>
      </c>
      <c r="N53" s="83" t="s">
        <v>569</v>
      </c>
      <c r="S53" s="98" t="n">
        <v>15.1835839374827</v>
      </c>
      <c r="T53" s="98" t="n">
        <v>15.1715003135884</v>
      </c>
      <c r="Z53" s="83" t="s">
        <v>569</v>
      </c>
      <c r="AE53" s="98" t="n">
        <v>14.3022036396959</v>
      </c>
      <c r="AF53" s="98" t="n">
        <v>14.076404841977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1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.57"/>
    <col collapsed="false" customWidth="true" hidden="false" outlineLevel="0" max="2" min="2" style="0" width="50"/>
    <col collapsed="false" customWidth="true" hidden="false" outlineLevel="0" max="15" min="3" style="0" width="12.57"/>
    <col collapsed="false" customWidth="true" hidden="false" outlineLevel="0" max="16" min="16" style="0" width="13.29"/>
  </cols>
  <sheetData>
    <row r="2" customFormat="false" ht="17.35" hidden="false" customHeight="false" outlineLevel="0" collapsed="false">
      <c r="B2" s="102" t="s">
        <v>570</v>
      </c>
    </row>
    <row r="4" customFormat="false" ht="15" hidden="false" customHeight="false" outlineLevel="0" collapsed="false">
      <c r="B4" s="15" t="s">
        <v>571</v>
      </c>
    </row>
    <row r="5" customFormat="false" ht="15" hidden="false" customHeight="false" outlineLevel="0" collapsed="false">
      <c r="B5" s="103" t="s">
        <v>572</v>
      </c>
      <c r="C5" s="104" t="n">
        <v>0.0425</v>
      </c>
      <c r="D5" s="4" t="s">
        <v>573</v>
      </c>
    </row>
    <row r="6" customFormat="false" ht="15" hidden="false" customHeight="false" outlineLevel="0" collapsed="false">
      <c r="B6" s="103" t="s">
        <v>574</v>
      </c>
      <c r="C6" s="104" t="n">
        <v>0.05</v>
      </c>
      <c r="D6" s="4" t="s">
        <v>575</v>
      </c>
    </row>
    <row r="7" customFormat="false" ht="15" hidden="false" customHeight="false" outlineLevel="0" collapsed="false">
      <c r="B7" s="103" t="s">
        <v>576</v>
      </c>
      <c r="C7" s="105" t="n">
        <v>1</v>
      </c>
      <c r="D7" s="4" t="s">
        <v>577</v>
      </c>
    </row>
    <row r="8" customFormat="false" ht="15" hidden="false" customHeight="false" outlineLevel="0" collapsed="false">
      <c r="B8" s="103" t="s">
        <v>578</v>
      </c>
      <c r="C8" s="106" t="n">
        <f aca="false">C5+C7*C6</f>
        <v>0.0925</v>
      </c>
    </row>
    <row r="9" customFormat="false" ht="15" hidden="false" customHeight="false" outlineLevel="0" collapsed="false">
      <c r="B9" s="103" t="s">
        <v>579</v>
      </c>
      <c r="C9" s="104" t="n">
        <v>0.05</v>
      </c>
      <c r="D9" s="4" t="s">
        <v>580</v>
      </c>
    </row>
    <row r="10" customFormat="false" ht="15" hidden="false" customHeight="false" outlineLevel="0" collapsed="false">
      <c r="B10" s="103" t="s">
        <v>581</v>
      </c>
      <c r="C10" s="104" t="n">
        <v>0.2</v>
      </c>
      <c r="D10" s="4" t="s">
        <v>582</v>
      </c>
    </row>
    <row r="11" customFormat="false" ht="15" hidden="false" customHeight="false" outlineLevel="0" collapsed="false">
      <c r="B11" s="103" t="s">
        <v>583</v>
      </c>
      <c r="C11" s="106" t="n">
        <f aca="false">C9*(1-C10)</f>
        <v>0.04</v>
      </c>
    </row>
    <row r="12" customFormat="false" ht="15" hidden="false" customHeight="false" outlineLevel="0" collapsed="false">
      <c r="B12" s="103" t="s">
        <v>584</v>
      </c>
      <c r="C12" s="104" t="n">
        <v>0.1</v>
      </c>
      <c r="D12" s="4" t="s">
        <v>585</v>
      </c>
    </row>
    <row r="13" customFormat="false" ht="15" hidden="false" customHeight="false" outlineLevel="0" collapsed="false">
      <c r="B13" s="12" t="s">
        <v>586</v>
      </c>
      <c r="C13" s="107" t="n">
        <f aca="false">C8*(1-C12)+C11*C12</f>
        <v>0.08725</v>
      </c>
    </row>
    <row r="15" customFormat="false" ht="15" hidden="false" customHeight="false" outlineLevel="0" collapsed="false">
      <c r="B15" s="103" t="s">
        <v>587</v>
      </c>
      <c r="C15" s="108" t="n">
        <f aca="true">TODAY()</f>
        <v>46300</v>
      </c>
      <c r="D15" s="4" t="s">
        <v>588</v>
      </c>
    </row>
    <row r="16" customFormat="false" ht="15" hidden="false" customHeight="false" outlineLevel="0" collapsed="false">
      <c r="B16" s="15" t="s">
        <v>589</v>
      </c>
    </row>
    <row r="17" customFormat="false" ht="15" hidden="false" customHeight="false" outlineLevel="0" collapsed="false">
      <c r="D17" s="78" t="s">
        <v>64</v>
      </c>
      <c r="E17" s="78" t="s">
        <v>65</v>
      </c>
      <c r="F17" s="78" t="s">
        <v>66</v>
      </c>
      <c r="G17" s="78" t="s">
        <v>67</v>
      </c>
      <c r="H17" s="78" t="s">
        <v>68</v>
      </c>
      <c r="I17" s="78" t="s">
        <v>590</v>
      </c>
      <c r="J17" s="78" t="s">
        <v>591</v>
      </c>
      <c r="K17" s="78" t="s">
        <v>592</v>
      </c>
      <c r="L17" s="78" t="s">
        <v>593</v>
      </c>
      <c r="M17" s="78" t="s">
        <v>594</v>
      </c>
      <c r="N17" s="109" t="s">
        <v>595</v>
      </c>
    </row>
    <row r="18" customFormat="false" ht="15" hidden="false" customHeight="false" outlineLevel="0" collapsed="false">
      <c r="B18" s="103" t="s">
        <v>596</v>
      </c>
      <c r="D18" s="110" t="n">
        <f aca="false">Model!CA181</f>
        <v>1002</v>
      </c>
      <c r="E18" s="110" t="n">
        <f aca="false">Model!CB181</f>
        <v>1097.9566283493</v>
      </c>
      <c r="F18" s="110" t="n">
        <f aca="false">Model!CC181</f>
        <v>1194.14915759875</v>
      </c>
      <c r="G18" s="110" t="n">
        <f aca="false">Model!CD181</f>
        <v>1283.45430512775</v>
      </c>
      <c r="H18" s="110" t="n">
        <f aca="false">Model!CE181</f>
        <v>1361.71108281689</v>
      </c>
      <c r="I18" s="111" t="n">
        <f aca="false">H18*(1+I$31)</f>
        <v>1429.79663695773</v>
      </c>
      <c r="J18" s="111" t="n">
        <f aca="false">I18*(1+J$31)</f>
        <v>1495.92473141703</v>
      </c>
      <c r="K18" s="111" t="n">
        <f aca="false">J18*(1+K$31)</f>
        <v>1559.50153250225</v>
      </c>
      <c r="L18" s="111" t="n">
        <f aca="false">K18*(1+L$31)</f>
        <v>1619.93221688672</v>
      </c>
      <c r="M18" s="111" t="n">
        <f aca="false">L18*(1+M$31)</f>
        <v>1676.62984447775</v>
      </c>
    </row>
    <row r="19" customFormat="false" ht="15" hidden="false" customHeight="false" outlineLevel="0" collapsed="false">
      <c r="B19" s="103" t="s">
        <v>597</v>
      </c>
      <c r="E19" s="112" t="n">
        <f aca="false">IFERROR(E18/D18-1,"")</f>
        <v>0.0957650981529938</v>
      </c>
      <c r="F19" s="112" t="n">
        <f aca="false">IFERROR(F18/E18-1,"")</f>
        <v>0.0876105000559744</v>
      </c>
      <c r="G19" s="112" t="n">
        <f aca="false">IFERROR(G18/F18-1,"")</f>
        <v>0.0747855885177451</v>
      </c>
      <c r="H19" s="112" t="n">
        <f aca="false">IFERROR(H18/G18-1,"")</f>
        <v>0.0609735596947139</v>
      </c>
      <c r="I19" s="112" t="n">
        <f aca="false">IFERROR(I18/H18-1,"")</f>
        <v>0.05</v>
      </c>
      <c r="J19" s="112" t="n">
        <f aca="false">IFERROR(J18/I18-1,"")</f>
        <v>0.0462499999999999</v>
      </c>
      <c r="K19" s="112" t="n">
        <f aca="false">IFERROR(K18/J18-1,"")</f>
        <v>0.0425</v>
      </c>
      <c r="L19" s="112" t="n">
        <f aca="false">IFERROR(L18/K18-1,"")</f>
        <v>0.0387500000000001</v>
      </c>
      <c r="M19" s="112" t="n">
        <f aca="false">IFERROR(M18/L18-1,"")</f>
        <v>0.0349999999999999</v>
      </c>
    </row>
    <row r="20" customFormat="false" ht="15" hidden="false" customHeight="false" outlineLevel="0" collapsed="false">
      <c r="B20" s="103" t="s">
        <v>598</v>
      </c>
      <c r="D20" s="110" t="n">
        <f aca="false">-Model!CA180</f>
        <v>-54.249</v>
      </c>
      <c r="E20" s="110" t="n">
        <f aca="false">-Model!CB180</f>
        <v>-0</v>
      </c>
      <c r="F20" s="110" t="n">
        <f aca="false">-Model!CC180</f>
        <v>-0</v>
      </c>
      <c r="G20" s="110" t="n">
        <f aca="false">-Model!CD180</f>
        <v>-0</v>
      </c>
      <c r="H20" s="110" t="n">
        <f aca="false">-Model!CE180</f>
        <v>-0</v>
      </c>
      <c r="I20" s="111" t="n">
        <f aca="false">H20*(1+I$31)</f>
        <v>-0</v>
      </c>
      <c r="J20" s="111" t="n">
        <f aca="false">I20*(1+J$31)</f>
        <v>-0</v>
      </c>
      <c r="K20" s="111" t="n">
        <f aca="false">J20*(1+K$31)</f>
        <v>-0</v>
      </c>
      <c r="L20" s="111" t="n">
        <f aca="false">K20*(1+L$31)</f>
        <v>-0</v>
      </c>
      <c r="M20" s="111" t="n">
        <f aca="false">L20*(1+M$31)</f>
        <v>-0</v>
      </c>
    </row>
    <row r="21" customFormat="false" ht="15" hidden="false" customHeight="false" outlineLevel="0" collapsed="false">
      <c r="B21" s="103" t="s">
        <v>599</v>
      </c>
      <c r="D21" s="112" t="n">
        <f aca="false">1-$C$10</f>
        <v>0.8</v>
      </c>
      <c r="E21" s="112" t="n">
        <f aca="false">1-$C$10</f>
        <v>0.8</v>
      </c>
      <c r="F21" s="112" t="n">
        <f aca="false">1-$C$10</f>
        <v>0.8</v>
      </c>
      <c r="G21" s="112" t="n">
        <f aca="false">1-$C$10</f>
        <v>0.8</v>
      </c>
      <c r="H21" s="112" t="n">
        <f aca="false">1-$C$10</f>
        <v>0.8</v>
      </c>
      <c r="I21" s="112" t="n">
        <f aca="false">1-$C$10</f>
        <v>0.8</v>
      </c>
      <c r="J21" s="112" t="n">
        <f aca="false">1-$C$10</f>
        <v>0.8</v>
      </c>
      <c r="K21" s="112" t="n">
        <f aca="false">1-$C$10</f>
        <v>0.8</v>
      </c>
      <c r="L21" s="112" t="n">
        <f aca="false">1-$C$10</f>
        <v>0.8</v>
      </c>
      <c r="M21" s="112" t="n">
        <f aca="false">1-$C$10</f>
        <v>0.8</v>
      </c>
    </row>
    <row r="22" customFormat="false" ht="15" hidden="false" customHeight="false" outlineLevel="0" collapsed="false">
      <c r="B22" s="12" t="s">
        <v>600</v>
      </c>
      <c r="D22" s="111" t="n">
        <f aca="false">(D18+D20)*D21</f>
        <v>758.2008</v>
      </c>
      <c r="E22" s="111" t="n">
        <f aca="false">(E18+E20)*E21</f>
        <v>878.36530267944</v>
      </c>
      <c r="F22" s="111" t="n">
        <f aca="false">(F18+F20)*F21</f>
        <v>955.319326079003</v>
      </c>
      <c r="G22" s="111" t="n">
        <f aca="false">(G18+G20)*G21</f>
        <v>1026.7634441022</v>
      </c>
      <c r="H22" s="111" t="n">
        <f aca="false">(H18+H20)*H21</f>
        <v>1089.36886625351</v>
      </c>
      <c r="I22" s="111" t="n">
        <f aca="false">(I18+I20)*I21</f>
        <v>1143.83730956619</v>
      </c>
      <c r="J22" s="111" t="n">
        <f aca="false">(J18+J20)*J21</f>
        <v>1196.73978513362</v>
      </c>
      <c r="K22" s="111" t="n">
        <f aca="false">(K18+K20)*K21</f>
        <v>1247.6012260018</v>
      </c>
      <c r="L22" s="111" t="n">
        <f aca="false">(L18+L20)*L21</f>
        <v>1295.94577350937</v>
      </c>
      <c r="M22" s="111" t="n">
        <f aca="false">(M18+M20)*M21</f>
        <v>1341.3038755822</v>
      </c>
    </row>
    <row r="23" customFormat="false" ht="15" hidden="false" customHeight="false" outlineLevel="0" collapsed="false">
      <c r="B23" s="103" t="s">
        <v>601</v>
      </c>
      <c r="D23" s="110" t="n">
        <f aca="false">Model!CA152</f>
        <v>92.4219840633376</v>
      </c>
      <c r="E23" s="110" t="n">
        <f aca="false">Model!CB152</f>
        <v>106.071186374676</v>
      </c>
      <c r="F23" s="110" t="n">
        <f aca="false">Model!CC152</f>
        <v>113.793661272926</v>
      </c>
      <c r="G23" s="110" t="n">
        <f aca="false">Model!CD152</f>
        <v>123.174919503953</v>
      </c>
      <c r="H23" s="110" t="n">
        <f aca="false">Model!CE152</f>
        <v>133.605225437526</v>
      </c>
      <c r="I23" s="111" t="n">
        <f aca="false">H23*(1+I$31)</f>
        <v>140.285486709402</v>
      </c>
      <c r="J23" s="111" t="n">
        <f aca="false">I23*(1+J$31)</f>
        <v>146.773690469712</v>
      </c>
      <c r="K23" s="111" t="n">
        <f aca="false">J23*(1+K$31)</f>
        <v>153.011572314675</v>
      </c>
      <c r="L23" s="111" t="n">
        <f aca="false">K23*(1+L$31)</f>
        <v>158.940770741868</v>
      </c>
      <c r="M23" s="111" t="n">
        <f aca="false">L23*(1+M$31)</f>
        <v>164.503697717834</v>
      </c>
    </row>
    <row r="24" customFormat="false" ht="15" hidden="false" customHeight="false" outlineLevel="0" collapsed="false">
      <c r="B24" s="103" t="s">
        <v>602</v>
      </c>
      <c r="D24" s="111" t="n">
        <f aca="false">D29</f>
        <v>-70</v>
      </c>
      <c r="E24" s="110" t="n">
        <f aca="false">E29+Model!CB248</f>
        <v>-75.7651331247685</v>
      </c>
      <c r="F24" s="110" t="n">
        <f aca="false">F29+Model!CC248</f>
        <v>-180.477615194947</v>
      </c>
      <c r="G24" s="110" t="n">
        <f aca="false">G29+Model!CD248</f>
        <v>-235.194585359966</v>
      </c>
      <c r="H24" s="110" t="n">
        <f aca="false">H29+Model!CE248</f>
        <v>-240.297589598233</v>
      </c>
      <c r="I24" s="111" t="n">
        <f aca="false">I29</f>
        <v>-94.8124690781443</v>
      </c>
      <c r="J24" s="111" t="n">
        <f aca="false">J29</f>
        <v>-99.1975457730085</v>
      </c>
      <c r="K24" s="111" t="n">
        <f aca="false">K29</f>
        <v>-103.413441468361</v>
      </c>
      <c r="L24" s="111" t="n">
        <f aca="false">L29</f>
        <v>-107.42071232526</v>
      </c>
      <c r="M24" s="111" t="n">
        <f aca="false">M29</f>
        <v>-111.180437256644</v>
      </c>
    </row>
    <row r="25" customFormat="false" ht="15" hidden="false" customHeight="false" outlineLevel="0" collapsed="false">
      <c r="B25" s="103" t="s">
        <v>603</v>
      </c>
      <c r="D25" s="110" t="n">
        <f aca="false">Model!CA244</f>
        <v>-139.052978665947</v>
      </c>
      <c r="E25" s="110" t="n">
        <f aca="false">Model!CB244</f>
        <v>-1.88429376964277</v>
      </c>
      <c r="F25" s="110" t="n">
        <f aca="false">Model!CC244</f>
        <v>-38.3116071674487</v>
      </c>
      <c r="G25" s="110" t="n">
        <f aca="false">Model!CD244</f>
        <v>-39.9738562558274</v>
      </c>
      <c r="H25" s="110" t="n">
        <f aca="false">Model!CE244</f>
        <v>-72.4136110659434</v>
      </c>
      <c r="I25" s="111" t="n">
        <f aca="false">H25*(1+I$31)</f>
        <v>-76.0342916192406</v>
      </c>
      <c r="J25" s="111" t="n">
        <f aca="false">I25*(1+J$31)</f>
        <v>-79.5508776066305</v>
      </c>
      <c r="K25" s="111" t="n">
        <f aca="false">J25*(1+K$31)</f>
        <v>-82.9317899049123</v>
      </c>
      <c r="L25" s="111" t="n">
        <f aca="false">K25*(1+L$31)</f>
        <v>-86.1453967637276</v>
      </c>
      <c r="M25" s="111" t="n">
        <f aca="false">L25*(1+M$31)</f>
        <v>-89.1604856504581</v>
      </c>
    </row>
    <row r="26" customFormat="false" ht="15" hidden="false" customHeight="false" outlineLevel="0" collapsed="false">
      <c r="B26" s="12" t="s">
        <v>604</v>
      </c>
      <c r="D26" s="113" t="n">
        <f aca="false">D22+D23+D24+D25</f>
        <v>641.569805397391</v>
      </c>
      <c r="E26" s="113" t="n">
        <f aca="false">E22+E23+E24+E25</f>
        <v>906.787062159704</v>
      </c>
      <c r="F26" s="113" t="n">
        <f aca="false">F22+F23+F24+F25</f>
        <v>850.323764989533</v>
      </c>
      <c r="G26" s="113" t="n">
        <f aca="false">G22+G23+G24+G25</f>
        <v>874.769921990356</v>
      </c>
      <c r="H26" s="113" t="n">
        <f aca="false">H22+H23+H24+H25</f>
        <v>910.262891026862</v>
      </c>
      <c r="I26" s="113" t="n">
        <f aca="false">I22+I23+I24+I25</f>
        <v>1113.2760355782</v>
      </c>
      <c r="J26" s="113" t="n">
        <f aca="false">J22+J23+J24+J25</f>
        <v>1164.7650522237</v>
      </c>
      <c r="K26" s="113" t="n">
        <f aca="false">K22+K23+K24+K25</f>
        <v>1214.2675669432</v>
      </c>
      <c r="L26" s="113" t="n">
        <f aca="false">L22+L23+L24+L25</f>
        <v>1261.32043516225</v>
      </c>
      <c r="M26" s="113" t="n">
        <f aca="false">M22+M23+M24+M25</f>
        <v>1305.46665039293</v>
      </c>
      <c r="N26" s="113" t="n">
        <f aca="false">M26*(1+$C$32)</f>
        <v>1344.63064990472</v>
      </c>
    </row>
    <row r="27" customFormat="false" ht="15" hidden="false" customHeight="false" outlineLevel="0" collapsed="false">
      <c r="B27" s="103" t="s">
        <v>597</v>
      </c>
      <c r="E27" s="112" t="n">
        <f aca="false">IFERROR(E26/D26-1,"")</f>
        <v>0.413387996958549</v>
      </c>
      <c r="F27" s="112" t="n">
        <f aca="false">IFERROR(F26/E26-1,"")</f>
        <v>-0.0622674269697806</v>
      </c>
      <c r="G27" s="112" t="n">
        <f aca="false">IFERROR(G26/F26-1,"")</f>
        <v>0.0287492341239262</v>
      </c>
      <c r="H27" s="112" t="n">
        <f aca="false">IFERROR(H26/G26-1,"")</f>
        <v>0.0405740619839206</v>
      </c>
      <c r="I27" s="112" t="n">
        <f aca="false">IFERROR(I26/H26-1,"")</f>
        <v>0.2230269371108</v>
      </c>
      <c r="J27" s="112" t="n">
        <f aca="false">IFERROR(J26/I26-1,"")</f>
        <v>0.0462499999999999</v>
      </c>
      <c r="K27" s="112" t="n">
        <f aca="false">IFERROR(K26/J26-1,"")</f>
        <v>0.0425</v>
      </c>
      <c r="L27" s="112" t="n">
        <f aca="false">IFERROR(L26/K26-1,"")</f>
        <v>0.0387499999999998</v>
      </c>
      <c r="M27" s="112" t="n">
        <f aca="false">IFERROR(M26/L26-1,"")</f>
        <v>0.0350000000000001</v>
      </c>
    </row>
    <row r="28" customFormat="false" ht="15" hidden="false" customHeight="false" outlineLevel="0" collapsed="false">
      <c r="B28" s="12" t="s">
        <v>605</v>
      </c>
      <c r="N28" s="114" t="n">
        <f aca="false">N26/($C$13-$C$32)</f>
        <v>23486.9982516108</v>
      </c>
    </row>
    <row r="29" customFormat="false" ht="15" hidden="false" customHeight="false" outlineLevel="0" collapsed="false">
      <c r="B29" s="103" t="s">
        <v>606</v>
      </c>
      <c r="D29" s="110" t="n">
        <f aca="false">Model!CA246+Model!CA247</f>
        <v>-70</v>
      </c>
      <c r="E29" s="110" t="n">
        <f aca="false">Model!CB246+Model!CB247</f>
        <v>-75.7651331247685</v>
      </c>
      <c r="F29" s="110" t="n">
        <f aca="false">Model!CC246+Model!CC247</f>
        <v>-80.4776151949474</v>
      </c>
      <c r="G29" s="110" t="n">
        <f aca="false">Model!CD246+Model!CD247</f>
        <v>-85.1945853599664</v>
      </c>
      <c r="H29" s="110" t="n">
        <f aca="false">Model!CE246+Model!CE247</f>
        <v>-90.2975895982327</v>
      </c>
      <c r="I29" s="111" t="n">
        <f aca="false">H29*(1+I$31)</f>
        <v>-94.8124690781443</v>
      </c>
      <c r="J29" s="111" t="n">
        <f aca="false">I29*(1+J$31)</f>
        <v>-99.1975457730085</v>
      </c>
      <c r="K29" s="111" t="n">
        <f aca="false">J29*(1+K$31)</f>
        <v>-103.413441468361</v>
      </c>
      <c r="L29" s="111" t="n">
        <f aca="false">K29*(1+L$31)</f>
        <v>-107.42071232526</v>
      </c>
      <c r="M29" s="111" t="n">
        <f aca="false">L29*(1+M$31)</f>
        <v>-111.180437256644</v>
      </c>
    </row>
    <row r="31" customFormat="false" ht="15" hidden="false" customHeight="false" outlineLevel="0" collapsed="false">
      <c r="B31" s="103" t="s">
        <v>607</v>
      </c>
      <c r="I31" s="115" t="n">
        <v>0.05</v>
      </c>
      <c r="J31" s="112" t="n">
        <f aca="false">I31+($M$31-$I$31)/(COLUMNS($I$31:$M$31)-1)</f>
        <v>0.04625</v>
      </c>
      <c r="K31" s="112" t="n">
        <f aca="false">J31+($M$31-$I$31)/(COLUMNS($I$31:$M$31)-1)</f>
        <v>0.0425</v>
      </c>
      <c r="L31" s="112" t="n">
        <f aca="false">K31+($M$31-$I$31)/(COLUMNS($I$31:$M$31)-1)</f>
        <v>0.03875</v>
      </c>
      <c r="M31" s="115" t="n">
        <v>0.035</v>
      </c>
    </row>
    <row r="32" customFormat="false" ht="15" hidden="false" customHeight="false" outlineLevel="0" collapsed="false">
      <c r="B32" s="103" t="s">
        <v>608</v>
      </c>
      <c r="C32" s="115" t="n">
        <v>0.03</v>
      </c>
    </row>
    <row r="34" customFormat="false" ht="15" hidden="false" customHeight="false" outlineLevel="0" collapsed="false">
      <c r="B34" s="103" t="s">
        <v>609</v>
      </c>
      <c r="D34" s="116" t="n">
        <f aca="false">(DATE(2026,12,31)-$C$15)/365.25</f>
        <v>0.238193018480493</v>
      </c>
      <c r="E34" s="116" t="n">
        <f aca="false">(DATE(2027,12,31)-$C$15)/365.25</f>
        <v>1.23750855578371</v>
      </c>
      <c r="F34" s="116" t="n">
        <f aca="false">(DATE(2028,12,31)-$C$15)/365.25</f>
        <v>2.23956194387406</v>
      </c>
      <c r="G34" s="116" t="n">
        <f aca="false">(DATE(2029,12,31)-$C$15)/365.25</f>
        <v>3.23887748117728</v>
      </c>
      <c r="H34" s="116" t="n">
        <f aca="false">(DATE(2030,12,31)-$C$15)/365.25</f>
        <v>4.23819301848049</v>
      </c>
      <c r="I34" s="116" t="n">
        <f aca="false">(DATE(2031,12,31)-$C$15)/365.25</f>
        <v>5.23750855578371</v>
      </c>
      <c r="J34" s="116" t="n">
        <f aca="false">(DATE(2032,12,31)-$C$15)/365.25</f>
        <v>6.23956194387406</v>
      </c>
      <c r="K34" s="116" t="n">
        <f aca="false">(DATE(2033,12,31)-$C$15)/365.25</f>
        <v>7.23887748117728</v>
      </c>
      <c r="L34" s="116" t="n">
        <f aca="false">(DATE(2034,12,31)-$C$15)/365.25</f>
        <v>8.23819301848049</v>
      </c>
      <c r="M34" s="116" t="n">
        <f aca="false">(DATE(2035,12,31)-$C$15)/365.25</f>
        <v>9.23750855578371</v>
      </c>
      <c r="N34" s="116" t="n">
        <f aca="false">M34</f>
        <v>9.23750855578371</v>
      </c>
    </row>
    <row r="35" customFormat="false" ht="15" hidden="false" customHeight="false" outlineLevel="0" collapsed="false">
      <c r="B35" s="103" t="s">
        <v>610</v>
      </c>
      <c r="D35" s="117" t="n">
        <f aca="false">1/(1+$C$13)^D34</f>
        <v>0.98027197476182</v>
      </c>
      <c r="E35" s="117" t="n">
        <f aca="false">1/(1+$C$13)^E34</f>
        <v>0.901658407168759</v>
      </c>
      <c r="F35" s="117" t="n">
        <f aca="false">1/(1+$C$13)^F34</f>
        <v>0.82915938687325</v>
      </c>
      <c r="G35" s="117" t="n">
        <f aca="false">1/(1+$C$13)^G34</f>
        <v>0.762664394479717</v>
      </c>
      <c r="H35" s="117" t="n">
        <f aca="false">1/(1+$C$13)^H34</f>
        <v>0.701502012538909</v>
      </c>
      <c r="I35" s="117" t="n">
        <f aca="false">1/(1+$C$13)^I34</f>
        <v>0.645244588783838</v>
      </c>
      <c r="J35" s="117" t="n">
        <f aca="false">1/(1+$C$13)^J34</f>
        <v>0.593362856005793</v>
      </c>
      <c r="K35" s="117" t="n">
        <f aca="false">1/(1+$C$13)^K34</f>
        <v>0.545777724339495</v>
      </c>
      <c r="L35" s="117" t="n">
        <f aca="false">1/(1+$C$13)^L34</f>
        <v>0.502008714179254</v>
      </c>
      <c r="M35" s="117" t="n">
        <f aca="false">1/(1+$C$13)^M34</f>
        <v>0.461749789104888</v>
      </c>
      <c r="N35" s="117" t="n">
        <f aca="false">1/(1+$C$13)^N34</f>
        <v>0.461749789104888</v>
      </c>
    </row>
    <row r="36" customFormat="false" ht="15" hidden="false" customHeight="false" outlineLevel="0" collapsed="false">
      <c r="B36" s="103" t="s">
        <v>611</v>
      </c>
      <c r="D36" s="111" t="n">
        <f aca="false">D26*D35</f>
        <v>628.912900084457</v>
      </c>
      <c r="E36" s="111" t="n">
        <f aca="false">E26*E35</f>
        <v>817.612178108158</v>
      </c>
      <c r="F36" s="111" t="n">
        <f aca="false">F26*F35</f>
        <v>705.053931622475</v>
      </c>
      <c r="G36" s="111" t="n">
        <f aca="false">G26*G35</f>
        <v>667.155872863844</v>
      </c>
      <c r="H36" s="111" t="n">
        <f aca="false">H26*H35</f>
        <v>638.551249994829</v>
      </c>
      <c r="I36" s="111" t="n">
        <f aca="false">I26*I35</f>
        <v>718.33533777956</v>
      </c>
      <c r="J36" s="111" t="n">
        <f aca="false">J26*J35</f>
        <v>691.12831796319</v>
      </c>
      <c r="K36" s="111" t="n">
        <f aca="false">K26*K35</f>
        <v>662.720189425517</v>
      </c>
      <c r="L36" s="111" t="n">
        <f aca="false">L26*L35</f>
        <v>633.19384982382</v>
      </c>
      <c r="M36" s="111" t="n">
        <f aca="false">M26*M35</f>
        <v>602.798950502401</v>
      </c>
      <c r="N36" s="111" t="n">
        <f aca="false">N28*N35</f>
        <v>10845.1164893882</v>
      </c>
    </row>
    <row r="37" customFormat="false" ht="15" hidden="false" customHeight="false" outlineLevel="0" collapsed="false">
      <c r="D37" s="4" t="s">
        <v>612</v>
      </c>
    </row>
    <row r="39" customFormat="false" ht="15" hidden="false" customHeight="false" outlineLevel="0" collapsed="false">
      <c r="B39" s="109" t="s">
        <v>613</v>
      </c>
      <c r="D39" s="12" t="str">
        <f aca="false">D17</f>
        <v>2026E</v>
      </c>
      <c r="E39" s="12" t="str">
        <f aca="false">E17</f>
        <v>2027E</v>
      </c>
      <c r="F39" s="12" t="str">
        <f aca="false">F17</f>
        <v>2028E</v>
      </c>
      <c r="G39" s="12" t="str">
        <f aca="false">G17</f>
        <v>2029E</v>
      </c>
      <c r="H39" s="12" t="str">
        <f aca="false">H17</f>
        <v>2030E</v>
      </c>
      <c r="I39" s="12" t="str">
        <f aca="false">I17</f>
        <v>2031E</v>
      </c>
      <c r="J39" s="12" t="str">
        <f aca="false">J17</f>
        <v>2032E</v>
      </c>
      <c r="K39" s="12" t="str">
        <f aca="false">K17</f>
        <v>2033E</v>
      </c>
      <c r="L39" s="12" t="str">
        <f aca="false">L17</f>
        <v>2034E</v>
      </c>
      <c r="M39" s="12" t="str">
        <f aca="false">M17</f>
        <v>2035E</v>
      </c>
    </row>
    <row r="40" customFormat="false" ht="15" hidden="false" customHeight="false" outlineLevel="0" collapsed="false">
      <c r="B40" s="103" t="s">
        <v>614</v>
      </c>
      <c r="D40" s="111" t="n">
        <f aca="false">D22</f>
        <v>758.2008</v>
      </c>
      <c r="E40" s="111" t="n">
        <f aca="false">E22</f>
        <v>878.36530267944</v>
      </c>
      <c r="F40" s="111" t="n">
        <f aca="false">F22</f>
        <v>955.319326079003</v>
      </c>
      <c r="G40" s="111" t="n">
        <f aca="false">G22</f>
        <v>1026.7634441022</v>
      </c>
      <c r="H40" s="111" t="n">
        <f aca="false">H22</f>
        <v>1089.36886625351</v>
      </c>
      <c r="I40" s="111" t="n">
        <f aca="false">I22</f>
        <v>1143.83730956619</v>
      </c>
      <c r="J40" s="111" t="n">
        <f aca="false">J22</f>
        <v>1196.73978513362</v>
      </c>
      <c r="K40" s="111" t="n">
        <f aca="false">K22</f>
        <v>1247.6012260018</v>
      </c>
      <c r="L40" s="111" t="n">
        <f aca="false">L22</f>
        <v>1295.94577350937</v>
      </c>
      <c r="M40" s="111" t="n">
        <f aca="false">M22</f>
        <v>1341.3038755822</v>
      </c>
    </row>
    <row r="41" customFormat="false" ht="15" hidden="false" customHeight="false" outlineLevel="0" collapsed="false">
      <c r="B41" s="103" t="s">
        <v>615</v>
      </c>
      <c r="D41" s="111" t="n">
        <f aca="false">D40-D26</f>
        <v>116.630994602609</v>
      </c>
      <c r="E41" s="111" t="n">
        <f aca="false">E40-E26</f>
        <v>-28.4217594802647</v>
      </c>
      <c r="F41" s="111" t="n">
        <f aca="false">F40-F26</f>
        <v>104.99556108947</v>
      </c>
      <c r="G41" s="111" t="n">
        <f aca="false">G40-G26</f>
        <v>151.993522111841</v>
      </c>
      <c r="H41" s="111" t="n">
        <f aca="false">H40-H26</f>
        <v>179.10597522665</v>
      </c>
      <c r="I41" s="111" t="n">
        <f aca="false">I40-I26</f>
        <v>30.5612739879828</v>
      </c>
      <c r="J41" s="111" t="n">
        <f aca="false">J40-J26</f>
        <v>31.9747329099268</v>
      </c>
      <c r="K41" s="111" t="n">
        <f aca="false">K40-K26</f>
        <v>33.3336590585989</v>
      </c>
      <c r="L41" s="111" t="n">
        <f aca="false">L40-L26</f>
        <v>34.6253383471199</v>
      </c>
      <c r="M41" s="111" t="n">
        <f aca="false">M40-M26</f>
        <v>35.8372251892688</v>
      </c>
    </row>
    <row r="42" customFormat="false" ht="15" hidden="false" customHeight="false" outlineLevel="0" collapsed="false">
      <c r="B42" s="103" t="s">
        <v>616</v>
      </c>
      <c r="D42" s="110" t="n">
        <f aca="false">Model!BV369</f>
        <v>2774.214</v>
      </c>
      <c r="E42" s="111" t="n">
        <f aca="false">D43</f>
        <v>2890.84499460261</v>
      </c>
      <c r="F42" s="111" t="n">
        <f aca="false">E43</f>
        <v>2862.42323512234</v>
      </c>
      <c r="G42" s="111" t="n">
        <f aca="false">F43</f>
        <v>2967.41879621181</v>
      </c>
      <c r="H42" s="111" t="n">
        <f aca="false">G43</f>
        <v>3119.41231832365</v>
      </c>
      <c r="I42" s="111" t="n">
        <f aca="false">H43</f>
        <v>3298.51829355031</v>
      </c>
      <c r="J42" s="111" t="n">
        <f aca="false">I43</f>
        <v>3329.07956753829</v>
      </c>
      <c r="K42" s="111" t="n">
        <f aca="false">J43</f>
        <v>3361.05430044821</v>
      </c>
      <c r="L42" s="111" t="n">
        <f aca="false">K43</f>
        <v>3394.38795950681</v>
      </c>
      <c r="M42" s="111" t="n">
        <f aca="false">L43</f>
        <v>3429.01329785393</v>
      </c>
    </row>
    <row r="43" customFormat="false" ht="15" hidden="false" customHeight="false" outlineLevel="0" collapsed="false">
      <c r="B43" s="103" t="s">
        <v>617</v>
      </c>
      <c r="D43" s="111" t="n">
        <f aca="false">D42+D41</f>
        <v>2890.84499460261</v>
      </c>
      <c r="E43" s="111" t="n">
        <f aca="false">E42+E41</f>
        <v>2862.42323512234</v>
      </c>
      <c r="F43" s="111" t="n">
        <f aca="false">F42+F41</f>
        <v>2967.41879621181</v>
      </c>
      <c r="G43" s="111" t="n">
        <f aca="false">G42+G41</f>
        <v>3119.41231832365</v>
      </c>
      <c r="H43" s="111" t="n">
        <f aca="false">H42+H41</f>
        <v>3298.51829355031</v>
      </c>
      <c r="I43" s="111" t="n">
        <f aca="false">I42+I41</f>
        <v>3329.07956753829</v>
      </c>
      <c r="J43" s="111" t="n">
        <f aca="false">J42+J41</f>
        <v>3361.05430044821</v>
      </c>
      <c r="K43" s="111" t="n">
        <f aca="false">K42+K41</f>
        <v>3394.38795950681</v>
      </c>
      <c r="L43" s="111" t="n">
        <f aca="false">L42+L41</f>
        <v>3429.01329785393</v>
      </c>
      <c r="M43" s="111" t="n">
        <f aca="false">M42+M41</f>
        <v>3464.8505230432</v>
      </c>
    </row>
    <row r="44" customFormat="false" ht="15" hidden="false" customHeight="false" outlineLevel="0" collapsed="false">
      <c r="B44" s="103" t="s">
        <v>618</v>
      </c>
      <c r="D44" s="112" t="n">
        <f aca="false">IFERROR(D40/D42,"")</f>
        <v>0.273302924720299</v>
      </c>
      <c r="E44" s="112" t="n">
        <f aca="false">IFERROR(E40/E42,"")</f>
        <v>0.303843791112773</v>
      </c>
      <c r="F44" s="112" t="n">
        <f aca="false">IFERROR(F40/F42,"")</f>
        <v>0.33374495929082</v>
      </c>
      <c r="G44" s="112" t="n">
        <f aca="false">IFERROR(G40/G42,"")</f>
        <v>0.346012313938617</v>
      </c>
      <c r="H44" s="112" t="n">
        <f aca="false">IFERROR(H40/H42,"")</f>
        <v>0.34922246727516</v>
      </c>
      <c r="I44" s="112" t="n">
        <f aca="false">IFERROR(I40/I42,"")</f>
        <v>0.346773068320636</v>
      </c>
      <c r="J44" s="112" t="n">
        <f aca="false">IFERROR(J40/J42,"")</f>
        <v>0.359480679525651</v>
      </c>
      <c r="K44" s="112" t="n">
        <f aca="false">IFERROR(K40/K42,"")</f>
        <v>0.37119341565991</v>
      </c>
      <c r="L44" s="112" t="n">
        <f aca="false">IFERROR(L40/L42,"")</f>
        <v>0.381790705414141</v>
      </c>
      <c r="M44" s="112" t="n">
        <f aca="false">IFERROR(M40/M42,"")</f>
        <v>0.39116321783344</v>
      </c>
    </row>
    <row r="45" customFormat="false" ht="15" hidden="false" customHeight="false" outlineLevel="0" collapsed="false">
      <c r="B45" s="103" t="s">
        <v>619</v>
      </c>
      <c r="D45" s="112" t="n">
        <f aca="false">IFERROR(D41/D40,"")</f>
        <v>0.153825997812992</v>
      </c>
      <c r="E45" s="112" t="n">
        <f aca="false">IFERROR(E41/E40,"")</f>
        <v>-0.0323575617041845</v>
      </c>
      <c r="F45" s="112" t="n">
        <f aca="false">IFERROR(F41/F40,"")</f>
        <v>0.109906246239581</v>
      </c>
      <c r="G45" s="112" t="n">
        <f aca="false">IFERROR(G41/G40,"")</f>
        <v>0.14803168440102</v>
      </c>
      <c r="H45" s="112" t="n">
        <f aca="false">IFERROR(H41/H40,"")</f>
        <v>0.164412606946094</v>
      </c>
      <c r="I45" s="112" t="n">
        <f aca="false">IFERROR(I41/I40,"")</f>
        <v>0.0267181999856024</v>
      </c>
      <c r="J45" s="112" t="n">
        <f aca="false">IFERROR(J41/J40,"")</f>
        <v>0.0267181999856023</v>
      </c>
      <c r="K45" s="112" t="n">
        <f aca="false">IFERROR(K41/K40,"")</f>
        <v>0.0267181999856024</v>
      </c>
      <c r="L45" s="112" t="n">
        <f aca="false">IFERROR(L41/L40,"")</f>
        <v>0.0267181999856026</v>
      </c>
      <c r="M45" s="112" t="n">
        <f aca="false">IFERROR(M41/M40,"")</f>
        <v>0.0267181999856024</v>
      </c>
    </row>
    <row r="46" customFormat="false" ht="15" hidden="false" customHeight="false" outlineLevel="0" collapsed="false">
      <c r="B46" s="103" t="s">
        <v>620</v>
      </c>
      <c r="E46" s="112" t="n">
        <f aca="false">IFERROR((E40-D40)/D41,"")</f>
        <v>1.03029647555412</v>
      </c>
      <c r="F46" s="112" t="n">
        <f aca="false">IFERROR((F40-E40)/E41,"")</f>
        <v>-2.70757422505802</v>
      </c>
      <c r="G46" s="112" t="n">
        <f aca="false">IFERROR((G40-F40)/F41,"")</f>
        <v>0.680448937858565</v>
      </c>
      <c r="H46" s="112" t="n">
        <f aca="false">IFERROR((H40-G40)/G41,"")</f>
        <v>0.411895331336876</v>
      </c>
      <c r="I46" s="112" t="n">
        <f aca="false">IFERROR((I40-H40)/H41,"")</f>
        <v>0.304112932266768</v>
      </c>
      <c r="J46" s="112" t="n">
        <f aca="false">IFERROR((J40-I40)/I41,"")</f>
        <v>1.73102978587339</v>
      </c>
      <c r="K46" s="112" t="n">
        <f aca="false">IFERROR((K40-J40)/J41,"")</f>
        <v>1.59067601945124</v>
      </c>
      <c r="L46" s="112" t="n">
        <f aca="false">IFERROR((L40-K40)/K41,"")</f>
        <v>1.45032225302907</v>
      </c>
      <c r="M46" s="112" t="n">
        <f aca="false">IFERROR((M40-L40)/L41,"")</f>
        <v>1.30996848660689</v>
      </c>
    </row>
    <row r="47" customFormat="false" ht="15" hidden="false" customHeight="false" outlineLevel="0" collapsed="false">
      <c r="B47" s="103" t="s">
        <v>621</v>
      </c>
      <c r="C47" s="112" t="n">
        <f aca="false">IFERROR((M40-D40)/SUM(D41:L41),"")</f>
        <v>0.890506568185529</v>
      </c>
    </row>
    <row r="48" customFormat="false" ht="15" hidden="false" customHeight="false" outlineLevel="0" collapsed="false">
      <c r="D48" s="4" t="s">
        <v>622</v>
      </c>
    </row>
    <row r="49" customFormat="false" ht="15" hidden="false" customHeight="false" outlineLevel="0" collapsed="false">
      <c r="B49" s="15" t="s">
        <v>623</v>
      </c>
    </row>
    <row r="50" customFormat="false" ht="15" hidden="false" customHeight="false" outlineLevel="0" collapsed="false">
      <c r="B50" s="103" t="s">
        <v>624</v>
      </c>
      <c r="C50" s="111" t="n">
        <f aca="false">SUM(D36:M36)</f>
        <v>6765.46277816825</v>
      </c>
    </row>
    <row r="51" customFormat="false" ht="15" hidden="false" customHeight="false" outlineLevel="0" collapsed="false">
      <c r="B51" s="103" t="s">
        <v>625</v>
      </c>
      <c r="C51" s="111" t="n">
        <f aca="false">N36</f>
        <v>10845.1164893882</v>
      </c>
    </row>
    <row r="52" customFormat="false" ht="15" hidden="false" customHeight="false" outlineLevel="0" collapsed="false">
      <c r="B52" s="12" t="s">
        <v>626</v>
      </c>
      <c r="C52" s="113" t="n">
        <f aca="false">C50+C51</f>
        <v>17610.5792675564</v>
      </c>
    </row>
    <row r="53" customFormat="false" ht="15" hidden="false" customHeight="false" outlineLevel="0" collapsed="false">
      <c r="B53" s="103" t="s">
        <v>627</v>
      </c>
      <c r="C53" s="110" t="n">
        <f aca="false">Model!CA389</f>
        <v>1291.65350560939</v>
      </c>
    </row>
    <row r="54" customFormat="false" ht="15" hidden="false" customHeight="false" outlineLevel="0" collapsed="false">
      <c r="B54" s="103" t="s">
        <v>628</v>
      </c>
      <c r="C54" s="118" t="n">
        <v>0</v>
      </c>
    </row>
    <row r="55" customFormat="false" ht="15" hidden="false" customHeight="false" outlineLevel="0" collapsed="false">
      <c r="B55" s="12" t="s">
        <v>629</v>
      </c>
      <c r="C55" s="114" t="n">
        <f aca="false">C52-C53-C54</f>
        <v>16318.925761947</v>
      </c>
    </row>
    <row r="56" customFormat="false" ht="15" hidden="false" customHeight="false" outlineLevel="0" collapsed="false">
      <c r="B56" s="103" t="s">
        <v>630</v>
      </c>
      <c r="C56" s="119" t="n">
        <f aca="false">Model!CA395</f>
        <v>116.866963655518</v>
      </c>
    </row>
    <row r="57" customFormat="false" ht="15" hidden="false" customHeight="false" outlineLevel="0" collapsed="false">
      <c r="B57" s="12" t="s">
        <v>631</v>
      </c>
      <c r="C57" s="120" t="n">
        <f aca="false">C55/C56</f>
        <v>139.636773742573</v>
      </c>
    </row>
    <row r="58" customFormat="false" ht="15" hidden="false" customHeight="false" outlineLevel="0" collapsed="false">
      <c r="B58" s="103" t="s">
        <v>632</v>
      </c>
      <c r="C58" s="121" t="n">
        <f aca="false">Model!CA394</f>
        <v>151.88</v>
      </c>
    </row>
    <row r="59" customFormat="false" ht="15" hidden="false" customHeight="false" outlineLevel="0" collapsed="false">
      <c r="B59" s="103" t="s">
        <v>633</v>
      </c>
      <c r="C59" s="112" t="n">
        <f aca="false">C57/C58-1</f>
        <v>-0.0806111815737861</v>
      </c>
    </row>
    <row r="60" customFormat="false" ht="15" hidden="false" customHeight="false" outlineLevel="0" collapsed="false">
      <c r="B60" s="103" t="s">
        <v>634</v>
      </c>
      <c r="C60" s="112" t="n">
        <f aca="false">1-((1+C13)/(1+F60))^F61</f>
        <v>0.154926023783595</v>
      </c>
      <c r="E60" s="122" t="s">
        <v>635</v>
      </c>
      <c r="F60" s="115" t="n">
        <v>0.15</v>
      </c>
    </row>
    <row r="61" customFormat="false" ht="15" hidden="false" customHeight="false" outlineLevel="0" collapsed="false">
      <c r="B61" s="103" t="s">
        <v>636</v>
      </c>
      <c r="C61" s="123" t="n">
        <f aca="false">C57*(1-C60)</f>
        <v>118.003403612667</v>
      </c>
      <c r="D61" s="112" t="n">
        <f aca="false">C61/C58-1</f>
        <v>-0.223048435523657</v>
      </c>
      <c r="E61" s="122" t="s">
        <v>637</v>
      </c>
      <c r="F61" s="124" t="n">
        <v>3</v>
      </c>
    </row>
    <row r="64" customFormat="false" ht="15" hidden="false" customHeight="false" outlineLevel="0" collapsed="false">
      <c r="B64" s="15" t="s">
        <v>638</v>
      </c>
    </row>
    <row r="65" customFormat="false" ht="15" hidden="false" customHeight="false" outlineLevel="0" collapsed="false">
      <c r="B65" s="103" t="s">
        <v>639</v>
      </c>
      <c r="C65" s="104" t="n">
        <v>0.005</v>
      </c>
    </row>
    <row r="66" customFormat="false" ht="15" hidden="false" customHeight="false" outlineLevel="0" collapsed="false">
      <c r="B66" s="103" t="s">
        <v>640</v>
      </c>
      <c r="C66" s="104" t="n">
        <v>0.005</v>
      </c>
    </row>
    <row r="67" customFormat="false" ht="15" hidden="false" customHeight="false" outlineLevel="0" collapsed="false">
      <c r="B67" s="12" t="s">
        <v>641</v>
      </c>
      <c r="D67" s="125" t="n">
        <f aca="false">E67-$C$65</f>
        <v>0.07725</v>
      </c>
      <c r="E67" s="125" t="n">
        <f aca="false">F67-$C$65</f>
        <v>0.08225</v>
      </c>
      <c r="F67" s="125" t="n">
        <f aca="false">$C$13</f>
        <v>0.08725</v>
      </c>
      <c r="G67" s="125" t="n">
        <f aca="false">F67+$C$65</f>
        <v>0.09225</v>
      </c>
      <c r="H67" s="125" t="n">
        <f aca="false">G67+$C$65</f>
        <v>0.09725</v>
      </c>
    </row>
    <row r="68" customFormat="false" ht="15" hidden="false" customHeight="false" outlineLevel="0" collapsed="false">
      <c r="B68" s="125" t="n">
        <f aca="false">B69-$C$66</f>
        <v>0.02</v>
      </c>
      <c r="D68" s="123" t="n">
        <f aca="false">IFERROR((SUMPRODUCT($D$26:$M$26/(1+D$67)^$D$34:$M$34)+($M$26*(1+$B68)/(D$67-$B68))/(1+D$67)^$M$34-$C$53-$C$54)/$C$56,"")</f>
        <v>149.470544255163</v>
      </c>
      <c r="E68" s="123" t="n">
        <f aca="false">IFERROR((SUMPRODUCT($D$26:$M$26/(1+E$67)^$D$34:$M$34)+($M$26*(1+$B68)/(E$67-$B68))/(1+E$67)^$M$34-$C$53-$C$54)/$C$56,"")</f>
        <v>136.282205378704</v>
      </c>
      <c r="F68" s="123" t="n">
        <f aca="false">IFERROR((SUMPRODUCT($D$26:$M$26/(1+F$67)^$D$34:$M$34)+($M$26*(1+$B68)/(F$67-$B68))/(1+F$67)^$M$34-$C$53-$C$54)/$C$56,"")</f>
        <v>125.070704722953</v>
      </c>
      <c r="G68" s="123" t="n">
        <f aca="false">IFERROR((SUMPRODUCT($D$26:$M$26/(1+G$67)^$D$34:$M$34)+($M$26*(1+$B68)/(G$67-$B68))/(1+G$67)^$M$34-$C$53-$C$54)/$C$56,"")</f>
        <v>115.42512165783</v>
      </c>
      <c r="H68" s="123" t="n">
        <f aca="false">IFERROR((SUMPRODUCT($D$26:$M$26/(1+H$67)^$D$34:$M$34)+($M$26*(1+$B68)/(H$67-$B68))/(1+H$67)^$M$34-$C$53-$C$54)/$C$56,"")</f>
        <v>107.040941417372</v>
      </c>
    </row>
    <row r="69" customFormat="false" ht="15" hidden="false" customHeight="false" outlineLevel="0" collapsed="false">
      <c r="B69" s="125" t="n">
        <f aca="false">B70-$C$66</f>
        <v>0.025</v>
      </c>
      <c r="D69" s="123" t="n">
        <f aca="false">IFERROR((SUMPRODUCT($D$26:$M$26/(1+D$67)^$D$34:$M$34)+($M$26*(1+$B69)/(D$67-$B69))/(1+D$67)^$M$34-$C$53-$C$54)/$C$56,"")</f>
        <v>159.585751183542</v>
      </c>
      <c r="E69" s="123" t="n">
        <f aca="false">IFERROR((SUMPRODUCT($D$26:$M$26/(1+E$67)^$D$34:$M$34)+($M$26*(1+$B69)/(E$67-$B69))/(1+E$67)^$M$34-$C$53-$C$54)/$C$56,"")</f>
        <v>144.4547128325</v>
      </c>
      <c r="F69" s="123" t="n">
        <f aca="false">IFERROR((SUMPRODUCT($D$26:$M$26/(1+F$67)^$D$34:$M$34)+($M$26*(1+$B69)/(F$67-$B69))/(1+F$67)^$M$34-$C$53-$C$54)/$C$56,"")</f>
        <v>131.768756541212</v>
      </c>
      <c r="G69" s="123" t="n">
        <f aca="false">IFERROR((SUMPRODUCT($D$26:$M$26/(1+G$67)^$D$34:$M$34)+($M$26*(1+$B69)/(G$67-$B69))/(1+G$67)^$M$34-$C$53-$C$54)/$C$56,"")</f>
        <v>120.982060827375</v>
      </c>
      <c r="H69" s="123" t="n">
        <f aca="false">IFERROR((SUMPRODUCT($D$26:$M$26/(1+H$67)^$D$34:$M$34)+($M$26*(1+$B69)/(H$67-$B69))/(1+H$67)^$M$34-$C$53-$C$54)/$C$56,"")</f>
        <v>111.699912848824</v>
      </c>
    </row>
    <row r="70" customFormat="false" ht="15" hidden="false" customHeight="false" outlineLevel="0" collapsed="false">
      <c r="B70" s="125" t="n">
        <f aca="false">$C$32</f>
        <v>0.03</v>
      </c>
      <c r="D70" s="123" t="n">
        <f aca="false">IFERROR((SUMPRODUCT($D$26:$M$26/(1+D$67)^$D$34:$M$34)+($M$26*(1+$B70)/(D$67-$B70))/(1+D$67)^$M$34-$C$53-$C$54)/$C$56,"")</f>
        <v>171.841742647027</v>
      </c>
      <c r="E70" s="123" t="n">
        <f aca="false">IFERROR((SUMPRODUCT($D$26:$M$26/(1+E$67)^$D$34:$M$34)+($M$26*(1+$B70)/(E$67-$B70))/(1+E$67)^$M$34-$C$53-$C$54)/$C$56,"")</f>
        <v>154.191336545396</v>
      </c>
      <c r="F70" s="126" t="n">
        <f aca="false">IFERROR((SUMPRODUCT($D$26:$M$26/(1+F$67)^$D$34:$M$34)+($M$26*(1+$B70)/(F$67-$B70))/(1+F$67)^$M$34-$C$53-$C$54)/$C$56,"")</f>
        <v>139.636773742573</v>
      </c>
      <c r="G70" s="123" t="n">
        <f aca="false">IFERROR((SUMPRODUCT($D$26:$M$26/(1+G$67)^$D$34:$M$34)+($M$26*(1+$B70)/(G$67-$B70))/(1+G$67)^$M$34-$C$53-$C$54)/$C$56,"")</f>
        <v>127.431680988012</v>
      </c>
      <c r="H70" s="123" t="n">
        <f aca="false">IFERROR((SUMPRODUCT($D$26:$M$26/(1+H$67)^$D$34:$M$34)+($M$26*(1+$B70)/(H$67-$B70))/(1+H$67)^$M$34-$C$53-$C$54)/$C$56,"")</f>
        <v>117.051668136254</v>
      </c>
    </row>
    <row r="71" customFormat="false" ht="15" hidden="false" customHeight="false" outlineLevel="0" collapsed="false">
      <c r="B71" s="125" t="n">
        <f aca="false">B70+$C$66</f>
        <v>0.035</v>
      </c>
      <c r="D71" s="123" t="n">
        <f aca="false">IFERROR((SUMPRODUCT($D$26:$M$26/(1+D$67)^$D$34:$M$34)+($M$26*(1+$B71)/(D$67-$B71))/(1+D$67)^$M$34-$C$53-$C$54)/$C$56,"")</f>
        <v>186.998560492402</v>
      </c>
      <c r="E71" s="123" t="n">
        <f aca="false">IFERROR((SUMPRODUCT($D$26:$M$26/(1+E$67)^$D$34:$M$34)+($M$26*(1+$B71)/(E$67-$B71))/(1+E$67)^$M$34-$C$53-$C$54)/$C$56,"")</f>
        <v>165.98862136155</v>
      </c>
      <c r="F71" s="123" t="n">
        <f aca="false">IFERROR((SUMPRODUCT($D$26:$M$26/(1+F$67)^$D$34:$M$34)+($M$26*(1+$B71)/(F$67-$B71))/(1+F$67)^$M$34-$C$53-$C$54)/$C$56,"")</f>
        <v>149.010631556636</v>
      </c>
      <c r="G71" s="123" t="n">
        <f aca="false">IFERROR((SUMPRODUCT($D$26:$M$26/(1+G$67)^$D$34:$M$34)+($M$26*(1+$B71)/(G$67-$B71))/(1+G$67)^$M$34-$C$53-$C$54)/$C$56,"")</f>
        <v>135.007872355746</v>
      </c>
      <c r="H71" s="123" t="n">
        <f aca="false">IFERROR((SUMPRODUCT($D$26:$M$26/(1+H$67)^$D$34:$M$34)+($M$26*(1+$B71)/(H$67-$B71))/(1+H$67)^$M$34-$C$53-$C$54)/$C$56,"")</f>
        <v>123.263143148573</v>
      </c>
    </row>
    <row r="72" customFormat="false" ht="15" hidden="false" customHeight="false" outlineLevel="0" collapsed="false">
      <c r="B72" s="125" t="n">
        <f aca="false">B71+$C$66</f>
        <v>0.04</v>
      </c>
      <c r="D72" s="123" t="n">
        <f aca="false">IFERROR((SUMPRODUCT($D$26:$M$26/(1+D$67)^$D$34:$M$34)+($M$26*(1+$B72)/(D$67-$B72))/(1+D$67)^$M$34-$C$53-$C$54)/$C$56,"")</f>
        <v>206.224322725797</v>
      </c>
      <c r="E72" s="123" t="n">
        <f aca="false">IFERROR((SUMPRODUCT($D$26:$M$26/(1+E$67)^$D$34:$M$34)+($M$26*(1+$B72)/(E$67-$B72))/(1+E$67)^$M$34-$C$53-$C$54)/$C$56,"")</f>
        <v>180.578162938924</v>
      </c>
      <c r="F72" s="123" t="n">
        <f aca="false">IFERROR((SUMPRODUCT($D$26:$M$26/(1+F$67)^$D$34:$M$34)+($M$26*(1+$B72)/(F$67-$B72))/(1+F$67)^$M$34-$C$53-$C$54)/$C$56,"")</f>
        <v>160.368374622351</v>
      </c>
      <c r="G72" s="123" t="n">
        <f aca="false">IFERROR((SUMPRODUCT($D$26:$M$26/(1+G$67)^$D$34:$M$34)+($M$26*(1+$B72)/(G$67-$B72))/(1+G$67)^$M$34-$C$53-$C$54)/$C$56,"")</f>
        <v>144.034052501995</v>
      </c>
      <c r="H72" s="123" t="n">
        <f aca="false">IFERROR((SUMPRODUCT($D$26:$M$26/(1+H$67)^$D$34:$M$34)+($M$26*(1+$B72)/(H$67-$B72))/(1+H$67)^$M$34-$C$53-$C$54)/$C$56,"")</f>
        <v>130.55959196217</v>
      </c>
    </row>
    <row r="75" customFormat="false" ht="15" hidden="false" customHeight="false" outlineLevel="0" collapsed="false">
      <c r="B75" s="15" t="s">
        <v>642</v>
      </c>
    </row>
    <row r="76" customFormat="false" ht="15" hidden="false" customHeight="false" outlineLevel="0" collapsed="false">
      <c r="B76" s="4" t="s">
        <v>643</v>
      </c>
    </row>
    <row r="78" customFormat="false" ht="15" hidden="false" customHeight="false" outlineLevel="0" collapsed="false">
      <c r="B78" s="15" t="s">
        <v>644</v>
      </c>
    </row>
    <row r="79" customFormat="false" ht="15" hidden="false" customHeight="false" outlineLevel="0" collapsed="false">
      <c r="B79" s="12" t="s">
        <v>645</v>
      </c>
    </row>
    <row r="80" customFormat="false" ht="15" hidden="false" customHeight="false" outlineLevel="0" collapsed="false">
      <c r="B80" s="4" t="s">
        <v>646</v>
      </c>
    </row>
    <row r="82" customFormat="false" ht="15" hidden="false" customHeight="false" outlineLevel="0" collapsed="false">
      <c r="B82" s="109" t="s">
        <v>647</v>
      </c>
      <c r="C82" s="109" t="s">
        <v>648</v>
      </c>
      <c r="D82" s="109" t="s">
        <v>649</v>
      </c>
    </row>
    <row r="83" customFormat="false" ht="15" hidden="false" customHeight="false" outlineLevel="0" collapsed="false">
      <c r="B83" s="103" t="s">
        <v>650</v>
      </c>
      <c r="C83" s="106" t="n">
        <f aca="false">$C$13</f>
        <v>0.08725</v>
      </c>
      <c r="D83" s="4" t="s">
        <v>651</v>
      </c>
    </row>
    <row r="84" customFormat="false" ht="15" hidden="false" customHeight="false" outlineLevel="0" collapsed="false">
      <c r="B84" s="103" t="s">
        <v>652</v>
      </c>
      <c r="C84" s="104" t="n">
        <v>0.08</v>
      </c>
      <c r="D84" s="4" t="s">
        <v>653</v>
      </c>
    </row>
    <row r="85" customFormat="false" ht="15" hidden="false" customHeight="false" outlineLevel="0" collapsed="false">
      <c r="B85" s="103" t="s">
        <v>654</v>
      </c>
      <c r="C85" s="104" t="n">
        <v>0.4</v>
      </c>
      <c r="D85" s="4" t="s">
        <v>655</v>
      </c>
    </row>
    <row r="86" customFormat="false" ht="15" hidden="false" customHeight="false" outlineLevel="0" collapsed="false">
      <c r="B86" s="103" t="s">
        <v>656</v>
      </c>
      <c r="C86" s="124" t="n">
        <v>12</v>
      </c>
      <c r="D86" s="4" t="s">
        <v>657</v>
      </c>
    </row>
    <row r="88" customFormat="false" ht="15" hidden="false" customHeight="false" outlineLevel="0" collapsed="false">
      <c r="B88" s="109" t="s">
        <v>658</v>
      </c>
      <c r="C88" s="109" t="s">
        <v>648</v>
      </c>
    </row>
    <row r="89" customFormat="false" ht="15" hidden="false" customHeight="false" outlineLevel="0" collapsed="false">
      <c r="B89" s="103" t="s">
        <v>659</v>
      </c>
      <c r="C89" s="127" t="n">
        <f aca="false">1/C83</f>
        <v>11.4613180515759</v>
      </c>
    </row>
    <row r="90" customFormat="false" ht="15" hidden="false" customHeight="false" outlineLevel="0" collapsed="false">
      <c r="B90" s="103" t="s">
        <v>660</v>
      </c>
      <c r="C90" s="116" t="n">
        <f aca="false">1-C83/C85</f>
        <v>0.781875</v>
      </c>
    </row>
    <row r="91" customFormat="false" ht="15" hidden="false" customHeight="false" outlineLevel="0" collapsed="false">
      <c r="B91" s="103" t="s">
        <v>661</v>
      </c>
      <c r="C91" s="127" t="n">
        <f aca="false">C84*C90/(C83*(C83-C84))</f>
        <v>98.8835095346309</v>
      </c>
    </row>
    <row r="92" customFormat="false" ht="15" hidden="false" customHeight="false" outlineLevel="0" collapsed="false">
      <c r="B92" s="103" t="s">
        <v>662</v>
      </c>
      <c r="C92" s="116" t="n">
        <f aca="false">1-((1+C84)/(1+C83))^C86</f>
        <v>0.0771479744204251</v>
      </c>
    </row>
    <row r="93" customFormat="false" ht="15" hidden="false" customHeight="false" outlineLevel="0" collapsed="false">
      <c r="B93" s="103" t="s">
        <v>663</v>
      </c>
      <c r="C93" s="127" t="n">
        <f aca="false">C91*C92</f>
        <v>7.62866246417956</v>
      </c>
    </row>
    <row r="94" customFormat="false" ht="15" hidden="false" customHeight="false" outlineLevel="0" collapsed="false">
      <c r="B94" s="109" t="s">
        <v>664</v>
      </c>
      <c r="C94" s="128" t="n">
        <f aca="false">C89+C93</f>
        <v>19.0899805157555</v>
      </c>
    </row>
    <row r="96" customFormat="false" ht="15" hidden="false" customHeight="false" outlineLevel="0" collapsed="false">
      <c r="B96" s="12" t="s">
        <v>665</v>
      </c>
      <c r="C96" s="122" t="s">
        <v>666</v>
      </c>
    </row>
    <row r="97" customFormat="false" ht="15" hidden="false" customHeight="false" outlineLevel="0" collapsed="false">
      <c r="B97" s="103" t="s">
        <v>667</v>
      </c>
      <c r="C97" s="110" t="n">
        <f aca="false">Model!CC181</f>
        <v>1194.14915759875</v>
      </c>
    </row>
    <row r="98" customFormat="false" ht="15" hidden="false" customHeight="false" outlineLevel="0" collapsed="false">
      <c r="B98" s="103" t="s">
        <v>668</v>
      </c>
      <c r="C98" s="110" t="n">
        <f aca="false">-Model!CC180</f>
        <v>-0</v>
      </c>
    </row>
    <row r="99" customFormat="false" ht="15" hidden="false" customHeight="false" outlineLevel="0" collapsed="false">
      <c r="B99" s="103" t="s">
        <v>669</v>
      </c>
      <c r="C99" s="112" t="n">
        <f aca="false">$C$10</f>
        <v>0.2</v>
      </c>
    </row>
    <row r="100" customFormat="false" ht="15" hidden="false" customHeight="false" outlineLevel="0" collapsed="false">
      <c r="B100" s="103" t="s">
        <v>670</v>
      </c>
      <c r="C100" s="111" t="n">
        <f aca="false">(C97+C98)*(1-C99)</f>
        <v>955.319326079003</v>
      </c>
    </row>
    <row r="101" customFormat="false" ht="15" hidden="false" customHeight="false" outlineLevel="0" collapsed="false">
      <c r="B101" s="103" t="s">
        <v>671</v>
      </c>
      <c r="C101" s="129" t="n">
        <f aca="false">C94</f>
        <v>19.0899805157555</v>
      </c>
    </row>
    <row r="102" customFormat="false" ht="15" hidden="false" customHeight="false" outlineLevel="0" collapsed="false">
      <c r="B102" s="12" t="s">
        <v>672</v>
      </c>
      <c r="C102" s="114" t="n">
        <f aca="false">C100*C101</f>
        <v>18237.0273211728</v>
      </c>
    </row>
    <row r="103" customFormat="false" ht="15" hidden="false" customHeight="false" outlineLevel="0" collapsed="false">
      <c r="B103" s="103" t="s">
        <v>673</v>
      </c>
      <c r="C103" s="110" t="n">
        <f aca="false">Model!CB389</f>
        <v>1505.03476840497</v>
      </c>
    </row>
    <row r="104" customFormat="false" ht="15" hidden="false" customHeight="false" outlineLevel="0" collapsed="false">
      <c r="B104" s="103" t="s">
        <v>674</v>
      </c>
      <c r="C104" s="111" t="n">
        <f aca="false">C102-C103</f>
        <v>16731.9925527679</v>
      </c>
    </row>
    <row r="105" customFormat="false" ht="15" hidden="false" customHeight="false" outlineLevel="0" collapsed="false">
      <c r="B105" s="103" t="s">
        <v>675</v>
      </c>
      <c r="C105" s="119" t="n">
        <f aca="false">Model!CC395</f>
        <v>109.018807616812</v>
      </c>
    </row>
    <row r="106" customFormat="false" ht="15" hidden="false" customHeight="false" outlineLevel="0" collapsed="false">
      <c r="B106" s="12" t="s">
        <v>676</v>
      </c>
      <c r="C106" s="130" t="n">
        <f aca="false">C104/C105</f>
        <v>153.478036666653</v>
      </c>
    </row>
    <row r="108" customFormat="false" ht="15" hidden="false" customHeight="false" outlineLevel="0" collapsed="false">
      <c r="B108" s="103" t="s">
        <v>632</v>
      </c>
      <c r="C108" s="123" t="n">
        <f aca="false">C58</f>
        <v>151.88</v>
      </c>
    </row>
    <row r="109" customFormat="false" ht="15" hidden="false" customHeight="false" outlineLevel="0" collapsed="false">
      <c r="B109" s="103" t="s">
        <v>633</v>
      </c>
      <c r="C109" s="112" t="n">
        <f aca="false">C106/C108-1</f>
        <v>0.0105217057325082</v>
      </c>
    </row>
    <row r="111" customFormat="false" ht="15" hidden="false" customHeight="false" outlineLevel="0" collapsed="false">
      <c r="B111" s="12" t="s">
        <v>677</v>
      </c>
      <c r="C111" s="122" t="s">
        <v>666</v>
      </c>
    </row>
    <row r="112" customFormat="false" ht="15" hidden="false" customHeight="false" outlineLevel="0" collapsed="false">
      <c r="B112" s="103" t="s">
        <v>678</v>
      </c>
      <c r="C112" s="111" t="n">
        <f aca="false">C58*C56</f>
        <v>17749.75444</v>
      </c>
    </row>
    <row r="113" customFormat="false" ht="15" hidden="false" customHeight="false" outlineLevel="0" collapsed="false">
      <c r="B113" s="103" t="s">
        <v>679</v>
      </c>
      <c r="C113" s="111" t="n">
        <f aca="false">C53+C54</f>
        <v>1291.65350560939</v>
      </c>
    </row>
    <row r="114" customFormat="false" ht="15" hidden="false" customHeight="false" outlineLevel="0" collapsed="false">
      <c r="B114" s="103" t="s">
        <v>680</v>
      </c>
      <c r="C114" s="111" t="n">
        <f aca="false">C112+C113</f>
        <v>19041.4079456094</v>
      </c>
    </row>
    <row r="115" customFormat="false" ht="15" hidden="false" customHeight="false" outlineLevel="0" collapsed="false">
      <c r="B115" s="103" t="s">
        <v>681</v>
      </c>
      <c r="C115" s="129" t="n">
        <f aca="false">C114/C100</f>
        <v>19.9319823495696</v>
      </c>
    </row>
    <row r="117" customFormat="false" ht="15" hidden="false" customHeight="false" outlineLevel="0" collapsed="false">
      <c r="B117" s="103" t="s">
        <v>682</v>
      </c>
      <c r="C117" s="129" t="n">
        <f aca="false">C94-C115</f>
        <v>-0.842001833814084</v>
      </c>
    </row>
    <row r="118" customFormat="false" ht="15" hidden="false" customHeight="false" outlineLevel="0" collapsed="false">
      <c r="B118" s="103" t="s">
        <v>683</v>
      </c>
      <c r="C118" s="112" t="n">
        <f aca="false">C94/C115-1</f>
        <v>-0.042243757748073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V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30"/>
  </cols>
  <sheetData>
    <row r="2" customFormat="false" ht="17.35" hidden="false" customHeight="false" outlineLevel="0" collapsed="false">
      <c r="B2" s="131" t="s">
        <v>684</v>
      </c>
    </row>
    <row r="3" customFormat="false" ht="15" hidden="false" customHeight="false" outlineLevel="0" collapsed="false">
      <c r="B3" s="14" t="s">
        <v>685</v>
      </c>
    </row>
    <row r="7" customFormat="false" ht="15" hidden="false" customHeight="false" outlineLevel="0" collapsed="false">
      <c r="C7" s="9" t="n">
        <v>2006</v>
      </c>
      <c r="D7" s="9" t="n">
        <v>2007</v>
      </c>
      <c r="E7" s="9" t="n">
        <v>2008</v>
      </c>
      <c r="F7" s="9" t="n">
        <v>2009</v>
      </c>
      <c r="G7" s="9" t="n">
        <v>2010</v>
      </c>
      <c r="H7" s="9" t="n">
        <v>2011</v>
      </c>
      <c r="I7" s="9" t="n">
        <v>2012</v>
      </c>
      <c r="J7" s="9" t="n">
        <v>2013</v>
      </c>
      <c r="K7" s="9" t="n">
        <v>2014</v>
      </c>
      <c r="L7" s="9" t="n">
        <v>2015</v>
      </c>
      <c r="M7" s="9" t="n">
        <v>2016</v>
      </c>
      <c r="N7" s="9" t="n">
        <v>2017</v>
      </c>
      <c r="O7" s="9" t="n">
        <v>2018</v>
      </c>
      <c r="P7" s="9" t="n">
        <v>2019</v>
      </c>
      <c r="Q7" s="9" t="n">
        <v>2020</v>
      </c>
      <c r="R7" s="9" t="n">
        <v>2021</v>
      </c>
      <c r="S7" s="9" t="n">
        <v>2022</v>
      </c>
      <c r="T7" s="9" t="n">
        <v>2023</v>
      </c>
      <c r="U7" s="9" t="n">
        <v>2024</v>
      </c>
      <c r="V7" s="9" t="n">
        <v>2025</v>
      </c>
    </row>
    <row r="8" customFormat="false" ht="15" hidden="false" customHeight="false" outlineLevel="0" collapsed="false">
      <c r="B8" s="0" t="s">
        <v>686</v>
      </c>
      <c r="C8" s="89" t="n">
        <f aca="false">IFERROR(Model!C11+0,0)</f>
        <v>0</v>
      </c>
      <c r="D8" s="89" t="n">
        <f aca="false">IFERROR(Model!D11+0,0)</f>
        <v>0</v>
      </c>
      <c r="E8" s="89" t="n">
        <f aca="false">IFERROR(Model!E11+0,0)</f>
        <v>0</v>
      </c>
      <c r="F8" s="89" t="n">
        <f aca="false">IFERROR(Model!F11+0,0)</f>
        <v>0</v>
      </c>
      <c r="G8" s="89" t="n">
        <f aca="false">IFERROR(Model!G11+0,0)</f>
        <v>0</v>
      </c>
      <c r="H8" s="89" t="n">
        <f aca="false">IFERROR(Model!H11+0,0)</f>
        <v>0</v>
      </c>
      <c r="I8" s="89" t="n">
        <f aca="false">IFERROR(Model!I11+0,0)</f>
        <v>0</v>
      </c>
      <c r="J8" s="89" t="n">
        <f aca="false">IFERROR(Model!N11+0,0)</f>
        <v>0.090714895553675</v>
      </c>
      <c r="K8" s="89" t="n">
        <f aca="false">IFERROR(Model!S11+0,0)</f>
        <v>0.0331423472390026</v>
      </c>
      <c r="L8" s="89" t="n">
        <f aca="false">IFERROR(Model!X11+0,0)</f>
        <v>0.118319532517257</v>
      </c>
      <c r="M8" s="89" t="n">
        <f aca="false">IFERROR(Model!AC11+0,0)</f>
        <v>0.0601432445497038</v>
      </c>
      <c r="N8" s="89" t="n">
        <f aca="false">IFERROR(Model!AH11+0,0)</f>
        <v>0.0492431856204508</v>
      </c>
      <c r="O8" s="89" t="n">
        <f aca="false">IFERROR(Model!AM11+0,0)</f>
        <v>-0.00189821684438496</v>
      </c>
      <c r="P8" s="89" t="n">
        <f aca="false">IFERROR(Model!AR11+0,0)</f>
        <v>-0.00211171127674778</v>
      </c>
      <c r="Q8" s="89" t="n">
        <f aca="false">IFERROR(Model!AW11+0,0)</f>
        <v>0.029673196241156</v>
      </c>
      <c r="R8" s="89" t="n">
        <f aca="false">IFERROR(Model!BB11+0,0)</f>
        <v>0.045497736469818</v>
      </c>
      <c r="S8" s="89" t="n">
        <f aca="false">IFERROR(Model!BG11+0,0)</f>
        <v>-0.00241185302919623</v>
      </c>
      <c r="T8" s="89" t="n">
        <f aca="false">IFERROR(Model!BL11+0,0)</f>
        <v>-0.02875</v>
      </c>
      <c r="U8" s="89" t="n">
        <f aca="false">IFERROR(Model!BQ11+0,0)</f>
        <v>0.00133150579954209</v>
      </c>
      <c r="V8" s="89" t="n">
        <f aca="false">IFERROR(Model!BV11+0,0)</f>
        <v>0.01</v>
      </c>
    </row>
    <row r="9" customFormat="false" ht="15" hidden="false" customHeight="false" outlineLevel="0" collapsed="false">
      <c r="B9" s="0" t="s">
        <v>687</v>
      </c>
      <c r="C9" s="89" t="n">
        <f aca="false">IFERROR(Model!C12+0,0)</f>
        <v>0</v>
      </c>
      <c r="D9" s="89" t="n">
        <f aca="false">IFERROR(Model!D12+0,0)</f>
        <v>0</v>
      </c>
      <c r="E9" s="89" t="n">
        <f aca="false">IFERROR(Model!E12+0,0)</f>
        <v>0</v>
      </c>
      <c r="F9" s="89" t="n">
        <f aca="false">IFERROR(Model!F12+0,0)</f>
        <v>0</v>
      </c>
      <c r="G9" s="89" t="n">
        <f aca="false">IFERROR(Model!G12+0,0)</f>
        <v>0</v>
      </c>
      <c r="H9" s="89" t="n">
        <f aca="false">IFERROR(Model!H12+0,0)</f>
        <v>0</v>
      </c>
      <c r="I9" s="89" t="n">
        <f aca="false">IFERROR(Model!I12+0,0)</f>
        <v>0</v>
      </c>
      <c r="J9" s="89" t="n">
        <f aca="false">IFERROR(Model!N12+0,0)</f>
        <v>0</v>
      </c>
      <c r="K9" s="89" t="n">
        <f aca="false">IFERROR(Model!S12+0,0)</f>
        <v>0</v>
      </c>
      <c r="L9" s="89" t="n">
        <f aca="false">IFERROR(Model!X12+0,0)</f>
        <v>0.0355292550686972</v>
      </c>
      <c r="M9" s="89" t="n">
        <f aca="false">IFERROR(Model!AC12+0,0)</f>
        <v>-0.0811803786929028</v>
      </c>
      <c r="N9" s="89" t="n">
        <f aca="false">IFERROR(Model!AH12+0,0)</f>
        <v>-0.0464888135901055</v>
      </c>
      <c r="O9" s="89" t="n">
        <f aca="false">IFERROR(Model!AM12+0,0)</f>
        <v>0.17496669887325</v>
      </c>
      <c r="P9" s="89" t="n">
        <f aca="false">IFERROR(Model!AR12+0,0)</f>
        <v>0.00708670426174129</v>
      </c>
      <c r="Q9" s="89" t="n">
        <f aca="false">IFERROR(Model!AW12+0,0)</f>
        <v>-0.180262170747011</v>
      </c>
      <c r="R9" s="89" t="n">
        <f aca="false">IFERROR(Model!BB12+0,0)</f>
        <v>0.130405277391699</v>
      </c>
      <c r="S9" s="89" t="n">
        <f aca="false">IFERROR(Model!BG12+0,0)</f>
        <v>0.228149837945935</v>
      </c>
      <c r="T9" s="89" t="n">
        <f aca="false">IFERROR(Model!BL12+0,0)</f>
        <v>-0.252956374899067</v>
      </c>
      <c r="U9" s="89" t="n">
        <f aca="false">IFERROR(Model!BQ12+0,0)</f>
        <v>0.0283329873109144</v>
      </c>
      <c r="V9" s="89" t="n">
        <f aca="false">IFERROR(Model!BV12+0,0)</f>
        <v>0.0293930053804372</v>
      </c>
    </row>
    <row r="11" customFormat="false" ht="15" hidden="false" customHeight="false" outlineLevel="0" collapsed="false">
      <c r="C11" s="9" t="n">
        <f aca="false">C7</f>
        <v>2006</v>
      </c>
      <c r="D11" s="9" t="n">
        <f aca="false">D7</f>
        <v>2007</v>
      </c>
      <c r="E11" s="9" t="n">
        <f aca="false">E7</f>
        <v>2008</v>
      </c>
      <c r="F11" s="9" t="n">
        <f aca="false">F7</f>
        <v>2009</v>
      </c>
      <c r="G11" s="9" t="n">
        <f aca="false">G7</f>
        <v>2010</v>
      </c>
      <c r="H11" s="9" t="n">
        <f aca="false">H7</f>
        <v>2011</v>
      </c>
      <c r="I11" s="9" t="n">
        <f aca="false">I7</f>
        <v>2012</v>
      </c>
      <c r="J11" s="9" t="n">
        <f aca="false">J7</f>
        <v>2013</v>
      </c>
      <c r="K11" s="9" t="n">
        <f aca="false">K7</f>
        <v>2014</v>
      </c>
      <c r="L11" s="9" t="n">
        <f aca="false">L7</f>
        <v>2015</v>
      </c>
      <c r="M11" s="9" t="n">
        <f aca="false">M7</f>
        <v>2016</v>
      </c>
      <c r="N11" s="9" t="n">
        <f aca="false">N7</f>
        <v>2017</v>
      </c>
      <c r="O11" s="9" t="n">
        <f aca="false">O7</f>
        <v>2018</v>
      </c>
      <c r="P11" s="9" t="n">
        <f aca="false">P7</f>
        <v>2019</v>
      </c>
      <c r="Q11" s="9" t="n">
        <f aca="false">Q7</f>
        <v>2020</v>
      </c>
      <c r="R11" s="9" t="n">
        <f aca="false">R7</f>
        <v>2021</v>
      </c>
      <c r="S11" s="9" t="n">
        <f aca="false">S7</f>
        <v>2022</v>
      </c>
      <c r="T11" s="9" t="n">
        <f aca="false">T7</f>
        <v>2023</v>
      </c>
      <c r="U11" s="9" t="n">
        <f aca="false">U7</f>
        <v>2024</v>
      </c>
      <c r="V11" s="9" t="n">
        <f aca="false">V7</f>
        <v>2025</v>
      </c>
    </row>
    <row r="12" customFormat="false" ht="15" hidden="false" customHeight="false" outlineLevel="0" collapsed="false">
      <c r="B12" s="0" t="s">
        <v>688</v>
      </c>
      <c r="C12" s="132" t="n">
        <f aca="false">Model!C181</f>
        <v>417.845000000001</v>
      </c>
      <c r="D12" s="132" t="n">
        <f aca="false">Model!D181</f>
        <v>509.683999999999</v>
      </c>
      <c r="E12" s="132" t="n">
        <f aca="false">Model!E181</f>
        <v>571.586000000001</v>
      </c>
      <c r="F12" s="132" t="n">
        <f aca="false">Model!F181</f>
        <v>584.811</v>
      </c>
      <c r="G12" s="132" t="n">
        <f aca="false">Model!G181</f>
        <v>622.860000000001</v>
      </c>
      <c r="H12" s="132" t="n">
        <f aca="false">Model!H181</f>
        <v>692.73</v>
      </c>
      <c r="I12" s="132" t="n">
        <f aca="false">Model!I181</f>
        <v>675.319999999998</v>
      </c>
      <c r="J12" s="132" t="n">
        <f aca="false">Model!N181</f>
        <v>682.649999999999</v>
      </c>
      <c r="K12" s="132" t="n">
        <f aca="false">Model!S181</f>
        <v>748.417999999998</v>
      </c>
      <c r="L12" s="132" t="n">
        <f aca="false">Model!X181</f>
        <v>858.31</v>
      </c>
      <c r="M12" s="132" t="n">
        <f aca="false">Model!AC181</f>
        <v>837.531000000002</v>
      </c>
      <c r="N12" s="132" t="n">
        <f aca="false">Model!AH181</f>
        <v>775.118999999997</v>
      </c>
      <c r="O12" s="132" t="n">
        <f aca="false">Model!AM181</f>
        <v>912.082999999999</v>
      </c>
      <c r="P12" s="132" t="n">
        <f aca="false">Model!AR181</f>
        <v>784.176</v>
      </c>
      <c r="Q12" s="132" t="n">
        <f aca="false">Model!AW181</f>
        <v>673.268</v>
      </c>
      <c r="R12" s="132" t="n">
        <f aca="false">Model!BB181</f>
        <v>1082.108</v>
      </c>
      <c r="S12" s="132" t="n">
        <f aca="false">Model!BG181</f>
        <v>1278.17</v>
      </c>
      <c r="T12" s="132" t="n">
        <f aca="false">Model!BL181</f>
        <v>552.648</v>
      </c>
      <c r="U12" s="132" t="n">
        <f aca="false">Model!BQ181</f>
        <v>759.348999999999</v>
      </c>
      <c r="V12" s="132" t="n">
        <f aca="false">Model!BV181</f>
        <v>833.733</v>
      </c>
    </row>
    <row r="13" customFormat="false" ht="15" hidden="false" customHeight="false" outlineLevel="0" collapsed="false">
      <c r="B13" s="0" t="s">
        <v>296</v>
      </c>
      <c r="C13" s="132" t="n">
        <f aca="false">Model!C139</f>
        <v>417.845000000001</v>
      </c>
      <c r="D13" s="132" t="n">
        <f aca="false">Model!D139</f>
        <v>509.683999999999</v>
      </c>
      <c r="E13" s="132" t="n">
        <f aca="false">Model!E139</f>
        <v>571.586000000001</v>
      </c>
      <c r="F13" s="132" t="n">
        <f aca="false">Model!F139</f>
        <v>584.811</v>
      </c>
      <c r="G13" s="132" t="n">
        <f aca="false">Model!G139</f>
        <v>622.860000000001</v>
      </c>
      <c r="H13" s="132" t="n">
        <f aca="false">Model!H139</f>
        <v>692.73</v>
      </c>
      <c r="I13" s="132" t="n">
        <f aca="false">Model!I139</f>
        <v>675.319999999998</v>
      </c>
      <c r="J13" s="132" t="n">
        <f aca="false">Model!N139</f>
        <v>682.649999999999</v>
      </c>
      <c r="K13" s="132" t="n">
        <f aca="false">Model!S139</f>
        <v>748.417999999998</v>
      </c>
      <c r="L13" s="132" t="n">
        <f aca="false">Model!X139</f>
        <v>858.31</v>
      </c>
      <c r="M13" s="132" t="n">
        <f aca="false">Model!AC139</f>
        <v>837.531000000002</v>
      </c>
      <c r="N13" s="132" t="n">
        <f aca="false">Model!AH139</f>
        <v>775.118999999997</v>
      </c>
      <c r="O13" s="132" t="n">
        <f aca="false">Model!AM139</f>
        <v>912.082999999999</v>
      </c>
      <c r="P13" s="132" t="n">
        <f aca="false">Model!AR139</f>
        <v>789.975999999999</v>
      </c>
      <c r="Q13" s="132" t="n">
        <f aca="false">Model!AW139</f>
        <v>673.268</v>
      </c>
      <c r="R13" s="132" t="n">
        <f aca="false">Model!BB139</f>
        <v>1082.108</v>
      </c>
      <c r="S13" s="132" t="n">
        <f aca="false">Model!BG139</f>
        <v>1266.782</v>
      </c>
      <c r="T13" s="132" t="n">
        <f aca="false">Model!BL139</f>
        <v>514.607</v>
      </c>
      <c r="U13" s="132" t="n">
        <f aca="false">Model!BQ139</f>
        <v>669.140999999999</v>
      </c>
      <c r="V13" s="132" t="n">
        <f aca="false">Model!BV139</f>
        <v>794.961</v>
      </c>
    </row>
    <row r="14" customFormat="false" ht="15" hidden="false" customHeight="false" outlineLevel="0" collapsed="false">
      <c r="B14" s="0" t="s">
        <v>689</v>
      </c>
      <c r="C14" s="89" t="n">
        <f aca="false">Model!C182</f>
        <v>0.385984311030314</v>
      </c>
      <c r="D14" s="89" t="n">
        <f aca="false">Model!D182</f>
        <v>0.409786955549945</v>
      </c>
      <c r="E14" s="89" t="n">
        <f aca="false">Model!E182</f>
        <v>0.41571009547166</v>
      </c>
      <c r="F14" s="89" t="n">
        <f aca="false">Model!F182</f>
        <v>0.423175361931866</v>
      </c>
      <c r="G14" s="89" t="n">
        <f aca="false">Model!G182</f>
        <v>0.424297911821567</v>
      </c>
      <c r="H14" s="89" t="n">
        <f aca="false">Model!H182</f>
        <v>0.424295841505079</v>
      </c>
      <c r="I14" s="89" t="n">
        <f aca="false">Model!I182</f>
        <v>0.393183163898319</v>
      </c>
      <c r="J14" s="89" t="n">
        <f aca="false">Model!N182</f>
        <v>0.371794487757986</v>
      </c>
      <c r="K14" s="89" t="n">
        <f aca="false">Model!S182</f>
        <v>0.372782733262537</v>
      </c>
      <c r="L14" s="89" t="n">
        <f aca="false">Model!X182</f>
        <v>0.378363485682042</v>
      </c>
      <c r="M14" s="89" t="n">
        <f aca="false">Model!AC182</f>
        <v>0.36773686207151</v>
      </c>
      <c r="N14" s="89" t="n">
        <f aca="false">Model!AH182</f>
        <v>0.32732374738709</v>
      </c>
      <c r="O14" s="89" t="n">
        <f aca="false">Model!AM182</f>
        <v>0.337154812798148</v>
      </c>
      <c r="P14" s="89" t="n">
        <f aca="false">Model!AR182</f>
        <v>0.303202632321725</v>
      </c>
      <c r="Q14" s="89" t="n">
        <f aca="false">Model!AW182</f>
        <v>0.279102931404075</v>
      </c>
      <c r="R14" s="89" t="n">
        <f aca="false">Model!BB182</f>
        <v>0.343298682238985</v>
      </c>
      <c r="S14" s="89" t="n">
        <f aca="false">Model!BG182</f>
        <v>0.355721413111572</v>
      </c>
      <c r="T14" s="89" t="n">
        <f aca="false">Model!BL182</f>
        <v>0.212180873283043</v>
      </c>
      <c r="U14" s="89" t="n">
        <f aca="false">Model!BQ182</f>
        <v>0.274627542573021</v>
      </c>
      <c r="V14" s="89" t="n">
        <f aca="false">Model!BV182</f>
        <v>0.305462719049172</v>
      </c>
    </row>
    <row r="15" customFormat="false" ht="15" hidden="false" customHeight="false" outlineLevel="0" collapsed="false">
      <c r="B15" s="0" t="s">
        <v>690</v>
      </c>
      <c r="C15" s="89" t="n">
        <f aca="false">Model!C231</f>
        <v>0.385984311030314</v>
      </c>
      <c r="D15" s="89" t="n">
        <f aca="false">Model!D231</f>
        <v>0.409786955549945</v>
      </c>
      <c r="E15" s="89" t="n">
        <f aca="false">Model!E231</f>
        <v>0.41571009547166</v>
      </c>
      <c r="F15" s="89" t="n">
        <f aca="false">Model!F231</f>
        <v>0.423175361931866</v>
      </c>
      <c r="G15" s="89" t="n">
        <f aca="false">Model!G231</f>
        <v>0.424297911821567</v>
      </c>
      <c r="H15" s="89" t="n">
        <f aca="false">Model!H231</f>
        <v>0.424295841505079</v>
      </c>
      <c r="I15" s="89" t="n">
        <f aca="false">Model!I231</f>
        <v>0.393183163898319</v>
      </c>
      <c r="J15" s="89" t="n">
        <f aca="false">Model!N231</f>
        <v>0.371794487757986</v>
      </c>
      <c r="K15" s="89" t="n">
        <f aca="false">Model!S231</f>
        <v>0.372782733262537</v>
      </c>
      <c r="L15" s="89" t="n">
        <f aca="false">Model!X231</f>
        <v>0.378363485682042</v>
      </c>
      <c r="M15" s="89" t="n">
        <f aca="false">Model!AC231</f>
        <v>0.36773686207151</v>
      </c>
      <c r="N15" s="89" t="n">
        <f aca="false">Model!AH231</f>
        <v>0.32732374738709</v>
      </c>
      <c r="O15" s="89" t="n">
        <f aca="false">Model!AM231</f>
        <v>0.337154812798148</v>
      </c>
      <c r="P15" s="89" t="n">
        <f aca="false">Model!AR231</f>
        <v>0.305445209584311</v>
      </c>
      <c r="Q15" s="89" t="n">
        <f aca="false">Model!AW231</f>
        <v>0.279102931404075</v>
      </c>
      <c r="R15" s="89" t="n">
        <f aca="false">Model!BB231</f>
        <v>0.343298682238985</v>
      </c>
      <c r="S15" s="89" t="n">
        <f aca="false">Model!BG231</f>
        <v>0.352552072998352</v>
      </c>
      <c r="T15" s="89" t="n">
        <f aca="false">Model!BL231</f>
        <v>0.19757560446716</v>
      </c>
      <c r="U15" s="89" t="n">
        <f aca="false">Model!BQ231</f>
        <v>0.242002752969786</v>
      </c>
      <c r="V15" s="89" t="n">
        <f aca="false">Model!BV231</f>
        <v>0.291257451244042</v>
      </c>
    </row>
    <row r="17" customFormat="false" ht="15" hidden="false" customHeight="false" outlineLevel="0" collapsed="false">
      <c r="C17" s="9" t="n">
        <f aca="false">C7</f>
        <v>2006</v>
      </c>
      <c r="D17" s="9" t="n">
        <f aca="false">D7</f>
        <v>2007</v>
      </c>
      <c r="E17" s="9" t="n">
        <f aca="false">E7</f>
        <v>2008</v>
      </c>
      <c r="F17" s="9" t="n">
        <f aca="false">F7</f>
        <v>2009</v>
      </c>
      <c r="G17" s="9" t="n">
        <f aca="false">G7</f>
        <v>2010</v>
      </c>
      <c r="H17" s="9" t="n">
        <f aca="false">H7</f>
        <v>2011</v>
      </c>
      <c r="I17" s="9" t="n">
        <f aca="false">I7</f>
        <v>2012</v>
      </c>
      <c r="J17" s="9" t="n">
        <f aca="false">J7</f>
        <v>2013</v>
      </c>
      <c r="K17" s="9" t="n">
        <f aca="false">K7</f>
        <v>2014</v>
      </c>
      <c r="L17" s="9" t="n">
        <f aca="false">L7</f>
        <v>2015</v>
      </c>
      <c r="M17" s="9" t="n">
        <f aca="false">M7</f>
        <v>2016</v>
      </c>
      <c r="N17" s="9" t="n">
        <f aca="false">N7</f>
        <v>2017</v>
      </c>
      <c r="O17" s="9" t="n">
        <f aca="false">O7</f>
        <v>2018</v>
      </c>
      <c r="P17" s="9" t="n">
        <f aca="false">P7</f>
        <v>2019</v>
      </c>
      <c r="Q17" s="9" t="n">
        <f aca="false">Q7</f>
        <v>2020</v>
      </c>
      <c r="R17" s="9" t="n">
        <f aca="false">R7</f>
        <v>2021</v>
      </c>
      <c r="S17" s="9" t="n">
        <f aca="false">S7</f>
        <v>2022</v>
      </c>
      <c r="T17" s="9" t="n">
        <f aca="false">T7</f>
        <v>2023</v>
      </c>
      <c r="U17" s="9" t="n">
        <f aca="false">U7</f>
        <v>2024</v>
      </c>
      <c r="V17" s="9" t="n">
        <f aca="false">V7</f>
        <v>2025</v>
      </c>
    </row>
    <row r="18" customFormat="false" ht="15" hidden="false" customHeight="false" outlineLevel="0" collapsed="false">
      <c r="B18" s="0" t="s">
        <v>564</v>
      </c>
      <c r="C18" s="89" t="n">
        <f aca="false">IFERROR(Model!C372+0,NA())</f>
        <v>0.551846235417976</v>
      </c>
      <c r="D18" s="89" t="n">
        <f aca="false">IFERROR(Model!D372+0,NA())</f>
        <v>0.537332716652674</v>
      </c>
      <c r="E18" s="89" t="n">
        <f aca="false">IFERROR(Model!E372+0,NA())</f>
        <v>0.582049532501654</v>
      </c>
      <c r="F18" s="89" t="n">
        <f aca="false">IFERROR(Model!F372+0,NA())</f>
        <v>0.517724879077742</v>
      </c>
      <c r="G18" s="89" t="n">
        <f aca="false">IFERROR(Model!G372+0,NA())</f>
        <v>0.485141753847719</v>
      </c>
      <c r="H18" s="89" t="n">
        <f aca="false">IFERROR(Model!H372+0,NA())</f>
        <v>0.491978870013026</v>
      </c>
      <c r="I18" s="89" t="n">
        <f aca="false">IFERROR(Model!I372+0,NA())</f>
        <v>0.2702757963445</v>
      </c>
      <c r="J18" s="89" t="n">
        <f aca="false">IFERROR(Model!N372+0,NA())</f>
        <v>0.255126311080919</v>
      </c>
      <c r="K18" s="89" t="n">
        <f aca="false">IFERROR(Model!S372+0,NA())</f>
        <v>0.229968650326492</v>
      </c>
      <c r="L18" s="89" t="n">
        <f aca="false">IFERROR(Model!X372+0,NA())</f>
        <v>0.276992741272064</v>
      </c>
      <c r="M18" s="89" t="n">
        <f aca="false">IFERROR(Model!AC372+0,NA())</f>
        <v>0.23534039648587</v>
      </c>
      <c r="N18" s="89" t="n">
        <f aca="false">IFERROR(Model!AH372+0,NA())</f>
        <v>0.210113585728877</v>
      </c>
      <c r="O18" s="89" t="n">
        <f aca="false">IFERROR(Model!AM372+0,NA())</f>
        <v>0.268655942060832</v>
      </c>
      <c r="P18" s="89" t="n">
        <f aca="false">IFERROR(Model!AR372+0,NA())</f>
        <v>0.247966420914881</v>
      </c>
      <c r="Q18" s="89" t="n">
        <f aca="false">IFERROR(Model!AW372+0,NA())</f>
        <v>0.198809878096639</v>
      </c>
      <c r="R18" s="89" t="n">
        <f aca="false">IFERROR(Model!BB372+0,NA())</f>
        <v>0.2426290529529</v>
      </c>
      <c r="S18" s="89" t="n">
        <f aca="false">IFERROR(Model!BG372+0,NA())</f>
        <v>0.331332804541066</v>
      </c>
      <c r="T18" s="89" t="n">
        <f aca="false">IFERROR(Model!BL372+0,NA())</f>
        <v>0.153879695054087</v>
      </c>
      <c r="U18" s="89" t="n">
        <f aca="false">IFERROR(Model!BQ372+0,NA())</f>
        <v>0.206683310631581</v>
      </c>
      <c r="V18" s="89" t="n">
        <f aca="false">IFERROR(Model!BV372+0,NA())</f>
        <v>0.244215404413891</v>
      </c>
    </row>
    <row r="19" customFormat="false" ht="15" hidden="false" customHeight="false" outlineLevel="0" collapsed="false">
      <c r="B19" s="0" t="s">
        <v>565</v>
      </c>
      <c r="C19" s="89" t="n">
        <f aca="false">IFERROR(Model!C383+0,NA())</f>
        <v>0.39855674425339</v>
      </c>
      <c r="D19" s="89" t="n">
        <f aca="false">IFERROR(Model!D383+0,NA())</f>
        <v>0.430570009837961</v>
      </c>
      <c r="E19" s="89" t="n">
        <f aca="false">IFERROR(Model!E383+0,NA())</f>
        <v>0.470569761613475</v>
      </c>
      <c r="F19" s="89" t="n">
        <f aca="false">IFERROR(Model!F383+0,NA())</f>
        <v>0.518562158713276</v>
      </c>
      <c r="G19" s="89" t="n">
        <f aca="false">IFERROR(Model!G383+0,NA())</f>
        <v>0.468476174845047</v>
      </c>
      <c r="H19" s="89" t="n">
        <f aca="false">IFERROR(Model!H383+0,NA())</f>
        <v>0.499437273359101</v>
      </c>
      <c r="I19" s="89" t="n">
        <f aca="false">IFERROR(Model!I383+0,NA())</f>
        <v>0.495971481282513</v>
      </c>
      <c r="J19" s="89" t="n">
        <f aca="false">IFERROR(Model!N383+0,NA())</f>
        <v>0.453276944183693</v>
      </c>
      <c r="K19" s="89" t="n">
        <f aca="false">IFERROR(Model!S383+0,NA())</f>
        <v>0.361475154621945</v>
      </c>
      <c r="L19" s="89" t="n">
        <f aca="false">IFERROR(Model!X383+0,NA())</f>
        <v>0.576081278821271</v>
      </c>
      <c r="M19" s="89" t="n">
        <f aca="false">IFERROR(Model!AC383+0,NA())</f>
        <v>0.466432864167179</v>
      </c>
      <c r="N19" s="89" t="n">
        <f aca="false">IFERROR(Model!AH383+0,NA())</f>
        <v>0.365757909440349</v>
      </c>
      <c r="O19" s="89" t="n">
        <f aca="false">IFERROR(Model!AM383+0,NA())</f>
        <v>0.443332158907821</v>
      </c>
      <c r="P19" s="89" t="n">
        <f aca="false">IFERROR(Model!AR383+0,NA())</f>
        <v>0.349063990753355</v>
      </c>
      <c r="Q19" s="89" t="n">
        <f aca="false">IFERROR(Model!AW383+0,NA())</f>
        <v>0.33900057415544</v>
      </c>
      <c r="R19" s="89" t="n">
        <f aca="false">IFERROR(Model!BB383+0,NA())</f>
        <v>0.36696931750789</v>
      </c>
      <c r="S19" s="89" t="n">
        <f aca="false">IFERROR(Model!BG383+0,NA())</f>
        <v>0.556448086720179</v>
      </c>
      <c r="T19" s="89" t="n">
        <f aca="false">IFERROR(Model!BL383+0,NA())</f>
        <v>0.295244855364989</v>
      </c>
      <c r="U19" s="89" t="n">
        <f aca="false">IFERROR(Model!BQ383+0,NA())</f>
        <v>0.390758005023241</v>
      </c>
      <c r="V19" s="89" t="n">
        <f aca="false">IFERROR(Model!BV383+0,NA())</f>
        <v>0.497607679868528</v>
      </c>
    </row>
    <row r="20" customFormat="false" ht="15" hidden="false" customHeight="false" outlineLevel="0" collapsed="false">
      <c r="B20" s="0" t="s">
        <v>689</v>
      </c>
      <c r="C20" s="89" t="n">
        <f aca="false">IFERROR(Model!C182+0,NA())</f>
        <v>0.385984311030314</v>
      </c>
      <c r="D20" s="89" t="n">
        <f aca="false">IFERROR(Model!D182+0,NA())</f>
        <v>0.409786955549945</v>
      </c>
      <c r="E20" s="89" t="n">
        <f aca="false">IFERROR(Model!E182+0,NA())</f>
        <v>0.41571009547166</v>
      </c>
      <c r="F20" s="89" t="n">
        <f aca="false">IFERROR(Model!F182+0,NA())</f>
        <v>0.423175361931866</v>
      </c>
      <c r="G20" s="89" t="n">
        <f aca="false">IFERROR(Model!G182+0,NA())</f>
        <v>0.424297911821567</v>
      </c>
      <c r="H20" s="89" t="n">
        <f aca="false">IFERROR(Model!H182+0,NA())</f>
        <v>0.424295841505079</v>
      </c>
      <c r="I20" s="89" t="n">
        <f aca="false">IFERROR(Model!I182+0,NA())</f>
        <v>0.393183163898319</v>
      </c>
      <c r="J20" s="89" t="n">
        <f aca="false">IFERROR(Model!N182+0,NA())</f>
        <v>0.371794487757986</v>
      </c>
      <c r="K20" s="89" t="n">
        <f aca="false">IFERROR(Model!S182+0,NA())</f>
        <v>0.372782733262537</v>
      </c>
      <c r="L20" s="89" t="n">
        <f aca="false">IFERROR(Model!X182+0,NA())</f>
        <v>0.378363485682042</v>
      </c>
      <c r="M20" s="89" t="n">
        <f aca="false">IFERROR(Model!AC182+0,NA())</f>
        <v>0.36773686207151</v>
      </c>
      <c r="N20" s="89" t="n">
        <f aca="false">IFERROR(Model!AH182+0,NA())</f>
        <v>0.32732374738709</v>
      </c>
      <c r="O20" s="89" t="n">
        <f aca="false">IFERROR(Model!AM182+0,NA())</f>
        <v>0.337154812798148</v>
      </c>
      <c r="P20" s="89" t="n">
        <f aca="false">IFERROR(Model!AR182+0,NA())</f>
        <v>0.303202632321725</v>
      </c>
      <c r="Q20" s="89" t="n">
        <f aca="false">IFERROR(Model!AW182+0,NA())</f>
        <v>0.279102931404075</v>
      </c>
      <c r="R20" s="89" t="n">
        <f aca="false">IFERROR(Model!BB182+0,NA())</f>
        <v>0.343298682238985</v>
      </c>
      <c r="S20" s="89" t="n">
        <f aca="false">IFERROR(Model!BG182+0,NA())</f>
        <v>0.355721413111572</v>
      </c>
      <c r="T20" s="89" t="n">
        <f aca="false">IFERROR(Model!BL182+0,NA())</f>
        <v>0.212180873283043</v>
      </c>
      <c r="U20" s="89" t="n">
        <f aca="false">IFERROR(Model!BQ182+0,NA())</f>
        <v>0.274627542573021</v>
      </c>
      <c r="V20" s="89" t="n">
        <f aca="false">IFERROR(Model!BV182+0,NA())</f>
        <v>0.305462719049172</v>
      </c>
    </row>
    <row r="21" customFormat="false" ht="15" hidden="false" customHeight="false" outlineLevel="0" collapsed="false">
      <c r="B21" s="0" t="s">
        <v>691</v>
      </c>
      <c r="C21" s="89" t="n">
        <f aca="false">IFERROR(Model!C266+0,NA())</f>
        <v>0.278819151923617</v>
      </c>
      <c r="D21" s="89" t="n">
        <f aca="false">IFERROR(Model!D266+0,NA())</f>
        <v>0.212832997528498</v>
      </c>
      <c r="E21" s="89" t="n">
        <f aca="false">IFERROR(Model!E266+0,NA())</f>
        <v>0.308249021973682</v>
      </c>
      <c r="F21" s="89" t="n">
        <f aca="false">IFERROR(Model!F266+0,NA())</f>
        <v>0.24465631758974</v>
      </c>
      <c r="G21" s="89" t="n">
        <f aca="false">IFERROR(Model!G266+0,NA())</f>
        <v>0.21533156491446</v>
      </c>
      <c r="H21" s="89" t="n">
        <f aca="false">IFERROR(Model!H266+0,NA())</f>
        <v>0.230854226665964</v>
      </c>
      <c r="I21" s="89" t="n">
        <f aca="false">IFERROR(Model!I266+0,NA())</f>
        <v>0.238526384062144</v>
      </c>
      <c r="J21" s="89" t="n">
        <f aca="false">IFERROR(Model!N266+0,NA())</f>
        <v>0.163156590481429</v>
      </c>
      <c r="K21" s="89" t="n">
        <f aca="false">IFERROR(Model!S266+0,NA())</f>
        <v>0.241039781794853</v>
      </c>
      <c r="L21" s="89" t="n">
        <f aca="false">IFERROR(Model!X266+0,NA())</f>
        <v>0.296980356890958</v>
      </c>
      <c r="M21" s="89" t="n">
        <f aca="false">IFERROR(Model!AC266+0,NA())</f>
        <v>0.192301038669996</v>
      </c>
      <c r="N21" s="89" t="n">
        <f aca="false">IFERROR(Model!AH266+0,NA())</f>
        <v>0.136211650936425</v>
      </c>
      <c r="O21" s="89" t="n">
        <f aca="false">IFERROR(Model!AM266+0,NA())</f>
        <v>0.269486754385479</v>
      </c>
      <c r="P21" s="89" t="n">
        <f aca="false">IFERROR(Model!AR266+0,NA())</f>
        <v>0.295770421952512</v>
      </c>
      <c r="Q21" s="89" t="n">
        <f aca="false">IFERROR(Model!AW266+0,NA())</f>
        <v>0.184549987832971</v>
      </c>
      <c r="R21" s="89" t="n">
        <f aca="false">IFERROR(Model!BB266+0,NA())</f>
        <v>0.00762446745634403</v>
      </c>
      <c r="S21" s="89" t="n">
        <f aca="false">IFERROR(Model!BG266+0,NA())</f>
        <v>0.423489853129974</v>
      </c>
      <c r="T21" s="89" t="n">
        <f aca="false">IFERROR(Model!BL266+0,NA())</f>
        <v>0.248726487824655</v>
      </c>
      <c r="U21" s="89" t="n">
        <f aca="false">IFERROR(Model!BQ266+0,NA())</f>
        <v>0.157249113386044</v>
      </c>
      <c r="V21" s="89" t="n">
        <f aca="false">IFERROR(Model!BV266+0,NA())</f>
        <v>0.30921554475143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U179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43"/>
    <col collapsed="false" customWidth="true" hidden="false" outlineLevel="0" max="2" min="2" style="0" width="72"/>
    <col collapsed="false" customWidth="true" hidden="false" outlineLevel="0" max="13" min="3" style="0" width="12.5"/>
    <col collapsed="false" customWidth="true" hidden="false" outlineLevel="0" max="14" min="14" style="0" width="2"/>
    <col collapsed="false" customWidth="true" hidden="false" outlineLevel="0" max="15" min="15" style="0" width="95"/>
    <col collapsed="false" customWidth="true" hidden="false" outlineLevel="0" max="16" min="16" style="0" width="2"/>
    <col collapsed="false" customWidth="true" hidden="false" outlineLevel="0" max="17" min="17" style="0" width="52"/>
    <col collapsed="false" customWidth="true" hidden="false" outlineLevel="0" max="20" min="18" style="0" width="10"/>
    <col collapsed="false" customWidth="true" hidden="false" outlineLevel="0" max="21" min="21" style="0" width="60"/>
  </cols>
  <sheetData>
    <row r="1" customFormat="false" ht="15" hidden="false" customHeight="false" outlineLevel="0" collapsed="false">
      <c r="B1" s="133" t="s">
        <v>692</v>
      </c>
    </row>
    <row r="2" customFormat="false" ht="19.7" hidden="false" customHeight="false" outlineLevel="0" collapsed="false">
      <c r="B2" s="2" t="s">
        <v>693</v>
      </c>
    </row>
    <row r="3" customFormat="false" ht="15" hidden="false" customHeight="false" outlineLevel="0" collapsed="false">
      <c r="B3" s="4" t="s">
        <v>694</v>
      </c>
    </row>
    <row r="4" customFormat="false" ht="15" hidden="false" customHeight="false" outlineLevel="0" collapsed="false">
      <c r="B4" s="5" t="s">
        <v>695</v>
      </c>
    </row>
    <row r="5" customFormat="false" ht="15" hidden="false" customHeight="false" outlineLevel="0" collapsed="false">
      <c r="I5" s="134" t="s">
        <v>696</v>
      </c>
      <c r="J5" s="6"/>
      <c r="K5" s="6"/>
      <c r="L5" s="6"/>
      <c r="M5" s="6"/>
    </row>
    <row r="6" customFormat="false" ht="15" hidden="false" customHeight="false" outlineLevel="0" collapsed="false">
      <c r="B6" s="8" t="s">
        <v>7</v>
      </c>
      <c r="C6" s="9" t="s">
        <v>697</v>
      </c>
      <c r="D6" s="9" t="s">
        <v>698</v>
      </c>
      <c r="E6" s="9" t="s">
        <v>699</v>
      </c>
      <c r="F6" s="9" t="s">
        <v>700</v>
      </c>
      <c r="G6" s="9" t="s">
        <v>701</v>
      </c>
      <c r="H6" s="9" t="s">
        <v>702</v>
      </c>
      <c r="I6" s="9" t="s">
        <v>64</v>
      </c>
      <c r="J6" s="9" t="s">
        <v>65</v>
      </c>
      <c r="K6" s="9" t="s">
        <v>66</v>
      </c>
      <c r="L6" s="9" t="s">
        <v>67</v>
      </c>
      <c r="M6" s="9" t="s">
        <v>68</v>
      </c>
      <c r="O6" s="8" t="s">
        <v>703</v>
      </c>
      <c r="Q6" s="109" t="s">
        <v>704</v>
      </c>
      <c r="R6" s="109" t="s">
        <v>80</v>
      </c>
      <c r="S6" s="109" t="s">
        <v>2</v>
      </c>
      <c r="T6" s="109" t="s">
        <v>81</v>
      </c>
      <c r="U6" s="109" t="s">
        <v>705</v>
      </c>
    </row>
    <row r="7" customFormat="false" ht="15" hidden="false" customHeight="false" outlineLevel="0" collapsed="false">
      <c r="Q7" s="103" t="s">
        <v>706</v>
      </c>
      <c r="R7" s="118" t="n">
        <v>330</v>
      </c>
      <c r="S7" s="118" t="n">
        <v>300</v>
      </c>
      <c r="T7" s="118" t="n">
        <v>225</v>
      </c>
      <c r="U7" s="14" t="s">
        <v>707</v>
      </c>
    </row>
    <row r="8" customFormat="false" ht="15" hidden="false" customHeight="false" outlineLevel="0" collapsed="false">
      <c r="B8" s="8" t="s">
        <v>708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8" t="s">
        <v>709</v>
      </c>
      <c r="Q8" s="103" t="s">
        <v>710</v>
      </c>
      <c r="R8" s="115" t="n">
        <v>0.3</v>
      </c>
      <c r="S8" s="115" t="n">
        <v>0.2</v>
      </c>
      <c r="T8" s="115" t="n">
        <v>0.1</v>
      </c>
      <c r="U8" s="14" t="s">
        <v>711</v>
      </c>
    </row>
    <row r="9" customFormat="false" ht="15" hidden="false" customHeight="false" outlineLevel="0" collapsed="false">
      <c r="B9" s="28" t="s">
        <v>712</v>
      </c>
      <c r="C9" s="135" t="n">
        <v>46568</v>
      </c>
      <c r="O9" s="136" t="s">
        <v>713</v>
      </c>
      <c r="Q9" s="103" t="s">
        <v>714</v>
      </c>
      <c r="R9" s="115" t="n">
        <v>0.9</v>
      </c>
      <c r="S9" s="115" t="n">
        <v>0.75</v>
      </c>
      <c r="T9" s="115" t="n">
        <v>0.5</v>
      </c>
      <c r="U9" s="14"/>
    </row>
    <row r="10" customFormat="false" ht="15" hidden="false" customHeight="false" outlineLevel="0" collapsed="false">
      <c r="B10" s="28" t="s">
        <v>715</v>
      </c>
      <c r="C10" s="137" t="n">
        <f aca="false">(DATE(2027,12,31)-$C$9)/365</f>
        <v>0.504109589041096</v>
      </c>
      <c r="O10" s="136" t="s">
        <v>716</v>
      </c>
      <c r="Q10" s="103" t="s">
        <v>717</v>
      </c>
      <c r="R10" s="115" t="n">
        <v>1</v>
      </c>
      <c r="S10" s="115" t="n">
        <v>1</v>
      </c>
      <c r="T10" s="115" t="n">
        <v>0.85</v>
      </c>
      <c r="U10" s="14" t="s">
        <v>718</v>
      </c>
    </row>
    <row r="11" customFormat="false" ht="15" hidden="false" customHeight="false" outlineLevel="0" collapsed="false">
      <c r="B11" s="28" t="s">
        <v>719</v>
      </c>
      <c r="C11" s="138" t="n">
        <v>175.803</v>
      </c>
      <c r="O11" s="136" t="s">
        <v>720</v>
      </c>
      <c r="Q11" s="103" t="s">
        <v>721</v>
      </c>
      <c r="R11" s="115" t="n">
        <v>1</v>
      </c>
      <c r="S11" s="115" t="n">
        <v>1</v>
      </c>
      <c r="T11" s="115" t="n">
        <v>1</v>
      </c>
      <c r="U11" s="14"/>
    </row>
    <row r="12" customFormat="false" ht="15" hidden="false" customHeight="false" outlineLevel="0" collapsed="false">
      <c r="B12" s="28" t="s">
        <v>722</v>
      </c>
      <c r="C12" s="67" t="n">
        <v>17.25</v>
      </c>
      <c r="O12" s="136" t="s">
        <v>723</v>
      </c>
      <c r="Q12" s="103" t="s">
        <v>724</v>
      </c>
      <c r="R12" s="115" t="n">
        <v>0.07</v>
      </c>
      <c r="S12" s="115" t="n">
        <v>0.05</v>
      </c>
      <c r="T12" s="115" t="n">
        <v>0.02</v>
      </c>
      <c r="U12" s="14" t="s">
        <v>725</v>
      </c>
    </row>
    <row r="13" customFormat="false" ht="15" hidden="false" customHeight="false" outlineLevel="0" collapsed="false">
      <c r="B13" s="28" t="s">
        <v>726</v>
      </c>
      <c r="C13" s="139" t="n">
        <v>0.0856</v>
      </c>
      <c r="O13" s="136" t="s">
        <v>727</v>
      </c>
      <c r="Q13" s="103" t="s">
        <v>728</v>
      </c>
      <c r="R13" s="115" t="n">
        <v>0.03</v>
      </c>
      <c r="S13" s="115" t="n">
        <v>0.026</v>
      </c>
      <c r="T13" s="115" t="n">
        <v>0.02</v>
      </c>
      <c r="U13" s="14" t="s">
        <v>729</v>
      </c>
    </row>
    <row r="14" customFormat="false" ht="15" hidden="false" customHeight="false" outlineLevel="0" collapsed="false">
      <c r="B14" s="28" t="s">
        <v>730</v>
      </c>
      <c r="C14" s="140" t="n">
        <f aca="false">Model!$CA$394</f>
        <v>151.88</v>
      </c>
      <c r="O14" s="136" t="s">
        <v>731</v>
      </c>
      <c r="Q14" s="103" t="s">
        <v>732</v>
      </c>
      <c r="R14" s="115" t="n">
        <v>0.048</v>
      </c>
      <c r="S14" s="115" t="n">
        <v>0.038</v>
      </c>
      <c r="T14" s="115" t="n">
        <v>0.028</v>
      </c>
      <c r="U14" s="14" t="s">
        <v>733</v>
      </c>
    </row>
    <row r="15" customFormat="false" ht="15" hidden="false" customHeight="false" outlineLevel="0" collapsed="false">
      <c r="B15" s="75" t="s">
        <v>734</v>
      </c>
      <c r="C15" s="141" t="n">
        <f aca="false">$C$12+$C$13*$C$14</f>
        <v>30.250928</v>
      </c>
      <c r="O15" s="136" t="s">
        <v>735</v>
      </c>
      <c r="Q15" s="103" t="s">
        <v>736</v>
      </c>
      <c r="R15" s="142" t="n">
        <v>0.8</v>
      </c>
      <c r="S15" s="142" t="n">
        <v>1</v>
      </c>
      <c r="T15" s="142" t="n">
        <v>1.3</v>
      </c>
      <c r="U15" s="14" t="s">
        <v>737</v>
      </c>
    </row>
    <row r="16" customFormat="false" ht="15" hidden="false" customHeight="false" outlineLevel="0" collapsed="false">
      <c r="B16" s="75" t="s">
        <v>738</v>
      </c>
      <c r="C16" s="143" t="n">
        <f aca="false">$C$11*$C$15</f>
        <v>5318.203895184</v>
      </c>
      <c r="O16" s="136" t="s">
        <v>739</v>
      </c>
      <c r="Q16" s="103" t="s">
        <v>740</v>
      </c>
      <c r="R16" s="115" t="n">
        <v>0.5</v>
      </c>
      <c r="S16" s="115" t="n">
        <v>0</v>
      </c>
      <c r="T16" s="115" t="n">
        <v>0</v>
      </c>
      <c r="U16" s="14" t="s">
        <v>741</v>
      </c>
    </row>
    <row r="17" customFormat="false" ht="15" hidden="false" customHeight="false" outlineLevel="0" collapsed="false">
      <c r="B17" s="28" t="s">
        <v>742</v>
      </c>
      <c r="C17" s="48" t="n">
        <v>501</v>
      </c>
      <c r="O17" s="136" t="s">
        <v>743</v>
      </c>
      <c r="Q17" s="103" t="s">
        <v>744</v>
      </c>
      <c r="R17" s="144" t="n">
        <v>2.25</v>
      </c>
      <c r="S17" s="144" t="n">
        <v>2</v>
      </c>
      <c r="T17" s="144" t="n">
        <v>1.75</v>
      </c>
      <c r="U17" s="14" t="s">
        <v>745</v>
      </c>
    </row>
    <row r="18" customFormat="false" ht="15" hidden="false" customHeight="false" outlineLevel="0" collapsed="false">
      <c r="B18" s="28" t="s">
        <v>746</v>
      </c>
      <c r="C18" s="48" t="n">
        <v>15</v>
      </c>
      <c r="O18" s="136" t="s">
        <v>747</v>
      </c>
      <c r="Q18" s="12" t="s">
        <v>748</v>
      </c>
      <c r="R18" s="145" t="str">
        <f aca="false">Model!$CF$2</f>
        <v>Base</v>
      </c>
    </row>
    <row r="19" customFormat="false" ht="15" hidden="false" customHeight="false" outlineLevel="0" collapsed="false">
      <c r="B19" s="109" t="s">
        <v>749</v>
      </c>
      <c r="C19" s="146" t="n">
        <f aca="false">$C$16+$C$17-$C$18</f>
        <v>5804.203895184</v>
      </c>
      <c r="O19" s="136" t="s">
        <v>750</v>
      </c>
    </row>
    <row r="20" customFormat="false" ht="15" hidden="false" customHeight="false" outlineLevel="0" collapsed="false">
      <c r="B20" s="28" t="s">
        <v>751</v>
      </c>
      <c r="C20" s="43" t="n">
        <f aca="false">$C$11*$C$12</f>
        <v>3032.60175</v>
      </c>
      <c r="O20" s="136" t="s">
        <v>752</v>
      </c>
    </row>
    <row r="21" customFormat="false" ht="15" hidden="false" customHeight="false" outlineLevel="0" collapsed="false">
      <c r="B21" s="28" t="s">
        <v>753</v>
      </c>
      <c r="C21" s="58" t="n">
        <f aca="false">$C$11*$C$13</f>
        <v>15.0487368</v>
      </c>
      <c r="O21" s="136"/>
    </row>
    <row r="22" customFormat="false" ht="15" hidden="false" customHeight="false" outlineLevel="0" collapsed="false">
      <c r="B22" s="28" t="s">
        <v>754</v>
      </c>
      <c r="C22" s="43" t="n">
        <f aca="false">$C$21*$C$14</f>
        <v>2285.602145184</v>
      </c>
      <c r="O22" s="136"/>
    </row>
    <row r="23" customFormat="false" ht="15" hidden="false" customHeight="false" outlineLevel="0" collapsed="false">
      <c r="B23" s="28" t="s">
        <v>755</v>
      </c>
      <c r="C23" s="137" t="n">
        <f aca="false">$C$20/($C$20+$C$22)</f>
        <v>0.570230440533924</v>
      </c>
      <c r="O23" s="136" t="s">
        <v>756</v>
      </c>
    </row>
    <row r="24" customFormat="false" ht="15" hidden="false" customHeight="false" outlineLevel="0" collapsed="false">
      <c r="B24" s="28" t="s">
        <v>757</v>
      </c>
      <c r="C24" s="140" t="n">
        <f aca="false">Model!$CA$361</f>
        <v>115.766963655518</v>
      </c>
      <c r="O24" s="136" t="s">
        <v>758</v>
      </c>
    </row>
    <row r="25" customFormat="false" ht="15" hidden="false" customHeight="false" outlineLevel="0" collapsed="false">
      <c r="B25" s="28" t="s">
        <v>759</v>
      </c>
      <c r="C25" s="137" t="n">
        <f aca="false">$C$21/($C$21+$C$24)</f>
        <v>0.115037696145022</v>
      </c>
      <c r="O25" s="136" t="s">
        <v>760</v>
      </c>
    </row>
    <row r="26" customFormat="false" ht="15" hidden="false" customHeight="false" outlineLevel="0" collapsed="false">
      <c r="B26" s="28" t="s">
        <v>761</v>
      </c>
      <c r="C26" s="58" t="n">
        <f aca="false">$C$15/1.29</f>
        <v>23.4503317829457</v>
      </c>
      <c r="O26" s="136" t="s">
        <v>762</v>
      </c>
    </row>
    <row r="27" customFormat="false" ht="15" hidden="false" customHeight="false" outlineLevel="0" collapsed="false">
      <c r="B27" s="28" t="s">
        <v>763</v>
      </c>
      <c r="C27" s="43" t="n">
        <f aca="false">($C$15-$C$26)*$C$11</f>
        <v>1195.56521674679</v>
      </c>
      <c r="O27" s="136" t="s">
        <v>764</v>
      </c>
    </row>
    <row r="28" customFormat="false" ht="15" hidden="false" customHeight="false" outlineLevel="0" collapsed="false">
      <c r="B28" s="28" t="s">
        <v>765</v>
      </c>
      <c r="C28" s="48" t="n">
        <v>137</v>
      </c>
      <c r="O28" s="136" t="s">
        <v>766</v>
      </c>
    </row>
    <row r="29" customFormat="false" ht="15" hidden="false" customHeight="false" outlineLevel="0" collapsed="false">
      <c r="B29" s="28" t="s">
        <v>767</v>
      </c>
      <c r="C29" s="65" t="n">
        <f aca="false">$C$19/$C$28</f>
        <v>42.3664517896642</v>
      </c>
      <c r="O29" s="136"/>
    </row>
    <row r="30" customFormat="false" ht="15" hidden="false" customHeight="false" outlineLevel="0" collapsed="false">
      <c r="B30" s="28" t="s">
        <v>768</v>
      </c>
      <c r="C30" s="147" t="n">
        <f aca="false">$C$19/($C$28+CHOOSE(MATCH(Model!$CF$2,{"Bull","Base","Bear"},0),$R$7,$S$7,$T$7))</f>
        <v>13.2819311102609</v>
      </c>
      <c r="O30" s="136" t="s">
        <v>769</v>
      </c>
    </row>
    <row r="31" customFormat="false" ht="15" hidden="false" customHeight="false" outlineLevel="0" collapsed="false">
      <c r="B31" s="28" t="s">
        <v>770</v>
      </c>
      <c r="C31" s="48" t="n">
        <v>175</v>
      </c>
      <c r="O31" s="136" t="s">
        <v>771</v>
      </c>
    </row>
    <row r="32" customFormat="false" ht="15" hidden="false" customHeight="false" outlineLevel="0" collapsed="false">
      <c r="B32" s="28" t="s">
        <v>772</v>
      </c>
      <c r="C32" s="48" t="n">
        <v>4500</v>
      </c>
      <c r="O32" s="136" t="s">
        <v>773</v>
      </c>
    </row>
    <row r="34" customFormat="false" ht="15" hidden="false" customHeight="false" outlineLevel="0" collapsed="false">
      <c r="B34" s="8" t="s">
        <v>774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8" t="s">
        <v>775</v>
      </c>
    </row>
    <row r="35" customFormat="false" ht="15" hidden="false" customHeight="false" outlineLevel="0" collapsed="false">
      <c r="B35" s="15" t="s">
        <v>776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</row>
    <row r="36" customFormat="false" ht="15" hidden="false" customHeight="false" outlineLevel="0" collapsed="false">
      <c r="B36" s="28" t="s">
        <v>777</v>
      </c>
      <c r="C36" s="43" t="n">
        <f aca="false">$C$20</f>
        <v>3032.60175</v>
      </c>
      <c r="O36" s="136"/>
    </row>
    <row r="37" customFormat="false" ht="15" hidden="false" customHeight="false" outlineLevel="0" collapsed="false">
      <c r="B37" s="28" t="s">
        <v>778</v>
      </c>
      <c r="C37" s="43" t="n">
        <f aca="false">$C$22</f>
        <v>2285.602145184</v>
      </c>
      <c r="O37" s="136"/>
    </row>
    <row r="38" customFormat="false" ht="15" hidden="false" customHeight="false" outlineLevel="0" collapsed="false">
      <c r="B38" s="28" t="s">
        <v>779</v>
      </c>
      <c r="C38" s="43" t="n">
        <f aca="false">$C$17</f>
        <v>501</v>
      </c>
      <c r="O38" s="136"/>
    </row>
    <row r="39" customFormat="false" ht="15" hidden="false" customHeight="false" outlineLevel="0" collapsed="false">
      <c r="B39" s="28" t="s">
        <v>780</v>
      </c>
      <c r="C39" s="48" t="n">
        <v>4</v>
      </c>
      <c r="O39" s="136" t="s">
        <v>781</v>
      </c>
    </row>
    <row r="40" customFormat="false" ht="15" hidden="false" customHeight="false" outlineLevel="0" collapsed="false">
      <c r="B40" s="28" t="s">
        <v>782</v>
      </c>
      <c r="C40" s="48" t="n">
        <v>110</v>
      </c>
      <c r="O40" s="136" t="s">
        <v>783</v>
      </c>
    </row>
    <row r="41" customFormat="false" ht="15" hidden="false" customHeight="false" outlineLevel="0" collapsed="false">
      <c r="B41" s="109" t="s">
        <v>784</v>
      </c>
      <c r="C41" s="146" t="n">
        <f aca="false">SUM(C36:C40)</f>
        <v>5933.203895184</v>
      </c>
      <c r="O41" s="136"/>
    </row>
    <row r="42" customFormat="false" ht="15" hidden="false" customHeight="false" outlineLevel="0" collapsed="false">
      <c r="B42" s="15" t="s">
        <v>785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</row>
    <row r="43" customFormat="false" ht="15" hidden="false" customHeight="false" outlineLevel="0" collapsed="false">
      <c r="B43" s="28" t="s">
        <v>786</v>
      </c>
      <c r="C43" s="43" t="n">
        <f aca="false">$C$22</f>
        <v>2285.602145184</v>
      </c>
      <c r="O43" s="136"/>
    </row>
    <row r="44" customFormat="false" ht="15" hidden="false" customHeight="false" outlineLevel="0" collapsed="false">
      <c r="B44" s="28" t="s">
        <v>787</v>
      </c>
      <c r="C44" s="43" t="n">
        <f aca="false">$C$18</f>
        <v>15</v>
      </c>
      <c r="O44" s="136"/>
    </row>
    <row r="45" customFormat="false" ht="15" hidden="false" customHeight="false" outlineLevel="0" collapsed="false">
      <c r="B45" s="75" t="s">
        <v>788</v>
      </c>
      <c r="C45" s="143" t="n">
        <f aca="false">$C$41-$C$43-$C$44</f>
        <v>3632.60175</v>
      </c>
      <c r="O45" s="136" t="s">
        <v>789</v>
      </c>
    </row>
    <row r="46" customFormat="false" ht="15" hidden="false" customHeight="false" outlineLevel="0" collapsed="false">
      <c r="B46" s="109" t="s">
        <v>790</v>
      </c>
      <c r="C46" s="146" t="n">
        <f aca="false">$C$43+$C$44+$C$45</f>
        <v>5933.203895184</v>
      </c>
      <c r="O46" s="136"/>
    </row>
    <row r="47" customFormat="false" ht="15" hidden="false" customHeight="false" outlineLevel="0" collapsed="false">
      <c r="B47" s="46" t="s">
        <v>791</v>
      </c>
      <c r="C47" s="148" t="n">
        <f aca="false">ROUND($C$46-$C$41,1)</f>
        <v>0</v>
      </c>
      <c r="O47" s="136"/>
    </row>
    <row r="48" customFormat="false" ht="15" hidden="false" customHeight="false" outlineLevel="0" collapsed="false">
      <c r="B48" s="15" t="s">
        <v>792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</row>
    <row r="49" customFormat="false" ht="15" hidden="false" customHeight="false" outlineLevel="0" collapsed="false">
      <c r="B49" s="28" t="s">
        <v>793</v>
      </c>
      <c r="C49" s="35" t="n">
        <v>0.65</v>
      </c>
      <c r="O49" s="136" t="s">
        <v>794</v>
      </c>
    </row>
    <row r="50" customFormat="false" ht="15" hidden="false" customHeight="false" outlineLevel="0" collapsed="false">
      <c r="B50" s="28" t="s">
        <v>795</v>
      </c>
      <c r="C50" s="35" t="n">
        <v>0.0525</v>
      </c>
      <c r="O50" s="136" t="s">
        <v>796</v>
      </c>
    </row>
    <row r="51" customFormat="false" ht="15" hidden="false" customHeight="false" outlineLevel="0" collapsed="false">
      <c r="B51" s="28" t="s">
        <v>797</v>
      </c>
      <c r="C51" s="35" t="n">
        <v>0.05</v>
      </c>
      <c r="O51" s="136" t="s">
        <v>798</v>
      </c>
    </row>
    <row r="52" customFormat="false" ht="15" hidden="false" customHeight="false" outlineLevel="0" collapsed="false">
      <c r="B52" s="28" t="s">
        <v>799</v>
      </c>
      <c r="C52" s="137" t="n">
        <f aca="false">$C$49*$C$50+(1-$C$49)*$C$51</f>
        <v>0.051625</v>
      </c>
      <c r="O52" s="136"/>
    </row>
    <row r="53" customFormat="false" ht="15" hidden="false" customHeight="false" outlineLevel="0" collapsed="false">
      <c r="B53" s="28" t="s">
        <v>800</v>
      </c>
      <c r="C53" s="35" t="n">
        <v>0.24</v>
      </c>
      <c r="O53" s="136" t="s">
        <v>801</v>
      </c>
    </row>
    <row r="55" customFormat="false" ht="15" hidden="false" customHeight="false" outlineLevel="0" collapsed="false">
      <c r="B55" s="8" t="s">
        <v>802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8" t="s">
        <v>803</v>
      </c>
    </row>
    <row r="56" customFormat="false" ht="15" hidden="false" customHeight="false" outlineLevel="0" collapsed="false">
      <c r="B56" s="75" t="s">
        <v>804</v>
      </c>
      <c r="C56" s="143" t="n">
        <f aca="false">$C$20+$C$22</f>
        <v>5318.203895184</v>
      </c>
      <c r="O56" s="136" t="s">
        <v>805</v>
      </c>
    </row>
    <row r="57" customFormat="false" ht="15" hidden="false" customHeight="false" outlineLevel="0" collapsed="false">
      <c r="B57" s="28" t="s">
        <v>806</v>
      </c>
      <c r="C57" s="48" t="n">
        <v>1506</v>
      </c>
      <c r="O57" s="136" t="s">
        <v>807</v>
      </c>
    </row>
    <row r="58" customFormat="false" ht="15" hidden="false" customHeight="false" outlineLevel="0" collapsed="false">
      <c r="B58" s="28" t="s">
        <v>808</v>
      </c>
      <c r="C58" s="48" t="n">
        <v>1111</v>
      </c>
      <c r="O58" s="136" t="s">
        <v>809</v>
      </c>
    </row>
    <row r="59" customFormat="false" ht="15" hidden="false" customHeight="false" outlineLevel="0" collapsed="false">
      <c r="B59" s="28" t="s">
        <v>810</v>
      </c>
      <c r="C59" s="48" t="n">
        <v>432</v>
      </c>
      <c r="O59" s="136"/>
    </row>
    <row r="60" customFormat="false" ht="15" hidden="false" customHeight="false" outlineLevel="0" collapsed="false">
      <c r="B60" s="28" t="s">
        <v>811</v>
      </c>
      <c r="C60" s="43" t="n">
        <f aca="false">$C$57-$C$58-$C$59</f>
        <v>-37</v>
      </c>
      <c r="O60" s="136"/>
    </row>
    <row r="61" customFormat="false" ht="15" hidden="false" customHeight="false" outlineLevel="0" collapsed="false">
      <c r="B61" s="28" t="s">
        <v>812</v>
      </c>
      <c r="C61" s="48" t="n">
        <v>1000</v>
      </c>
      <c r="O61" s="136" t="s">
        <v>813</v>
      </c>
    </row>
    <row r="62" customFormat="false" ht="15" hidden="false" customHeight="false" outlineLevel="0" collapsed="false">
      <c r="B62" s="28" t="s">
        <v>814</v>
      </c>
      <c r="C62" s="149" t="n">
        <v>10</v>
      </c>
      <c r="O62" s="136"/>
    </row>
    <row r="63" customFormat="false" ht="15" hidden="false" customHeight="false" outlineLevel="0" collapsed="false">
      <c r="B63" s="28" t="s">
        <v>815</v>
      </c>
      <c r="C63" s="43" t="n">
        <f aca="false">-($C$61-$C$59)*$C$53</f>
        <v>-136.32</v>
      </c>
      <c r="O63" s="136"/>
    </row>
    <row r="64" customFormat="false" ht="15" hidden="false" customHeight="false" outlineLevel="0" collapsed="false">
      <c r="B64" s="75" t="s">
        <v>816</v>
      </c>
      <c r="C64" s="143" t="n">
        <f aca="false">$C$56-$C$60-$C$61-$C$63</f>
        <v>4491.523895184</v>
      </c>
      <c r="O64" s="136"/>
    </row>
    <row r="65" customFormat="false" ht="15" hidden="false" customHeight="false" outlineLevel="0" collapsed="false">
      <c r="B65" s="75" t="s">
        <v>817</v>
      </c>
      <c r="C65" s="143" t="n">
        <f aca="false">$C$61/$C$62</f>
        <v>100</v>
      </c>
      <c r="O65" s="136" t="s">
        <v>818</v>
      </c>
    </row>
    <row r="66" customFormat="false" ht="15" hidden="false" customHeight="false" outlineLevel="0" collapsed="false">
      <c r="B66" s="28" t="s">
        <v>819</v>
      </c>
      <c r="C66" s="48" t="n">
        <v>47</v>
      </c>
      <c r="O66" s="136" t="s">
        <v>820</v>
      </c>
    </row>
    <row r="68" customFormat="false" ht="15" hidden="false" customHeight="false" outlineLevel="0" collapsed="false">
      <c r="B68" s="8" t="s">
        <v>821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8" t="s">
        <v>775</v>
      </c>
    </row>
    <row r="69" customFormat="false" ht="15" hidden="false" customHeight="false" outlineLevel="0" collapsed="false">
      <c r="B69" s="28" t="s">
        <v>822</v>
      </c>
      <c r="C69" s="48" t="n">
        <v>2749</v>
      </c>
      <c r="D69" s="48" t="n">
        <v>2929</v>
      </c>
      <c r="E69" s="48" t="n">
        <v>2358</v>
      </c>
      <c r="F69" s="48" t="n">
        <v>3029</v>
      </c>
      <c r="G69" s="48" t="n">
        <v>4225</v>
      </c>
      <c r="H69" s="48" t="n">
        <v>4579</v>
      </c>
    </row>
    <row r="70" customFormat="false" ht="15" hidden="false" customHeight="false" outlineLevel="0" collapsed="false">
      <c r="B70" s="28" t="s">
        <v>823</v>
      </c>
      <c r="C70" s="48" t="n">
        <v>1037</v>
      </c>
      <c r="D70" s="48" t="n">
        <v>945</v>
      </c>
      <c r="E70" s="48" t="n">
        <v>690</v>
      </c>
      <c r="F70" s="48" t="n">
        <v>600</v>
      </c>
      <c r="G70" s="48" t="n">
        <v>549</v>
      </c>
      <c r="H70" s="48" t="n">
        <v>537</v>
      </c>
    </row>
    <row r="71" customFormat="false" ht="15" hidden="false" customHeight="false" outlineLevel="0" collapsed="false">
      <c r="B71" s="28" t="s">
        <v>824</v>
      </c>
      <c r="C71" s="48" t="n">
        <v>1016</v>
      </c>
      <c r="D71" s="48" t="n">
        <v>1061</v>
      </c>
      <c r="E71" s="48" t="n">
        <v>1014</v>
      </c>
      <c r="F71" s="48" t="n">
        <v>1055</v>
      </c>
      <c r="G71" s="48" t="n">
        <v>1196</v>
      </c>
      <c r="H71" s="48" t="n">
        <v>1212</v>
      </c>
    </row>
    <row r="72" customFormat="false" ht="15" hidden="false" customHeight="false" outlineLevel="0" collapsed="false">
      <c r="B72" s="28" t="s">
        <v>825</v>
      </c>
      <c r="C72" s="48" t="n">
        <v>-113</v>
      </c>
      <c r="D72" s="48" t="n">
        <v>-139</v>
      </c>
      <c r="E72" s="48" t="n">
        <v>-135</v>
      </c>
      <c r="F72" s="48" t="n">
        <v>-134</v>
      </c>
      <c r="G72" s="48" t="n">
        <v>-228</v>
      </c>
      <c r="H72" s="48" t="n">
        <v>-239</v>
      </c>
    </row>
    <row r="73" customFormat="false" ht="15" hidden="false" customHeight="false" outlineLevel="0" collapsed="false">
      <c r="B73" s="75" t="s">
        <v>241</v>
      </c>
      <c r="C73" s="150" t="n">
        <v>4689</v>
      </c>
      <c r="D73" s="150" t="n">
        <v>4796</v>
      </c>
      <c r="E73" s="150" t="n">
        <v>3927</v>
      </c>
      <c r="F73" s="150" t="n">
        <v>4550</v>
      </c>
      <c r="G73" s="150" t="n">
        <v>5742</v>
      </c>
      <c r="H73" s="150" t="n">
        <v>6089</v>
      </c>
      <c r="I73" s="150" t="n">
        <v>6800</v>
      </c>
      <c r="J73" s="151" t="n">
        <f aca="false">I73*(1+CHOOSE(MATCH(Model!$CF$2,{"Bull","Base","Bear"},0),$R$12,$S$12,$T$12))</f>
        <v>7140</v>
      </c>
      <c r="K73" s="151" t="n">
        <f aca="false">J73*(1+CHOOSE(MATCH(Model!$CF$2,{"Bull","Base","Bear"},0),$R$12,$S$12,$T$12))</f>
        <v>7497</v>
      </c>
      <c r="L73" s="151" t="n">
        <f aca="false">K73*(1+CHOOSE(MATCH(Model!$CF$2,{"Bull","Base","Bear"},0),$R$12,$S$12,$T$12))</f>
        <v>7871.85</v>
      </c>
      <c r="M73" s="151" t="n">
        <f aca="false">L73*(1+CHOOSE(MATCH(Model!$CF$2,{"Bull","Base","Bear"},0),$R$12,$S$12,$T$12))</f>
        <v>8265.4425</v>
      </c>
      <c r="O73" s="136" t="s">
        <v>826</v>
      </c>
    </row>
    <row r="74" customFormat="false" ht="15" hidden="false" customHeight="false" outlineLevel="0" collapsed="false">
      <c r="B74" s="25" t="s">
        <v>109</v>
      </c>
      <c r="C74" s="137"/>
      <c r="D74" s="137" t="n">
        <f aca="false">IFERROR(D73/C73-1,"")</f>
        <v>0.0228193644700363</v>
      </c>
      <c r="E74" s="137" t="n">
        <f aca="false">IFERROR(E73/D73-1,"")</f>
        <v>-0.181192660550459</v>
      </c>
      <c r="F74" s="137" t="n">
        <f aca="false">IFERROR(F73/E73-1,"")</f>
        <v>0.158645276292335</v>
      </c>
      <c r="G74" s="137" t="n">
        <f aca="false">IFERROR(G73/F73-1,"")</f>
        <v>0.261978021978022</v>
      </c>
      <c r="H74" s="137"/>
      <c r="I74" s="27" t="n">
        <f aca="false">IFERROR(I73/G73-1,"")</f>
        <v>0.18425635667015</v>
      </c>
      <c r="J74" s="27" t="n">
        <f aca="false">IFERROR(J73/I73-1,"")</f>
        <v>0.05</v>
      </c>
      <c r="K74" s="27" t="n">
        <f aca="false">IFERROR(K73/J73-1,"")</f>
        <v>0.05</v>
      </c>
      <c r="L74" s="27" t="n">
        <f aca="false">IFERROR(L73/K73-1,"")</f>
        <v>0.05</v>
      </c>
      <c r="M74" s="27" t="n">
        <f aca="false">IFERROR(M73/L73-1,"")</f>
        <v>0.05</v>
      </c>
    </row>
    <row r="75" customFormat="false" ht="15" hidden="false" customHeight="false" outlineLevel="0" collapsed="false">
      <c r="B75" s="28" t="s">
        <v>827</v>
      </c>
      <c r="C75" s="48" t="n">
        <v>816</v>
      </c>
      <c r="D75" s="48" t="n">
        <v>941</v>
      </c>
      <c r="E75" s="48" t="n">
        <v>717</v>
      </c>
      <c r="F75" s="48" t="n">
        <v>774</v>
      </c>
      <c r="G75" s="48" t="n">
        <v>932</v>
      </c>
      <c r="H75" s="48" t="n">
        <v>900</v>
      </c>
    </row>
    <row r="76" customFormat="false" ht="15" hidden="false" customHeight="false" outlineLevel="0" collapsed="false">
      <c r="B76" s="25" t="s">
        <v>828</v>
      </c>
      <c r="C76" s="137" t="n">
        <f aca="false">IFERROR(C75/C73,"")</f>
        <v>0.17402431222009</v>
      </c>
      <c r="D76" s="137" t="n">
        <f aca="false">IFERROR(D75/D73,"")</f>
        <v>0.196205170975813</v>
      </c>
      <c r="E76" s="137" t="n">
        <f aca="false">IFERROR(E75/E73,"")</f>
        <v>0.182582123758594</v>
      </c>
      <c r="F76" s="137" t="n">
        <f aca="false">IFERROR(F75/F73,"")</f>
        <v>0.17010989010989</v>
      </c>
      <c r="G76" s="137" t="n">
        <f aca="false">IFERROR(G75/G73,"")</f>
        <v>0.162312783002438</v>
      </c>
      <c r="H76" s="137" t="n">
        <f aca="false">IFERROR(H75/H73,"")</f>
        <v>0.147807521760552</v>
      </c>
    </row>
    <row r="77" customFormat="false" ht="15" hidden="false" customHeight="false" outlineLevel="0" collapsed="false">
      <c r="B77" s="75" t="s">
        <v>829</v>
      </c>
      <c r="C77" s="150" t="n">
        <v>277</v>
      </c>
      <c r="D77" s="150" t="n">
        <v>306</v>
      </c>
      <c r="E77" s="150" t="n">
        <v>132</v>
      </c>
      <c r="F77" s="150" t="n">
        <v>118</v>
      </c>
      <c r="G77" s="150" t="n">
        <v>109</v>
      </c>
      <c r="H77" s="150" t="n">
        <v>95</v>
      </c>
      <c r="I77" s="152" t="n">
        <f aca="false">$C$28</f>
        <v>137</v>
      </c>
      <c r="J77" s="152" t="n">
        <f aca="false">J73*J78</f>
        <v>185.64</v>
      </c>
      <c r="K77" s="152" t="n">
        <f aca="false">K73*K78</f>
        <v>224.91</v>
      </c>
      <c r="L77" s="152" t="n">
        <f aca="false">L73*L78</f>
        <v>267.6429</v>
      </c>
      <c r="M77" s="152" t="n">
        <f aca="false">M73*M78</f>
        <v>314.086815</v>
      </c>
      <c r="O77" s="136" t="s">
        <v>830</v>
      </c>
    </row>
    <row r="78" customFormat="false" ht="15" hidden="false" customHeight="false" outlineLevel="0" collapsed="false">
      <c r="B78" s="25" t="s">
        <v>316</v>
      </c>
      <c r="C78" s="137" t="n">
        <f aca="false">IFERROR(C77/C73,"")</f>
        <v>0.0590744295158883</v>
      </c>
      <c r="D78" s="137" t="n">
        <f aca="false">IFERROR(D77/D73,"")</f>
        <v>0.0638031693077565</v>
      </c>
      <c r="E78" s="137" t="n">
        <f aca="false">IFERROR(E77/E73,"")</f>
        <v>0.0336134453781513</v>
      </c>
      <c r="F78" s="137" t="n">
        <f aca="false">IFERROR(F77/F73,"")</f>
        <v>0.0259340659340659</v>
      </c>
      <c r="G78" s="137" t="n">
        <f aca="false">IFERROR(G77/G73,"")</f>
        <v>0.0189829327760362</v>
      </c>
      <c r="H78" s="137" t="n">
        <f aca="false">IFERROR(H77/H73,"")</f>
        <v>0.0156019050747249</v>
      </c>
      <c r="I78" s="27" t="n">
        <f aca="false">IFERROR(I77/I73,"")</f>
        <v>0.0201470588235294</v>
      </c>
      <c r="J78" s="153" t="n">
        <f aca="false">CHOOSE(MATCH(Model!$CF$2,{"Bull","Base","Bear"},0),$R$13,$S$13,$T$13)</f>
        <v>0.026</v>
      </c>
      <c r="K78" s="153" t="n">
        <f aca="false">CHOOSE(MATCH(Model!$CF$2,{"Bull","Base","Bear"},0),$R$13,$S$13,$T$13)+(CHOOSE(MATCH(Model!$CF$2,{"Bull","Base","Bear"},0),$R$14,$S$14,$T$14)-CHOOSE(MATCH(Model!$CF$2,{"Bull","Base","Bear"},0),$R$13,$S$13,$T$13))*(2028-2027)/3</f>
        <v>0.03</v>
      </c>
      <c r="L78" s="153" t="n">
        <f aca="false">CHOOSE(MATCH(Model!$CF$2,{"Bull","Base","Bear"},0),$R$13,$S$13,$T$13)+(CHOOSE(MATCH(Model!$CF$2,{"Bull","Base","Bear"},0),$R$14,$S$14,$T$14)-CHOOSE(MATCH(Model!$CF$2,{"Bull","Base","Bear"},0),$R$13,$S$13,$T$13))*(2029-2027)/3</f>
        <v>0.034</v>
      </c>
      <c r="M78" s="153" t="n">
        <f aca="false">CHOOSE(MATCH(Model!$CF$2,{"Bull","Base","Bear"},0),$R$13,$S$13,$T$13)+(CHOOSE(MATCH(Model!$CF$2,{"Bull","Base","Bear"},0),$R$14,$S$14,$T$14)-CHOOSE(MATCH(Model!$CF$2,{"Bull","Base","Bear"},0),$R$13,$S$13,$T$13))*(2030-2027)/3</f>
        <v>0.038</v>
      </c>
    </row>
    <row r="79" customFormat="false" ht="15" hidden="false" customHeight="false" outlineLevel="0" collapsed="false">
      <c r="B79" s="28" t="s">
        <v>831</v>
      </c>
      <c r="C79" s="48" t="n">
        <v>81</v>
      </c>
      <c r="D79" s="48" t="n">
        <v>86</v>
      </c>
      <c r="E79" s="48" t="n">
        <v>67</v>
      </c>
      <c r="F79" s="48" t="n">
        <v>87</v>
      </c>
      <c r="G79" s="48" t="n">
        <v>116</v>
      </c>
      <c r="H79" s="48" t="n">
        <v>106</v>
      </c>
      <c r="I79" s="48" t="n">
        <v>105</v>
      </c>
      <c r="J79" s="49" t="n">
        <f aca="false">J73*0.0155</f>
        <v>110.67</v>
      </c>
      <c r="K79" s="49" t="n">
        <f aca="false">K73*0.0155</f>
        <v>116.2035</v>
      </c>
      <c r="L79" s="49" t="n">
        <f aca="false">L73*0.0155</f>
        <v>122.013675</v>
      </c>
      <c r="M79" s="49" t="n">
        <f aca="false">M73*0.0155</f>
        <v>128.11435875</v>
      </c>
      <c r="O79" s="136" t="s">
        <v>832</v>
      </c>
    </row>
    <row r="80" customFormat="false" ht="15" hidden="false" customHeight="false" outlineLevel="0" collapsed="false">
      <c r="B80" s="28" t="s">
        <v>833</v>
      </c>
      <c r="C80" s="48" t="n">
        <v>24</v>
      </c>
      <c r="D80" s="48" t="n">
        <v>21</v>
      </c>
      <c r="E80" s="48" t="n">
        <v>13</v>
      </c>
      <c r="F80" s="48" t="n">
        <v>28</v>
      </c>
      <c r="G80" s="48" t="n">
        <v>47</v>
      </c>
      <c r="H80" s="48" t="n">
        <v>42</v>
      </c>
      <c r="I80" s="48" t="n">
        <v>42</v>
      </c>
    </row>
    <row r="81" customFormat="false" ht="15" hidden="false" customHeight="false" outlineLevel="0" collapsed="false">
      <c r="B81" s="75" t="s">
        <v>834</v>
      </c>
      <c r="C81" s="143" t="n">
        <f aca="false">IFERROR(C77-(C79-N(C80)),"")</f>
        <v>220</v>
      </c>
      <c r="D81" s="143" t="n">
        <f aca="false">IFERROR(D77-(D79-N(D80)),"")</f>
        <v>241</v>
      </c>
      <c r="E81" s="143" t="n">
        <f aca="false">IFERROR(E77-(E79-N(E80)),"")</f>
        <v>78</v>
      </c>
      <c r="F81" s="143" t="n">
        <f aca="false">IFERROR(F77-(F79-N(F80)),"")</f>
        <v>59</v>
      </c>
      <c r="G81" s="143" t="n">
        <f aca="false">IFERROR(G77-(G79-N(G80)),"")</f>
        <v>40</v>
      </c>
      <c r="H81" s="143" t="n">
        <f aca="false">IFERROR(H77-(H79-N(H80)),"")</f>
        <v>31</v>
      </c>
      <c r="I81" s="152" t="n">
        <f aca="false">I77-(I79-N(I80))</f>
        <v>74</v>
      </c>
      <c r="J81" s="152" t="n">
        <f aca="false">J77-(J79-N(J80))</f>
        <v>74.97</v>
      </c>
      <c r="K81" s="152" t="n">
        <f aca="false">K77-(K79-N(K80))</f>
        <v>108.7065</v>
      </c>
      <c r="L81" s="152" t="n">
        <f aca="false">L77-(L79-N(L80))</f>
        <v>145.629225</v>
      </c>
      <c r="M81" s="152" t="n">
        <f aca="false">M77-(M79-N(M80))</f>
        <v>185.97245625</v>
      </c>
    </row>
    <row r="82" customFormat="false" ht="15" hidden="false" customHeight="false" outlineLevel="0" collapsed="false">
      <c r="B82" s="28" t="s">
        <v>835</v>
      </c>
      <c r="C82" s="48" t="n">
        <v>192</v>
      </c>
      <c r="D82" s="48" t="n">
        <v>123</v>
      </c>
      <c r="E82" s="48" t="n">
        <v>39</v>
      </c>
      <c r="F82" s="48" t="n">
        <v>-56</v>
      </c>
      <c r="G82" s="48" t="n">
        <v>-79</v>
      </c>
      <c r="H82" s="48" t="n">
        <v>-76</v>
      </c>
    </row>
    <row r="83" customFormat="false" ht="15" hidden="false" customHeight="false" outlineLevel="0" collapsed="false">
      <c r="B83" s="28" t="s">
        <v>836</v>
      </c>
      <c r="C83" s="48" t="n">
        <v>0</v>
      </c>
      <c r="D83" s="48" t="n">
        <v>4</v>
      </c>
      <c r="E83" s="48" t="n">
        <v>32</v>
      </c>
      <c r="F83" s="48" t="n">
        <v>30</v>
      </c>
      <c r="G83" s="48" t="n">
        <v>35</v>
      </c>
      <c r="H83" s="48" t="n">
        <v>36</v>
      </c>
    </row>
    <row r="84" customFormat="false" ht="15" hidden="false" customHeight="false" outlineLevel="0" collapsed="false">
      <c r="B84" s="28" t="s">
        <v>837</v>
      </c>
      <c r="C84" s="48" t="n">
        <v>150</v>
      </c>
      <c r="D84" s="48" t="n">
        <v>92</v>
      </c>
      <c r="E84" s="48" t="n">
        <v>4</v>
      </c>
      <c r="F84" s="48" t="n">
        <v>-290</v>
      </c>
      <c r="G84" s="48" t="n">
        <v>-100</v>
      </c>
      <c r="H84" s="48" t="n">
        <v>-105</v>
      </c>
    </row>
    <row r="85" customFormat="false" ht="15" hidden="false" customHeight="false" outlineLevel="0" collapsed="false">
      <c r="B85" s="28" t="s">
        <v>838</v>
      </c>
      <c r="C85" s="48" t="n">
        <v>170</v>
      </c>
      <c r="D85" s="48" t="n">
        <v>181</v>
      </c>
      <c r="E85" s="48" t="n">
        <v>36</v>
      </c>
      <c r="F85" s="48" t="n">
        <v>17</v>
      </c>
      <c r="G85" s="48" t="n">
        <v>-7</v>
      </c>
      <c r="H85" s="48" t="n">
        <v>-15</v>
      </c>
    </row>
    <row r="86" customFormat="false" ht="15" hidden="false" customHeight="false" outlineLevel="0" collapsed="false">
      <c r="B86" s="28" t="s">
        <v>839</v>
      </c>
      <c r="C86" s="67" t="n">
        <v>1.48</v>
      </c>
      <c r="D86" s="67" t="n">
        <v>1.56</v>
      </c>
      <c r="E86" s="67" t="n">
        <v>0.3</v>
      </c>
      <c r="F86" s="67" t="n">
        <v>0.12</v>
      </c>
      <c r="G86" s="67" t="n">
        <v>-0.04</v>
      </c>
    </row>
    <row r="87" customFormat="false" ht="15" hidden="false" customHeight="false" outlineLevel="0" collapsed="false">
      <c r="B87" s="28" t="s">
        <v>840</v>
      </c>
      <c r="C87" s="48" t="n">
        <v>-39</v>
      </c>
      <c r="D87" s="48" t="n">
        <v>-57</v>
      </c>
      <c r="E87" s="48" t="n">
        <v>-64</v>
      </c>
      <c r="F87" s="48" t="n">
        <v>-45</v>
      </c>
      <c r="G87" s="48" t="n">
        <v>-59</v>
      </c>
      <c r="H87" s="48" t="n">
        <v>-59</v>
      </c>
      <c r="I87" s="48" t="n">
        <v>-60</v>
      </c>
      <c r="J87" s="49" t="n">
        <f aca="false">-J73*0.009</f>
        <v>-64.26</v>
      </c>
      <c r="K87" s="49" t="n">
        <f aca="false">-K73*0.009</f>
        <v>-67.473</v>
      </c>
      <c r="L87" s="49" t="n">
        <f aca="false">-L73*0.009</f>
        <v>-70.84665</v>
      </c>
      <c r="M87" s="49" t="n">
        <f aca="false">-M73*0.009</f>
        <v>-74.3889825</v>
      </c>
    </row>
    <row r="88" customFormat="false" ht="15" hidden="false" customHeight="false" outlineLevel="0" collapsed="false">
      <c r="B88" s="28" t="s">
        <v>841</v>
      </c>
      <c r="C88" s="48" t="n">
        <v>155</v>
      </c>
      <c r="D88" s="48" t="n">
        <v>310</v>
      </c>
      <c r="E88" s="48" t="n">
        <v>89</v>
      </c>
      <c r="F88" s="48" t="n">
        <v>-12</v>
      </c>
      <c r="G88" s="48" t="n">
        <v>51</v>
      </c>
      <c r="H88" s="48" t="n">
        <v>-17</v>
      </c>
    </row>
    <row r="89" customFormat="false" ht="15" hidden="false" customHeight="false" outlineLevel="0" collapsed="false">
      <c r="B89" s="28" t="s">
        <v>842</v>
      </c>
      <c r="C89" s="48" t="n">
        <v>-29</v>
      </c>
      <c r="D89" s="48" t="n">
        <v>357</v>
      </c>
      <c r="E89" s="48" t="n">
        <v>354</v>
      </c>
      <c r="F89" s="48" t="n">
        <v>333</v>
      </c>
      <c r="G89" s="48" t="n">
        <v>387</v>
      </c>
    </row>
    <row r="90" customFormat="false" ht="15" hidden="false" customHeight="false" outlineLevel="0" collapsed="false">
      <c r="B90" s="28" t="s">
        <v>843</v>
      </c>
      <c r="D90" s="57" t="n">
        <v>116.4</v>
      </c>
      <c r="E90" s="57" t="n">
        <v>117.026</v>
      </c>
      <c r="F90" s="57" t="n">
        <v>162.517</v>
      </c>
      <c r="G90" s="57" t="n">
        <v>164.16</v>
      </c>
    </row>
    <row r="91" customFormat="false" ht="15" hidden="false" customHeight="false" outlineLevel="0" collapsed="false">
      <c r="B91" s="75" t="s">
        <v>844</v>
      </c>
      <c r="I91" s="152" t="n">
        <f aca="false">I77+I87-MAX(0,I81)*$C$53</f>
        <v>59.24</v>
      </c>
      <c r="J91" s="152" t="n">
        <f aca="false">J77+J87-MAX(0,J81)*$C$53</f>
        <v>103.3872</v>
      </c>
      <c r="K91" s="152" t="n">
        <f aca="false">K77+K87-MAX(0,K81)*$C$53</f>
        <v>131.34744</v>
      </c>
      <c r="L91" s="152" t="n">
        <f aca="false">L77+L87-MAX(0,L81)*$C$53</f>
        <v>161.845236</v>
      </c>
      <c r="M91" s="152" t="n">
        <f aca="false">M77+M87-MAX(0,M81)*$C$53</f>
        <v>195.064443</v>
      </c>
    </row>
    <row r="93" customFormat="false" ht="15" hidden="false" customHeight="false" outlineLevel="0" collapsed="false">
      <c r="B93" s="8" t="s">
        <v>845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8" t="s">
        <v>775</v>
      </c>
    </row>
    <row r="94" customFormat="false" ht="15" hidden="false" customHeight="false" outlineLevel="0" collapsed="false">
      <c r="B94" s="28" t="s">
        <v>846</v>
      </c>
      <c r="J94" s="27" t="n">
        <f aca="false">$C$10</f>
        <v>0.504109589041096</v>
      </c>
      <c r="K94" s="27" t="n">
        <f aca="false">1</f>
        <v>1</v>
      </c>
      <c r="L94" s="27" t="n">
        <f aca="false">1</f>
        <v>1</v>
      </c>
      <c r="M94" s="27" t="n">
        <f aca="false">1</f>
        <v>1</v>
      </c>
    </row>
    <row r="95" customFormat="false" ht="15" hidden="false" customHeight="false" outlineLevel="0" collapsed="false">
      <c r="B95" s="28" t="s">
        <v>847</v>
      </c>
      <c r="J95" s="154" t="n">
        <f aca="false">CHOOSE(MATCH(Model!$CF$2,{"Bull","Base","Bear"},0),$R$7,$S$7,$T$7)</f>
        <v>300</v>
      </c>
      <c r="K95" s="154" t="n">
        <f aca="false">CHOOSE(MATCH(Model!$CF$2,{"Bull","Base","Bear"},0),$R$7,$S$7,$T$7)</f>
        <v>300</v>
      </c>
      <c r="L95" s="154" t="n">
        <f aca="false">CHOOSE(MATCH(Model!$CF$2,{"Bull","Base","Bear"},0),$R$7,$S$7,$T$7)</f>
        <v>300</v>
      </c>
      <c r="M95" s="154" t="n">
        <f aca="false">CHOOSE(MATCH(Model!$CF$2,{"Bull","Base","Bear"},0),$R$7,$S$7,$T$7)</f>
        <v>300</v>
      </c>
    </row>
    <row r="96" customFormat="false" ht="15" hidden="false" customHeight="false" outlineLevel="0" collapsed="false">
      <c r="B96" s="25" t="s">
        <v>848</v>
      </c>
      <c r="J96" s="153" t="n">
        <f aca="false">CHOOSE(MATCH(Model!$CF$2,{"Bull","Base","Bear"},0),$R$8,$S$8,$T$8)</f>
        <v>0.2</v>
      </c>
      <c r="K96" s="153" t="n">
        <f aca="false">CHOOSE(MATCH(Model!$CF$2,{"Bull","Base","Bear"},0),$R$9,$S$9,$T$9)</f>
        <v>0.75</v>
      </c>
      <c r="L96" s="153" t="n">
        <f aca="false">CHOOSE(MATCH(Model!$CF$2,{"Bull","Base","Bear"},0),$R$10,$S$10,$T$10)</f>
        <v>1</v>
      </c>
      <c r="M96" s="153" t="n">
        <f aca="false">CHOOSE(MATCH(Model!$CF$2,{"Bull","Base","Bear"},0),$R$11,$S$11,$T$11)</f>
        <v>1</v>
      </c>
    </row>
    <row r="97" customFormat="false" ht="15" hidden="false" customHeight="false" outlineLevel="0" collapsed="false">
      <c r="B97" s="75" t="s">
        <v>849</v>
      </c>
      <c r="J97" s="152" t="n">
        <f aca="false">J95*J96*J94</f>
        <v>30.2465753424658</v>
      </c>
      <c r="K97" s="152" t="n">
        <f aca="false">K95*K96*K94</f>
        <v>225</v>
      </c>
      <c r="L97" s="152" t="n">
        <f aca="false">L95*L96*L94</f>
        <v>300</v>
      </c>
      <c r="M97" s="152" t="n">
        <f aca="false">M95*M96*M94</f>
        <v>300</v>
      </c>
      <c r="O97" s="136" t="s">
        <v>850</v>
      </c>
    </row>
    <row r="98" customFormat="false" ht="15" hidden="false" customHeight="false" outlineLevel="0" collapsed="false">
      <c r="B98" s="25" t="s">
        <v>851</v>
      </c>
      <c r="J98" s="35" t="n">
        <v>0.35</v>
      </c>
      <c r="K98" s="35" t="n">
        <v>0.45</v>
      </c>
      <c r="L98" s="35" t="n">
        <v>0.2</v>
      </c>
      <c r="M98" s="35" t="n">
        <v>0</v>
      </c>
    </row>
    <row r="99" customFormat="false" ht="15" hidden="false" customHeight="false" outlineLevel="0" collapsed="false">
      <c r="B99" s="28" t="s">
        <v>852</v>
      </c>
      <c r="J99" s="154" t="n">
        <f aca="false">J95*CHOOSE(MATCH(Model!$CF$2,{"Bull","Base","Bear"},0),$R$15,$S$15,$T$15)*J98</f>
        <v>105</v>
      </c>
      <c r="K99" s="154" t="n">
        <f aca="false">K95*CHOOSE(MATCH(Model!$CF$2,{"Bull","Base","Bear"},0),$R$15,$S$15,$T$15)*K98</f>
        <v>135</v>
      </c>
      <c r="L99" s="154" t="n">
        <f aca="false">L95*CHOOSE(MATCH(Model!$CF$2,{"Bull","Base","Bear"},0),$R$15,$S$15,$T$15)*L98</f>
        <v>60</v>
      </c>
      <c r="M99" s="154" t="n">
        <f aca="false">M95*CHOOSE(MATCH(Model!$CF$2,{"Bull","Base","Bear"},0),$R$15,$S$15,$T$15)*M98</f>
        <v>0</v>
      </c>
      <c r="O99" s="136" t="s">
        <v>853</v>
      </c>
    </row>
    <row r="100" customFormat="false" ht="15" hidden="false" customHeight="false" outlineLevel="0" collapsed="false">
      <c r="B100" s="28" t="s">
        <v>854</v>
      </c>
      <c r="J100" s="49" t="n">
        <f aca="false">$C$40+$C$39</f>
        <v>114</v>
      </c>
      <c r="K100" s="48" t="n">
        <v>0</v>
      </c>
      <c r="L100" s="48" t="n">
        <v>0</v>
      </c>
      <c r="M100" s="48" t="n">
        <v>0</v>
      </c>
    </row>
    <row r="102" customFormat="false" ht="15" hidden="false" customHeight="false" outlineLevel="0" collapsed="false">
      <c r="B102" s="8" t="s">
        <v>855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8" t="s">
        <v>775</v>
      </c>
    </row>
    <row r="103" customFormat="false" ht="15" hidden="false" customHeight="false" outlineLevel="0" collapsed="false">
      <c r="B103" s="15" t="s">
        <v>856</v>
      </c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</row>
    <row r="104" customFormat="false" ht="15" hidden="false" customHeight="false" outlineLevel="0" collapsed="false">
      <c r="B104" s="28" t="s">
        <v>857</v>
      </c>
      <c r="I104" s="154" t="n">
        <f aca="false">Model!CA125</f>
        <v>18797.3124011199</v>
      </c>
      <c r="J104" s="154" t="n">
        <f aca="false">Model!CB125</f>
        <v>19741.0321325419</v>
      </c>
      <c r="K104" s="154" t="n">
        <f aca="false">Model!CC125</f>
        <v>20378.5189157288</v>
      </c>
      <c r="L104" s="154" t="n">
        <f aca="false">Model!CD125</f>
        <v>21048.013970395</v>
      </c>
      <c r="M104" s="154" t="n">
        <f aca="false">Model!CE125</f>
        <v>22335.6781215865</v>
      </c>
    </row>
    <row r="105" customFormat="false" ht="15" hidden="false" customHeight="false" outlineLevel="0" collapsed="false">
      <c r="B105" s="28" t="s">
        <v>858</v>
      </c>
      <c r="I105" s="154" t="n">
        <f aca="false">Model!CA133</f>
        <v>2869.91082353162</v>
      </c>
      <c r="J105" s="154" t="n">
        <f aca="false">Model!CB133</f>
        <v>3030.60532499074</v>
      </c>
      <c r="K105" s="154" t="n">
        <f aca="false">Model!CC133</f>
        <v>3219.1046077979</v>
      </c>
      <c r="L105" s="154" t="n">
        <f aca="false">Model!CD133</f>
        <v>3407.78341439865</v>
      </c>
      <c r="M105" s="154" t="n">
        <f aca="false">Model!CE133</f>
        <v>3611.90358392931</v>
      </c>
    </row>
    <row r="106" customFormat="false" ht="15" hidden="false" customHeight="false" outlineLevel="0" collapsed="false">
      <c r="B106" s="28" t="s">
        <v>859</v>
      </c>
      <c r="I106" s="154" t="n">
        <f aca="false">Model!CA193</f>
        <v>1094.42198406334</v>
      </c>
      <c r="J106" s="154" t="n">
        <f aca="false">Model!CB193</f>
        <v>1204.02781472398</v>
      </c>
      <c r="K106" s="154" t="n">
        <f aca="false">Model!CC193</f>
        <v>1307.94281887168</v>
      </c>
      <c r="L106" s="154" t="n">
        <f aca="false">Model!CD193</f>
        <v>1406.6292246317</v>
      </c>
      <c r="M106" s="154" t="n">
        <f aca="false">Model!CE193</f>
        <v>1495.31630825442</v>
      </c>
    </row>
    <row r="107" customFormat="false" ht="15" hidden="false" customHeight="false" outlineLevel="0" collapsed="false">
      <c r="B107" s="28" t="s">
        <v>860</v>
      </c>
      <c r="I107" s="154" t="n">
        <f aca="false">Model!CA181</f>
        <v>1002</v>
      </c>
      <c r="J107" s="154" t="n">
        <f aca="false">Model!CB181</f>
        <v>1097.9566283493</v>
      </c>
      <c r="K107" s="154" t="n">
        <f aca="false">Model!CC181</f>
        <v>1194.14915759875</v>
      </c>
      <c r="L107" s="154" t="n">
        <f aca="false">Model!CD181</f>
        <v>1283.45430512775</v>
      </c>
      <c r="M107" s="154" t="n">
        <f aca="false">Model!CE181</f>
        <v>1361.71108281689</v>
      </c>
    </row>
    <row r="108" customFormat="false" ht="15" hidden="false" customHeight="false" outlineLevel="0" collapsed="false">
      <c r="B108" s="28" t="s">
        <v>861</v>
      </c>
      <c r="I108" s="154" t="n">
        <f aca="false">Model!CA209</f>
        <v>758.16348</v>
      </c>
      <c r="J108" s="154" t="n">
        <f aca="false">Model!CB209</f>
        <v>829.79979227077</v>
      </c>
      <c r="K108" s="154" t="n">
        <f aca="false">Model!CC209</f>
        <v>896.522032694338</v>
      </c>
      <c r="L108" s="154" t="n">
        <f aca="false">Model!CD209</f>
        <v>960.914103024663</v>
      </c>
      <c r="M108" s="154" t="n">
        <f aca="false">Model!CE209</f>
        <v>1018.93060730814</v>
      </c>
    </row>
    <row r="109" customFormat="false" ht="15" hidden="false" customHeight="false" outlineLevel="0" collapsed="false">
      <c r="B109" s="28" t="s">
        <v>837</v>
      </c>
      <c r="I109" s="154" t="n">
        <f aca="false">Model!CA149</f>
        <v>716.93424</v>
      </c>
      <c r="J109" s="154" t="n">
        <f aca="false">Model!CB149</f>
        <v>829.79979227077</v>
      </c>
      <c r="K109" s="154" t="n">
        <f aca="false">Model!CC149</f>
        <v>896.522032694338</v>
      </c>
      <c r="L109" s="154" t="n">
        <f aca="false">Model!CD149</f>
        <v>960.914103024663</v>
      </c>
      <c r="M109" s="154" t="n">
        <f aca="false">Model!CE149</f>
        <v>1018.93060730814</v>
      </c>
    </row>
    <row r="110" customFormat="false" ht="15" hidden="false" customHeight="false" outlineLevel="0" collapsed="false">
      <c r="B110" s="28" t="s">
        <v>862</v>
      </c>
      <c r="I110" s="155" t="n">
        <f aca="false">Model!CA156</f>
        <v>119.729240913879</v>
      </c>
      <c r="J110" s="155" t="n">
        <f aca="false">Model!CB156</f>
        <v>114.614733773367</v>
      </c>
      <c r="K110" s="155" t="n">
        <f aca="false">Model!CC156</f>
        <v>110.690655754014</v>
      </c>
      <c r="L110" s="155" t="n">
        <f aca="false">Model!CD156</f>
        <v>107.437347478512</v>
      </c>
      <c r="M110" s="155" t="n">
        <f aca="false">Model!CE156</f>
        <v>104.342311936871</v>
      </c>
    </row>
    <row r="111" customFormat="false" ht="15" hidden="false" customHeight="false" outlineLevel="0" collapsed="false">
      <c r="B111" s="75" t="s">
        <v>863</v>
      </c>
      <c r="I111" s="156" t="n">
        <f aca="false">Model!CA211</f>
        <v>6.33231676917874</v>
      </c>
      <c r="J111" s="156" t="n">
        <f aca="false">Model!CB211</f>
        <v>7.23990507111912</v>
      </c>
      <c r="K111" s="156" t="n">
        <f aca="false">Model!CC211</f>
        <v>8.09934701883653</v>
      </c>
      <c r="L111" s="156" t="n">
        <f aca="false">Model!CD211</f>
        <v>8.94394850186381</v>
      </c>
      <c r="M111" s="156" t="n">
        <f aca="false">Model!CE211</f>
        <v>9.76526768857306</v>
      </c>
    </row>
    <row r="112" customFormat="false" ht="15" hidden="false" customHeight="false" outlineLevel="0" collapsed="false">
      <c r="B112" s="28" t="s">
        <v>864</v>
      </c>
      <c r="I112" s="154" t="n">
        <f aca="false">Model!CA389</f>
        <v>1291.65350560939</v>
      </c>
      <c r="J112" s="154" t="n">
        <f aca="false">Model!CB389</f>
        <v>1505.03476840497</v>
      </c>
      <c r="K112" s="154" t="n">
        <f aca="false">Model!CC389</f>
        <v>1634.9285235896</v>
      </c>
      <c r="L112" s="154" t="n">
        <f aca="false">Model!CD389</f>
        <v>1758.28653078962</v>
      </c>
      <c r="M112" s="154" t="n">
        <f aca="false">Model!CE389</f>
        <v>1869.14538531802</v>
      </c>
    </row>
    <row r="113" customFormat="false" ht="15" hidden="false" customHeight="false" outlineLevel="0" collapsed="false">
      <c r="B113" s="28" t="s">
        <v>865</v>
      </c>
      <c r="I113" s="154" t="n">
        <f aca="false">Model!CA264</f>
        <v>703.855231493588</v>
      </c>
      <c r="J113" s="154" t="n">
        <f aca="false">Model!CB264</f>
        <v>949.139711500757</v>
      </c>
      <c r="K113" s="154" t="n">
        <f aca="false">Model!CC264</f>
        <v>988.099609838805</v>
      </c>
      <c r="L113" s="154" t="n">
        <f aca="false">Model!CD264</f>
        <v>1061.15408334478</v>
      </c>
      <c r="M113" s="154" t="n">
        <f aca="false">Model!CE264</f>
        <v>1098.18173959937</v>
      </c>
    </row>
    <row r="114" customFormat="false" ht="15" hidden="false" customHeight="false" outlineLevel="0" collapsed="false">
      <c r="B114" s="28" t="s">
        <v>866</v>
      </c>
      <c r="I114" s="154" t="n">
        <f aca="false">Model!CA248</f>
        <v>-78.948</v>
      </c>
      <c r="J114" s="154" t="n">
        <f aca="false">Model!CB248</f>
        <v>-0</v>
      </c>
      <c r="K114" s="154" t="n">
        <f aca="false">Model!CC248</f>
        <v>-100</v>
      </c>
      <c r="L114" s="154" t="n">
        <f aca="false">Model!CD248</f>
        <v>-150</v>
      </c>
      <c r="M114" s="154" t="n">
        <f aca="false">Model!CE248</f>
        <v>-150</v>
      </c>
    </row>
    <row r="115" customFormat="false" ht="15" hidden="false" customHeight="false" outlineLevel="0" collapsed="false">
      <c r="B115" s="28" t="s">
        <v>867</v>
      </c>
      <c r="I115" s="154" t="n">
        <f aca="false">Model!CA254</f>
        <v>-298.715737102976</v>
      </c>
      <c r="J115" s="154" t="n">
        <f aca="false">Model!CB254</f>
        <v>-300.484730864261</v>
      </c>
      <c r="K115" s="154" t="n">
        <f aca="false">Model!CC254</f>
        <v>-297.456743753045</v>
      </c>
      <c r="L115" s="154" t="n">
        <f aca="false">Model!CD254</f>
        <v>-297.173003124554</v>
      </c>
      <c r="M115" s="154" t="n">
        <f aca="false">Model!CE254</f>
        <v>-297.117258733959</v>
      </c>
    </row>
    <row r="116" customFormat="false" ht="15" hidden="false" customHeight="false" outlineLevel="0" collapsed="false">
      <c r="B116" s="28" t="s">
        <v>868</v>
      </c>
      <c r="I116" s="157" t="n">
        <f aca="false">Model!CA161</f>
        <v>2.52</v>
      </c>
      <c r="J116" s="157" t="n">
        <f aca="false">Model!CB161</f>
        <v>2.5956</v>
      </c>
      <c r="K116" s="157" t="n">
        <f aca="false">Model!CC161</f>
        <v>2.673468</v>
      </c>
      <c r="L116" s="157" t="n">
        <f aca="false">Model!CD161</f>
        <v>2.75367204</v>
      </c>
      <c r="M116" s="157" t="n">
        <f aca="false">Model!CE161</f>
        <v>2.8362822012</v>
      </c>
    </row>
    <row r="117" customFormat="false" ht="15" hidden="false" customHeight="false" outlineLevel="0" collapsed="false">
      <c r="B117" s="28" t="s">
        <v>869</v>
      </c>
      <c r="I117" s="154" t="n">
        <f aca="false">Model!CA357</f>
        <v>250</v>
      </c>
      <c r="J117" s="154" t="n">
        <f aca="false">Model!CB357</f>
        <v>862.036243432077</v>
      </c>
      <c r="K117" s="154" t="n">
        <f aca="false">Model!CC357</f>
        <v>720.536621270391</v>
      </c>
      <c r="L117" s="154" t="n">
        <f aca="false">Model!CD357</f>
        <v>737.339087420252</v>
      </c>
      <c r="M117" s="154" t="n">
        <f aca="false">Model!CE357</f>
        <v>761.923335393804</v>
      </c>
    </row>
    <row r="118" customFormat="false" ht="15" hidden="false" customHeight="false" outlineLevel="0" collapsed="false">
      <c r="B118" s="28" t="s">
        <v>870</v>
      </c>
      <c r="I118" s="157" t="n">
        <f aca="false">Model!CA356</f>
        <v>151.88</v>
      </c>
      <c r="J118" s="157" t="n">
        <f aca="false">Model!CB356</f>
        <v>162.5116</v>
      </c>
      <c r="K118" s="157" t="n">
        <f aca="false">Model!CC356</f>
        <v>173.887412</v>
      </c>
      <c r="L118" s="157" t="n">
        <f aca="false">Model!CD356</f>
        <v>186.05953084</v>
      </c>
      <c r="M118" s="157" t="n">
        <f aca="false">Model!CE356</f>
        <v>199.0836979988</v>
      </c>
    </row>
    <row r="119" customFormat="false" ht="15" hidden="false" customHeight="false" outlineLevel="0" collapsed="false">
      <c r="B119" s="15" t="s">
        <v>871</v>
      </c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</row>
    <row r="120" customFormat="false" ht="15" hidden="false" customHeight="false" outlineLevel="0" collapsed="false">
      <c r="B120" s="28" t="s">
        <v>872</v>
      </c>
      <c r="J120" s="49" t="n">
        <f aca="false">J73*J94</f>
        <v>3599.34246575343</v>
      </c>
      <c r="K120" s="49" t="n">
        <f aca="false">K73*K94</f>
        <v>7497</v>
      </c>
      <c r="L120" s="49" t="n">
        <f aca="false">L73*L94</f>
        <v>7871.85</v>
      </c>
      <c r="M120" s="49" t="n">
        <f aca="false">M73*M94</f>
        <v>8265.4425</v>
      </c>
    </row>
    <row r="121" customFormat="false" ht="15" hidden="false" customHeight="false" outlineLevel="0" collapsed="false">
      <c r="B121" s="28" t="s">
        <v>873</v>
      </c>
      <c r="J121" s="49" t="n">
        <f aca="false">J77*J94</f>
        <v>93.582904109589</v>
      </c>
      <c r="K121" s="49" t="n">
        <f aca="false">K77*K94</f>
        <v>224.91</v>
      </c>
      <c r="L121" s="49" t="n">
        <f aca="false">L77*L94</f>
        <v>267.6429</v>
      </c>
      <c r="M121" s="49" t="n">
        <f aca="false">M77*M94</f>
        <v>314.086815</v>
      </c>
    </row>
    <row r="122" customFormat="false" ht="15" hidden="false" customHeight="false" outlineLevel="0" collapsed="false">
      <c r="B122" s="28" t="s">
        <v>874</v>
      </c>
      <c r="J122" s="49" t="n">
        <f aca="false">J81*J94</f>
        <v>37.793095890411</v>
      </c>
      <c r="K122" s="49" t="n">
        <f aca="false">K81*K94</f>
        <v>108.7065</v>
      </c>
      <c r="L122" s="49" t="n">
        <f aca="false">L81*L94</f>
        <v>145.629225</v>
      </c>
      <c r="M122" s="49" t="n">
        <f aca="false">M81*M94</f>
        <v>185.97245625</v>
      </c>
    </row>
    <row r="123" customFormat="false" ht="15" hidden="false" customHeight="false" outlineLevel="0" collapsed="false">
      <c r="B123" s="28" t="s">
        <v>875</v>
      </c>
      <c r="J123" s="49" t="n">
        <f aca="false">J97</f>
        <v>30.2465753424658</v>
      </c>
      <c r="K123" s="49" t="n">
        <f aca="false">K97</f>
        <v>225</v>
      </c>
      <c r="L123" s="49" t="n">
        <f aca="false">L97</f>
        <v>300</v>
      </c>
      <c r="M123" s="49" t="n">
        <f aca="false">M97</f>
        <v>300</v>
      </c>
    </row>
    <row r="124" customFormat="false" ht="15" hidden="false" customHeight="false" outlineLevel="0" collapsed="false">
      <c r="B124" s="28" t="s">
        <v>876</v>
      </c>
      <c r="J124" s="49" t="n">
        <f aca="false">-$C$45*$C$52*J94</f>
        <v>-94.5372165020548</v>
      </c>
      <c r="K124" s="49" t="n">
        <f aca="false">-(J141-J112)*$C$52</f>
        <v>-147.998482276878</v>
      </c>
      <c r="L124" s="49" t="n">
        <f aca="false">-(K141-K112)*$C$52</f>
        <v>-108.372531393636</v>
      </c>
      <c r="M124" s="49" t="n">
        <f aca="false">-(L141-L112)*$C$52</f>
        <v>-113.072054716209</v>
      </c>
      <c r="O124" s="136" t="s">
        <v>877</v>
      </c>
    </row>
    <row r="125" customFormat="false" ht="15" hidden="false" customHeight="false" outlineLevel="0" collapsed="false">
      <c r="B125" s="28" t="s">
        <v>878</v>
      </c>
      <c r="J125" s="49" t="n">
        <f aca="false">-$C$65*J94</f>
        <v>-50.4109589041096</v>
      </c>
      <c r="K125" s="49" t="n">
        <f aca="false">-$C$65*K94</f>
        <v>-100</v>
      </c>
      <c r="L125" s="49" t="n">
        <f aca="false">-$C$65*L94</f>
        <v>-100</v>
      </c>
      <c r="M125" s="49" t="n">
        <f aca="false">-$C$65*M94</f>
        <v>-100</v>
      </c>
    </row>
    <row r="126" customFormat="false" ht="15" hidden="false" customHeight="false" outlineLevel="0" collapsed="false">
      <c r="B126" s="15" t="s">
        <v>879</v>
      </c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</row>
    <row r="127" customFormat="false" ht="15" hidden="false" customHeight="false" outlineLevel="0" collapsed="false">
      <c r="B127" s="75" t="s">
        <v>880</v>
      </c>
      <c r="J127" s="152" t="n">
        <f aca="false">J104+J120</f>
        <v>23340.3745982953</v>
      </c>
      <c r="K127" s="152" t="n">
        <f aca="false">K104+K120</f>
        <v>27875.5189157288</v>
      </c>
      <c r="L127" s="152" t="n">
        <f aca="false">L104+L120</f>
        <v>28919.863970395</v>
      </c>
      <c r="M127" s="152" t="n">
        <f aca="false">M104+M120</f>
        <v>30601.1206215865</v>
      </c>
    </row>
    <row r="128" customFormat="false" ht="15" hidden="false" customHeight="false" outlineLevel="0" collapsed="false">
      <c r="B128" s="109" t="s">
        <v>881</v>
      </c>
      <c r="J128" s="146" t="n">
        <f aca="false">J106+J121+J123</f>
        <v>1327.85729417603</v>
      </c>
      <c r="K128" s="146" t="n">
        <f aca="false">K106+K121+K123</f>
        <v>1757.85281887168</v>
      </c>
      <c r="L128" s="146" t="n">
        <f aca="false">L106+L121+L123</f>
        <v>1974.2721246317</v>
      </c>
      <c r="M128" s="146" t="n">
        <f aca="false">M106+M121+M123</f>
        <v>2109.40312325442</v>
      </c>
    </row>
    <row r="129" customFormat="false" ht="15" hidden="false" customHeight="false" outlineLevel="0" collapsed="false">
      <c r="B129" s="28" t="s">
        <v>882</v>
      </c>
      <c r="J129" s="49" t="n">
        <f aca="false">J106+J77+J95*J96</f>
        <v>1449.66781472398</v>
      </c>
      <c r="K129" s="49" t="n">
        <f aca="false">K106+K77+K95*K96</f>
        <v>1757.85281887168</v>
      </c>
      <c r="L129" s="49" t="n">
        <f aca="false">L106+L77+L95*L96</f>
        <v>1974.2721246317</v>
      </c>
      <c r="M129" s="49" t="n">
        <f aca="false">M106+M77+M95*M96</f>
        <v>2109.40312325442</v>
      </c>
    </row>
    <row r="130" customFormat="false" ht="15" hidden="false" customHeight="false" outlineLevel="0" collapsed="false">
      <c r="B130" s="75" t="s">
        <v>883</v>
      </c>
      <c r="J130" s="152" t="n">
        <f aca="false">J108+(J122+J123+J124)*(1-$C$53)</f>
        <v>809.661657866195</v>
      </c>
      <c r="K130" s="152" t="n">
        <f aca="false">K108+(K122+K123+K124)*(1-$C$53)</f>
        <v>1037.66012616391</v>
      </c>
      <c r="L130" s="152" t="n">
        <f aca="false">L108+(L122+L123+L124)*(1-$C$53)</f>
        <v>1217.2291901655</v>
      </c>
      <c r="M130" s="152" t="n">
        <f aca="false">M108+(M122+M123+M124)*(1-$C$53)</f>
        <v>1302.33491247382</v>
      </c>
      <c r="O130" s="136" t="s">
        <v>884</v>
      </c>
    </row>
    <row r="131" customFormat="false" ht="15" hidden="false" customHeight="false" outlineLevel="0" collapsed="false">
      <c r="B131" s="28" t="s">
        <v>885</v>
      </c>
      <c r="J131" s="49" t="n">
        <f aca="false">J109+(J122+J123+J124+J125-J99-J100)*(1-$C$53)</f>
        <v>604.909329099072</v>
      </c>
      <c r="K131" s="49" t="n">
        <f aca="false">K109+(K122+K123+K124+K125-K99-K100)*(1-$C$53)</f>
        <v>859.060126163911</v>
      </c>
      <c r="L131" s="49" t="n">
        <f aca="false">L109+(L122+L123+L124+L125-L99-L100)*(1-$C$53)</f>
        <v>1095.6291901655</v>
      </c>
      <c r="M131" s="49" t="n">
        <f aca="false">M109+(M122+M123+M124+M125-M99-M100)*(1-$C$53)</f>
        <v>1226.33491247382</v>
      </c>
    </row>
    <row r="132" customFormat="false" ht="15" hidden="false" customHeight="false" outlineLevel="0" collapsed="false">
      <c r="B132" s="15" t="s">
        <v>886</v>
      </c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</row>
    <row r="133" customFormat="false" ht="15" hidden="false" customHeight="false" outlineLevel="0" collapsed="false">
      <c r="B133" s="28" t="s">
        <v>887</v>
      </c>
      <c r="J133" s="59" t="n">
        <f aca="false">$C$21*J94</f>
        <v>7.58621252383562</v>
      </c>
      <c r="K133" s="59" t="n">
        <f aca="false">$C$21*K94</f>
        <v>15.0487368</v>
      </c>
      <c r="L133" s="59" t="n">
        <f aca="false">$C$21*L94</f>
        <v>15.0487368</v>
      </c>
      <c r="M133" s="59" t="n">
        <f aca="false">$C$21*M94</f>
        <v>15.0487368</v>
      </c>
    </row>
    <row r="134" customFormat="false" ht="15" hidden="false" customHeight="false" outlineLevel="0" collapsed="false">
      <c r="B134" s="28" t="s">
        <v>888</v>
      </c>
      <c r="J134" s="154" t="n">
        <f aca="false">J117*(1-(1-J94)*CHOOSE(MATCH(Model!$CF$2,{"Bull","Base","Bear"},0),$R$16,$S$16,$T$16))</f>
        <v>862.036243432077</v>
      </c>
      <c r="K134" s="49" t="n">
        <f aca="false">K117</f>
        <v>720.536621270391</v>
      </c>
      <c r="L134" s="49" t="n">
        <f aca="false">L117</f>
        <v>737.339087420252</v>
      </c>
      <c r="M134" s="49" t="n">
        <f aca="false">M117</f>
        <v>761.923335393804</v>
      </c>
    </row>
    <row r="135" customFormat="false" ht="15" hidden="false" customHeight="false" outlineLevel="0" collapsed="false">
      <c r="B135" s="28" t="s">
        <v>889</v>
      </c>
      <c r="J135" s="154" t="n">
        <f aca="false">MAX(0,CHOOSE(MATCH(Model!$CF$2,{"Bull","Base","Bear"},0),$R$17,$S$17,$T$17)*J129-J140)</f>
        <v>0</v>
      </c>
      <c r="K135" s="154" t="n">
        <f aca="false">MAX(0,CHOOSE(MATCH(Model!$CF$2,{"Bull","Base","Bear"},0),$R$17,$S$17,$T$17)*K129-K140)</f>
        <v>0</v>
      </c>
      <c r="L135" s="154" t="n">
        <f aca="false">MAX(0,CHOOSE(MATCH(Model!$CF$2,{"Bull","Base","Bear"},0),$R$17,$S$17,$T$17)*L129-L140)</f>
        <v>1048.81384256416</v>
      </c>
      <c r="M135" s="154" t="n">
        <f aca="false">MAX(0,CHOOSE(MATCH(Model!$CF$2,{"Bull","Base","Bear"},0),$R$17,$S$17,$T$17)*M129-M140)</f>
        <v>1215.77369519014</v>
      </c>
    </row>
    <row r="136" customFormat="false" ht="15" hidden="false" customHeight="false" outlineLevel="0" collapsed="false">
      <c r="B136" s="28" t="s">
        <v>890</v>
      </c>
      <c r="J136" s="59" t="n">
        <f aca="false">(J134-J135)/J118*0.5</f>
        <v>2.65222988215019</v>
      </c>
      <c r="K136" s="59" t="n">
        <f aca="false">J136+((J134-J135)/J118)*0.5+((K134-K135)/K118)*0.5</f>
        <v>7.37630790150306</v>
      </c>
      <c r="L136" s="59" t="n">
        <f aca="false">K136+((K134-K135)/K118)*0.5+((L134-L135)/L118)*0.5</f>
        <v>8.61112620815179</v>
      </c>
      <c r="M136" s="59" t="n">
        <f aca="false">L136+((L134-L135)/L118)*0.5+((M134-M135)/M118)*0.5</f>
        <v>6.63424825251663</v>
      </c>
    </row>
    <row r="137" customFormat="false" ht="15" hidden="false" customHeight="false" outlineLevel="0" collapsed="false">
      <c r="B137" s="75" t="s">
        <v>891</v>
      </c>
      <c r="J137" s="158" t="n">
        <f aca="false">J110+J133+J136</f>
        <v>124.853176179353</v>
      </c>
      <c r="K137" s="158" t="n">
        <f aca="false">K110+K133+K136</f>
        <v>133.115700455518</v>
      </c>
      <c r="L137" s="158" t="n">
        <f aca="false">L110+L133+L136</f>
        <v>131.097210486664</v>
      </c>
      <c r="M137" s="158" t="n">
        <f aca="false">M110+M133+M136</f>
        <v>126.025296989388</v>
      </c>
    </row>
    <row r="138" customFormat="false" ht="15" hidden="false" customHeight="false" outlineLevel="0" collapsed="false">
      <c r="B138" s="28" t="s">
        <v>892</v>
      </c>
      <c r="J138" s="49" t="n">
        <f aca="false">J115-J116*$C$21*J94</f>
        <v>-320.175504091129</v>
      </c>
      <c r="K138" s="49" t="n">
        <f aca="false">K115-K116*$C$21*K94</f>
        <v>-337.689060028267</v>
      </c>
      <c r="L138" s="49" t="n">
        <f aca="false">L115-L116*$C$21*L94</f>
        <v>-338.612288888033</v>
      </c>
      <c r="M138" s="49" t="n">
        <f aca="false">M115-M116*$C$21*M94</f>
        <v>-339.799723070343</v>
      </c>
    </row>
    <row r="139" customFormat="false" ht="15" hidden="false" customHeight="false" outlineLevel="0" collapsed="false">
      <c r="B139" s="15" t="s">
        <v>893</v>
      </c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</row>
    <row r="140" customFormat="false" ht="15" hidden="false" customHeight="false" outlineLevel="0" collapsed="false">
      <c r="B140" s="28" t="s">
        <v>894</v>
      </c>
      <c r="J140" s="154" t="n">
        <f aca="false">I112+$C$45-(J113+J114+J138-J117*(1-J94)*CHOOSE(MATCH(Model!$CF$2,{"Bull","Base","Bear"},0),$R$16,$S$16,$T$16)+J91*J94+(J123+J124-J99)*(1-$C$53))</f>
        <v>4371.83345657694</v>
      </c>
      <c r="K140" s="49" t="n">
        <f aca="false">J141-(K113+K114+K138+K91+(K123+K124-K99)*(1-$C$53))</f>
        <v>3734.15431329683</v>
      </c>
      <c r="L140" s="49" t="n">
        <f aca="false">K141-(L113+L114+L138+L91+(L123+L124-L99)*(1-$C$53))</f>
        <v>2899.73040669924</v>
      </c>
      <c r="M140" s="49" t="n">
        <f aca="false">L141-(M113+M114+M138+M91+(M123+M124-M99)*(1-$C$53))</f>
        <v>3003.03255131869</v>
      </c>
      <c r="O140" s="136" t="s">
        <v>895</v>
      </c>
    </row>
    <row r="141" customFormat="false" ht="15" hidden="false" customHeight="false" outlineLevel="0" collapsed="false">
      <c r="B141" s="109" t="s">
        <v>896</v>
      </c>
      <c r="J141" s="146" t="n">
        <f aca="false">J140+J135</f>
        <v>4371.83345657694</v>
      </c>
      <c r="K141" s="146" t="n">
        <f aca="false">K140+K135</f>
        <v>3734.15431329683</v>
      </c>
      <c r="L141" s="146" t="n">
        <f aca="false">L140+L135</f>
        <v>3948.5442492634</v>
      </c>
      <c r="M141" s="146" t="n">
        <f aca="false">M140+M135</f>
        <v>4218.80624650883</v>
      </c>
    </row>
    <row r="142" customFormat="false" ht="15" hidden="false" customHeight="false" outlineLevel="0" collapsed="false">
      <c r="B142" s="75" t="s">
        <v>897</v>
      </c>
      <c r="J142" s="159" t="n">
        <f aca="false">IFERROR(J141/J129,"")</f>
        <v>3.0157484440043</v>
      </c>
      <c r="K142" s="159" t="n">
        <f aca="false">IFERROR(K141/K129,"")</f>
        <v>2.12427017393509</v>
      </c>
      <c r="L142" s="159" t="n">
        <f aca="false">IFERROR(L141/L129,"")</f>
        <v>2</v>
      </c>
      <c r="M142" s="159" t="n">
        <f aca="false">IFERROR(M141/M129,"")</f>
        <v>2</v>
      </c>
      <c r="O142" s="136" t="s">
        <v>898</v>
      </c>
    </row>
    <row r="143" customFormat="false" ht="15" hidden="false" customHeight="false" outlineLevel="0" collapsed="false">
      <c r="B143" s="28" t="s">
        <v>899</v>
      </c>
      <c r="J143" s="66" t="n">
        <f aca="false">IFERROR(J112/J106,"")</f>
        <v>1.25</v>
      </c>
      <c r="K143" s="66" t="n">
        <f aca="false">IFERROR(K112/K106,"")</f>
        <v>1.25</v>
      </c>
      <c r="L143" s="66" t="n">
        <f aca="false">IFERROR(L112/L106,"")</f>
        <v>1.25</v>
      </c>
      <c r="M143" s="66" t="n">
        <f aca="false">IFERROR(M112/M106,"")</f>
        <v>1.25</v>
      </c>
    </row>
    <row r="144" customFormat="false" ht="15" hidden="false" customHeight="false" outlineLevel="0" collapsed="false">
      <c r="B144" s="15" t="s">
        <v>900</v>
      </c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</row>
    <row r="145" customFormat="false" ht="15" hidden="false" customHeight="false" outlineLevel="0" collapsed="false">
      <c r="B145" s="109" t="s">
        <v>901</v>
      </c>
      <c r="J145" s="160" t="n">
        <f aca="false">IFERROR(J130/J137,"")</f>
        <v>6.48491037747495</v>
      </c>
      <c r="K145" s="160" t="n">
        <f aca="false">IFERROR(K130/K137,"")</f>
        <v>7.795174593328</v>
      </c>
      <c r="L145" s="160" t="n">
        <f aca="false">IFERROR(L130/L137,"")</f>
        <v>9.28493585520892</v>
      </c>
      <c r="M145" s="160" t="n">
        <f aca="false">IFERROR(M130/M137,"")</f>
        <v>10.3339166309085</v>
      </c>
    </row>
    <row r="146" customFormat="false" ht="15" hidden="false" customHeight="false" outlineLevel="0" collapsed="false">
      <c r="B146" s="75" t="s">
        <v>902</v>
      </c>
      <c r="J146" s="161" t="n">
        <f aca="false">IFERROR(J145/J111-1,"")</f>
        <v>-0.104282402355791</v>
      </c>
      <c r="K146" s="161" t="n">
        <f aca="false">IFERROR(K145/K111-1,"")</f>
        <v>-0.0375551788065288</v>
      </c>
      <c r="L146" s="161" t="n">
        <f aca="false">IFERROR(L145/L111-1,"")</f>
        <v>0.038124923603267</v>
      </c>
      <c r="M146" s="161" t="n">
        <f aca="false">IFERROR(M145/M111-1,"")</f>
        <v>0.05823178231979</v>
      </c>
      <c r="O146" s="136" t="s">
        <v>903</v>
      </c>
    </row>
    <row r="147" customFormat="false" ht="15" hidden="false" customHeight="false" outlineLevel="0" collapsed="false">
      <c r="B147" s="28" t="s">
        <v>904</v>
      </c>
      <c r="J147" s="53" t="n">
        <f aca="false">J110+J117/J118*0.5</f>
        <v>117.266963655518</v>
      </c>
      <c r="K147" s="53" t="n">
        <f aca="false">K110+(J147-J110)+J117/J118*0.5+K117/K118*0.5</f>
        <v>118.066963655517</v>
      </c>
      <c r="L147" s="53" t="n">
        <f aca="false">L110+(K147-K110)+K117/K118*0.5+L117/L118*0.5</f>
        <v>118.866963655517</v>
      </c>
      <c r="M147" s="53" t="n">
        <f aca="false">M110+(L147-L110)+L117/L118*0.5+M117/M118*0.5</f>
        <v>119.666963655517</v>
      </c>
    </row>
    <row r="148" customFormat="false" ht="15" hidden="false" customHeight="false" outlineLevel="0" collapsed="false">
      <c r="B148" s="28" t="s">
        <v>905</v>
      </c>
      <c r="J148" s="49" t="n">
        <f aca="false">J108+J117*0.5*$C$51*(1-$C$53)</f>
        <v>846.17848089598</v>
      </c>
      <c r="K148" s="49" t="n">
        <f aca="false">K108+(SUM($J117:J117)+K117*0.5)*$C$51*(1-$C$53)</f>
        <v>942.969605748894</v>
      </c>
      <c r="L148" s="49" t="n">
        <f aca="false">L108+(SUM($J117:K117)+L117*0.5)*$C$51*(1-$C$53)</f>
        <v>1035.06131454434</v>
      </c>
      <c r="M148" s="49" t="n">
        <f aca="false">M108+(SUM($J117:L117)+M117*0.5)*$C$51*(1-$C$53)</f>
        <v>1121.56380486128</v>
      </c>
    </row>
    <row r="149" customFormat="false" ht="15" hidden="false" customHeight="false" outlineLevel="0" collapsed="false">
      <c r="B149" s="75" t="s">
        <v>906</v>
      </c>
      <c r="J149" s="161" t="n">
        <f aca="false">IFERROR(J145/(J148/J147)-1,"")</f>
        <v>-0.101293915274919</v>
      </c>
      <c r="K149" s="161" t="n">
        <f aca="false">IFERROR(K145/(K148/K147)-1,"")</f>
        <v>-0.0239848773620456</v>
      </c>
      <c r="L149" s="161" t="n">
        <f aca="false">IFERROR(L145/(L148/L147)-1,"")</f>
        <v>0.06628671880254</v>
      </c>
      <c r="M149" s="161" t="n">
        <f aca="false">IFERROR(M145/(M148/M147)-1,"")</f>
        <v>0.102593022822296</v>
      </c>
      <c r="O149" s="136" t="s">
        <v>907</v>
      </c>
    </row>
    <row r="150" customFormat="false" ht="15" hidden="false" customHeight="false" outlineLevel="0" collapsed="false">
      <c r="B150" s="28" t="s">
        <v>908</v>
      </c>
      <c r="J150" s="59" t="n">
        <f aca="false">IFERROR(J145-J111,"")</f>
        <v>-0.754994693644175</v>
      </c>
      <c r="K150" s="59" t="n">
        <f aca="false">IFERROR(K145-K111,"")</f>
        <v>-0.304172425508532</v>
      </c>
      <c r="L150" s="59" t="n">
        <f aca="false">IFERROR(L145-L111,"")</f>
        <v>0.340987353345112</v>
      </c>
      <c r="M150" s="59" t="n">
        <f aca="false">IFERROR(M145-M111,"")</f>
        <v>0.568648942335466</v>
      </c>
    </row>
    <row r="151" customFormat="false" ht="15" hidden="false" customHeight="false" outlineLevel="0" collapsed="false">
      <c r="B151" s="28" t="s">
        <v>909</v>
      </c>
      <c r="J151" s="59" t="n">
        <f aca="false">IFERROR(J131/J137,"")</f>
        <v>4.84496548353814</v>
      </c>
      <c r="K151" s="59" t="n">
        <f aca="false">IFERROR(K131/K137,"")</f>
        <v>6.45348462446004</v>
      </c>
      <c r="L151" s="59" t="n">
        <f aca="false">IFERROR(L131/L137,"")</f>
        <v>8.35737988701867</v>
      </c>
      <c r="M151" s="59" t="n">
        <f aca="false">IFERROR(M131/M137,"")</f>
        <v>9.73086310264428</v>
      </c>
    </row>
    <row r="152" customFormat="false" ht="15" hidden="false" customHeight="false" outlineLevel="0" collapsed="false">
      <c r="B152" s="28" t="s">
        <v>910</v>
      </c>
      <c r="J152" s="27" t="n">
        <f aca="false">IFERROR(J151/(J109/J110)-1,"")</f>
        <v>-0.330797098035815</v>
      </c>
      <c r="K152" s="27" t="n">
        <f aca="false">IFERROR(K151/(K109/K110)-1,"")</f>
        <v>-0.203209269901479</v>
      </c>
      <c r="L152" s="27" t="n">
        <f aca="false">IFERROR(L151/(L109/L110)-1,"")</f>
        <v>-0.0655827361621003</v>
      </c>
      <c r="M152" s="27" t="n">
        <f aca="false">IFERROR(M151/(M109/M110)-1,"")</f>
        <v>-0.00352315850686225</v>
      </c>
    </row>
    <row r="153" customFormat="false" ht="15" hidden="false" customHeight="false" outlineLevel="0" collapsed="false">
      <c r="B153" s="28" t="s">
        <v>911</v>
      </c>
      <c r="J153" s="49" t="n">
        <f aca="false">IFERROR(J123-(J130-J111*J137)/(1-$C$53),"")</f>
        <v>154.277477316193</v>
      </c>
      <c r="K153" s="49" t="n">
        <f aca="false">IFERROR(K123-(K130-K111*K137)/(1-$C$53),"")</f>
        <v>278.276480895818</v>
      </c>
      <c r="L153" s="49" t="n">
        <f aca="false">IFERROR(L123-(L130-L111*L137)/(1-$C$53),"")</f>
        <v>241.180933112139</v>
      </c>
      <c r="M153" s="49" t="n">
        <f aca="false">IFERROR(M123-(M130-M111*M137)/(1-$C$53),"")</f>
        <v>205.705063367726</v>
      </c>
      <c r="O153" s="136" t="s">
        <v>912</v>
      </c>
    </row>
    <row r="155" customFormat="false" ht="15" hidden="false" customHeight="false" outlineLevel="0" collapsed="false">
      <c r="B155" s="8" t="s">
        <v>913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8" t="s">
        <v>775</v>
      </c>
    </row>
    <row r="156" customFormat="false" ht="15" hidden="false" customHeight="false" outlineLevel="0" collapsed="false">
      <c r="B156" s="75" t="s">
        <v>914</v>
      </c>
      <c r="C156" s="162" t="n">
        <f aca="false">(I112+$C$45-(J113+J114+J115-J117*CHOOSE(MATCH(Model!$CF$2,{"Bull","Base","Bear"},0),$R$16,$S$16,$T$16))*(1-J94))/(I106+I77+CHOOSE(MATCH(Model!$CF$2,{"Bull","Base","Bear"},0),$R$7,$S$7,$T$7))</f>
        <v>3.00543776868013</v>
      </c>
      <c r="O156" s="136" t="s">
        <v>915</v>
      </c>
    </row>
    <row r="157" customFormat="false" ht="15" hidden="false" customHeight="false" outlineLevel="0" collapsed="false">
      <c r="B157" s="28" t="s">
        <v>916</v>
      </c>
      <c r="C157" s="65" t="n">
        <f aca="false">K142</f>
        <v>2.12427017393509</v>
      </c>
      <c r="O157" s="136" t="s">
        <v>917</v>
      </c>
    </row>
    <row r="158" customFormat="false" ht="15" hidden="false" customHeight="false" outlineLevel="0" collapsed="false">
      <c r="B158" s="46" t="s">
        <v>918</v>
      </c>
      <c r="C158" s="163" t="n">
        <f aca="false">IF(AND(K142&gt;=1.75-0.0001,K142&lt;=2.25+0.0001),1,0)</f>
        <v>1</v>
      </c>
      <c r="O158" s="136"/>
    </row>
    <row r="159" customFormat="false" ht="15" hidden="false" customHeight="false" outlineLevel="0" collapsed="false">
      <c r="B159" s="75" t="s">
        <v>919</v>
      </c>
      <c r="C159" s="164" t="n">
        <f aca="false">K146</f>
        <v>-0.0375551788065288</v>
      </c>
      <c r="O159" s="136" t="s">
        <v>920</v>
      </c>
    </row>
    <row r="160" customFormat="false" ht="15" hidden="false" customHeight="false" outlineLevel="0" collapsed="false">
      <c r="B160" s="75" t="s">
        <v>921</v>
      </c>
      <c r="C160" s="164" t="n">
        <f aca="false">K149</f>
        <v>-0.0239848773620456</v>
      </c>
      <c r="O160" s="136" t="s">
        <v>920</v>
      </c>
    </row>
    <row r="161" customFormat="false" ht="15" hidden="false" customHeight="false" outlineLevel="0" collapsed="false">
      <c r="B161" s="28" t="s">
        <v>922</v>
      </c>
      <c r="C161" s="165" t="str">
        <f aca="false">IF(J146&gt;0,"≤ 6 (accretive in 2027E)",IF(K146&gt;0,"7–18 (accretive in 2028E)","&gt; 18"))</f>
        <v>&gt; 18</v>
      </c>
      <c r="O161" s="136"/>
    </row>
    <row r="162" customFormat="false" ht="15" hidden="false" customHeight="false" outlineLevel="0" collapsed="false">
      <c r="B162" s="28" t="s">
        <v>923</v>
      </c>
      <c r="C162" s="137" t="n">
        <f aca="false">DCF!$C$13</f>
        <v>0.08725</v>
      </c>
      <c r="O162" s="136" t="s">
        <v>924</v>
      </c>
    </row>
    <row r="163" customFormat="false" ht="15" hidden="false" customHeight="false" outlineLevel="0" collapsed="false">
      <c r="B163" s="28" t="s">
        <v>925</v>
      </c>
      <c r="C163" s="166" t="n">
        <f aca="false">CHOOSE(MATCH(Model!$CF$2,{"Bull","Base","Bear"},0),$R$7,$S$7,$T$7)*(1-$C$53)/($C$162-0.02)</f>
        <v>3390.33457249071</v>
      </c>
      <c r="O163" s="136"/>
    </row>
    <row r="164" customFormat="false" ht="15" hidden="false" customHeight="false" outlineLevel="0" collapsed="false">
      <c r="B164" s="28" t="s">
        <v>926</v>
      </c>
      <c r="C164" s="43" t="n">
        <f aca="false">-(SUM(J99:M99)+J100)*(1-$C$53)</f>
        <v>-314.64</v>
      </c>
      <c r="O164" s="136"/>
    </row>
    <row r="165" customFormat="false" ht="15" hidden="false" customHeight="false" outlineLevel="0" collapsed="false">
      <c r="B165" s="28" t="s">
        <v>927</v>
      </c>
      <c r="C165" s="43" t="n">
        <f aca="false">-$C$27</f>
        <v>-1195.56521674679</v>
      </c>
      <c r="O165" s="136"/>
    </row>
    <row r="166" customFormat="false" ht="15" hidden="false" customHeight="false" outlineLevel="0" collapsed="false">
      <c r="B166" s="109" t="s">
        <v>928</v>
      </c>
      <c r="C166" s="146" t="n">
        <f aca="false">$C$163+$C$164+$C$165</f>
        <v>1880.12935574392</v>
      </c>
      <c r="O166" s="136"/>
    </row>
    <row r="167" customFormat="false" ht="15" hidden="false" customHeight="false" outlineLevel="0" collapsed="false">
      <c r="B167" s="28" t="s">
        <v>929</v>
      </c>
      <c r="C167" s="58" t="n">
        <f aca="false">$C$166/($C$24+$C$21)</f>
        <v>14.3723524714316</v>
      </c>
      <c r="O167" s="136"/>
    </row>
    <row r="168" customFormat="false" ht="15" hidden="false" customHeight="false" outlineLevel="0" collapsed="false">
      <c r="B168" s="75" t="s">
        <v>930</v>
      </c>
      <c r="C168" s="164" t="n">
        <f aca="false">(L81+L97)*(1-$C$53)/($C$19+$C$40+SUM(J99:M99))</f>
        <v>0.0545006595716107</v>
      </c>
      <c r="O168" s="136" t="s">
        <v>931</v>
      </c>
    </row>
    <row r="170" customFormat="false" ht="15" hidden="false" customHeight="false" outlineLevel="0" collapsed="false">
      <c r="B170" s="8" t="s">
        <v>932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8" t="s">
        <v>933</v>
      </c>
    </row>
    <row r="171" customFormat="false" ht="15" hidden="false" customHeight="false" outlineLevel="0" collapsed="false">
      <c r="B171" s="75" t="s">
        <v>934</v>
      </c>
      <c r="C171" s="150" t="n">
        <v>150</v>
      </c>
      <c r="D171" s="150" t="n">
        <v>225</v>
      </c>
      <c r="E171" s="150" t="n">
        <v>300</v>
      </c>
      <c r="F171" s="150" t="n">
        <v>375</v>
      </c>
      <c r="G171" s="150" t="n">
        <v>450</v>
      </c>
    </row>
    <row r="172" customFormat="false" ht="15" hidden="false" customHeight="false" outlineLevel="0" collapsed="false">
      <c r="B172" s="167" t="n">
        <v>0.02</v>
      </c>
      <c r="C172" s="137" t="n">
        <f aca="false">IFERROR((K130+(($C$171*K96-K97)+K73*($B172-K78))*(1-$C$53))/K137/K111-1,"")</f>
        <v>-0.169704848838743</v>
      </c>
      <c r="D172" s="137" t="n">
        <f aca="false">IFERROR((K130+(($D$171*K96-K97)+K73*($B172-K78))*(1-$C$53))/K137/K111-1,"")</f>
        <v>-0.130053603629845</v>
      </c>
      <c r="E172" s="137" t="n">
        <f aca="false">IFERROR((K130+(($E$171*K96-K97)+K73*($B172-K78))*(1-$C$53))/K137/K111-1,"")</f>
        <v>-0.0904023584209477</v>
      </c>
      <c r="F172" s="137" t="n">
        <f aca="false">IFERROR((K130+(($F$171*K96-K97)+K73*($B172-K78))*(1-$C$53))/K137/K111-1,"")</f>
        <v>-0.05075111321205</v>
      </c>
      <c r="G172" s="137" t="n">
        <f aca="false">IFERROR((K130+(($G$171*K96-K97)+K73*($B172-K78))*(1-$C$53))/K137/K111-1,"")</f>
        <v>-0.0110998680031523</v>
      </c>
    </row>
    <row r="173" customFormat="false" ht="15" hidden="false" customHeight="false" outlineLevel="0" collapsed="false">
      <c r="B173" s="167" t="n">
        <v>0.025</v>
      </c>
      <c r="C173" s="137" t="n">
        <f aca="false">IFERROR((K130+(($C$171*K96-K97)+K73*($B173-K78))*(1-$C$53))/K137/K111-1,"")</f>
        <v>-0.143281259031534</v>
      </c>
      <c r="D173" s="137" t="n">
        <f aca="false">IFERROR((K130+(($D$171*K96-K97)+K73*($B173-K78))*(1-$C$53))/K137/K111-1,"")</f>
        <v>-0.103630013822636</v>
      </c>
      <c r="E173" s="137" t="n">
        <f aca="false">IFERROR((K130+(($E$171*K96-K97)+K73*($B173-K78))*(1-$C$53))/K137/K111-1,"")</f>
        <v>-0.0639787686137382</v>
      </c>
      <c r="F173" s="137" t="n">
        <f aca="false">IFERROR((K130+(($F$171*K96-K97)+K73*($B173-K78))*(1-$C$53))/K137/K111-1,"")</f>
        <v>-0.0243275234048405</v>
      </c>
      <c r="G173" s="137" t="n">
        <f aca="false">IFERROR((K130+(($G$171*K96-K97)+K73*($B173-K78))*(1-$C$53))/K137/K111-1,"")</f>
        <v>0.0153237218040572</v>
      </c>
    </row>
    <row r="174" customFormat="false" ht="15" hidden="false" customHeight="false" outlineLevel="0" collapsed="false">
      <c r="B174" s="167" t="n">
        <v>0.03</v>
      </c>
      <c r="C174" s="137" t="n">
        <f aca="false">IFERROR((K130+(($C$171*K96-K97)+K73*($B174-K78))*(1-$C$53))/K137/K111-1,"")</f>
        <v>-0.116857669224324</v>
      </c>
      <c r="D174" s="137" t="n">
        <f aca="false">IFERROR((K130+(($D$171*K96-K97)+K73*($B174-K78))*(1-$C$53))/K137/K111-1,"")</f>
        <v>-0.0772064240154264</v>
      </c>
      <c r="E174" s="137" t="n">
        <f aca="false">IFERROR((K130+(($E$171*K96-K97)+K73*($B174-K78))*(1-$C$53))/K137/K111-1,"")</f>
        <v>-0.0375551788065288</v>
      </c>
      <c r="F174" s="137" t="n">
        <f aca="false">IFERROR((K130+(($F$171*K96-K97)+K73*($B174-K78))*(1-$C$53))/K137/K111-1,"")</f>
        <v>0.00209606640236881</v>
      </c>
      <c r="G174" s="137" t="n">
        <f aca="false">IFERROR((K130+(($G$171*K96-K97)+K73*($B174-K78))*(1-$C$53))/K137/K111-1,"")</f>
        <v>0.0417473116112666</v>
      </c>
    </row>
    <row r="175" customFormat="false" ht="15" hidden="false" customHeight="false" outlineLevel="0" collapsed="false">
      <c r="B175" s="167" t="n">
        <v>0.035</v>
      </c>
      <c r="C175" s="137" t="n">
        <f aca="false">IFERROR((K130+(($C$171*K96-K97)+K73*($B175-K78))*(1-$C$53))/K137/K111-1,"")</f>
        <v>-0.0904340794171148</v>
      </c>
      <c r="D175" s="137" t="n">
        <f aca="false">IFERROR((K130+(($D$171*K96-K97)+K73*($B175-K78))*(1-$C$53))/K137/K111-1,"")</f>
        <v>-0.0507828342082171</v>
      </c>
      <c r="E175" s="137" t="n">
        <f aca="false">IFERROR((K130+(($E$171*K96-K97)+K73*($B175-K78))*(1-$C$53))/K137/K111-1,"")</f>
        <v>-0.0111315889993194</v>
      </c>
      <c r="F175" s="137" t="n">
        <f aca="false">IFERROR((K130+(($F$171*K96-K97)+K73*($B175-K78))*(1-$C$53))/K137/K111-1,"")</f>
        <v>0.0285196562095782</v>
      </c>
      <c r="G175" s="137" t="n">
        <f aca="false">IFERROR((K130+(($G$171*K96-K97)+K73*($B175-K78))*(1-$C$53))/K137/K111-1,"")</f>
        <v>0.0681709014184759</v>
      </c>
    </row>
    <row r="176" customFormat="false" ht="15" hidden="false" customHeight="false" outlineLevel="0" collapsed="false">
      <c r="B176" s="167" t="n">
        <v>0.04</v>
      </c>
      <c r="C176" s="137" t="n">
        <f aca="false">IFERROR((K130+(($C$171*K96-K97)+K73*($B176-K78))*(1-$C$53))/K137/K111-1,"")</f>
        <v>-0.0640104896099052</v>
      </c>
      <c r="D176" s="137" t="n">
        <f aca="false">IFERROR((K130+(($D$171*K96-K97)+K73*($B176-K78))*(1-$C$53))/K137/K111-1,"")</f>
        <v>-0.0243592444010077</v>
      </c>
      <c r="E176" s="137" t="n">
        <f aca="false">IFERROR((K130+(($E$171*K96-K97)+K73*($B176-K78))*(1-$C$53))/K137/K111-1,"")</f>
        <v>0.0152920008078898</v>
      </c>
      <c r="F176" s="137" t="n">
        <f aca="false">IFERROR((K130+(($F$171*K96-K97)+K73*($B176-K78))*(1-$C$53))/K137/K111-1,"")</f>
        <v>0.0549432460167876</v>
      </c>
      <c r="G176" s="137" t="n">
        <f aca="false">IFERROR((K130+(($G$171*K96-K97)+K73*($B176-K78))*(1-$C$53))/K137/K111-1,"")</f>
        <v>0.0945944912256853</v>
      </c>
    </row>
    <row r="177" customFormat="false" ht="15" hidden="false" customHeight="false" outlineLevel="0" collapsed="false">
      <c r="B177" s="167" t="n">
        <v>0.045</v>
      </c>
      <c r="C177" s="137" t="n">
        <f aca="false">IFERROR((K130+(($C$171*K96-K97)+K73*($B177-K78))*(1-$C$53))/K137/K111-1,"")</f>
        <v>-0.0375868998026959</v>
      </c>
      <c r="D177" s="137" t="n">
        <f aca="false">IFERROR((K130+(($D$171*K96-K97)+K73*($B177-K78))*(1-$C$53))/K137/K111-1,"")</f>
        <v>0.00206434540620171</v>
      </c>
      <c r="E177" s="137" t="n">
        <f aca="false">IFERROR((K130+(($E$171*K96-K97)+K73*($B177-K78))*(1-$C$53))/K137/K111-1,"")</f>
        <v>0.0417155906150994</v>
      </c>
      <c r="F177" s="137" t="n">
        <f aca="false">IFERROR((K130+(($F$171*K96-K97)+K73*($B177-K78))*(1-$C$53))/K137/K111-1,"")</f>
        <v>0.081366835823997</v>
      </c>
      <c r="G177" s="137" t="n">
        <f aca="false">IFERROR((K130+(($G$171*K96-K97)+K73*($B177-K78))*(1-$C$53))/K137/K111-1,"")</f>
        <v>0.121018081032894</v>
      </c>
    </row>
    <row r="178" customFormat="false" ht="15" hidden="false" customHeight="false" outlineLevel="0" collapsed="false">
      <c r="B178" s="167" t="n">
        <v>0.05</v>
      </c>
      <c r="C178" s="137" t="n">
        <f aca="false">IFERROR((K130+(($C$171*K96-K97)+K73*($B178-K78))*(1-$C$53))/K137/K111-1,"")</f>
        <v>-0.0111633099954864</v>
      </c>
      <c r="D178" s="137" t="n">
        <f aca="false">IFERROR((K130+(($D$171*K96-K97)+K73*($B178-K78))*(1-$C$53))/K137/K111-1,"")</f>
        <v>0.0284879352134113</v>
      </c>
      <c r="E178" s="137" t="n">
        <f aca="false">IFERROR((K130+(($E$171*K96-K97)+K73*($B178-K78))*(1-$C$53))/K137/K111-1,"")</f>
        <v>0.0681391804223088</v>
      </c>
      <c r="F178" s="137" t="n">
        <f aca="false">IFERROR((K130+(($F$171*K96-K97)+K73*($B178-K78))*(1-$C$53))/K137/K111-1,"")</f>
        <v>0.107790425631207</v>
      </c>
      <c r="G178" s="137" t="n">
        <f aca="false">IFERROR((K130+(($G$171*K96-K97)+K73*($B178-K78))*(1-$C$53))/K137/K111-1,"")</f>
        <v>0.147441670840104</v>
      </c>
    </row>
    <row r="179" customFormat="false" ht="15" hidden="false" customHeight="false" outlineLevel="0" collapsed="false">
      <c r="B179" s="167" t="n">
        <v>0.055</v>
      </c>
      <c r="C179" s="137" t="n">
        <f aca="false">IFERROR((K130+(($C$171*K96-K97)+K73*($B179-K78))*(1-$C$53))/K137/K111-1,"")</f>
        <v>0.0152602798117227</v>
      </c>
      <c r="D179" s="137" t="n">
        <f aca="false">IFERROR((K130+(($D$171*K96-K97)+K73*($B179-K78))*(1-$C$53))/K137/K111-1,"")</f>
        <v>0.0549115250206205</v>
      </c>
      <c r="E179" s="137" t="n">
        <f aca="false">IFERROR((K130+(($E$171*K96-K97)+K73*($B179-K78))*(1-$C$53))/K137/K111-1,"")</f>
        <v>0.0945627702295182</v>
      </c>
      <c r="F179" s="137" t="n">
        <f aca="false">IFERROR((K130+(($F$171*K96-K97)+K73*($B179-K78))*(1-$C$53))/K137/K111-1,"")</f>
        <v>0.134214015438416</v>
      </c>
      <c r="G179" s="137" t="n">
        <f aca="false">IFERROR((K130+(($G$171*K96-K97)+K73*($B179-K78))*(1-$C$53))/K137/K111-1,"")</f>
        <v>0.173865260647313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2026-10-05T18:49:06Z</dcterms:created>
  <dc:creator>openpyxl</dc:creator>
  <dc:description/>
  <dc:language>en-US</dc:language>
  <cp:lastModifiedBy/>
  <dcterms:modified xsi:type="dcterms:W3CDTF">2026-10-05T18:49:11Z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