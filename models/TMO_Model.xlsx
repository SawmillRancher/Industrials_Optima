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Source: earnings-release segment tables ("Segment Data" / "Business Segment Information"), as originally reported. Four-segment structure from Q1/14 (Life Technologies, Feb-2014); 2006–2013 shown in the legacy block. </t>
        </r>
      </text>
    </comment>
    <comment ref="B12" authorId="0">
      <text>
        <r>
          <rPr>
            <sz val="10"/>
            <rFont val="Arial"/>
            <family val="2"/>
          </rPr>
          <t xml:space="preserve">Source: 10-K / 10-Q MD&amp;A segment tables ("Organic (non-GAAP)": total change, acquisitions/divestitures, currency translation, organic), 2021–Q2/26, rounded to whole %. Earlier years: consolidated organic growth only (Group block).</t>
        </r>
      </text>
    </comment>
    <comment ref="B15" authorId="0">
      <text>
        <r>
          <rPr>
            <sz val="10"/>
            <rFont val="Arial"/>
            <family val="2"/>
          </rPr>
          <t xml:space="preserve">Source: earnings-release segment tables — "Operating Income" (to 2022) / "Segment income" (from 2023); Σ segments = adjusted operating income (company definition).</t>
        </r>
      </text>
    </comment>
    <comment ref="B22" authorId="0">
      <text>
        <r>
          <rPr>
            <sz val="10"/>
            <rFont val="Arial"/>
            <family val="2"/>
          </rPr>
          <t xml:space="preserve">Source: earnings-release segment tables ("Segment Data" / "Business Segment Information"), as originally reported. Four-segment structure from Q1/14 (Life Technologies, Feb-2014); 2006–2013 shown in the legacy block. </t>
        </r>
      </text>
    </comment>
    <comment ref="B24" authorId="0">
      <text>
        <r>
          <rPr>
            <sz val="10"/>
            <rFont val="Arial"/>
            <family val="2"/>
          </rPr>
          <t xml:space="preserve">Source: 10-K / 10-Q MD&amp;A segment tables ("Organic (non-GAAP)": total change, acquisitions/divestitures, currency translation, organic), 2021–Q2/26, rounded to whole %. Earlier years: consolidated organic growth only (Group block).</t>
        </r>
      </text>
    </comment>
    <comment ref="B27" authorId="0">
      <text>
        <r>
          <rPr>
            <sz val="10"/>
            <rFont val="Arial"/>
            <family val="2"/>
          </rPr>
          <t xml:space="preserve">Source: earnings-release segment tables — "Operating Income" (to 2022) / "Segment income" (from 2023); Σ segments = adjusted operating income (company definition).</t>
        </r>
      </text>
    </comment>
    <comment ref="B34" authorId="0">
      <text>
        <r>
          <rPr>
            <sz val="10"/>
            <rFont val="Arial"/>
            <family val="2"/>
          </rPr>
          <t xml:space="preserve">Source: earnings-release segment tables ("Segment Data" / "Business Segment Information"), as originally reported. Four-segment structure from Q1/14 (Life Technologies, Feb-2014); 2006–2013 shown in the legacy block. </t>
        </r>
      </text>
    </comment>
    <comment ref="B36" authorId="0">
      <text>
        <r>
          <rPr>
            <sz val="10"/>
            <rFont val="Arial"/>
            <family val="2"/>
          </rPr>
          <t xml:space="preserve">Source: 10-K / 10-Q MD&amp;A segment tables ("Organic (non-GAAP)": total change, acquisitions/divestitures, currency translation, organic), 2021–Q2/26, rounded to whole %. Earlier years: consolidated organic growth only (Group block).</t>
        </r>
      </text>
    </comment>
    <comment ref="B39" authorId="0">
      <text>
        <r>
          <rPr>
            <sz val="10"/>
            <rFont val="Arial"/>
            <family val="2"/>
          </rPr>
          <t xml:space="preserve">Source: earnings-release segment tables — "Operating Income" (to 2022) / "Segment income" (from 2023); Σ segments = adjusted operating income (company definition).</t>
        </r>
      </text>
    </comment>
    <comment ref="B46" authorId="0">
      <text>
        <r>
          <rPr>
            <sz val="10"/>
            <rFont val="Arial"/>
            <family val="2"/>
          </rPr>
          <t xml:space="preserve">Source: earnings-release segment tables ("Segment Data" / "Business Segment Information"), as originally reported. Four-segment structure from Q1/14 (Life Technologies, Feb-2014); 2006–2013 shown in the legacy block. Laboratory Products and Services renamed Laboratory Products and Biopharma Services from the Q4/21 release (PPD, Dec-2021) — one continuous row.</t>
        </r>
      </text>
    </comment>
    <comment ref="B48" authorId="0">
      <text>
        <r>
          <rPr>
            <sz val="10"/>
            <rFont val="Arial"/>
            <family val="2"/>
          </rPr>
          <t xml:space="preserve">Source: 10-K / 10-Q MD&amp;A segment tables ("Organic (non-GAAP)": total change, acquisitions/divestitures, currency translation, organic), 2021–Q2/26, rounded to whole %. Earlier years: consolidated organic growth only (Group block).</t>
        </r>
      </text>
    </comment>
    <comment ref="B51" authorId="0">
      <text>
        <r>
          <rPr>
            <sz val="10"/>
            <rFont val="Arial"/>
            <family val="2"/>
          </rPr>
          <t xml:space="preserve">Source: earnings-release segment tables — "Operating Income" (to 2022) / "Segment income" (from 2023); Σ segments = adjusted operating income (company definition).</t>
        </r>
      </text>
    </comment>
    <comment ref="B58" authorId="0">
      <text>
        <r>
          <rPr>
            <sz val="10"/>
            <rFont val="Arial"/>
            <family val="2"/>
          </rPr>
          <t xml:space="preserve">Source: earnings-release segment tables as originally reported. 2006–Q2/11: Analytical Technologies + Laboratory Products and Services; Q3/11–2013: + Specialty Diagnostics (Phadia, Aug-2011). Not recast for the 2014 four-segment structure.</t>
        </r>
      </text>
    </comment>
    <comment ref="B71" authorId="0">
      <text>
        <r>
          <rPr>
            <sz val="10"/>
            <rFont val="Arial"/>
            <family val="2"/>
          </rPr>
          <t xml:space="preserve">Source: Form 8-K 2-Sep-2025 (completion); Q1/26 &amp; Q2/26 10-Q segment tables (LSS acquisitions +9%); Q2/26 10-Q Note 2 (preliminary PPA: $3.9bn purchase price).</t>
        </r>
      </text>
    </comment>
    <comment ref="B72" authorId="0">
      <text>
        <r>
          <rPr>
            <sz val="10"/>
            <rFont val="Arial"/>
            <family val="2"/>
          </rPr>
          <t xml:space="preserve">Source: Form 8-K 29-Oct-2025 (agreement: $8.875bn cash + $125m deferred + up to $400m earn-out); Form 8-K 24-Mar-2026 (completion); Q2/26 10-Q Note 2 (preliminary PPA).</t>
        </r>
      </text>
    </comment>
    <comment ref="B78" authorId="0">
      <text>
        <r>
          <rPr>
            <sz val="10"/>
            <rFont val="Arial"/>
            <family val="2"/>
          </rPr>
          <t xml:space="preserve">Source: 10-Q / 10-K revenue-disaggregation note (Specialty Diagnostics: Microbiology). Q4/25 = FY25 $645m − 9M/25 $473m. Sale to Astorg for ~$1.075bn (cash + $50m seller note) agreed 27-Apr-2026 (Q2/26 10-Q Note 2); closed in Q3/26 (completion announced by the company; exact date not filed on EDGAR → input).</t>
        </r>
      </text>
    </comment>
    <comment ref="B109" authorId="0">
      <text>
        <r>
          <rPr>
            <sz val="10"/>
            <rFont val="Arial"/>
            <family val="2"/>
          </rPr>
          <t xml:space="preserve">Source: earnings-release text ("organic revenue growth was x%") to 2021 and "Organic revenue growth" tables from 2021 (reported organic, incl. COVID-19 testing); FY values from the Q4 releases. Not disclosed for 2006–2011 on a consistent basis.</t>
        </r>
      </text>
    </comment>
    <comment ref="B126" authorId="0">
      <text>
        <r>
          <rPr>
            <sz val="10"/>
            <rFont val="Arial"/>
            <family val="2"/>
          </rPr>
          <t xml:space="preserve">Source: earnings-release footnote "Consolidated depreciation expense is $x" (three-month and twelve-month figures).</t>
        </r>
      </text>
    </comment>
    <comment ref="B128" authorId="0">
      <text>
        <r>
          <rPr>
            <sz val="10"/>
            <rFont val="Arial"/>
            <family val="2"/>
          </rPr>
          <t xml:space="preserve">Source: FY2025 Form 10-K (filed 26-Feb-2026), Note "Acquisition-related intangible assets" — estimated future amortization expense; Q2/26 10-Q Note 2 (Clario PPA and weighted-average lives).</t>
        </r>
      </text>
    </comment>
    <comment ref="B136" authorId="0">
      <text>
        <r>
          <rPr>
            <sz val="10"/>
            <rFont val="Arial"/>
            <family val="2"/>
          </rPr>
          <t xml:space="preserve">Source: quarterly earnings releases (Form 8-K, Ex. 99.1) — condensed consolidated statements of income / reconciliation tables, SEC EDGAR, CIK 0000097745 (Thermo Fisher Scientific Inc.); investor-relations releases are the same documents. Quarters = three-month columns as originally reported; years = twelve-month columns of the Q4 release. 2006 reported in USD thousands (converted).</t>
        </r>
      </text>
    </comment>
    <comment ref="B164" authorId="0">
      <text>
        <r>
          <rPr>
            <sz val="10"/>
            <rFont val="Arial"/>
            <family val="2"/>
          </rPr>
          <t xml:space="preserve">Source: earnings-release condensed cash-flow statements (from Q3/09; quarters derived from year-to-date); 2006–2008 Form 10-K FY2008.</t>
        </r>
      </text>
    </comment>
    <comment ref="B165" authorId="0">
      <text>
        <r>
          <rPr>
            <sz val="10"/>
            <rFont val="Arial"/>
            <family val="2"/>
          </rPr>
          <t xml:space="preserve">Source: XBRL "ShareBasedCompensation" (10-K / 10-Q cash-flow statements, quarters derived from year-to-date); 2006–2008 Form 10-K FY2008.</t>
        </r>
      </text>
    </comment>
    <comment ref="B175" authorId="0">
      <text>
        <r>
          <rPr>
            <sz val="10"/>
            <rFont val="Arial"/>
            <family val="2"/>
          </rPr>
          <t xml:space="preserve">Source: XBRL "CommonStockDividendsPerShareDeclared" (10-Q / 10-K; quarters derived from year-to-date). TMO initiated a quarterly dividend in 2012.</t>
        </r>
      </text>
    </comment>
    <comment ref="B180" authorId="0">
      <text>
        <r>
          <rPr>
            <sz val="10"/>
            <rFont val="Arial"/>
            <family val="2"/>
          </rPr>
          <t xml:space="preserve">Source: earnings-release reconciliation tables (Form 8-K Ex. 99.1), SEC EDGAR, CIK 0000097745 (Thermo Fisher Scientific Inc.). Company definition: excludes certain cost-of-revenues charges (inventory step-up, accelerated depreciation), certain SG&amp;A charges/credits (transaction/integration costs, contingent consideration, product-liability litigation), restructuring and other costs (income), and amortization of acquisition-related intangibles.</t>
        </r>
      </text>
    </comment>
    <comment ref="B203" authorId="0">
      <text>
        <r>
          <rPr>
            <sz val="10"/>
            <rFont val="Arial"/>
            <family val="2"/>
          </rPr>
          <t xml:space="preserve">Source: earnings-release "Reconciliation of Adjusted Net Income" (pre-tax items; tax shown separately). Other income/expense items = net investment gains/losses, losses on debt extinguishment, bridge-financing and hedging costs, pension settlements, business-interruption recoveries. Equity-method items: amortization/restructuring at equity investees (to 2021) and the full equity in earnings/losses (from 2022). SEC EDGAR, CIK 0000097745 (Thermo Fisher Scientific Inc.).</t>
        </r>
      </text>
    </comment>
    <comment ref="B238" authorId="0">
      <text>
        <r>
          <rPr>
            <sz val="10"/>
            <rFont val="Arial"/>
            <family val="2"/>
          </rPr>
          <t xml:space="preserve">Source: earnings-release condensed consolidated statements of cash flows (Form 8-K Ex. 99.1; from Q3/09) — quarters derived as year-to-date differences; FY from the Q4 release. 2006–2008: Form 10-K FY2008 (filed 27-Feb-2009) consolidated statement of cash flows. SEC EDGAR, CIK 0000097745 (Thermo Fisher Scientific Inc.).</t>
        </r>
      </text>
    </comment>
    <comment ref="B292" authorId="0">
      <text>
        <r>
          <rPr>
            <sz val="10"/>
            <rFont val="Arial"/>
            <family val="2"/>
          </rPr>
          <t xml:space="preserve">Source: earnings-release condensed consolidated balance sheets (Form 8-K Ex. 99.1) for totals; payables, accrued payroll, contract liabilities, equity components and NCI from XBRL (10-Q / 10-K, FY2009+); 2006–2008 from Forms 10-K FY2007/FY2008. SEC EDGAR, CIK 0000097745 (Thermo Fisher Scientific Inc.).</t>
        </r>
      </text>
    </comment>
    <comment ref="B308" authorId="0">
      <text>
        <r>
          <rPr>
            <sz val="10"/>
            <rFont val="Arial"/>
            <family val="2"/>
          </rPr>
          <t xml:space="preserve">Derived: total current liabilities (release) − short-term obligations − accounts payable − accrued payroll − contract liabilities.</t>
        </r>
      </text>
    </comment>
    <comment ref="B349" authorId="0">
      <text>
        <r>
          <rPr>
            <sz val="10"/>
            <rFont val="Arial"/>
            <family val="2"/>
          </rPr>
          <t xml:space="preserve">Source: FY2025 Form 10-K Note 3 (Debt and Other Financing Arrangements) — annual repayment requirements and note list; Forms 8-K 7-Oct-2025, 1-Dec-2025 and 12-Feb-2026 (new issues).</t>
        </r>
      </text>
    </comment>
    <comment ref="B400" authorId="0">
      <text>
        <r>
          <rPr>
            <sz val="10"/>
            <rFont val="Arial"/>
            <family val="2"/>
          </rPr>
          <t xml:space="preserve">Input: NYSE closing price 5-Oct-2026 ($676.76; 52-week range $435–684). Update to market.</t>
        </r>
      </text>
    </comment>
    <comment ref="CF2" authorId="0">
      <text>
        <r>
          <rPr>
            <sz val="10"/>
            <rFont val="Arial"/>
            <family val="2"/>
          </rPr>
          <t xml:space="preserve">Scenario toggle. Choose Bull / Base / Bear. Drives: FY26 guidance end-points (revenues, adjusted operating margin, capex, 2H buybacks) used in the Q3/Q4-26E calibration; 2027E–30E segment organic growth and segment margins; M&amp;A spend; leverage floor for buybacks. Bull-Base-Bear tab holds value snapshots of each case.</t>
        </r>
      </text>
    </comment>
  </commentList>
</comments>
</file>

<file path=xl/sharedStrings.xml><?xml version="1.0" encoding="utf-8"?>
<sst xmlns="http://schemas.openxmlformats.org/spreadsheetml/2006/main" count="997" uniqueCount="799">
  <si>
    <t xml:space="preserve">SCENARIO SWITCH ▼ (Bull / Base / Bear) — drives all scenario-linked forecast drivers</t>
  </si>
  <si>
    <t xml:space="preserve">Thermo Fisher Scientific Inc. (NYSE: TMO) — 3-Statement Financial Model</t>
  </si>
  <si>
    <t xml:space="preserve">Base</t>
  </si>
  <si>
    <t xml:space="preserve">US GAAP as reported · USD millions (per-share data in USD; shares in millions) · Source: Thermo Fisher Forms 10-K / 10-Q and Form 8-K quarterly earnings releases (Ex. 99.1), deal 8-Ks (Solventum P&amp;F Sep-2025, Clario Oct-2025 / Mar-2026, notes offerings Oct-2025 / Dec-2025 / Feb-2026), SEC EDGAR CIK 0000097745 (investor-relations releases are the same documents as filed on EDGAR); FY26 guidance per the Q2-26 earnings call (23-Jul-2026; guidance is given on the call, not in the release)</t>
  </si>
  <si>
    <t xml:space="preserve">Basis notes: calendar fiscal year (fiscal quarters end on the Saturday nearest quarter-end). Thermo Electron merged with Fisher Scientific on 9-Nov-2006 (FY2006 includes Fisher for ~7 weeks; reported in USD thousands, converted). All periods as originally reported (no recasts). Segments: Analytical Technologies + Laboratory Products &amp; Services (2006–Q2/11), + Specialty Diagnostics (Q3/11–2013); four segments from Q1/14 (Life Technologies, Feb-2014): Life Sciences Solutions, Analytical Instruments, Specialty Diagnostics, Laboratory Products &amp; Services → Laboratory Products &amp; Biopharma Services from Q4/21 (PPD, Dec-2021). Segment income = adjusted operating income (company definition). Recent portfolio: Olink Jul-2024 (LSS); Solventum Purification &amp; Filtration 1-Sep-2025 (LSS); Clario 24-Mar-2026 (LPBS; in FY26 guidance); microbiology (SD; FY25 revenues $645m) sold to Astorg in Q3/26 (closing date per input).</t>
  </si>
  <si>
    <t xml:space="preserve">Forecast</t>
  </si>
  <si>
    <t xml:space="preserve">Historical</t>
  </si>
  <si>
    <t xml:space="preserve">(USDm)</t>
  </si>
  <si>
    <t xml:space="preserve">Q1/13</t>
  </si>
  <si>
    <t xml:space="preserve">Q2/13</t>
  </si>
  <si>
    <t xml:space="preserve">Q3/13</t>
  </si>
  <si>
    <t xml:space="preserve">Q4/13</t>
  </si>
  <si>
    <t xml:space="preserve">Q1/14</t>
  </si>
  <si>
    <t xml:space="preserve">Q2/14</t>
  </si>
  <si>
    <t xml:space="preserve">Q3/14</t>
  </si>
  <si>
    <t xml:space="preserve">Q4/14</t>
  </si>
  <si>
    <t xml:space="preserve">Q1/15</t>
  </si>
  <si>
    <t xml:space="preserve">Q2/15</t>
  </si>
  <si>
    <t xml:space="preserve">Q3/15</t>
  </si>
  <si>
    <t xml:space="preserve">Q4/15</t>
  </si>
  <si>
    <t xml:space="preserve">Q1/16</t>
  </si>
  <si>
    <t xml:space="preserve">Q2/16</t>
  </si>
  <si>
    <t xml:space="preserve">Q3/16</t>
  </si>
  <si>
    <t xml:space="preserve">Q4/16</t>
  </si>
  <si>
    <t xml:space="preserve">Q1/17</t>
  </si>
  <si>
    <t xml:space="preserve">Q2/17</t>
  </si>
  <si>
    <t xml:space="preserve">Q3/17</t>
  </si>
  <si>
    <t xml:space="preserve">Q4/17</t>
  </si>
  <si>
    <t xml:space="preserve">Q1/18</t>
  </si>
  <si>
    <t xml:space="preserve">Q2/18</t>
  </si>
  <si>
    <t xml:space="preserve">Q3/18</t>
  </si>
  <si>
    <t xml:space="preserve">Q4/18</t>
  </si>
  <si>
    <t xml:space="preserve">Q1/19</t>
  </si>
  <si>
    <t xml:space="preserve">Q2/19</t>
  </si>
  <si>
    <t xml:space="preserve">Q3/19</t>
  </si>
  <si>
    <t xml:space="preserve">Q4/19</t>
  </si>
  <si>
    <t xml:space="preserve">Q1/20</t>
  </si>
  <si>
    <t xml:space="preserve">Q2/20</t>
  </si>
  <si>
    <t xml:space="preserve">Q3/20</t>
  </si>
  <si>
    <t xml:space="preserve">Q4/20</t>
  </si>
  <si>
    <t xml:space="preserve">Q1/21</t>
  </si>
  <si>
    <t xml:space="preserve">Q2/21</t>
  </si>
  <si>
    <t xml:space="preserve">Q3/21</t>
  </si>
  <si>
    <t xml:space="preserve">Q4/21</t>
  </si>
  <si>
    <t xml:space="preserve">Q1/22</t>
  </si>
  <si>
    <t xml:space="preserve">Q2/22</t>
  </si>
  <si>
    <t xml:space="preserve">Q3/22</t>
  </si>
  <si>
    <t xml:space="preserve">Q4/22</t>
  </si>
  <si>
    <t xml:space="preserve">Q1/23</t>
  </si>
  <si>
    <t xml:space="preserve">Q2/23</t>
  </si>
  <si>
    <t xml:space="preserve">Q3/23</t>
  </si>
  <si>
    <t xml:space="preserve">Q4/23</t>
  </si>
  <si>
    <t xml:space="preserve">Q1/24</t>
  </si>
  <si>
    <t xml:space="preserve">Q2/24</t>
  </si>
  <si>
    <t xml:space="preserve">Q3/24</t>
  </si>
  <si>
    <t xml:space="preserve">Q4/24</t>
  </si>
  <si>
    <t xml:space="preserve">Q1/25</t>
  </si>
  <si>
    <t xml:space="preserve">Q2/25</t>
  </si>
  <si>
    <t xml:space="preserve">Q3/25</t>
  </si>
  <si>
    <t xml:space="preserve">Q4/25</t>
  </si>
  <si>
    <t xml:space="preserve">Q1/26</t>
  </si>
  <si>
    <t xml:space="preserve">Q2/26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</si>
  <si>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</si>
  <si>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</si>
  <si>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</si>
  <si>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</si>
  <si>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</si>
  <si>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</si>
  <si>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</si>
  <si>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</si>
  <si>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</si>
  <si>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</si>
  <si>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19Y CAGR</t>
  </si>
  <si>
    <t xml:space="preserve">25-'30</t>
  </si>
  <si>
    <t xml:space="preserve">20-'25</t>
  </si>
  <si>
    <t xml:space="preserve">15-'25</t>
  </si>
  <si>
    <t xml:space="preserve">06-'25</t>
  </si>
  <si>
    <t xml:space="preserve">SEGMENT P&amp;L — LIFE SCIENCES SOLUTIONS · ANALYTICAL INSTRUMENTS · SPECIALTY DIAGNOSTICS · LAB PRODUCTS &amp; BIOPHARMA SERVICES (organic + M&amp;A + FX build)</t>
  </si>
  <si>
    <t xml:space="preserve">SEGMENT BUILD — modelling logic (prior-year revenues × (1 + organic + acquisitions/divestitures + FX) → segment income margin → adjusted operating income)</t>
  </si>
  <si>
    <t xml:space="preserve">Life Sciences Solutions (bioproduction, biosciences, genetic sciences; Olink Jul-24, Solventum Purification &amp; Filtration Sep-25) — from Q1/14</t>
  </si>
  <si>
    <t xml:space="preserve">LIFE SCIENCES SOLUTIONS — modelling logic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</si>
  <si>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</si>
  <si>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</si>
  <si>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</si>
  <si>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lever header). Outlook block = high / mid / low end of the FY26 ranges.</t>
  </si>
  <si>
    <t xml:space="preserve">  Revenues</t>
  </si>
  <si>
    <t xml:space="preserve">Q3/26E–Q4/26E: prior-year quarter × (1 + organic + acquisitions/divestitures + FX). 2026E = sum of quarters. 2027E+: prior year × (1 + organic (scenario lever) + M&amp;A + FX).</t>
  </si>
  <si>
    <t xml:space="preserve">  Revenues y/y % (reported)</t>
  </si>
  <si>
    <t xml:space="preserve">FY26 outlook — Q2-26 earnings call (23-Jul-2026); revenue &amp; margin drive the Q3/Q4-26E calibration</t>
  </si>
  <si>
    <t xml:space="preserve">High</t>
  </si>
  <si>
    <t xml:space="preserve">Mid</t>
  </si>
  <si>
    <t xml:space="preserve">Low</t>
  </si>
  <si>
    <t xml:space="preserve">Guidance given on the earnings call (not in the Form 8-K release). Bull = high end, Base = mid-point, Bear = low end.</t>
  </si>
  <si>
    <t xml:space="preserve">    of which: organic growth % (company-reported; forecast driver)</t>
  </si>
  <si>
    <t xml:space="preserve">Q3/Q4-26E: Q2/26 segment organic growth + revenue-outlook calibration Δ (Group block). 2027E–2030E: scenario lever LSS_org (Bull / Base / Bear table →). Bioproduction (pharma/biotech) recovery; FY25 +3%, Q2/26 +3%.</t>
  </si>
  <si>
    <t xml:space="preserve">  FY26 revenues ($m)</t>
  </si>
  <si>
    <t xml:space="preserve">Raised to $47.4–48.1bn (from $47.3–48.1bn in April); 6–8% reported growth.</t>
  </si>
  <si>
    <t xml:space="preserve">    of which: acquisitions / divestitures %</t>
  </si>
  <si>
    <t xml:space="preserve">Q3/26E: Solventum P&amp;F (closed 1-Sep-2025) was in Q3/25 for one month → +2 months of run-rate (input row in portfolio block) ÷ Q3/25 LSS revenues; Q4/26E 0% (anniversaried). 2027E+: 0% (future M&amp;A modelled unallocated below).</t>
  </si>
  <si>
    <t xml:space="preserve">  FY26 adjusted operating margin</t>
  </si>
  <si>
    <t xml:space="preserve">~80bp expansion on FY25 22.7% (mid-point); ±10bp for the ends.</t>
  </si>
  <si>
    <t xml:space="preserve">    of which: currency translation %</t>
  </si>
  <si>
    <t xml:space="preserve">Linked to the FX assumption row (Group block).</t>
  </si>
  <si>
    <t xml:space="preserve">  FY26 adjusted EPS ($)</t>
  </si>
  <si>
    <t xml:space="preserve">Raised to $24.93–25.33 (+9–11%); memo — EPS is an output of the model.</t>
  </si>
  <si>
    <t xml:space="preserve">  Segment income (= segment adjusted operating income)</t>
  </si>
  <si>
    <t xml:space="preserve">  FY26 free cash flow ($m)</t>
  </si>
  <si>
    <t xml:space="preserve">$6.9–7.4bn (memo).</t>
  </si>
  <si>
    <t xml:space="preserve">  Segment margin before outlook calibration % (Q3/Q4-26E helper)</t>
  </si>
  <si>
    <t xml:space="preserve">Q3/Q4-26E: prior-year quarter margin + (1H/26 − 1H/25 margin drift).</t>
  </si>
  <si>
    <t xml:space="preserve">  FY26 net capital expenditures ($m)</t>
  </si>
  <si>
    <t xml:space="preserve">$1.9–2.1bn net capex; Bull = high end (growth capacity), Bear = low end.</t>
  </si>
  <si>
    <t xml:space="preserve">  Segment income margin %</t>
  </si>
  <si>
    <t xml:space="preserve">Q3/Q4-26E: pre-calibration margin + outlook calibration Δ (adjusted operating margin guidance). 2027E+: scenario lever LSS_m. FY25 36.3% (Solventum P&amp;F dilution); bioproduction mix and productivity drive expansion.</t>
  </si>
  <si>
    <t xml:space="preserve">FY26 point estimates (all cases)</t>
  </si>
  <si>
    <t xml:space="preserve">  Incremental segment margin (Δ income ÷ Δ revenues)</t>
  </si>
  <si>
    <t xml:space="preserve">  Organic revenue growth (memo)</t>
  </si>
  <si>
    <t xml:space="preserve">~4% (raised from 3–4%).</t>
  </si>
  <si>
    <t xml:space="preserve">  Segment income y/y %</t>
  </si>
  <si>
    <t xml:space="preserve">  Revenue contribution from acquisitions ($m, memo)</t>
  </si>
  <si>
    <t xml:space="preserve">Clario + Solventum P&amp;F stub; $0.32 adjusted EPS.</t>
  </si>
  <si>
    <t xml:space="preserve">  Net interest expense ($m)</t>
  </si>
  <si>
    <t xml:space="preserve">~$660m (Q2-26 call); drives Q3/Q4-26E interest income.</t>
  </si>
  <si>
    <t xml:space="preserve">Analytical Instruments (chromatography &amp; mass spectrometry, electron microscopy, chemical analysis) — from Q1/14</t>
  </si>
  <si>
    <t xml:space="preserve">ANALYTICAL INSTRUMENTS — modelling logic</t>
  </si>
  <si>
    <t xml:space="preserve">  Adjusted tax rate</t>
  </si>
  <si>
    <t xml:space="preserve">11.5% (Q2-26 call).</t>
  </si>
  <si>
    <t xml:space="preserve">  Dividends ($m, memo)</t>
  </si>
  <si>
    <t xml:space="preserve">~$700m.</t>
  </si>
  <si>
    <t xml:space="preserve">  Share repurchases FY26 plan ($m, memo)</t>
  </si>
  <si>
    <t xml:space="preserve">$4.0bn — fully executed in 1H/26 ($3.0bn Q1, $1.0bn Q2).</t>
  </si>
  <si>
    <t xml:space="preserve">Q3/Q4-26E: Q2/26 segment organic growth + revenue-outlook calibration Δ (Group block). 2027E–2030E: scenario lever AI_org (Bull / Base / Bear table →). Electron microscopy, chromatography &amp; MS (pharma, semis, academic); FY25 0%, Q2/26 +7%.</t>
  </si>
  <si>
    <t xml:space="preserve">  2H/26 share repurchases ($m)</t>
  </si>
  <si>
    <t xml:space="preserve">Plan completed in 1H; Bull assumes an incremental $1bn in 2H.</t>
  </si>
  <si>
    <t xml:space="preserve">Two small proteomics-software acquisitions in 2026 (not material; Q1–Q2/26 contribution 0%). Forecast 0%.</t>
  </si>
  <si>
    <t xml:space="preserve">Capital allocation 2027E+</t>
  </si>
  <si>
    <t xml:space="preserve">  Minimum net debt / adjusted EBITDA (x) — buyback floor 2027E+</t>
  </si>
  <si>
    <t xml:space="preserve">TMO: 3.5x after Clario (Q1-26 call), deleveraging to ~2.5x by YE26 in the model; TMO has run ~2.5–3.0x between large deals (A-/A3 ratings).</t>
  </si>
  <si>
    <t xml:space="preserve">Q3/Q4-26E: pre-calibration margin + outlook calibration Δ (adjusted operating margin guidance). 2027E+: scenario lever AI_m. FY25 23.0% (tariffs, FX); recovery toward ~26% with volume leverage.</t>
  </si>
  <si>
    <t xml:space="preserve">LSS_org (Life Sciences Solutions organic growth)</t>
  </si>
  <si>
    <t xml:space="preserve">Δ →</t>
  </si>
  <si>
    <t xml:space="preserve">Bioproduction recovery, proteomics (Olink), cell &amp; gene therapy; FY25 +3%, Q2/26 +3%.</t>
  </si>
  <si>
    <t xml:space="preserve">  2027E</t>
  </si>
  <si>
    <t xml:space="preserve">  2028E</t>
  </si>
  <si>
    <t xml:space="preserve">  2029E</t>
  </si>
  <si>
    <t xml:space="preserve">Specialty Diagnostics (clinical &amp; immunodiagnostics, transplant, healthcare market channel; microbiology sold Q3/26) — from Q1/14</t>
  </si>
  <si>
    <t xml:space="preserve">SPECIALTY DIAGNOSTICS — modelling logic</t>
  </si>
  <si>
    <t xml:space="preserve">  2030E</t>
  </si>
  <si>
    <t xml:space="preserve">AI_org (Analytical Instruments organic growth)</t>
  </si>
  <si>
    <t xml:space="preserve">Mass spectrometry &amp; electron microscopy cycle (pharma, semis, academic/government funding risk).</t>
  </si>
  <si>
    <t xml:space="preserve">Q3/Q4-26E: Q2/26 segment organic growth + revenue-outlook calibration Δ (Group block). 2027E–2030E: scenario lever SD_org (Bull / Base / Bear table →). Clinical diagnostics, healthcare channel; FY25 +2%, Q2/26 +5%.</t>
  </si>
  <si>
    <t xml:space="preserve">Q3/Q4-26E: microbiology revenues removed vs prior-year quarter (closing-date input) ÷ prior-year SD revenues. 2027E: removal of the 2026E Jan–Aug microbiology stub ÷ 2026E SD revenues.</t>
  </si>
  <si>
    <t xml:space="preserve">SD_org (Specialty Diagnostics organic growth)</t>
  </si>
  <si>
    <t xml:space="preserve">Clinical/immunodiagnostics, transplant; ex-microbiology.</t>
  </si>
  <si>
    <t xml:space="preserve">Q3/Q4-26E: pre-calibration margin + outlook calibration Δ (adjusted operating margin guidance). 2027E+: scenario lever SD_m. FY25 26.9%; microbiology exit is margin-neutral to slightly accretive.</t>
  </si>
  <si>
    <t xml:space="preserve">LPBS_org (Lab Products &amp; Biopharma Services organic growth)</t>
  </si>
  <si>
    <t xml:space="preserve">Research &amp; safety channel, pharma services (CDMO), clinical research (PPD + Clario).</t>
  </si>
  <si>
    <t xml:space="preserve">Laboratory Products &amp; Biopharma Services (lab products, research &amp; safety channel, pharma services, clinical research — PPD Dec-21, Clario Mar-26) — from Q1/14</t>
  </si>
  <si>
    <t xml:space="preserve">LABORATORY PRODUCTS AND BIOPHARMA SERVICES — modelling logic</t>
  </si>
  <si>
    <t xml:space="preserve">Q3/Q4-26E: Q2/26 segment organic growth + revenue-outlook calibration Δ (Group block). 2027E–2030E: scenario lever LPBS_org (Bull / Base / Bear table →). Research &amp; safety channel, pharma services, clinical research; FY25 +3%, Q2/26 +5%.</t>
  </si>
  <si>
    <t xml:space="preserve">Q3/Q4-26E: Clario (closed 24-Mar-2026) full quarter = run-rate ÷ 4 ÷ prior-year LPBS revenues (Q2/26 actual: +6%). 2027E: Clario 1-Jan–24-Mar stub (83 days, grown at HSD) ÷ 2026E LPBS revenues.</t>
  </si>
  <si>
    <t xml:space="preserve">LSS_m (Life Sciences Solutions segment margin)</t>
  </si>
  <si>
    <t xml:space="preserve">FY25 36.3%; 2026E ~37.2% (1H/26 36.6%); +40bp p.a. (bioproduction mix, productivity).</t>
  </si>
  <si>
    <t xml:space="preserve">Q3/Q4-26E: pre-calibration margin + outlook calibration Δ (adjusted operating margin guidance). 2027E+: scenario lever LPBS_m. FY25 14.0%; Clario (software/data, accretive) and pharma services productivity.</t>
  </si>
  <si>
    <t xml:space="preserve">AI_m (Analytical Instruments segment margin)</t>
  </si>
  <si>
    <t xml:space="preserve">FY25 23.0% (tariffs); 2026E ~24.4%; 2024 26.2%.</t>
  </si>
  <si>
    <t xml:space="preserve">Legacy segment structure — as originally reported, 2006–2013 (not recast)</t>
  </si>
  <si>
    <t xml:space="preserve">LEGACY SEGMENTS — historical disclosure only (not forecast)</t>
  </si>
  <si>
    <t xml:space="preserve">  Analytical Technologies — revenues (2006–2013)</t>
  </si>
  <si>
    <t xml:space="preserve">  Specialty Diagnostics — revenues (three-segment structure, Q3/11–2013)</t>
  </si>
  <si>
    <t xml:space="preserve">SD_m (Specialty Diagnostics segment margin)</t>
  </si>
  <si>
    <t xml:space="preserve">FY25 26.9%; 2026E ~28.2%.</t>
  </si>
  <si>
    <t xml:space="preserve">  Laboratory Products and Services — revenues (legacy structure, 2006–2013)</t>
  </si>
  <si>
    <t xml:space="preserve">  Analytical Technologies — segment operating income</t>
  </si>
  <si>
    <t xml:space="preserve">  Specialty Diagnostics — segment operating income (Q3/11–2013)</t>
  </si>
  <si>
    <t xml:space="preserve">  Laboratory Products and Services — segment operating income (legacy)</t>
  </si>
  <si>
    <t xml:space="preserve">  Other — segment operating income (2006)</t>
  </si>
  <si>
    <t xml:space="preserve">LPBS_m (Lab Products &amp; Biopharma Services segment margin)</t>
  </si>
  <si>
    <t xml:space="preserve">FY25 14.0%; 2026E ~14.6%; Clario (software/data) accretive.</t>
  </si>
  <si>
    <t xml:space="preserve">Eliminations (intersegment revenues)</t>
  </si>
  <si>
    <t xml:space="preserve">ELIMINATIONS — modelling logic</t>
  </si>
  <si>
    <t xml:space="preserve">  Eliminations</t>
  </si>
  <si>
    <t xml:space="preserve">Forecast: − eliminations % × Σ segment revenues.</t>
  </si>
  <si>
    <t xml:space="preserve">  Eliminations % of gross segment revenues</t>
  </si>
  <si>
    <t xml:space="preserve">Prior-year quarter (Q3/Q4-26E); 2026E level held flat 2027E+.</t>
  </si>
  <si>
    <t xml:space="preserve">M&amp;A_spend (bolt-on acquisitions, $m)</t>
  </si>
  <si>
    <t xml:space="preserve">Base: ~$4bn p.a. bolt-ons after the Clario deleveraging; Bull +$3bn, Bear −$3bn.</t>
  </si>
  <si>
    <t xml:space="preserve">Portfolio changes — Solventum P&amp;F (LSS, 1-Sep-2025) · Clario (LPBS, 24-Mar-2026) · Microbiology divestiture (SD, Q3/26)</t>
  </si>
  <si>
    <t xml:space="preserve">PORTFOLIO CHANGES — inputs feeding segment acquisitions/divestitures %, the gain on sale and the 2026E balance sheet</t>
  </si>
  <si>
    <t xml:space="preserve">  Solventum Purification &amp; Filtration — revenues per month (run-rate, USDm)</t>
  </si>
  <si>
    <t xml:space="preserve">≈ 9% acquisition contribution to LSS in Q1/26 (10-Q) × Q1/25 LSS revenues ÷ 3 months (≈ $1.0bn annual; 2025 deal ~$4.1bn).</t>
  </si>
  <si>
    <t xml:space="preserve">  Clario — annual revenue run-rate (USDm)</t>
  </si>
  <si>
    <t xml:space="preserve">Q2/26 LPBS acquisition contribution +6% (10-Q) × Q2/25 LPBS revenues × 4. Company: HSD growth, accretive to adjusted operating margin; ~$0.45 adjusted EPS in year 1 ($0.32 in 2026 guidance).</t>
  </si>
  <si>
    <t xml:space="preserve">  Clario — revenue growth % (high-single-digit, per company)</t>
  </si>
  <si>
    <t xml:space="preserve">  Clario — adjusted EBITDA margin % (assumption; pro forma leverage only)</t>
  </si>
  <si>
    <t xml:space="preserve">  Memo: Clario purchase price, preliminary (USDm; cash $5,806m + debt settled $3,180m + payable + earn-out FV − cash)</t>
  </si>
  <si>
    <t xml:space="preserve">  Memo: Clario acquired intangibles (CR $2,510m/20y · technology $844m/7y · trade names $19m/3y · backlog $423m/6y)</t>
  </si>
  <si>
    <t xml:space="preserve">  Clario — intangible amortization p.a. (straight-line over weighted-average lives)</t>
  </si>
  <si>
    <t xml:space="preserve">Not in the FY2025 10-K amortization schedule (deal closed after year-end); added to the forecast amortization schedule.</t>
  </si>
  <si>
    <t xml:space="preserve">  Microbiology — revenues (SD; 10-Q/10-K revenue disaggregation; FY25 $645m)</t>
  </si>
  <si>
    <t xml:space="preserve">  Microbiology — days owned in fiscal quarter (closing assumed 31-Aug-2026; Q3 = 91 days)</t>
  </si>
  <si>
    <t xml:space="preserve">Input: fiscal Q3/26 = 28-Jun to 26-Sep-2026; closing assumed 31-Aug-2026 → 65 days owned. Change if the closing date differs.</t>
  </si>
  <si>
    <t xml:space="preserve">  Microbiology — revenues removed vs prior-year quarter</t>
  </si>
  <si>
    <t xml:space="preserve">  Microbiology — cash proceeds (USDm)</t>
  </si>
  <si>
    <t xml:space="preserve">  Microbiology — seller note received (USDm; other assets)</t>
  </si>
  <si>
    <t xml:space="preserve">  Microbiology — assets held for sale at 27-Jun-2026 (current $228m + long-term $760m)</t>
  </si>
  <si>
    <t xml:space="preserve">  Microbiology — liabilities held for sale at 27-Jun-2026 (current $71m + long-term $45m)</t>
  </si>
  <si>
    <t xml:space="preserve">  Microbiology — pre-tax gain on sale (in restructuring &amp; other; excluded from adjusted results)</t>
  </si>
  <si>
    <t xml:space="preserve">Proceeds − net assets held for sale (selling costs ignored). TMO books gains/losses on business sales in "restructuring and other costs (income)", excluded from adjusted OI/EPS.</t>
  </si>
  <si>
    <t xml:space="preserve">Future acquisitions (M&amp;A lever — bolt-ons, unallocated to segments; deals closed from 2027E)</t>
  </si>
  <si>
    <t xml:space="preserve">M&amp;A LEVER — acquired revenues = spend ÷ EV/revenues; mid-year convention</t>
  </si>
  <si>
    <t xml:space="preserve">  Acquisition spend (USDm, scenario)</t>
  </si>
  <si>
    <t xml:space="preserve">Scenario lever M&amp;A_spend. TMO deployed $0.7–17bn p.a. on acquisitions in 2014–2026 (Life Technologies, FEI, Patheon, PPD, Olink, Solventum P&amp;F, Clario); 2026 investor framework ~2/3 of capital deployment to M&amp;A.</t>
  </si>
  <si>
    <t xml:space="preserve">  Purchase multiple — EV / revenues (x)</t>
  </si>
  <si>
    <t xml:space="preserve">Life-science tools / services deals: ~4–7x revenues (Clario ~7x, Solventum P&amp;F ~4x, Olink ~6x).</t>
  </si>
  <si>
    <t xml:space="preserve">  Annualised revenues acquired in the year</t>
  </si>
  <si>
    <t xml:space="preserve">  Growth of acquired businesses after acquisition %</t>
  </si>
  <si>
    <t xml:space="preserve">  Run-rate revenues of businesses acquired (year end)</t>
  </si>
  <si>
    <t xml:space="preserve">  Revenues from future acquisitions</t>
  </si>
  <si>
    <t xml:space="preserve">Mid-year convention: deals close evenly through the year (half a year of revenues in year 1).</t>
  </si>
  <si>
    <t xml:space="preserve">  Segment income margin of acquired businesses % (before amortization)</t>
  </si>
  <si>
    <t xml:space="preserve">  Segment income (adjusted OI) from future acquisitions</t>
  </si>
  <si>
    <t xml:space="preserve">  PP&amp;E % of spend</t>
  </si>
  <si>
    <t xml:space="preserve">  Acquired intangibles % of spend</t>
  </si>
  <si>
    <t xml:space="preserve">Clario: 42% of purchase price to intangibles; Solventum P&amp;F: 40%. Balance to goodwill (and 5% PP&amp;E).</t>
  </si>
  <si>
    <t xml:space="preserve">  Intangible amortization life (years)</t>
  </si>
  <si>
    <t xml:space="preserve">  Cumulative acquired intangibles (gross)</t>
  </si>
  <si>
    <t xml:space="preserve">  Amortization of future-acquisition intangibles</t>
  </si>
  <si>
    <t xml:space="preserve">Group Total — revenues &amp; segment income (= adjusted operating income, TMO's primary non-GAAP profit measure)</t>
  </si>
  <si>
    <t xml:space="preserve">GROUP TOTAL (CONSOLIDATED) — modelling logic</t>
  </si>
  <si>
    <t xml:space="preserve">Revenues (segment build)</t>
  </si>
  <si>
    <t xml:space="preserve">Σ four segments (legacy segments to 2013) + eliminations + future M&amp;A.</t>
  </si>
  <si>
    <t xml:space="preserve">Segment income = adjusted operating income (segment build)</t>
  </si>
  <si>
    <t xml:space="preserve">  Adjusted operating margin %</t>
  </si>
  <si>
    <t xml:space="preserve">  Revenues y/y %</t>
  </si>
  <si>
    <t xml:space="preserve">  Check: segment build vs consolidated revenues (should be 0; ±2 = company rounding from 2024)</t>
  </si>
  <si>
    <t xml:space="preserve">  Check: segment income vs adjusted operating income bridge (should be 0; ±2 = company rounding)</t>
  </si>
  <si>
    <t xml:space="preserve">  Memo: organic revenue growth % (company-reported, consolidated; forecast = revenue-weighted segment organic)</t>
  </si>
  <si>
    <t xml:space="preserve">FY26 guidance ≈ 4% organic (Q2-26 call). Model: weighted by prior-year segment revenues (Q1–Q2/26 actual segment organic + Q3/Q4-26E calibrated).</t>
  </si>
  <si>
    <t xml:space="preserve">  Memo: acquisitions / divestitures contribution % (consolidated)</t>
  </si>
  <si>
    <t xml:space="preserve">  Memo: currency translation % (consolidated)</t>
  </si>
  <si>
    <t xml:space="preserve">  Memo: core / base-business organic growth % (2021–2023 non-GAAP; ex COVID-19 testing, PPD pro forma)</t>
  </si>
  <si>
    <t xml:space="preserve">  FX translation assumption % (input; applied to all segments)</t>
  </si>
  <si>
    <t xml:space="preserve">Q3/26E −0.5% / Q4/26E −0.75%: USD re-strengthening (guidance mid-point carries a $0.05 2H FX EPS headwind); with ~4% 2H organic growth (company) and the Clario / Solventum / microbiology effects this reconciles to the $47.75bn mid-point. 2027E+: 0%.</t>
  </si>
  <si>
    <t xml:space="preserve">  Memo: FY26 revenue guidance (scenario end-point; $47.4–48.1bn, Q2-26 call)</t>
  </si>
  <si>
    <t xml:space="preserve">Q2-26 call (23-Jul-2026): revenue $47.4–48.1bn (raised; includes the microbiology divestiture, ~−$200m), organic ~4% (2H ~4% vs 1H 3%), acquisitions +$1.6bn. Drives the revenue-outlook calibration below.</t>
  </si>
  <si>
    <t xml:space="preserve">  Revenues before calibration (Q3/Q4-26E helper)</t>
  </si>
  <si>
    <t xml:space="preserve">Σ segments at Q2/26 organic trend + known acquisition/divestiture + FX effects, net of eliminations.</t>
  </si>
  <si>
    <t xml:space="preserve">  Revenue sensitivity to +1.00 of organic growth (Q3/Q4-26E helper)</t>
  </si>
  <si>
    <t xml:space="preserve">  Outlook calibration: Δ organic growth applied to all segments (Q3/Q4-26E)</t>
  </si>
  <si>
    <t xml:space="preserve">Solves the uniform organic-growth shift (vs the Q2/26 segment trend) so that FY26 revenues = guidance end-point for the active scenario.</t>
  </si>
  <si>
    <t xml:space="preserve">  Check: FY26 revenues vs guidance end-point (should be 0)</t>
  </si>
  <si>
    <t xml:space="preserve">  Memo: FY26 adjusted operating margin guidance (scenario end-point; FY25 22.7% + ~80bp)</t>
  </si>
  <si>
    <t xml:space="preserve">Q2-26 call: ~80bp adjusted operating margin expansion in 2026 (FY25 22.69%). High/low ±10bp.</t>
  </si>
  <si>
    <t xml:space="preserve">  Σ segment revenues, gross (Q3/Q4-26E helper)</t>
  </si>
  <si>
    <t xml:space="preserve">  Adjusted OI before margin calibration (Q3/Q4-26E helper)</t>
  </si>
  <si>
    <t xml:space="preserve">  Outlook calibration: Δ segment margin applied to all segments (Q3/Q4-26E)</t>
  </si>
  <si>
    <t xml:space="preserve">Solves the uniform margin shift (vs prior-year quarter + 1H drift) so that FY26 adjusted operating income = revenues × guided adjusted operating margin.</t>
  </si>
  <si>
    <t xml:space="preserve">  Check: FY26 adjusted operating margin vs guidance end-point (should be 0)</t>
  </si>
  <si>
    <t xml:space="preserve">Cost drivers, D&amp;A &amp; other P&amp;L assumptions</t>
  </si>
  <si>
    <t xml:space="preserve">COST DRIVERS — inputs that drive forecast cost lines</t>
  </si>
  <si>
    <t xml:space="preserve">  Depreciation (company note: "consolidated depreciation expense")</t>
  </si>
  <si>
    <t xml:space="preserve">Forecast = revenues × depreciation % (1H/26 run-rate for Q3/Q4-26E). Depreciation is inside segment income (not added back in adjusted OI).</t>
  </si>
  <si>
    <t xml:space="preserve">  Depreciation % of revenues</t>
  </si>
  <si>
    <t xml:space="preserve">2027E+: 2.7% input (FY25 2.4%; 1H/26 2.8% incl. Clario and new capacity).</t>
  </si>
  <si>
    <t xml:space="preserve">  Amortization schedule — existing intangibles (FY25 10-K schedule + Clario)</t>
  </si>
  <si>
    <t xml:space="preserve">FY2025 10-K Note: estimated amortization 2027 $1,608m, 2028 $1,573m, 2029 $1,457m, 2030 $1,160m (pre-Clario) + Clario ~$323m p.a. (trade names fully amortized Mar-2029).</t>
  </si>
  <si>
    <t xml:space="preserve">  Cost of revenues excl. adjustments % of revenues</t>
  </si>
  <si>
    <t xml:space="preserve">Splits costs between cost of revenues and SG&amp;A only (SG&amp;A is the plug to segment income); FY25 58.3%, 1H/26 58.9%.</t>
  </si>
  <si>
    <t xml:space="preserve">  R&amp;D % of revenues</t>
  </si>
  <si>
    <t xml:space="preserve">FY25 3.1%; 1H/26 3.0%.</t>
  </si>
  <si>
    <t xml:space="preserve">  Restructuring &amp; other costs — run-rate excl. portfolio gains (Q3/Q4-26E input)</t>
  </si>
  <si>
    <t xml:space="preserve">1H/26 $147m (Q1 $49m, Q2 $98m) → ~$75m per quarter.</t>
  </si>
  <si>
    <t xml:space="preserve">  Restructuring &amp; other costs % of revenues</t>
  </si>
  <si>
    <t xml:space="preserve">2027E+: 0.6% input (FY24 0.9%, FY25 0.8%; ongoing site consolidation).</t>
  </si>
  <si>
    <t xml:space="preserve">  Stock-based compensation % of revenues</t>
  </si>
  <si>
    <t xml:space="preserve">FY25 0.70%.</t>
  </si>
  <si>
    <t xml:space="preserve">CONSOLIDATED STATEMENT OF INCOME (US GAAP; as reported)</t>
  </si>
  <si>
    <t xml:space="preserve">CONSOLIDATED IS — forecast logic</t>
  </si>
  <si>
    <t xml:space="preserve">Revenues</t>
  </si>
  <si>
    <t xml:space="preserve">Forecast linked to the segment build.</t>
  </si>
  <si>
    <t xml:space="preserve">Cost of revenues</t>
  </si>
  <si>
    <t xml:space="preserve">Revenues × cost ratio excl. adjustments + cost-of-revenues adjustments (step-up, accelerated depreciation).</t>
  </si>
  <si>
    <t xml:space="preserve">Gross profit</t>
  </si>
  <si>
    <t xml:space="preserve">  Gross margin %</t>
  </si>
  <si>
    <t xml:space="preserve">Selling, general &amp; administrative expenses</t>
  </si>
  <si>
    <t xml:space="preserve">Forecast = plug so that GAAP operating income = segment income − adjusting items (SG&amp;A incl. SG&amp;A adjustments).</t>
  </si>
  <si>
    <t xml:space="preserve">Amortization of acquisition-related intangible assets</t>
  </si>
  <si>
    <t xml:space="preserve">Q3/Q4-26E: Q2/26 run-rate (incl. Clario). 2027E+: 10-K schedule + Clario + future-M&amp;A amortization. Added back in adjusted OI.</t>
  </si>
  <si>
    <t xml:space="preserve">Research &amp; development expenses</t>
  </si>
  <si>
    <t xml:space="preserve">Restructuring and other costs (income), net</t>
  </si>
  <si>
    <t xml:space="preserve">Q3/26E includes the microbiology gain on sale (income). Excluded from adjusted OI.</t>
  </si>
  <si>
    <t xml:space="preserve">Total costs and operating expenses</t>
  </si>
  <si>
    <t xml:space="preserve">Operating income</t>
  </si>
  <si>
    <t xml:space="preserve">Forecast = segment income (adjusted OI) − cost-of-revenues &amp; SG&amp;A adjustments − restructuring &amp; other − amortization.</t>
  </si>
  <si>
    <t xml:space="preserve">  Check: operating income vs reported (should be 0; ±2 = company rounding from 2024)</t>
  </si>
  <si>
    <t xml:space="preserve">  Operating margin % (GAAP)</t>
  </si>
  <si>
    <t xml:space="preserve">Interest income</t>
  </si>
  <si>
    <t xml:space="preserve">Q3/Q4-26E: interest expense − ½ × (FY26 net interest guidance ~$660m − 1H/26 actual). 2027E+: opening cash × yield + swap income (TMO books cross-currency/interest-rate swap benefits in interest income).</t>
  </si>
  <si>
    <t xml:space="preserve">Interest expense</t>
  </si>
  <si>
    <t xml:space="preserve">Q3/Q4-26E: Q2/26 run-rate. 2027E+: rate × opening balances (no circularity).</t>
  </si>
  <si>
    <t xml:space="preserve">Other income/(expense), net (income = +)</t>
  </si>
  <si>
    <t xml:space="preserve">Pension (non-service), investment gains/losses, FX. Forecast 0 (adjusted other income ≈ 0).</t>
  </si>
  <si>
    <t xml:space="preserve">Income before income taxes</t>
  </si>
  <si>
    <t xml:space="preserve">Provision for (benefit from) income taxes (expense = +)</t>
  </si>
  <si>
    <t xml:space="preserve">Forecast = adjusted tax rate × adjusted pre-tax income + income-tax adjustments (tax effect of adjusting items, negative).</t>
  </si>
  <si>
    <t xml:space="preserve">  Effective tax rate (GAAP)</t>
  </si>
  <si>
    <t xml:space="preserve">Equity in earnings/(losses) of unconsolidated entities (separate line from 2022)</t>
  </si>
  <si>
    <t xml:space="preserve">1H/26 −$23m; excluded from adjusted EPS.</t>
  </si>
  <si>
    <t xml:space="preserve">Income from continuing operations</t>
  </si>
  <si>
    <t xml:space="preserve">Income/(loss) from discontinued operations, net of tax</t>
  </si>
  <si>
    <t xml:space="preserve">Net income</t>
  </si>
  <si>
    <t xml:space="preserve">  Less: net income attributable to noncontrolling &amp; redeemable noncontrolling interests</t>
  </si>
  <si>
    <t xml:space="preserve">Q3/Q4-26E: Q2/26 run-rate; 2027E+: $20m p.a.</t>
  </si>
  <si>
    <t xml:space="preserve">Net income attributable to Thermo Fisher Scientific Inc.</t>
  </si>
  <si>
    <t xml:space="preserve">  Check: net income attributable vs reported (should be 0; ±1 rounding from 2024)</t>
  </si>
  <si>
    <t xml:space="preserve">  Memo: net income attributable to Thermo Fisher as reported</t>
  </si>
  <si>
    <t xml:space="preserve">  Memo: operating income as reported</t>
  </si>
  <si>
    <t xml:space="preserve">  Memo: net income from continuing operations attributable</t>
  </si>
  <si>
    <t xml:space="preserve">  Memo: depreciation &amp; amortization (total; cash-flow statement)</t>
  </si>
  <si>
    <t xml:space="preserve">Forecast = depreciation + amortization of acquisition-related intangibles.</t>
  </si>
  <si>
    <t xml:space="preserve">  Memo: stock-based compensation</t>
  </si>
  <si>
    <t xml:space="preserve">(Earnings per share)</t>
  </si>
  <si>
    <t xml:space="preserve">  Weighted-average basic shares (m)</t>
  </si>
  <si>
    <t xml:space="preserve">Q3/Q4-26E: Q2/26 less 2H buybacks (time-weighted). 2027E+: average of beginning and ending shares.</t>
  </si>
  <si>
    <t xml:space="preserve">  Weighted-average diluted shares (m)</t>
  </si>
  <si>
    <t xml:space="preserve">EPS – basic, attributable to Thermo Fisher ($)</t>
  </si>
  <si>
    <t xml:space="preserve">EPS – diluted, attributable to Thermo Fisher ($)</t>
  </si>
  <si>
    <t xml:space="preserve">EPS computed as net income ÷ weighted diluted shares (may differ by ±$0.01–0.02 vs reported).</t>
  </si>
  <si>
    <t xml:space="preserve">EPS – diluted, continuing operations ($)</t>
  </si>
  <si>
    <t xml:space="preserve">  EPS – diluted y/y %</t>
  </si>
  <si>
    <t xml:space="preserve">  Memo: EPS – diluted as reported ($)</t>
  </si>
  <si>
    <t xml:space="preserve">  Memo: EPS – diluted, continuing operations as reported ($)</t>
  </si>
  <si>
    <t xml:space="preserve">  Dividends declared per share ($)</t>
  </si>
  <si>
    <t xml:space="preserve">Q3/Q4-26E: $0.47 per quarter (raised Feb-2026, +9%). 2027E+: +10% p.a.</t>
  </si>
  <si>
    <t xml:space="preserve">  Dividend per share growth %</t>
  </si>
  <si>
    <t xml:space="preserve">RECONCILIATION: GAAP OPERATING INCOME → ADJUSTED OPERATING INCOME (company definition = Σ segment income) → ADJUSTED EBITDA (model memo)</t>
  </si>
  <si>
    <t xml:space="preserve">ADJUSTED OPERATING INCOME — per TMO earnings-release reconciliations ("Reconciliation of adjusted operating income and adjusted operating margin")</t>
  </si>
  <si>
    <t xml:space="preserve">GAAP operating income</t>
  </si>
  <si>
    <t xml:space="preserve">  (+) Cost-of-revenues adjustments (inventory step-up, accelerated depreciation, policy conformity)</t>
  </si>
  <si>
    <t xml:space="preserve">Inputs: 1H/26 $42m; 2027E+ $50m p.a.</t>
  </si>
  <si>
    <t xml:space="preserve">  (+) SG&amp;A adjustments (transaction/integration costs, contingent consideration, litigation, accelerated depreciation)</t>
  </si>
  <si>
    <t xml:space="preserve">Inputs: 1H/26 $79m (Clario integration); 2027E $120m, then $100m p.a.</t>
  </si>
  <si>
    <t xml:space="preserve">  (+) Restructuring and other costs (income), net</t>
  </si>
  <si>
    <t xml:space="preserve">  (+) Amortization of acquisition-related intangible assets</t>
  </si>
  <si>
    <t xml:space="preserve">  (+) Other items (2006–08: equity-compensation acceleration, pro forma option expense)</t>
  </si>
  <si>
    <t xml:space="preserve">  Total adjusting items</t>
  </si>
  <si>
    <t xml:space="preserve">  = Adjusted operating income (model bridge)</t>
  </si>
  <si>
    <t xml:space="preserve">Historical bridge rebuilt from the company reconciliation in each period; forecast = GAAP OI + adjusting items (= segment build).</t>
  </si>
  <si>
    <t xml:space="preserve">  Company-published adjusted operating income</t>
  </si>
  <si>
    <t xml:space="preserve">  Check: model bridge vs company-published (should be 0; ±1 rounding)</t>
  </si>
  <si>
    <t xml:space="preserve">To adjusted EBITDA (model memo — TMO does not publish adjusted EBITDA; credit metrics on calls use adjusted EBITDA ≈ adjusted OI + depreciation):</t>
  </si>
  <si>
    <t xml:space="preserve">  (+) Depreciation</t>
  </si>
  <si>
    <t xml:space="preserve">  = Adjusted EBITDA (model: adjusted operating income + depreciation)</t>
  </si>
  <si>
    <t xml:space="preserve">  Adjusted EBITDA margin %</t>
  </si>
  <si>
    <t xml:space="preserve">  Memo: EBITDA (GAAP operating income + total D&amp;A)</t>
  </si>
  <si>
    <t xml:space="preserve">  Memo: Adjusted EBITDA pro forma (2026E incl. Clario pre-closing ~12 weeks), for leverage &amp; valuation</t>
  </si>
  <si>
    <t xml:space="preserve">2026E adds Clario 1-Jan–24-Mar at the assumed EBITDA margin (company pro forma basis).</t>
  </si>
  <si>
    <t xml:space="preserve">  Adjusted EBIT (= adjusted operating income; amortization excluded, depreciation expensed)</t>
  </si>
  <si>
    <t xml:space="preserve">RECONCILIATION: GAAP NET INCOME / DILUTED EPS → ADJUSTED NET INCOME → ADJUSTED EPS (company definition)</t>
  </si>
  <si>
    <t xml:space="preserve">ADJUSTED EPS — per TMO "Reconciliation of adjusted net income / adjusted EPS"; published every quarter since 2006</t>
  </si>
  <si>
    <t xml:space="preserve">Net income attributable to Thermo Fisher (GAAP)</t>
  </si>
  <si>
    <t xml:space="preserve">  Memo: starting point of the company reconciliation (as published)</t>
  </si>
  <si>
    <t xml:space="preserve">  (+) Basis difference: company start vs. model (rounding)</t>
  </si>
  <si>
    <t xml:space="preserve">  (+) Operating-income adjusting items, pre-tax (as in the adjusted OI bridge)</t>
  </si>
  <si>
    <t xml:space="preserve">  (+/−) Other income/expense adjustments (investment gains/losses, debt extinguishment, financing fees, pension settlements)</t>
  </si>
  <si>
    <t xml:space="preserve">  (+/−) Equity-method items (investee amortization to 2021; equity in earnings/losses from 2022)</t>
  </si>
  <si>
    <t xml:space="preserve">  (−) Income-tax adjustments (tax effect of adjustments; rate/law changes; audit settlements)</t>
  </si>
  <si>
    <t xml:space="preserve">  (+/−) Discontinued operations, net of tax (to 2021)</t>
  </si>
  <si>
    <t xml:space="preserve">  (+/−) Noncontrolling-interest adjustments (from 2023)</t>
  </si>
  <si>
    <t xml:space="preserve">  = Adjusted net income (model bridge)</t>
  </si>
  <si>
    <t xml:space="preserve">Forecast ≡ adjusted pre-tax income × (1 − adjusted tax rate) − NCI.</t>
  </si>
  <si>
    <t xml:space="preserve">  Company-published adjusted net income</t>
  </si>
  <si>
    <t xml:space="preserve">Adjusted EPS – diluted ($) (model)</t>
  </si>
  <si>
    <t xml:space="preserve">  Company-published adjusted EPS – diluted ($)</t>
  </si>
  <si>
    <t xml:space="preserve">  Check: model vs company-published adjusted EPS (≈0.00; company sums rounded per-share items)</t>
  </si>
  <si>
    <t xml:space="preserve">  Adjusted tax rate % (adjusted tax ÷ adjusted pre-tax income)</t>
  </si>
  <si>
    <t xml:space="preserve">Q3/Q4-26E: FY26 guidance 11.5% (Q2-26 call). 2027E+: 12.0% rising to 13.0% (Pillar Two minimum tax, mix).</t>
  </si>
  <si>
    <t xml:space="preserve">  Tax rate applied to adjusting items %</t>
  </si>
  <si>
    <t xml:space="preserve">Historical: implied (incl. discrete tax items). Forecast: 21% input (US federal + state blend on amortization / restructuring).</t>
  </si>
  <si>
    <t xml:space="preserve">  Memo: FY26 adjusted EPS guidance (scenario end-point; $24.93–25.33, Q2-26 call)</t>
  </si>
  <si>
    <t xml:space="preserve">  Memo: model FY26 adjusted EPS vs guidance end-point ($; output, not forced)</t>
  </si>
  <si>
    <t xml:space="preserve">The model is calibrated to revenue and adjusted operating margin guidance; adjusted EPS is an output (net interest $660m and 11.5% tax per guidance).</t>
  </si>
  <si>
    <t xml:space="preserve">GROWTH &amp; MARGINS</t>
  </si>
  <si>
    <t xml:space="preserve">GROWTH &amp; MARGINS (consolidated) — forecast outputs</t>
  </si>
  <si>
    <t xml:space="preserve">  Organic revenue growth % (company / model)</t>
  </si>
  <si>
    <t xml:space="preserve">  Adjusted operating income y/y %</t>
  </si>
  <si>
    <t xml:space="preserve">  GAAP operating income y/y %</t>
  </si>
  <si>
    <t xml:space="preserve">  Net income attributable y/y %</t>
  </si>
  <si>
    <t xml:space="preserve">  Adjusted EPS y/y %</t>
  </si>
  <si>
    <t xml:space="preserve">  GAAP diluted EPS y/y %</t>
  </si>
  <si>
    <t xml:space="preserve">  Incremental adjusted operating margin (Δ adjusted OI ÷ Δ revenues)</t>
  </si>
  <si>
    <t xml:space="preserve">  Net margin %</t>
  </si>
  <si>
    <t xml:space="preserve">  SG&amp;A % of revenues</t>
  </si>
  <si>
    <t xml:space="preserve">CONSOLIDATED STATEMENT OF CASH FLOWS (quarters = discrete, derived from year-to-date statements)</t>
  </si>
  <si>
    <t xml:space="preserve">CASH FLOW — forecast logic (annual; 2026E = 1H/26 actual + 2H estimate; quarters = discrete, derived from year-to-date statements)</t>
  </si>
  <si>
    <t xml:space="preserve">Net income (incl. noncontrolling interests)</t>
  </si>
  <si>
    <t xml:space="preserve">Adjustments:</t>
  </si>
  <si>
    <t xml:space="preserve">  Depreciation &amp; amortization</t>
  </si>
  <si>
    <t xml:space="preserve">  Change in deferred income taxes</t>
  </si>
  <si>
    <t xml:space="preserve">Forecast: unwind of deferred tax liabilities on acquired intangibles (book amortization &gt; tax) at the input rate.</t>
  </si>
  <si>
    <t xml:space="preserve">  Stock-based compensation</t>
  </si>
  <si>
    <t xml:space="preserve">Separate line from XBRL (inside "other non-cash expenses" in the condensed release statement).</t>
  </si>
  <si>
    <t xml:space="preserve">  (Gains)/losses on sale of businesses</t>
  </si>
  <si>
    <t xml:space="preserve">  Other non-cash items, net (derived)</t>
  </si>
  <si>
    <t xml:space="preserve">2026E = 1H/26 actual + FY26 FCF calibration (row in the FCF memo block).</t>
  </si>
  <si>
    <t xml:space="preserve">  Changes in operating assets &amp; liabilities (excl. acquisitions/dispositions)</t>
  </si>
  <si>
    <t xml:space="preserve">Linked to the balance sheet: −Δ(receivables, inventories) + Δ(payables, accrued payroll, contract liabilities).</t>
  </si>
  <si>
    <t xml:space="preserve">  Net cash from discontinued operations</t>
  </si>
  <si>
    <t xml:space="preserve">Net cash provided by operating activities</t>
  </si>
  <si>
    <t xml:space="preserve">Purchases of property, plant &amp; equipment</t>
  </si>
  <si>
    <t xml:space="preserve">2026E: FY26 net capex guidance $1.9–2.1bn (scenario end-point; Bull = high). 2027E+: revenues × capex %.</t>
  </si>
  <si>
    <t xml:space="preserve">Proceeds from sale of property, plant &amp; equipment</t>
  </si>
  <si>
    <t xml:space="preserve">Acquisitions, net of cash acquired</t>
  </si>
  <si>
    <t xml:space="preserve">2026E: 1H/26 actual (Clario $8.9bn incl. debt settled). 2027E+: M&amp;A lever.</t>
  </si>
  <si>
    <t xml:space="preserve">Proceeds from sale of businesses, net of cash divested</t>
  </si>
  <si>
    <t xml:space="preserve">2026E: microbiology cash proceeds ($1,025m).</t>
  </si>
  <si>
    <t xml:space="preserve">Other investing activities, net (derived; investments, swap settlements, disc. ops)</t>
  </si>
  <si>
    <t xml:space="preserve">Net cash provided by (used in) investing activities</t>
  </si>
  <si>
    <t xml:space="preserve">Proceeds from borrowings (senior notes, commercial paper, short-term notes)</t>
  </si>
  <si>
    <t xml:space="preserve">Repayments of debt &amp; commercial paper</t>
  </si>
  <si>
    <t xml:space="preserve">Net issuance / (repayment) = change in total debt per the debt schedule (scheduled maturities, refinancing, commercial-paper plug).</t>
  </si>
  <si>
    <t xml:space="preserve">Purchases of company common stock</t>
  </si>
  <si>
    <t xml:space="preserve">2026E = 1H/26 actual ($4.0bn = full-year plan) + 2H scenario amount; 2027E+ = leverage plug (surplus cash returned once net debt / adjusted EBITDA reaches the scenario floor).</t>
  </si>
  <si>
    <t xml:space="preserve">Dividends paid</t>
  </si>
  <si>
    <t xml:space="preserve">2027E+: dividends per share × beginning shares (avoids circularity with buybacks). FY26 guidance ~$700m.</t>
  </si>
  <si>
    <t xml:space="preserve">Net proceeds from issuance of common stock (employee plans, tax benefits; 2014 equity offering)</t>
  </si>
  <si>
    <t xml:space="preserve">Not shown separately in recent condensed statements (in other financing). Forecast 0.</t>
  </si>
  <si>
    <t xml:space="preserve">Other financing activities, net (derived)</t>
  </si>
  <si>
    <t xml:space="preserve">Net cash provided by (used in) financing activities</t>
  </si>
  <si>
    <t xml:space="preserve">Exchange-rate effect on cash</t>
  </si>
  <si>
    <t xml:space="preserve">Net increase (decrease) in cash (incl. restricted cash from 2017)</t>
  </si>
  <si>
    <t xml:space="preserve">Cash — beginning of period</t>
  </si>
  <si>
    <t xml:space="preserve">Cash — end of period</t>
  </si>
  <si>
    <t xml:space="preserve">2026E = 27-Jun-2026 cash (as reported) + 2H flows, so the year-end balance sheet ties to the Q2/26 balance sheet (1H statement rounding stays in the 2026E cash check).</t>
  </si>
  <si>
    <t xml:space="preserve">  Check: beginning cash + CFO + CFI + CFF + FX = ending cash (should be 0; ±1 = company rounding)</t>
  </si>
  <si>
    <t xml:space="preserve">(Memo)</t>
  </si>
  <si>
    <t xml:space="preserve">Free cash flow (company definition: CFO excl. discontinued ops − capex + proceeds from PP&amp;E sales)</t>
  </si>
  <si>
    <t xml:space="preserve">Company definition (non-GAAP). FY26 guidance $6.9–7.4bn.</t>
  </si>
  <si>
    <t xml:space="preserve">  Company-published free cash flow (from 2008)</t>
  </si>
  <si>
    <t xml:space="preserve">  FY26 FCF calibration to guidance end-point (2H other operating items; in other non-cash items)</t>
  </si>
  <si>
    <t xml:space="preserve">Solves the 2H other-operating cash items so that FY26 free cash flow = guidance end-point ($6.9–7.4bn; Bull = high). Offset in other current liabilities (accrued taxes, incentive payouts, other accruals).</t>
  </si>
  <si>
    <t xml:space="preserve">  Check: FY26 free cash flow vs guidance end-point (should be 0)</t>
  </si>
  <si>
    <t xml:space="preserve">  Check: model vs company-published free cash flow (should be 0; ±1 rounding)</t>
  </si>
  <si>
    <t xml:space="preserve">  FCF y/y %</t>
  </si>
  <si>
    <t xml:space="preserve">  FCF % of revenues</t>
  </si>
  <si>
    <t xml:space="preserve">  FCF / adjusted net income conversion %</t>
  </si>
  <si>
    <t xml:space="preserve">  FCF per diluted share ($)</t>
  </si>
  <si>
    <t xml:space="preserve">Capex ratios</t>
  </si>
  <si>
    <t xml:space="preserve">  Capex % of revenues</t>
  </si>
  <si>
    <t xml:space="preserve">2027E+: 4.2% input (FY26 guidance ~4.2%; FY25 3.4%; 2021–22 peak 6–7%).</t>
  </si>
  <si>
    <t xml:space="preserve">  Capex / depreciation (x)</t>
  </si>
  <si>
    <t xml:space="preserve">SHARE BUYBACK SCHEDULE</t>
  </si>
  <si>
    <t xml:space="preserve">SHARES — 2026E from the 10-Q cover share count; 2H/26 buybacks per scenario</t>
  </si>
  <si>
    <t xml:space="preserve">  Avg buyback price ($)</t>
  </si>
  <si>
    <t xml:space="preserve">2026E = current share price (valuation input); appreciates with the share-price input.</t>
  </si>
  <si>
    <t xml:space="preserve">  Buyback cash deployed (USDm)</t>
  </si>
  <si>
    <t xml:space="preserve">2026E row = 2H/26 buyback only (1H/26 $4.0bn already in the Q1/Q2 share counts).</t>
  </si>
  <si>
    <t xml:space="preserve">  Implied shares repurchased (m)</t>
  </si>
  <si>
    <t xml:space="preserve">  Shares issued under equity plans (m)</t>
  </si>
  <si>
    <t xml:space="preserve">  Beginning shares outstanding (m)</t>
  </si>
  <si>
    <t xml:space="preserve">2026E begins from shares outstanding per the Q2/26 10-Q cover.</t>
  </si>
  <si>
    <t xml:space="preserve">  Ending shares outstanding (m)</t>
  </si>
  <si>
    <t xml:space="preserve">  % of shares repurchased</t>
  </si>
  <si>
    <t xml:space="preserve">  Memo: cumulative shares repurchased since 2H/26 (m)</t>
  </si>
  <si>
    <t xml:space="preserve">CONSOLIDATED BALANCE SHEET</t>
  </si>
  <si>
    <t xml:space="preserve">BS FORECAST — 2026E rolled forward from the 27-Jun-2026 balance sheet (Q2/26) + 2H flows − microbiology held for sale; 2027E+ from prior year end</t>
  </si>
  <si>
    <t xml:space="preserve">ASSETS</t>
  </si>
  <si>
    <t xml:space="preserve">  Cash and cash equivalents</t>
  </si>
  <si>
    <t xml:space="preserve">  Short-term investments</t>
  </si>
  <si>
    <t xml:space="preserve">  Accounts receivable, net</t>
  </si>
  <si>
    <t xml:space="preserve">Receivables = revenues × DSO ÷ 365.</t>
  </si>
  <si>
    <t xml:space="preserve">  Inventories</t>
  </si>
  <si>
    <t xml:space="preserve">  Other current assets (incl. assets held for sale)</t>
  </si>
  <si>
    <t xml:space="preserve">2026E: − microbiology assets held for sale (classified as held for sale at 27-Jun-2026; assumed in other current assets).</t>
  </si>
  <si>
    <t xml:space="preserve">Total current assets</t>
  </si>
  <si>
    <t xml:space="preserve">  Property, plant &amp; equipment, net</t>
  </si>
  <si>
    <t xml:space="preserve">PP&amp;E roll-forward: prior + capex − depreciation + acquired PP&amp;E (M&amp;A lever).</t>
  </si>
  <si>
    <t xml:space="preserve">  Acquisition-related intangible assets, net</t>
  </si>
  <si>
    <t xml:space="preserve">Intangibles roll-forward: prior + acquired − amortization.</t>
  </si>
  <si>
    <t xml:space="preserve">  Goodwill</t>
  </si>
  <si>
    <t xml:space="preserve">  Other assets (incl. operating-lease ROU, deferred taxes, investments)</t>
  </si>
  <si>
    <t xml:space="preserve">2026E: + $50m microbiology seller note.</t>
  </si>
  <si>
    <t xml:space="preserve">TOTAL ASSETS</t>
  </si>
  <si>
    <t xml:space="preserve">LIABILITIES, REDEEMABLE NONCONTROLLING INTEREST AND EQUITY</t>
  </si>
  <si>
    <t xml:space="preserve">  Short-term obligations &amp; current maturities of long-term obligations</t>
  </si>
  <si>
    <t xml:space="preserve">Forecast: next year's scheduled note maturities (2030E: 2030 level as proxy).</t>
  </si>
  <si>
    <t xml:space="preserve">  Accounts payable</t>
  </si>
  <si>
    <t xml:space="preserve">  Accrued payroll &amp; employee benefits</t>
  </si>
  <si>
    <t xml:space="preserve">  Contract liabilities (current; separately disclosed from 2017)</t>
  </si>
  <si>
    <t xml:space="preserve">  Other current liabilities (derived; accrued taxes, other accrued expenses, held for sale)</t>
  </si>
  <si>
    <t xml:space="preserve">Total current liabilities</t>
  </si>
  <si>
    <t xml:space="preserve">  Long-term obligations (excl. current maturities)</t>
  </si>
  <si>
    <t xml:space="preserve">  Other long-term liabilities (incl. deferred income taxes, pensions, lease liabilities)</t>
  </si>
  <si>
    <t xml:space="preserve">+ deferred-tax expense (negative = unwind of DTL on intangibles).</t>
  </si>
  <si>
    <t xml:space="preserve">Total liabilities</t>
  </si>
  <si>
    <t xml:space="preserve">  Redeemable noncontrolling interest (temporary equity)</t>
  </si>
  <si>
    <t xml:space="preserve">Shareholders' equity:</t>
  </si>
  <si>
    <t xml:space="preserve">  Common stock &amp; capital in excess of par value</t>
  </si>
  <si>
    <t xml:space="preserve">+ stock-based compensation + net issuances.</t>
  </si>
  <si>
    <t xml:space="preserve">  Retained earnings</t>
  </si>
  <si>
    <t xml:space="preserve">+ net income attributable − dividends.</t>
  </si>
  <si>
    <t xml:space="preserve">  Treasury stock at cost</t>
  </si>
  <si>
    <t xml:space="preserve">TMO holds repurchased shares in treasury (cost charged to treasury stock).</t>
  </si>
  <si>
    <t xml:space="preserve">  Accumulated other comprehensive items</t>
  </si>
  <si>
    <t xml:space="preserve">Total Thermo Fisher shareholders' equity</t>
  </si>
  <si>
    <t xml:space="preserve">  Noncontrolling interests</t>
  </si>
  <si>
    <t xml:space="preserve">Total equity</t>
  </si>
  <si>
    <t xml:space="preserve">TOTAL LIABILITIES, REDEEMABLE NCI AND EQUITY</t>
  </si>
  <si>
    <t xml:space="preserve">BS tie-out check (TA − TL&amp;E; ±2 = company rounding of XBRL components vs release totals)</t>
  </si>
  <si>
    <t xml:space="preserve">  Check: model total assets vs reported (should be 0)</t>
  </si>
  <si>
    <t xml:space="preserve">  Memo: total assets as reported</t>
  </si>
  <si>
    <t xml:space="preserve">  Memo: restricted cash &amp; cash held for sale (cash-flow ending cash − BS cash; from 2017)</t>
  </si>
  <si>
    <t xml:space="preserve">  Check: BS cash + restricted cash vs cash-flow ending cash (should be 0)</t>
  </si>
  <si>
    <t xml:space="preserve">  Memo: common shares outstanding (m; 10-Q/10-K cover date; 2006–08 = issued − treasury)</t>
  </si>
  <si>
    <t xml:space="preserve">WORKING CAPITAL &amp; CASH CONVERSION</t>
  </si>
  <si>
    <t xml:space="preserve">WORKING CAPITAL — forecast drivers (blue = input)</t>
  </si>
  <si>
    <t xml:space="preserve">  Revenues — annualised basis (quarters × 4)</t>
  </si>
  <si>
    <t xml:space="preserve">  Cost of revenues — same basis</t>
  </si>
  <si>
    <t xml:space="preserve">  DSO — receivables ÷ revenues × 365</t>
  </si>
  <si>
    <t xml:space="preserve">Forecast inputs set at FY2025 levels (DSO 73d, inventory 76d, payables 51d, accrued payroll 4.5%, contract liabilities 6.1% of revenues).</t>
  </si>
  <si>
    <t xml:space="preserve">  Inventory days — inventories ÷ cost of revenues × 365</t>
  </si>
  <si>
    <t xml:space="preserve">  Payable days — payables ÷ cost of revenues × 365</t>
  </si>
  <si>
    <t xml:space="preserve">  Accrued payroll &amp; benefits % of revenues</t>
  </si>
  <si>
    <t xml:space="preserve">  Contract liabilities % of revenues</t>
  </si>
  <si>
    <t xml:space="preserve">  Operating NWC (receivables + inventories − payables − accrued payroll − contract liabilities)</t>
  </si>
  <si>
    <t xml:space="preserve">  NWC % of revenues</t>
  </si>
  <si>
    <t xml:space="preserve">  ΔNWC (y/y)</t>
  </si>
  <si>
    <t xml:space="preserve">BALANCE SHEET FORECAST SCHEDULES</t>
  </si>
  <si>
    <t xml:space="preserve">BS FORECAST SCHEDULES — explicit driver assumptions</t>
  </si>
  <si>
    <t xml:space="preserve">Asset roll-forwards &amp; non-cash items</t>
  </si>
  <si>
    <t xml:space="preserve">  Deferred-tax unwind on amortization of acquired intangibles (% of amortization)</t>
  </si>
  <si>
    <t xml:space="preserve">FY25 deferred-tax benefit $639m vs amortization $1,730m (37%, incl. other items); 25% input ≈ statutory rate on book-tax basis differences.</t>
  </si>
  <si>
    <t xml:space="preserve">  Dilutive securities (m shares; diluted − basic)</t>
  </si>
  <si>
    <t xml:space="preserve">Q2/26: diluted = basic (371m, rounded); ~1m historically.</t>
  </si>
  <si>
    <t xml:space="preserve">  Share-price appreciation % (buyback pricing)</t>
  </si>
  <si>
    <t xml:space="preserve">Debt schedule (scheduled note maturities refinanced; commercial paper / revolver = prepayable plug to a minimum cash balance)</t>
  </si>
  <si>
    <t xml:space="preserve">  Total debt (current + long-term)</t>
  </si>
  <si>
    <t xml:space="preserve">Debt at 27-Jun-2026 $42.5bn (incl. Feb-26 $3.8bn USD notes; no commercial paper outstanding). 2H/26 maturities: $600m Aug-26, CHF 0.83% Sep-26 ($517m), $1,000m Dec-26.</t>
  </si>
  <si>
    <t xml:space="preserve">  Scheduled note maturities (input, negative)</t>
  </si>
  <si>
    <t xml:space="preserve">FY2025 10-K debt note: 2027 $3,254m, 2028 $3,057m, 2029 $3,150m, 2030 $3,105m; 2H/26 per maturity list.</t>
  </si>
  <si>
    <t xml:space="preserve">  % of scheduled maturities refinanced (input)</t>
  </si>
  <si>
    <t xml:space="preserve">100% = each maturity refinanced with new notes.</t>
  </si>
  <si>
    <t xml:space="preserve">  Refinancing issuance</t>
  </si>
  <si>
    <t xml:space="preserve">  Senior notes &amp; other term debt (carrying value, year end)</t>
  </si>
  <si>
    <t xml:space="preserve">  Cash before commercial paper (opening cash + CFO + CFI + non-CP financing)</t>
  </si>
  <si>
    <t xml:space="preserve">  Minimum cash balance (incl. restricted)</t>
  </si>
  <si>
    <t xml:space="preserve">TMO typically holds $4–10bn of cash; $4.1bn at 27-Jun-2026.</t>
  </si>
  <si>
    <t xml:space="preserve">  Commercial paper / revolver outstanding (prepayable plug, year end)</t>
  </si>
  <si>
    <t xml:space="preserve">Drawn / repaid so that cash ≥ minimum balance; surplus cash first repays commercial paper, then accumulates.</t>
  </si>
  <si>
    <t xml:space="preserve">  Net issuance / (repayment)</t>
  </si>
  <si>
    <t xml:space="preserve">  Interest rate on opening total debt % (historical = interest expense ÷ opening total debt)</t>
  </si>
  <si>
    <t xml:space="preserve">FY25 3.9% (low-coupon EUR/CHF/JPY notes); maturities refinanced at ~4.2–5.0% → drifts up.</t>
  </si>
  <si>
    <t xml:space="preserve">  Interest rate on commercial paper / revolver %</t>
  </si>
  <si>
    <t xml:space="preserve">  Interest-income yield on opening cash %</t>
  </si>
  <si>
    <t xml:space="preserve">  Interest income from interest-rate &amp; cross-currency swaps (USDm p.a.)</t>
  </si>
  <si>
    <t xml:space="preserve">Q2-26 10-Q: swaps reduced net interest expense by $194m in 1H/26 (~$390m annualised).</t>
  </si>
  <si>
    <t xml:space="preserve">Leverage-targeted buybacks (repurchases plug to a minimum net debt / adjusted EBITDA)</t>
  </si>
  <si>
    <t xml:space="preserve">  Minimum net debt / adjusted EBITDA (x) (scenario)</t>
  </si>
  <si>
    <t xml:space="preserve">Net debt / adjusted EBITDA 3.5x at Q1/26 (post Clario). Buybacks resume above the plan once leverage falls to the scenario floor.</t>
  </si>
  <si>
    <t xml:space="preserve">  Net debt before buybacks (year end)</t>
  </si>
  <si>
    <t xml:space="preserve">  Target minimum net debt = minimum leverage × adjusted EBITDA</t>
  </si>
  <si>
    <t xml:space="preserve">  Share repurchases: plug to minimum leverage</t>
  </si>
  <si>
    <t xml:space="preserve">Zero while leverage is above the floor; feeds the cash-flow repurchase line.</t>
  </si>
  <si>
    <t xml:space="preserve">Historical reference (driver context)</t>
  </si>
  <si>
    <t xml:space="preserve">  Total D&amp;A % of revenues</t>
  </si>
  <si>
    <t xml:space="preserve">RATIO ANALYSIS</t>
  </si>
  <si>
    <t xml:space="preserve">RETURNS — annual columns (NOPAT on adjusted EBIT = adjusted operating income, taxed at the adjusted tax rate)</t>
  </si>
  <si>
    <t xml:space="preserve">DuPont decomposition of ROIC</t>
  </si>
  <si>
    <t xml:space="preserve">Adjusted EBIT (= adjusted operating income)</t>
  </si>
  <si>
    <t xml:space="preserve">Tax rate (adjusted)</t>
  </si>
  <si>
    <t xml:space="preserve">NOPAT = Adjusted EBIT × (1 − adjusted tax rate)</t>
  </si>
  <si>
    <t xml:space="preserve">Invested capital (IC) = Equity (incl. NCI) + Net debt</t>
  </si>
  <si>
    <t xml:space="preserve">  Total equity incl. NCI &amp; redeemable NCI</t>
  </si>
  <si>
    <t xml:space="preserve">  Net debt = Total debt − Cash − Short-term investments</t>
  </si>
  <si>
    <t xml:space="preserve">ROIC = NOPAT / IC</t>
  </si>
  <si>
    <t xml:space="preserve">  Margin = Adjusted EBIT / Revenues</t>
  </si>
  <si>
    <t xml:space="preserve">  Capital turnover = Revenues / IC</t>
  </si>
  <si>
    <t xml:space="preserve">  Tax burden = (1 − adjusted tax rate)</t>
  </si>
  <si>
    <t xml:space="preserve">  Check: Margin × Turnover × Tax burden = ROIC</t>
  </si>
  <si>
    <t xml:space="preserve">RONTA decomposition</t>
  </si>
  <si>
    <t xml:space="preserve">  Total assets</t>
  </si>
  <si>
    <t xml:space="preserve">  − Goodwill &amp; acquired intangible assets</t>
  </si>
  <si>
    <t xml:space="preserve">  − Non-interest-bearing current liabilities (total CL excl. debt)</t>
  </si>
  <si>
    <t xml:space="preserve">  = Net tangible assets</t>
  </si>
  <si>
    <t xml:space="preserve">RONTA = NOPAT / NTA</t>
  </si>
  <si>
    <t xml:space="preserve">Return on Equity (ROE)</t>
  </si>
  <si>
    <t xml:space="preserve">Net income attributable to Thermo Fisher</t>
  </si>
  <si>
    <t xml:space="preserve">Thermo Fisher shareholders' equity</t>
  </si>
  <si>
    <t xml:space="preserve">ROE = Net income / Equity</t>
  </si>
  <si>
    <t xml:space="preserve">Leverage</t>
  </si>
  <si>
    <t xml:space="preserve">Net debt = Total debt − cash &amp; short-term investments</t>
  </si>
  <si>
    <t xml:space="preserve">Adjusted EBITDA (2026E pro forma for Clario full year)</t>
  </si>
  <si>
    <t xml:space="preserve">Net debt / adjusted EBITDA (x)</t>
  </si>
  <si>
    <t xml:space="preserve">VALUATION</t>
  </si>
  <si>
    <t xml:space="preserve">VALUATION — share price input $676.76 (NYSE close 5-Oct-2026; update to market)</t>
  </si>
  <si>
    <t xml:space="preserve">Share price ($) — current</t>
  </si>
  <si>
    <t xml:space="preserve">Diluted shares at period end (m)</t>
  </si>
  <si>
    <t xml:space="preserve">Market capitalisation (USDm)</t>
  </si>
  <si>
    <t xml:space="preserve">Net debt (USDm)</t>
  </si>
  <si>
    <t xml:space="preserve">Noncontrolling interests incl. redeemable NCI (USDm)</t>
  </si>
  <si>
    <t xml:space="preserve">Enterprise value (USDm)</t>
  </si>
  <si>
    <t xml:space="preserve">Multiples</t>
  </si>
  <si>
    <t xml:space="preserve">  EV / Revenues</t>
  </si>
  <si>
    <t xml:space="preserve">  EV / Adjusted EBITDA (2026E pro forma)</t>
  </si>
  <si>
    <t xml:space="preserve">  EV / Adjusted operating income</t>
  </si>
  <si>
    <t xml:space="preserve">  EV / IC</t>
  </si>
  <si>
    <t xml:space="preserve">  P / E (GAAP diluted)</t>
  </si>
  <si>
    <t xml:space="preserve">  P / E (adjusted EPS)</t>
  </si>
  <si>
    <t xml:space="preserve">  FCF yield</t>
  </si>
  <si>
    <t xml:space="preserve">  Dividend yield</t>
  </si>
  <si>
    <t xml:space="preserve">Thermo Fisher Scientific (TMO) — Bull / Base / Bear Case P&amp;L Summary</t>
  </si>
  <si>
    <t xml:space="preserve">Share price ($):</t>
  </si>
  <si>
    <t xml:space="preserve">Adjusted figures (company current definitions: adjusted operating income = Σ segment income; adjusted EPS excludes amortization, restructuring, step-up, transaction costs, investment gains/losses, equity-method results and their tax effects). Adjusted EBITDA is a model memo (adjusted OI + depreciation).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</si>
  <si>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</si>
  <si>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</si>
  <si>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</si>
  <si>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</si>
  <si>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</si>
  <si>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</si>
  <si>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</si>
  <si>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</si>
  <si>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</si>
  <si>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</si>
  <si>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   Revenues y/y %</t>
  </si>
  <si>
    <t xml:space="preserve">   Organic revenue growth %</t>
  </si>
  <si>
    <t xml:space="preserve">Adjusted Operating Income (company definition = Σ segment income)</t>
  </si>
  <si>
    <t xml:space="preserve">   Adjusted operating margin %</t>
  </si>
  <si>
    <t xml:space="preserve">Operating Income (GAAP)</t>
  </si>
  <si>
    <t xml:space="preserve">   Operating income y/y %</t>
  </si>
  <si>
    <t xml:space="preserve">   Operating margin (GAAP) %</t>
  </si>
  <si>
    <t xml:space="preserve">Adjusted Net Income (attributable to Thermo Fisher)</t>
  </si>
  <si>
    <t xml:space="preserve">FDSO (m)</t>
  </si>
  <si>
    <t xml:space="preserve">Adjusted EPS — Diluted ($)</t>
  </si>
  <si>
    <t xml:space="preserve">   EPS y/y %</t>
  </si>
  <si>
    <t xml:space="preserve">P / E (x) — assumed (adjusted EPS)</t>
  </si>
  <si>
    <t xml:space="preserve">Price Target ($)</t>
  </si>
  <si>
    <t xml:space="preserve">   Upside / (Downside) vs current</t>
  </si>
  <si>
    <t xml:space="preserve">IRR (to Dec-Y-1)</t>
  </si>
  <si>
    <t xml:space="preserve">Free Cash Flow (company definition)</t>
  </si>
  <si>
    <t xml:space="preserve">   FCF %</t>
  </si>
  <si>
    <t xml:space="preserve">   FCF / share ($)</t>
  </si>
  <si>
    <t xml:space="preserve">   FCF Yield (on PT)</t>
  </si>
  <si>
    <t xml:space="preserve">Adjusted EBITDA — model (2026E pro forma incl. Clario full year)</t>
  </si>
  <si>
    <t xml:space="preserve">   Adjusted EBITDA (pro forma) % of revenues</t>
  </si>
  <si>
    <t xml:space="preserve">Net Debt</t>
  </si>
  <si>
    <t xml:space="preserve">   Net Debt / Adjusted EBITDA (x)</t>
  </si>
  <si>
    <t xml:space="preserve">   Share repurchases ($m; 2026E = 2H only)</t>
  </si>
  <si>
    <t xml:space="preserve">   Implied avg buyback price ($)</t>
  </si>
  <si>
    <t xml:space="preserve">   Shares repurchased (m)</t>
  </si>
  <si>
    <t xml:space="preserve">ROIC</t>
  </si>
  <si>
    <t xml:space="preserve">RONTA</t>
  </si>
  <si>
    <t xml:space="preserve">Implied Market Cap (USDm)</t>
  </si>
  <si>
    <t xml:space="preserve">(+) Net Debt &amp; NCI</t>
  </si>
  <si>
    <t xml:space="preserve">Implied Enterprise Value (USDm)</t>
  </si>
  <si>
    <t xml:space="preserve">Implied EV / Adjusted EBITDA (x)</t>
  </si>
  <si>
    <t xml:space="preserve">DCF VALUATION — THERMO FISHER SCIENTIFIC (TMO)</t>
  </si>
  <si>
    <t xml:space="preserve">1. WACC BUILD</t>
  </si>
  <si>
    <t xml:space="preserve">Risk-free rate (US 10Y govt)</t>
  </si>
  <si>
    <t xml:space="preserve">Assumption (~US 10Y Treasury yield, consistent with the other models in this set); update to market</t>
  </si>
  <si>
    <t xml:space="preserve">Equity risk premium</t>
  </si>
  <si>
    <t xml:space="preserve">US implied ERP ~4.5–5.5% (Damodaran)</t>
  </si>
  <si>
    <t xml:space="preserve">Levered beta</t>
  </si>
  <si>
    <t xml:space="preserve">Life-science tools &amp; services peers (DHR, A, WAT, IQV, ILMN) ~0.8–1.1; recurring consumables/services (~80% of revenues) dampen cyclicality</t>
  </si>
  <si>
    <t xml:space="preserve">Cost of equity</t>
  </si>
  <si>
    <t xml:space="preserve">Pre-tax cost of debt</t>
  </si>
  <si>
    <t xml:space="preserve">Single-A (A-/A3); 2025–26 USD notes priced at 4.20%–5.55% (Feb-2026: 4.215% 2031 → 5.546% 2046); marginal cost ~5.0%</t>
  </si>
  <si>
    <t xml:space="preserve">Tax rate</t>
  </si>
  <si>
    <t xml:space="preserve">Model 2029E–30E adjusted tax rate (cash-tax proxy; FY26 guidance 11.5%)</t>
  </si>
  <si>
    <t xml:space="preserve">After-tax cost of debt</t>
  </si>
  <si>
    <t xml:space="preserve">Target D/V</t>
  </si>
  <si>
    <t xml:space="preserve">Net debt ~$33bn at YE2026E vs ~$250bn market cap ($676.76 × ~370m shares); 2.6x net debt / adjusted EBITDA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</si>
  <si>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</si>
  <si>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</si>
  <si>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</si>
  <si>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</si>
  <si>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</si>
  <si>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</si>
  <si>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</si>
  <si>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</si>
  <si>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</si>
  <si>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</si>
  <si>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CAGR 26–30E</t>
  </si>
  <si>
    <t xml:space="preserve">CAGR 26–35E</t>
  </si>
  <si>
    <t xml:space="preserve">Adj. EBIT less restructuring, transaction &amp; integration costs</t>
  </si>
  <si>
    <t xml:space="preserve">× (1 − tax rate)</t>
  </si>
  <si>
    <t xml:space="preserve">NOPAT</t>
  </si>
  <si>
    <t xml:space="preserve">plus depreciation (acquired-intangible amortization already excluded from adjusted EBIT)</t>
  </si>
  <si>
    <t xml:space="preserve">− Capex (PP&amp;E) and acquisitions (M&amp;A 2027E–30E)</t>
  </si>
  <si>
    <t xml:space="preserve">− Δ Working capital (CF statement)</t>
  </si>
  <si>
    <t xml:space="preserve">Unlevered FCF</t>
  </si>
  <si>
    <t xml:space="preserve">Terminal Value (Gordon Growth)</t>
  </si>
  <si>
    <t xml:space="preserve">Fade-period growth (2031E–35E; 7% → 5% linear)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</si>
  <si>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</si>
  <si>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</si>
  <si>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</si>
  <si>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</si>
  <si>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TMO's adjusted operating income expenses stock-based compensation and depreciation and excludes amortization of acquired intangibles (non-cash), so only depreciation is added back. Restructuring, transaction and integration costs are deducted as cash costs (the 2026E microbiology gain is excluded). Clario (closed 24-Mar-2026, $8.9bn) and the microbiology proceeds sit in YE2026E net debt, not in UFCF; acquisition spend from the M&amp;A lever is deducted in 2027E–30E; the fade period and terminal value assume no new acquisitions.</t>
  </si>
  <si>
    <t xml:space="preserve">IMPLIED ROIC — invested capital roll-forward (USDm)</t>
  </si>
  <si>
    <t xml:space="preserve">Opening invested capital</t>
  </si>
  <si>
    <t xml:space="preserve">plus Capex and acquisitions</t>
  </si>
  <si>
    <t xml:space="preserve">less DD&amp;A</t>
  </si>
  <si>
    <t xml:space="preserve">plus Δ Working capital investment</t>
  </si>
  <si>
    <t xml:space="preserve">Closing invested capital</t>
  </si>
  <si>
    <t xml:space="preserve">NOPAT (row 20)</t>
  </si>
  <si>
    <t xml:space="preserve">Implied ROIC (NOPAT / avg. invested capital)</t>
  </si>
  <si>
    <t xml:space="preserve">Reinvestment rate (net investment / NOPAT)</t>
  </si>
  <si>
    <t xml:space="preserve">Implied terminal RONIC (g / reinvestment rate)</t>
  </si>
  <si>
    <t xml:space="preserve">Opening IC = Model 2025A book IC (equity incl. NCI + net debt) + Clario purchase price ($9.1bn), rolled forward with capex + M&amp;A − depreciation + ΔWC.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</si>
  <si>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</si>
  <si>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</si>
  <si>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</si>
  <si>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</si>
  <si>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+ NCI incl. redeemable NCI (Model 2026E YE)</t>
  </si>
  <si>
    <t xml:space="preserve">TMO-specific: noncontrolling interests (~$0.2bn) and redeemable NCI (~$0.1bn) deducted alongside net debt; YE2026E net debt includes Clario and the microbiology proceeds.</t>
  </si>
  <si>
    <t xml:space="preserve">Equity Value</t>
  </si>
  <si>
    <t xml:space="preserve">Diluted shares (m, Model 2026E YE)</t>
  </si>
  <si>
    <t xml:space="preserve">Implied share price ($)</t>
  </si>
  <si>
    <t xml:space="preserve">Current share price ($)</t>
  </si>
  <si>
    <t xml:space="preserve">Implied upside / (downside)</t>
  </si>
  <si>
    <t xml:space="preserve">Required discount to DCF value for target IRR</t>
  </si>
  <si>
    <t xml:space="preserve">vs. current</t>
  </si>
  <si>
    <t xml:space="preserve">Target IRR</t>
  </si>
  <si>
    <t xml:space="preserve">Max entry price for target IRR ($)</t>
  </si>
  <si>
    <t xml:space="preserve">Years for discount to close</t>
  </si>
  <si>
    <t xml:space="preserve">4. SENSITIVITY: IMPLIED PRICE ($) — WACC × Terminal Growth</t>
  </si>
  <si>
    <t xml:space="preserve">WACC →</t>
  </si>
  <si>
    <t xml:space="preserve">Terminal growth ↓</t>
  </si>
  <si>
    <t xml:space="preserve">5. REVERSE DCF</t>
  </si>
  <si>
    <t xml:space="preserve">To solve for the market-implied path: Data ▸ What-If Analysis ▸ Goal Seek — set C51 to the current price (C52) by changing C27 (terminal growth) or the fade-period growth inputs (I26:M26).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</si>
  <si>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</si>
  <si>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</si>
  <si>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</si>
  <si>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</si>
  <si>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</si>
  <si>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(Thermo Fisher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</si>
  <si>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</si>
  <si>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</si>
  <si>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</si>
  <si>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adjusted EBIT CAGR 2026–30E (~9%): ~6% organic growth, 40–50bp p.a. margin expansion and bolt-on M&amp;A → ~9% NOPAT growth</t>
  </si>
  <si>
    <t xml:space="preserve">ROIIC  (Return on incremental invested capital)</t>
  </si>
  <si>
    <t xml:space="preserve">Organic reinvestment (capex ~4% of revenues, R&amp;D ~3%) earns high returns; acquired growth earns ~7–9% after tax on purchase price (Clario ~7x revenues) → blended ~14%</t>
  </si>
  <si>
    <t xml:space="preserve">N  (Years of value creation / CAP)</t>
  </si>
  <si>
    <t xml:space="preserve">Scale leader in life-science tools &amp; services (~$48bn revenues), ~80% recurring revenues, unmatched channel (Fisher) and PPI productivity system; long runway in biopharma outsourcing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</si>
  <si>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</si>
  <si>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</si>
  <si>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</si>
  <si>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</si>
  <si>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</si>
  <si>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</si>
  <si>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</si>
  <si>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</si>
  <si>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</si>
  <si>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Adj. EBIT less restructuring, transaction &amp; integration costs</t>
  </si>
  <si>
    <t xml:space="preserve">Tax rate (from WACC build)</t>
  </si>
  <si>
    <t xml:space="preserve">2028E NOPAT</t>
  </si>
  <si>
    <t xml:space="preserve">× Mauboussin EV/NOPAT multiple</t>
  </si>
  <si>
    <t xml:space="preserve">Implied Enterprise Value (2028E basis)</t>
  </si>
  <si>
    <t xml:space="preserve">Less: YE2027 net debt + NCI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</si>
  <si>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</si>
  <si>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</si>
  <si>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</si>
  <si>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</si>
  <si>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</si>
  <si>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net debt + NCI</t>
  </si>
  <si>
    <t xml:space="preserve">Implied Enterprise Value (today)</t>
  </si>
  <si>
    <t xml:space="preserve">TMO market-implied EV/NOPAT (on 2028E NOPAT)</t>
  </si>
  <si>
    <t xml:space="preserve">Multiple gap (Mauboussin − Market)</t>
  </si>
  <si>
    <t xml:space="preserve">Implied re-rating headroom</t>
  </si>
  <si>
    <t xml:space="preserve">Thermo Fisher Scientific — Historical Operating Performance (2006–2025)</t>
  </si>
  <si>
    <t xml:space="preserve">All historicals · USDm · Linked to Model. Revenue growth drivers = company-reported organic growth, acquisitions/divestitures and currency translation (consolidated; not disclosed on a consistent basis before 2012). Adjusted operating income = company definition (Σ segment income).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</si>
  <si>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</si>
  <si>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</si>
  <si>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</si>
  <si>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</si>
  <si>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</si>
  <si>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</si>
  <si>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</si>
  <si>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</si>
  <si>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</si>
  <si>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</si>
  <si>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</si>
  <si>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</si>
  <si>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</si>
  <si>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</si>
  <si>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</si>
  <si>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</si>
  <si>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</si>
  <si>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</si>
  <si>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</si>
  <si>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</si>
  <si>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Organic growth %</t>
  </si>
  <si>
    <t xml:space="preserve">Acquisitions / divestitures %</t>
  </si>
  <si>
    <t xml:space="preserve">Currency translation %</t>
  </si>
  <si>
    <t xml:space="preserve">Adjusted operating income</t>
  </si>
  <si>
    <t xml:space="preserve">Operating income (GAAP)</t>
  </si>
  <si>
    <t xml:space="preserve">Adj. operating margin %</t>
  </si>
  <si>
    <t xml:space="preserve">GAAP op. margin %</t>
  </si>
  <si>
    <t xml:space="preserve">FCF margin %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</si>
</sst>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#,##0;\(#,##0\);\-"/>
    <numFmt numFmtId="166" formatCode="0%;\(0%\);&quot;n/m&quot;"/>
    <numFmt numFmtId="167" formatCode="0.0%;\(0.0%\);\-"/>
    <numFmt numFmtId="168" formatCode="0.00;\(0.00\);\-"/>
    <numFmt numFmtId="169" formatCode="0.0\x;\(0.0&quot;x)&quot;;\-"/>
    <numFmt numFmtId="170" formatCode="\+0.0%;\-0.0%"/>
    <numFmt numFmtId="171" formatCode="\+#,##0;\-#,##0"/>
    <numFmt numFmtId="172" formatCode="0"/>
    <numFmt numFmtId="173" formatCode="#,##0.0;\(#,##0.0\);\-"/>
    <numFmt numFmtId="174" formatCode="0\d;\(0&quot;)d&quot;;\-"/>
    <numFmt numFmtId="175" formatCode="0.00\x;\(0.00&quot;x)&quot;;\-"/>
    <numFmt numFmtId="176" formatCode="#,##0.00"/>
    <numFmt numFmtId="177" formatCode="dd\-mmm\-yy"/>
    <numFmt numFmtId="178" formatCode="0%;\(0%\);\-"/>
    <numFmt numFmtId="179" formatCode="0.0\x"/>
    <numFmt numFmtId="180" formatCode="\$#,##0.00;&quot;($&quot;#,##0.00\);\-"/>
    <numFmt numFmtId="181" formatCode="0.00%"/>
    <numFmt numFmtId="182" formatCode="0.00"/>
    <numFmt numFmtId="183" formatCode="d/mmm/yyyy"/>
    <numFmt numFmtId="184" formatCode="0.0%"/>
    <numFmt numFmtId="185" formatCode="0.000"/>
    <numFmt numFmtId="186" formatCode="#,##0.0"/>
    <numFmt numFmtId="187" formatCode="0.0%;\(0.0%\)"/>
    <numFmt numFmtId="188" formatCode="#,##0"/>
    <numFmt numFmtId="189" formatCode="0.00\x"/>
    <numFmt numFmtId="190" formatCode="0.0\x;\(0.0&quot;x)&quot;"/>
    <numFmt numFmtId="191" formatCode="0%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2"/>
      <name val="Calibri"/>
      <family val="0"/>
      <charset val="1"/>
    </font>
    <font>
      <sz val="12"/>
      <color rgb="FFA6A6A6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00FF"/>
      <name val="Calibri"/>
      <family val="0"/>
      <charset val="1"/>
    </font>
    <font>
      <b val="true"/>
      <sz val="12"/>
      <color rgb="FF66666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sz val="10"/>
      <name val="Arial"/>
      <family val="2"/>
    </font>
    <font>
      <b val="true"/>
      <sz val="16"/>
      <color rgb="FF2F3E46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sz val="10"/>
      <color rgb="FF595959"/>
      <name val="Calibri"/>
      <family val="2"/>
      <charset val="1"/>
    </font>
    <font>
      <b val="true"/>
      <sz val="12"/>
      <color rgb="FF2F3E46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2"/>
      <color rgb="FF595959"/>
      <name val="Calibri"/>
      <family val="2"/>
      <charset val="1"/>
    </font>
    <font>
      <b val="true"/>
      <sz val="12"/>
      <color rgb="FF0000FF"/>
      <name val="Calibri"/>
      <family val="2"/>
      <charset val="1"/>
    </font>
    <font>
      <sz val="12"/>
      <color rgb="FF2F3E46"/>
      <name val="Calibri"/>
      <family val="2"/>
      <charset val="1"/>
    </font>
    <font>
      <sz val="12"/>
      <color rgb="FF008000"/>
      <name val="Calibri"/>
      <family val="2"/>
      <charset val="1"/>
    </font>
    <font>
      <sz val="11"/>
      <color rgb="FF000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4"/>
      <name val="Calibri"/>
      <family val="2"/>
      <charset val="1"/>
    </font>
    <font>
      <sz val="10"/>
      <color rgb="FF008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2F3E46"/>
        <bgColor rgb="FF1F3864"/>
      </patternFill>
    </fill>
    <fill>
      <patternFill patternType="solid">
        <fgColor rgb="FF84A98C"/>
        <bgColor rgb="FFA6A6A6"/>
      </patternFill>
    </fill>
    <fill>
      <patternFill patternType="solid">
        <fgColor rgb="FF52796F"/>
        <bgColor rgb="FF666666"/>
      </patternFill>
    </fill>
    <fill>
      <patternFill patternType="solid">
        <fgColor rgb="FFCAD2C5"/>
        <bgColor rgb="FFD9D9D9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>
        <color rgb="FF2F3E46"/>
      </top>
      <bottom/>
      <diagonal/>
    </border>
    <border diagonalUp="false" diagonalDown="false">
      <left style="thin">
        <color rgb="FF2F3E46"/>
      </left>
      <right/>
      <top style="thin">
        <color rgb="FF2F3E46"/>
      </top>
      <bottom/>
      <diagonal/>
    </border>
    <border diagonalUp="false" diagonalDown="false">
      <left/>
      <right style="thin">
        <color rgb="FF2F3E46"/>
      </right>
      <top style="thin">
        <color rgb="FF2F3E46"/>
      </top>
      <bottom/>
      <diagonal/>
    </border>
    <border diagonalUp="false" diagonalDown="false">
      <left style="thin">
        <color rgb="FF2F3E46"/>
      </left>
      <right/>
      <top/>
      <bottom/>
      <diagonal/>
    </border>
    <border diagonalUp="false" diagonalDown="false">
      <left/>
      <right style="thin">
        <color rgb="FF2F3E46"/>
      </right>
      <top/>
      <bottom/>
      <diagonal/>
    </border>
    <border diagonalUp="false" diagonalDown="false">
      <left style="thin">
        <color rgb="FF2F3E46"/>
      </left>
      <right/>
      <top/>
      <bottom style="thin">
        <color rgb="FF2F3E46"/>
      </bottom>
      <diagonal/>
    </border>
    <border diagonalUp="false" diagonalDown="false">
      <left/>
      <right/>
      <top/>
      <bottom style="thin">
        <color rgb="FF2F3E46"/>
      </bottom>
      <diagonal/>
    </border>
    <border diagonalUp="false" diagonalDown="false">
      <left/>
      <right style="thin">
        <color rgb="FF2F3E46"/>
      </right>
      <top/>
      <bottom style="thin">
        <color rgb="FF2F3E4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6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3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6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10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1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9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1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333300"/>
      <rgbColor rgb="FF993300"/>
      <rgbColor rgb="FF993366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Growth Drivers: Organic vs. Acquisitions vs. Currency,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Charts!B8</c:f>
              <c:strCache>
                <c:ptCount val="1"/>
                <c:pt idx="0">
                  <c:v>Organic growth %</c:v>
                </c:pt>
              </c:strCache>
            </c:strRef>
          </c:tx>
          <c:spPr>
            <a:solidFill>
              <a:srgbClr val="2f3e46"/>
            </a:solidFill>
            <a:ln w="0">
              <a:solidFill>
                <a:srgbClr val="2f3e4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Charts!$C$8:$V$8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0.04</c:v>
                </c:pt>
                <c:pt idx="7">
                  <c:v>0.03</c:v>
                </c:pt>
                <c:pt idx="8">
                  <c:v>0.04</c:v>
                </c:pt>
                <c:pt idx="9">
                  <c:v>0.05</c:v>
                </c:pt>
                <c:pt idx="10">
                  <c:v>0.04</c:v>
                </c:pt>
                <c:pt idx="11">
                  <c:v>0.05</c:v>
                </c:pt>
                <c:pt idx="12">
                  <c:v>0.08</c:v>
                </c:pt>
                <c:pt idx="13">
                  <c:v>0.06</c:v>
                </c:pt>
                <c:pt idx="14">
                  <c:v>0.25</c:v>
                </c:pt>
                <c:pt idx="15">
                  <c:v>0.17</c:v>
                </c:pt>
                <c:pt idx="16">
                  <c:v>0</c:v>
                </c:pt>
                <c:pt idx="17">
                  <c:v>-0.05</c:v>
                </c:pt>
                <c:pt idx="18">
                  <c:v>0</c:v>
                </c:pt>
                <c:pt idx="19">
                  <c:v>0.02</c:v>
                </c:pt>
              </c:numCache>
            </c:numRef>
          </c:val>
        </c:ser>
        <c:ser>
          <c:idx val="1"/>
          <c:order val="1"/>
          <c:tx>
            <c:strRef>
              <c:f>Charts!B9</c:f>
              <c:strCache>
                <c:ptCount val="1"/>
                <c:pt idx="0">
                  <c:v>Acquisitions / divestitures %</c:v>
                </c:pt>
              </c:strCache>
            </c:strRef>
          </c:tx>
          <c:spPr>
            <a:solidFill>
              <a:srgbClr val="84a98c"/>
            </a:solidFill>
            <a:ln w="0">
              <a:solidFill>
                <a:srgbClr val="84a98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Charts!$C$9:$V$9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0.25</c:v>
                </c:pt>
                <c:pt idx="9">
                  <c:v>0.01</c:v>
                </c:pt>
                <c:pt idx="10">
                  <c:v>0.04</c:v>
                </c:pt>
                <c:pt idx="11">
                  <c:v>0.09</c:v>
                </c:pt>
                <c:pt idx="12">
                  <c:v>0.07</c:v>
                </c:pt>
                <c:pt idx="13">
                  <c:v>0</c:v>
                </c:pt>
                <c:pt idx="14">
                  <c:v>0</c:v>
                </c:pt>
                <c:pt idx="15">
                  <c:v>0.02</c:v>
                </c:pt>
                <c:pt idx="16">
                  <c:v>0.18</c:v>
                </c:pt>
                <c:pt idx="17">
                  <c:v>0.01</c:v>
                </c:pt>
                <c:pt idx="18">
                  <c:v>0</c:v>
                </c:pt>
                <c:pt idx="19">
                  <c:v>0.01</c:v>
                </c:pt>
              </c:numCache>
            </c:numRef>
          </c:val>
        </c:ser>
        <c:ser>
          <c:idx val="2"/>
          <c:order val="2"/>
          <c:tx>
            <c:strRef>
              <c:f>Charts!B10</c:f>
              <c:strCache>
                <c:ptCount val="1"/>
                <c:pt idx="0">
                  <c:v>Currency translation %</c:v>
                </c:pt>
              </c:strCache>
            </c:strRef>
          </c:tx>
          <c:spPr>
            <a:solidFill>
              <a:srgbClr val="a8c5d6"/>
            </a:solidFill>
            <a:ln w="0">
              <a:solidFill>
                <a:srgbClr val="a8c5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Charts!$C$10:$V$10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-0.02</c:v>
                </c:pt>
                <c:pt idx="7">
                  <c:v>0</c:v>
                </c:pt>
                <c:pt idx="8">
                  <c:v>0</c:v>
                </c:pt>
                <c:pt idx="9">
                  <c:v>-0.06</c:v>
                </c:pt>
                <c:pt idx="10">
                  <c:v>-0.01</c:v>
                </c:pt>
                <c:pt idx="11">
                  <c:v>0</c:v>
                </c:pt>
                <c:pt idx="12">
                  <c:v>0.01</c:v>
                </c:pt>
                <c:pt idx="13">
                  <c:v>-0.02</c:v>
                </c:pt>
                <c:pt idx="14">
                  <c:v>0.01</c:v>
                </c:pt>
                <c:pt idx="15">
                  <c:v>0.02</c:v>
                </c:pt>
                <c:pt idx="16">
                  <c:v>-0.03</c:v>
                </c:pt>
                <c:pt idx="17">
                  <c:v>0</c:v>
                </c:pt>
                <c:pt idx="18">
                  <c:v>0</c:v>
                </c:pt>
                <c:pt idx="19">
                  <c:v>0.01</c:v>
                </c:pt>
              </c:numCache>
            </c:numRef>
          </c:val>
        </c:ser>
        <c:gapWidth val="150"/>
        <c:overlap val="100"/>
        <c:axId val="12971467"/>
        <c:axId val="36230477"/>
      </c:barChart>
      <c:catAx>
        <c:axId val="129714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30477"/>
        <c:crosses val="autoZero"/>
        <c:auto val="1"/>
        <c:lblAlgn val="ctr"/>
        <c:lblOffset val="100"/>
        <c:noMultiLvlLbl val="0"/>
      </c:catAx>
      <c:valAx>
        <c:axId val="3623047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9714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Adjusted Operating Income &amp; GAAP Operating Income (USDm) · Margins (rhs)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Adjusted operating income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Charts!$C$11:$V$11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Charts!$C$12:$V$12</c:f>
              <c:numCache>
                <c:formatCode>#,##0</c:formatCode>
                <c:ptCount val="20"/>
                <c:pt idx="0">
                  <c:v>572.869</c:v>
                </c:pt>
                <c:pt idx="1">
                  <c:v>1636.9</c:v>
                </c:pt>
                <c:pt idx="2">
                  <c:v>1869.1</c:v>
                </c:pt>
                <c:pt idx="3">
                  <c:v>1714.9</c:v>
                </c:pt>
                <c:pt idx="4">
                  <c:v>1916</c:v>
                </c:pt>
                <c:pt idx="5">
                  <c:v>2127.8</c:v>
                </c:pt>
                <c:pt idx="6">
                  <c:v>2379.9</c:v>
                </c:pt>
                <c:pt idx="7">
                  <c:v>2552.5</c:v>
                </c:pt>
                <c:pt idx="8">
                  <c:v>3694.8</c:v>
                </c:pt>
                <c:pt idx="9">
                  <c:v>3821.7</c:v>
                </c:pt>
                <c:pt idx="10">
                  <c:v>4221.8</c:v>
                </c:pt>
                <c:pt idx="11">
                  <c:v>4860</c:v>
                </c:pt>
                <c:pt idx="12">
                  <c:v>5615</c:v>
                </c:pt>
                <c:pt idx="13">
                  <c:v>5973</c:v>
                </c:pt>
                <c:pt idx="14">
                  <c:v>9556</c:v>
                </c:pt>
                <c:pt idx="15">
                  <c:v>12138</c:v>
                </c:pt>
                <c:pt idx="16">
                  <c:v>10985</c:v>
                </c:pt>
                <c:pt idx="17">
                  <c:v>9810</c:v>
                </c:pt>
                <c:pt idx="18">
                  <c:v>9707</c:v>
                </c:pt>
                <c:pt idx="19">
                  <c:v>10110</c:v>
                </c:pt>
              </c:numCache>
            </c:numRef>
          </c:val>
        </c:ser>
        <c:ser>
          <c:idx val="1"/>
          <c:order val="1"/>
          <c:tx>
            <c:strRef>
              <c:f>Charts!B13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a8c5d6"/>
            </a:solidFill>
            <a:ln w="0">
              <a:solidFill>
                <a:srgbClr val="a8c5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Charts!$C$11:$V$11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Charts!$C$13:$V$13</c:f>
              <c:numCache>
                <c:formatCode>#,##0</c:formatCode>
                <c:ptCount val="20"/>
                <c:pt idx="0">
                  <c:v>241.959</c:v>
                </c:pt>
                <c:pt idx="1">
                  <c:v>974.399999999998</c:v>
                </c:pt>
                <c:pt idx="2">
                  <c:v>1229.4</c:v>
                </c:pt>
                <c:pt idx="3">
                  <c:v>1048.9</c:v>
                </c:pt>
                <c:pt idx="4">
                  <c:v>1264.9</c:v>
                </c:pt>
                <c:pt idx="5">
                  <c:v>1245.2</c:v>
                </c:pt>
                <c:pt idx="6">
                  <c:v>1482.1</c:v>
                </c:pt>
                <c:pt idx="7">
                  <c:v>1609.6</c:v>
                </c:pt>
                <c:pt idx="8">
                  <c:v>2503</c:v>
                </c:pt>
                <c:pt idx="9">
                  <c:v>2336.2</c:v>
                </c:pt>
                <c:pt idx="10">
                  <c:v>2449.2</c:v>
                </c:pt>
                <c:pt idx="11">
                  <c:v>2968</c:v>
                </c:pt>
                <c:pt idx="12">
                  <c:v>3783</c:v>
                </c:pt>
                <c:pt idx="13">
                  <c:v>4594</c:v>
                </c:pt>
                <c:pt idx="14">
                  <c:v>7794</c:v>
                </c:pt>
                <c:pt idx="15">
                  <c:v>10028</c:v>
                </c:pt>
                <c:pt idx="16">
                  <c:v>8393</c:v>
                </c:pt>
                <c:pt idx="17">
                  <c:v>6859</c:v>
                </c:pt>
                <c:pt idx="18">
                  <c:v>7337</c:v>
                </c:pt>
                <c:pt idx="19">
                  <c:v>7747</c:v>
                </c:pt>
              </c:numCache>
            </c:numRef>
          </c:val>
        </c:ser>
        <c:gapWidth val="150"/>
        <c:overlap val="0"/>
        <c:axId val="67528017"/>
        <c:axId val="58077539"/>
      </c:barChart>
      <c:lineChart>
        <c:grouping val="standard"/>
        <c:varyColors val="0"/>
        <c:ser>
          <c:idx val="2"/>
          <c:order val="2"/>
          <c:tx>
            <c:strRef>
              <c:f>Charts!B14</c:f>
              <c:strCache>
                <c:ptCount val="1"/>
                <c:pt idx="0">
                  <c:v>Adj. operating margin %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Charts!$C$11:$V$11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Charts!$C$14:$V$14</c:f>
              <c:numCache>
                <c:formatCode>0.0%</c:formatCode>
                <c:ptCount val="20"/>
                <c:pt idx="0">
                  <c:v>0.151088308761143</c:v>
                </c:pt>
                <c:pt idx="1">
                  <c:v>0.167949191496347</c:v>
                </c:pt>
                <c:pt idx="2">
                  <c:v>0.178043436845113</c:v>
                </c:pt>
                <c:pt idx="3">
                  <c:v>0.169629168026747</c:v>
                </c:pt>
                <c:pt idx="4">
                  <c:v>0.177593222538397</c:v>
                </c:pt>
                <c:pt idx="5">
                  <c:v>0.181461550925729</c:v>
                </c:pt>
                <c:pt idx="6">
                  <c:v>0.190241328867537</c:v>
                </c:pt>
                <c:pt idx="7">
                  <c:v>0.194991711419906</c:v>
                </c:pt>
                <c:pt idx="8">
                  <c:v>0.218761841606669</c:v>
                </c:pt>
                <c:pt idx="9">
                  <c:v>0.225264361582987</c:v>
                </c:pt>
                <c:pt idx="10">
                  <c:v>0.231026425377994</c:v>
                </c:pt>
                <c:pt idx="11">
                  <c:v>0.232335787360168</c:v>
                </c:pt>
                <c:pt idx="12">
                  <c:v>0.230519747105674</c:v>
                </c:pt>
                <c:pt idx="13">
                  <c:v>0.233850129198966</c:v>
                </c:pt>
                <c:pt idx="14">
                  <c:v>0.296604382643243</c:v>
                </c:pt>
                <c:pt idx="15">
                  <c:v>0.309555991941037</c:v>
                </c:pt>
                <c:pt idx="16">
                  <c:v>0.244573082489146</c:v>
                </c:pt>
                <c:pt idx="17">
                  <c:v>0.228900763002543</c:v>
                </c:pt>
                <c:pt idx="18">
                  <c:v>0.22638121224842</c:v>
                </c:pt>
                <c:pt idx="19">
                  <c:v>0.226905467277134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Charts!B15</c:f>
              <c:strCache>
                <c:ptCount val="1"/>
                <c:pt idx="0">
                  <c:v>GAAP op.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Charts!$C$11:$V$11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Charts!$C$15:$V$15</c:f>
              <c:numCache>
                <c:formatCode>0.0%</c:formatCode>
                <c:ptCount val="20"/>
                <c:pt idx="0">
                  <c:v>0.063814198533238</c:v>
                </c:pt>
                <c:pt idx="1">
                  <c:v>0.0999753755232699</c:v>
                </c:pt>
                <c:pt idx="2">
                  <c:v>0.117108020575348</c:v>
                </c:pt>
                <c:pt idx="3">
                  <c:v>0.103751842290078</c:v>
                </c:pt>
                <c:pt idx="4">
                  <c:v>0.117243041330281</c:v>
                </c:pt>
                <c:pt idx="5">
                  <c:v>0.106192275219813</c:v>
                </c:pt>
                <c:pt idx="6">
                  <c:v>0.118474168458581</c:v>
                </c:pt>
                <c:pt idx="7">
                  <c:v>0.122961276670512</c:v>
                </c:pt>
                <c:pt idx="8">
                  <c:v>0.148197707464949</c:v>
                </c:pt>
                <c:pt idx="9">
                  <c:v>0.137703797140062</c:v>
                </c:pt>
                <c:pt idx="10">
                  <c:v>0.13402575229423</c:v>
                </c:pt>
                <c:pt idx="11">
                  <c:v>0.14188736972942</c:v>
                </c:pt>
                <c:pt idx="12">
                  <c:v>0.155308317595862</c:v>
                </c:pt>
                <c:pt idx="13">
                  <c:v>0.179860621721087</c:v>
                </c:pt>
                <c:pt idx="14">
                  <c:v>0.241914457756534</c:v>
                </c:pt>
                <c:pt idx="15">
                  <c:v>0.255744561475096</c:v>
                </c:pt>
                <c:pt idx="16">
                  <c:v>0.186864076589113</c:v>
                </c:pt>
                <c:pt idx="17">
                  <c:v>0.160043866812889</c:v>
                </c:pt>
                <c:pt idx="18">
                  <c:v>0.171109400872222</c:v>
                </c:pt>
                <c:pt idx="19">
                  <c:v>0.173871083580214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76751"/>
        <c:axId val="56973215"/>
      </c:lineChart>
      <c:catAx>
        <c:axId val="675280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77539"/>
        <c:crosses val="autoZero"/>
        <c:auto val="1"/>
        <c:lblAlgn val="ctr"/>
        <c:lblOffset val="100"/>
        <c:noMultiLvlLbl val="0"/>
      </c:catAx>
      <c:valAx>
        <c:axId val="5807753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28017"/>
        <c:crosses val="autoZero"/>
        <c:crossBetween val="between"/>
      </c:valAx>
      <c:catAx>
        <c:axId val="817675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73215"/>
        <c:crosses val="autoZero"/>
        <c:auto val="1"/>
        <c:lblAlgn val="ctr"/>
        <c:lblOffset val="100"/>
        <c:noMultiLvlLbl val="0"/>
      </c:catAx>
      <c:valAx>
        <c:axId val="56973215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675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Adjusted Operating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Charts!$C$17:$V$17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Charts!$C$18:$V$18</c:f>
              <c:numCache>
                <c:formatCode>0.0%</c:formatCode>
                <c:ptCount val="20"/>
                <c:pt idx="0">
                  <c:v>0.0258320899879023</c:v>
                </c:pt>
                <c:pt idx="1">
                  <c:v>0.0775384678645455</c:v>
                </c:pt>
                <c:pt idx="2">
                  <c:v>0.0916445387009979</c:v>
                </c:pt>
                <c:pt idx="3">
                  <c:v>0.0854809679472825</c:v>
                </c:pt>
                <c:pt idx="4">
                  <c:v>0.0916282914919507</c:v>
                </c:pt>
                <c:pt idx="5">
                  <c:v>0.081760610747603</c:v>
                </c:pt>
                <c:pt idx="6">
                  <c:v>0.0911807309992861</c:v>
                </c:pt>
                <c:pt idx="7">
                  <c:v>0.101208167191265</c:v>
                </c:pt>
                <c:pt idx="8">
                  <c:v>0.0935737809811851</c:v>
                </c:pt>
                <c:pt idx="9">
                  <c:v>0.0985388082927385</c:v>
                </c:pt>
                <c:pt idx="10">
                  <c:v>0.097302557421008</c:v>
                </c:pt>
                <c:pt idx="11">
                  <c:v>0.0937609046592166</c:v>
                </c:pt>
                <c:pt idx="12">
                  <c:v>0.111260506236288</c:v>
                </c:pt>
                <c:pt idx="13">
                  <c:v>0.117993510714775</c:v>
                </c:pt>
                <c:pt idx="14">
                  <c:v>0.178455791741011</c:v>
                </c:pt>
                <c:pt idx="15">
                  <c:v>0.145295149212288</c:v>
                </c:pt>
                <c:pt idx="16">
                  <c:v>0.136246163140926</c:v>
                </c:pt>
                <c:pt idx="17">
                  <c:v>0.119838623502767</c:v>
                </c:pt>
                <c:pt idx="18">
                  <c:v>0.115253939070505</c:v>
                </c:pt>
                <c:pt idx="19">
                  <c:v>0.109385096196742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Charts!B19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Charts!$C$17:$V$17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Charts!$C$19:$V$19</c:f>
              <c:numCache>
                <c:formatCode>0.0%</c:formatCode>
                <c:ptCount val="20"/>
                <c:pt idx="0">
                  <c:v>0.115370173723743</c:v>
                </c:pt>
                <c:pt idx="1">
                  <c:v>0.347823222809533</c:v>
                </c:pt>
                <c:pt idx="2">
                  <c:v>0.322274158105539</c:v>
                </c:pt>
                <c:pt idx="3">
                  <c:v>0.288125339462492</c:v>
                </c:pt>
                <c:pt idx="4">
                  <c:v>0.342114049664021</c:v>
                </c:pt>
                <c:pt idx="5">
                  <c:v>0.3300519686747</c:v>
                </c:pt>
                <c:pt idx="6">
                  <c:v>0.392407012399593</c:v>
                </c:pt>
                <c:pt idx="7">
                  <c:v>0.214046517889203</c:v>
                </c:pt>
                <c:pt idx="8">
                  <c:v>0.486413359298942</c:v>
                </c:pt>
                <c:pt idx="9">
                  <c:v>0.518155473734658</c:v>
                </c:pt>
                <c:pt idx="10">
                  <c:v>0.518542840293497</c:v>
                </c:pt>
                <c:pt idx="11">
                  <c:v>0.433391854363896</c:v>
                </c:pt>
                <c:pt idx="12">
                  <c:v>0.453786545657232</c:v>
                </c:pt>
                <c:pt idx="13">
                  <c:v>0.410715197933277</c:v>
                </c:pt>
                <c:pt idx="14">
                  <c:v>0.361772829552847</c:v>
                </c:pt>
                <c:pt idx="15">
                  <c:v>0.472467413854611</c:v>
                </c:pt>
                <c:pt idx="16">
                  <c:v>0.352269461597395</c:v>
                </c:pt>
                <c:pt idx="17">
                  <c:v>0.319543641911152</c:v>
                </c:pt>
                <c:pt idx="18">
                  <c:v>0.350048197490427</c:v>
                </c:pt>
                <c:pt idx="19">
                  <c:v>0.270509917780382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Charts!B20</c:f>
              <c:strCache>
                <c:ptCount val="1"/>
                <c:pt idx="0">
                  <c:v>Adj. operating margin %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Charts!$C$17:$V$17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Charts!$C$20:$V$20</c:f>
              <c:numCache>
                <c:formatCode>0.0%</c:formatCode>
                <c:ptCount val="20"/>
                <c:pt idx="0">
                  <c:v>0.151088308761143</c:v>
                </c:pt>
                <c:pt idx="1">
                  <c:v>0.167949191496347</c:v>
                </c:pt>
                <c:pt idx="2">
                  <c:v>0.178043436845113</c:v>
                </c:pt>
                <c:pt idx="3">
                  <c:v>0.169629168026747</c:v>
                </c:pt>
                <c:pt idx="4">
                  <c:v>0.177593222538397</c:v>
                </c:pt>
                <c:pt idx="5">
                  <c:v>0.181461550925729</c:v>
                </c:pt>
                <c:pt idx="6">
                  <c:v>0.190241328867537</c:v>
                </c:pt>
                <c:pt idx="7">
                  <c:v>0.194991711419906</c:v>
                </c:pt>
                <c:pt idx="8">
                  <c:v>0.218761841606669</c:v>
                </c:pt>
                <c:pt idx="9">
                  <c:v>0.225264361582987</c:v>
                </c:pt>
                <c:pt idx="10">
                  <c:v>0.231026425377994</c:v>
                </c:pt>
                <c:pt idx="11">
                  <c:v>0.232335787360168</c:v>
                </c:pt>
                <c:pt idx="12">
                  <c:v>0.230519747105674</c:v>
                </c:pt>
                <c:pt idx="13">
                  <c:v>0.233850129198966</c:v>
                </c:pt>
                <c:pt idx="14">
                  <c:v>0.296604382643243</c:v>
                </c:pt>
                <c:pt idx="15">
                  <c:v>0.309555991941037</c:v>
                </c:pt>
                <c:pt idx="16">
                  <c:v>0.244573082489146</c:v>
                </c:pt>
                <c:pt idx="17">
                  <c:v>0.228900763002543</c:v>
                </c:pt>
                <c:pt idx="18">
                  <c:v>0.22638121224842</c:v>
                </c:pt>
                <c:pt idx="19">
                  <c:v>0.226905467277134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Charts!B21</c:f>
              <c:strCache>
                <c:ptCount val="1"/>
                <c:pt idx="0">
                  <c:v>FCF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Charts!$C$17:$V$17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Charts!$C$21:$V$21</c:f>
              <c:numCache>
                <c:formatCode>0.0%</c:formatCode>
                <c:ptCount val="20"/>
                <c:pt idx="0">
                  <c:v>0.0887484152539668</c:v>
                </c:pt>
                <c:pt idx="1">
                  <c:v>0.136347779693015</c:v>
                </c:pt>
                <c:pt idx="2">
                  <c:v>0.111716517431892</c:v>
                </c:pt>
                <c:pt idx="3">
                  <c:v>0.14502903152418</c:v>
                </c:pt>
                <c:pt idx="4">
                  <c:v>0.115231677588588</c:v>
                </c:pt>
                <c:pt idx="5">
                  <c:v>0.121107974654398</c:v>
                </c:pt>
                <c:pt idx="6">
                  <c:v>0.14113622011367</c:v>
                </c:pt>
                <c:pt idx="7">
                  <c:v>0.13398470623286</c:v>
                </c:pt>
                <c:pt idx="8">
                  <c:v>0.132957559681698</c:v>
                </c:pt>
                <c:pt idx="9">
                  <c:v>0.142690416966296</c:v>
                </c:pt>
                <c:pt idx="10">
                  <c:v>0.149949929134677</c:v>
                </c:pt>
                <c:pt idx="11">
                  <c:v>0.167559040061191</c:v>
                </c:pt>
                <c:pt idx="12">
                  <c:v>0.157443139830856</c:v>
                </c:pt>
                <c:pt idx="13">
                  <c:v>0.159854357528776</c:v>
                </c:pt>
                <c:pt idx="14">
                  <c:v>0.211776025824074</c:v>
                </c:pt>
                <c:pt idx="15">
                  <c:v>0.179541455203897</c:v>
                </c:pt>
                <c:pt idx="16">
                  <c:v>0.154402760770344</c:v>
                </c:pt>
                <c:pt idx="17">
                  <c:v>0.163660545535152</c:v>
                </c:pt>
                <c:pt idx="18">
                  <c:v>0.170806222160032</c:v>
                </c:pt>
                <c:pt idx="19">
                  <c:v>0.142225513959961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321192"/>
        <c:axId val="1473573"/>
      </c:lineChart>
      <c:catAx>
        <c:axId val="7232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3573"/>
        <c:crosses val="autoZero"/>
        <c:auto val="1"/>
        <c:lblAlgn val="ctr"/>
        <c:lblOffset val="100"/>
        <c:noMultiLvlLbl val="0"/>
      </c:catAx>
      <c:valAx>
        <c:axId val="147357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211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16</xdr:col>
      <xdr:colOff>124200</xdr:colOff>
      <xdr:row>39</xdr:row>
      <xdr:rowOff>181080</xdr:rowOff>
    </xdr:to>
    <xdr:graphicFrame>
      <xdr:nvGraphicFramePr>
        <xdr:cNvPr id="0" name="Chart 1"/>
        <xdr:cNvGraphicFramePr/>
      </xdr:nvGraphicFramePr>
      <xdr:xfrm>
        <a:off x="611640" y="4219560"/>
        <a:ext cx="107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16</xdr:col>
      <xdr:colOff>124200</xdr:colOff>
      <xdr:row>60</xdr:row>
      <xdr:rowOff>181440</xdr:rowOff>
    </xdr:to>
    <xdr:graphicFrame>
      <xdr:nvGraphicFramePr>
        <xdr:cNvPr id="1" name="Chart 2"/>
        <xdr:cNvGraphicFramePr/>
      </xdr:nvGraphicFramePr>
      <xdr:xfrm>
        <a:off x="611640" y="8220240"/>
        <a:ext cx="107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0</xdr:rowOff>
    </xdr:from>
    <xdr:to>
      <xdr:col>16</xdr:col>
      <xdr:colOff>124200</xdr:colOff>
      <xdr:row>81</xdr:row>
      <xdr:rowOff>181080</xdr:rowOff>
    </xdr:to>
    <xdr:graphicFrame>
      <xdr:nvGraphicFramePr>
        <xdr:cNvPr id="2" name="Chart 3"/>
        <xdr:cNvGraphicFramePr/>
      </xdr:nvGraphicFramePr>
      <xdr:xfrm>
        <a:off x="611640" y="12220560"/>
        <a:ext cx="107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R414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2.43"/>
    <col collapsed="false" customWidth="true" hidden="false" outlineLevel="0" max="2" min="2" style="0" width="62"/>
    <col collapsed="false" customWidth="true" hidden="false" outlineLevel="0" max="9" min="3" style="0" width="14.14"/>
    <col collapsed="false" customWidth="true" hidden="true" outlineLevel="1" max="13" min="10" style="0" width="9.57"/>
    <col collapsed="false" customWidth="true" hidden="false" outlineLevel="0" max="14" min="14" style="0" width="14.14"/>
    <col collapsed="false" customWidth="true" hidden="true" outlineLevel="1" max="18" min="15" style="0" width="9.57"/>
    <col collapsed="false" customWidth="true" hidden="false" outlineLevel="0" max="19" min="19" style="0" width="14.14"/>
    <col collapsed="false" customWidth="true" hidden="true" outlineLevel="1" max="23" min="20" style="0" width="9.57"/>
    <col collapsed="false" customWidth="true" hidden="false" outlineLevel="0" max="24" min="24" style="0" width="14.14"/>
    <col collapsed="false" customWidth="true" hidden="true" outlineLevel="1" max="28" min="25" style="0" width="9.57"/>
    <col collapsed="false" customWidth="true" hidden="false" outlineLevel="0" max="29" min="29" style="0" width="14.14"/>
    <col collapsed="false" customWidth="true" hidden="true" outlineLevel="1" max="33" min="30" style="0" width="9.57"/>
    <col collapsed="false" customWidth="true" hidden="false" outlineLevel="0" max="34" min="34" style="0" width="14.14"/>
    <col collapsed="false" customWidth="true" hidden="true" outlineLevel="1" max="38" min="35" style="0" width="9.57"/>
    <col collapsed="false" customWidth="true" hidden="false" outlineLevel="0" max="39" min="39" style="0" width="14.14"/>
    <col collapsed="false" customWidth="true" hidden="true" outlineLevel="1" max="43" min="40" style="0" width="9.57"/>
    <col collapsed="false" customWidth="true" hidden="false" outlineLevel="0" max="44" min="44" style="0" width="14.14"/>
    <col collapsed="false" customWidth="true" hidden="true" outlineLevel="1" max="48" min="45" style="0" width="9.57"/>
    <col collapsed="false" customWidth="true" hidden="false" outlineLevel="0" max="49" min="49" style="0" width="14.14"/>
    <col collapsed="false" customWidth="true" hidden="true" outlineLevel="1" max="53" min="50" style="0" width="9.57"/>
    <col collapsed="false" customWidth="true" hidden="false" outlineLevel="0" max="54" min="54" style="0" width="14.14"/>
    <col collapsed="false" customWidth="true" hidden="true" outlineLevel="1" max="58" min="55" style="0" width="9.57"/>
    <col collapsed="false" customWidth="true" hidden="false" outlineLevel="0" max="59" min="59" style="0" width="14.14"/>
    <col collapsed="false" customWidth="true" hidden="true" outlineLevel="1" max="63" min="60" style="0" width="9.57"/>
    <col collapsed="false" customWidth="true" hidden="false" outlineLevel="0" max="64" min="64" style="0" width="14.14"/>
    <col collapsed="false" customWidth="true" hidden="true" outlineLevel="1" max="68" min="65" style="0" width="9.57"/>
    <col collapsed="false" customWidth="true" hidden="false" outlineLevel="0" max="69" min="69" style="0" width="14.14"/>
    <col collapsed="false" customWidth="true" hidden="true" outlineLevel="1" max="73" min="70" style="0" width="9.57"/>
    <col collapsed="false" customWidth="true" hidden="false" outlineLevel="0" max="74" min="74" style="0" width="14.14"/>
    <col collapsed="false" customWidth="true" hidden="true" outlineLevel="1" max="78" min="75" style="0" width="9.57"/>
    <col collapsed="false" customWidth="true" hidden="false" outlineLevel="0" max="83" min="79" style="0" width="14.14"/>
    <col collapsed="false" customWidth="true" hidden="false" outlineLevel="0" max="84" min="84" style="0" width="86.86"/>
    <col collapsed="false" customWidth="true" hidden="false" outlineLevel="0" max="85" min="85" style="0" width="2"/>
    <col collapsed="false" customWidth="true" hidden="false" outlineLevel="0" max="86" min="86" style="0" width="14.14"/>
    <col collapsed="false" customWidth="true" hidden="false" outlineLevel="0" max="89" min="87" style="0" width="12.4"/>
    <col collapsed="false" customWidth="true" hidden="false" outlineLevel="0" max="90" min="90" style="0" width="2"/>
    <col collapsed="false" customWidth="true" hidden="false" outlineLevel="0" max="91" min="91" style="0" width="6"/>
    <col collapsed="false" customWidth="true" hidden="false" outlineLevel="0" max="92" min="92" style="0" width="60"/>
    <col collapsed="false" customWidth="true" hidden="false" outlineLevel="0" max="95" min="93" style="0" width="11.6"/>
    <col collapsed="false" customWidth="true" hidden="false" outlineLevel="0" max="96" min="96" style="0" width="70"/>
  </cols>
  <sheetData>
    <row r="1" customFormat="false" ht="15" hidden="false" customHeight="false" outlineLevel="0" collapsed="false">
      <c r="CF1" s="1" t="s">
        <v>0</v>
      </c>
    </row>
    <row r="2" customFormat="false" ht="19.7" hidden="false" customHeight="false" outlineLevel="0" collapsed="false">
      <c r="B2" s="2" t="s">
        <v>1</v>
      </c>
      <c r="CF2" s="3" t="s">
        <v>2</v>
      </c>
    </row>
    <row r="3" customFormat="false" ht="15" hidden="false" customHeight="false" outlineLevel="0" collapsed="false">
      <c r="B3" s="4" t="s">
        <v>3</v>
      </c>
    </row>
    <row r="4" customFormat="false" ht="15" hidden="false" customHeight="false" outlineLevel="0" collapsed="false">
      <c r="B4" s="5" t="s">
        <v>4</v>
      </c>
    </row>
    <row r="5" customFormat="false" ht="15" hidden="false" customHeight="false" outlineLevel="0" collapsed="false">
      <c r="CH5" s="6" t="s">
        <v>5</v>
      </c>
      <c r="CI5" s="6" t="s">
        <v>6</v>
      </c>
      <c r="CJ5" s="6" t="s">
        <v>6</v>
      </c>
      <c r="CK5" s="6" t="s">
        <v>6</v>
      </c>
    </row>
    <row r="6" customFormat="false" ht="15" hidden="false" customHeight="false" outlineLevel="0" collapsed="false">
      <c r="B6" s="7" t="s">
        <v>7</v>
      </c>
      <c r="C6" s="8" t="n">
        <v>2006</v>
      </c>
      <c r="D6" s="8" t="n">
        <v>2007</v>
      </c>
      <c r="E6" s="8" t="n">
        <v>2008</v>
      </c>
      <c r="F6" s="8" t="n">
        <v>2009</v>
      </c>
      <c r="G6" s="8" t="n">
        <v>2010</v>
      </c>
      <c r="H6" s="8" t="n">
        <v>2011</v>
      </c>
      <c r="I6" s="8" t="n">
        <v>2012</v>
      </c>
      <c r="J6" s="8" t="s">
        <v>8</v>
      </c>
      <c r="K6" s="8" t="s">
        <v>9</v>
      </c>
      <c r="L6" s="8" t="s">
        <v>10</v>
      </c>
      <c r="M6" s="8" t="s">
        <v>11</v>
      </c>
      <c r="N6" s="8" t="n">
        <v>2013</v>
      </c>
      <c r="O6" s="8" t="s">
        <v>12</v>
      </c>
      <c r="P6" s="8" t="s">
        <v>13</v>
      </c>
      <c r="Q6" s="8" t="s">
        <v>14</v>
      </c>
      <c r="R6" s="8" t="s">
        <v>15</v>
      </c>
      <c r="S6" s="8" t="n">
        <v>2014</v>
      </c>
      <c r="T6" s="8" t="s">
        <v>16</v>
      </c>
      <c r="U6" s="8" t="s">
        <v>17</v>
      </c>
      <c r="V6" s="8" t="s">
        <v>18</v>
      </c>
      <c r="W6" s="8" t="s">
        <v>19</v>
      </c>
      <c r="X6" s="8" t="n">
        <v>2015</v>
      </c>
      <c r="Y6" s="8" t="s">
        <v>20</v>
      </c>
      <c r="Z6" s="8" t="s">
        <v>21</v>
      </c>
      <c r="AA6" s="8" t="s">
        <v>22</v>
      </c>
      <c r="AB6" s="8" t="s">
        <v>23</v>
      </c>
      <c r="AC6" s="8" t="n">
        <v>2016</v>
      </c>
      <c r="AD6" s="8" t="s">
        <v>24</v>
      </c>
      <c r="AE6" s="8" t="s">
        <v>25</v>
      </c>
      <c r="AF6" s="8" t="s">
        <v>26</v>
      </c>
      <c r="AG6" s="8" t="s">
        <v>27</v>
      </c>
      <c r="AH6" s="8" t="n">
        <v>2017</v>
      </c>
      <c r="AI6" s="8" t="s">
        <v>28</v>
      </c>
      <c r="AJ6" s="8" t="s">
        <v>29</v>
      </c>
      <c r="AK6" s="8" t="s">
        <v>30</v>
      </c>
      <c r="AL6" s="8" t="s">
        <v>31</v>
      </c>
      <c r="AM6" s="8" t="n">
        <v>2018</v>
      </c>
      <c r="AN6" s="8" t="s">
        <v>32</v>
      </c>
      <c r="AO6" s="8" t="s">
        <v>33</v>
      </c>
      <c r="AP6" s="8" t="s">
        <v>34</v>
      </c>
      <c r="AQ6" s="8" t="s">
        <v>35</v>
      </c>
      <c r="AR6" s="8" t="n">
        <v>2019</v>
      </c>
      <c r="AS6" s="8" t="s">
        <v>36</v>
      </c>
      <c r="AT6" s="8" t="s">
        <v>37</v>
      </c>
      <c r="AU6" s="8" t="s">
        <v>38</v>
      </c>
      <c r="AV6" s="8" t="s">
        <v>39</v>
      </c>
      <c r="AW6" s="8" t="n">
        <v>2020</v>
      </c>
      <c r="AX6" s="8" t="s">
        <v>40</v>
      </c>
      <c r="AY6" s="8" t="s">
        <v>41</v>
      </c>
      <c r="AZ6" s="8" t="s">
        <v>42</v>
      </c>
      <c r="BA6" s="8" t="s">
        <v>43</v>
      </c>
      <c r="BB6" s="8" t="n">
        <v>2021</v>
      </c>
      <c r="BC6" s="8" t="s">
        <v>44</v>
      </c>
      <c r="BD6" s="8" t="s">
        <v>45</v>
      </c>
      <c r="BE6" s="8" t="s">
        <v>46</v>
      </c>
      <c r="BF6" s="8" t="s">
        <v>47</v>
      </c>
      <c r="BG6" s="8" t="n">
        <v>2022</v>
      </c>
      <c r="BH6" s="8" t="s">
        <v>48</v>
      </c>
      <c r="BI6" s="8" t="s">
        <v>49</v>
      </c>
      <c r="BJ6" s="8" t="s">
        <v>50</v>
      </c>
      <c r="BK6" s="8" t="s">
        <v>51</v>
      </c>
      <c r="BL6" s="8" t="n">
        <v>2023</v>
      </c>
      <c r="BM6" s="8" t="s">
        <v>52</v>
      </c>
      <c r="BN6" s="8" t="s">
        <v>53</v>
      </c>
      <c r="BO6" s="8" t="s">
        <v>54</v>
      </c>
      <c r="BP6" s="8" t="s">
        <v>55</v>
      </c>
      <c r="BQ6" s="8" t="n">
        <v>2024</v>
      </c>
      <c r="BR6" s="8" t="s">
        <v>56</v>
      </c>
      <c r="BS6" s="8" t="s">
        <v>57</v>
      </c>
      <c r="BT6" s="8" t="s">
        <v>58</v>
      </c>
      <c r="BU6" s="8" t="s">
        <v>59</v>
      </c>
      <c r="BV6" s="8" t="n">
        <v>2025</v>
      </c>
      <c r="BW6" s="8" t="s">
        <v>60</v>
      </c>
      <c r="BX6" s="8" t="s">
        <v>61</v>
      </c>
      <c r="BY6" s="8" t="s">
        <v>62</v>
      </c>
      <c r="BZ6" s="8" t="s">
        <v>63</v>
      </c>
      <c r="CA6" s="8" t="s">
        <v>64</v>
      </c>
      <c r="CB6" s="8" t="s">
        <v>65</v>
      </c>
      <c r="CC6" s="8" t="s">
        <v>66</v>
      </c>
      <c r="CD6" s="8" t="s">
        <v>67</v>
      </c>
      <c r="CE6" s="8" t="s">
        <v>68</v>
      </c>
      <c r="CF6" s="8" t="s">
        <v>69</v>
      </c>
      <c r="CH6" s="9" t="s">
        <v>70</v>
      </c>
      <c r="CI6" s="9" t="s">
        <v>70</v>
      </c>
      <c r="CJ6" s="9" t="s">
        <v>71</v>
      </c>
      <c r="CK6" s="9" t="s">
        <v>72</v>
      </c>
    </row>
    <row r="7" customFormat="false" ht="15" hidden="false" customHeight="false" outlineLevel="0" collapsed="false">
      <c r="CH7" s="10" t="s">
        <v>73</v>
      </c>
      <c r="CI7" s="10" t="s">
        <v>74</v>
      </c>
      <c r="CJ7" s="10" t="s">
        <v>75</v>
      </c>
      <c r="CK7" s="10" t="s">
        <v>76</v>
      </c>
    </row>
    <row r="8" customFormat="false" ht="15" hidden="false" customHeight="false" outlineLevel="0" collapsed="false">
      <c r="B8" s="11" t="s">
        <v>77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 t="s">
        <v>78</v>
      </c>
    </row>
    <row r="9" customFormat="false" ht="15" hidden="false" customHeight="false" outlineLevel="0" collapsed="false">
      <c r="B9" s="12" t="s">
        <v>79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3" t="s">
        <v>80</v>
      </c>
      <c r="CN9" s="14" t="s">
        <v>81</v>
      </c>
      <c r="CO9" s="15" t="s">
        <v>82</v>
      </c>
      <c r="CP9" s="15" t="s">
        <v>2</v>
      </c>
      <c r="CQ9" s="15" t="s">
        <v>83</v>
      </c>
      <c r="CR9" s="16" t="s">
        <v>84</v>
      </c>
    </row>
    <row r="10" customFormat="false" ht="15" hidden="false" customHeight="false" outlineLevel="0" collapsed="false">
      <c r="B10" s="17" t="s">
        <v>85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 t="n">
        <v>835.5</v>
      </c>
      <c r="P10" s="19" t="n">
        <v>1103.1</v>
      </c>
      <c r="Q10" s="19" t="n">
        <v>1071.9</v>
      </c>
      <c r="R10" s="19" t="n">
        <v>1185.2</v>
      </c>
      <c r="S10" s="19" t="n">
        <v>4195.7</v>
      </c>
      <c r="T10" s="19" t="n">
        <v>1019.9</v>
      </c>
      <c r="U10" s="19" t="n">
        <v>1129.3</v>
      </c>
      <c r="V10" s="19" t="n">
        <v>1080.4</v>
      </c>
      <c r="W10" s="19" t="n">
        <v>1209.8</v>
      </c>
      <c r="X10" s="19" t="n">
        <v>4439.4</v>
      </c>
      <c r="Y10" s="19" t="n">
        <v>1133</v>
      </c>
      <c r="Z10" s="19" t="n">
        <v>1277.6</v>
      </c>
      <c r="AA10" s="19" t="n">
        <v>1231.5</v>
      </c>
      <c r="AB10" s="19" t="n">
        <v>1336</v>
      </c>
      <c r="AC10" s="19" t="n">
        <v>4978.1</v>
      </c>
      <c r="AD10" s="19" t="n">
        <v>1363.5</v>
      </c>
      <c r="AE10" s="19" t="n">
        <v>1404.6</v>
      </c>
      <c r="AF10" s="19" t="n">
        <v>1382</v>
      </c>
      <c r="AG10" s="19" t="n">
        <v>1578</v>
      </c>
      <c r="AH10" s="19" t="n">
        <v>5728</v>
      </c>
      <c r="AI10" s="19" t="n">
        <v>1499</v>
      </c>
      <c r="AJ10" s="19" t="n">
        <v>1569</v>
      </c>
      <c r="AK10" s="19" t="n">
        <v>1504</v>
      </c>
      <c r="AL10" s="19" t="n">
        <v>1697</v>
      </c>
      <c r="AM10" s="19" t="n">
        <v>6269</v>
      </c>
      <c r="AN10" s="19" t="n">
        <v>1607</v>
      </c>
      <c r="AO10" s="19" t="n">
        <v>1710</v>
      </c>
      <c r="AP10" s="19" t="n">
        <v>1701</v>
      </c>
      <c r="AQ10" s="19" t="n">
        <v>1838</v>
      </c>
      <c r="AR10" s="19" t="n">
        <v>6856</v>
      </c>
      <c r="AS10" s="19" t="n">
        <v>1774</v>
      </c>
      <c r="AT10" s="19" t="n">
        <v>2602</v>
      </c>
      <c r="AU10" s="19" t="n">
        <v>3424</v>
      </c>
      <c r="AV10" s="19" t="n">
        <v>4368</v>
      </c>
      <c r="AW10" s="19" t="n">
        <v>12168</v>
      </c>
      <c r="AX10" s="19" t="n">
        <v>4203</v>
      </c>
      <c r="AY10" s="19" t="n">
        <v>3557</v>
      </c>
      <c r="AZ10" s="19" t="n">
        <v>3721</v>
      </c>
      <c r="BA10" s="19" t="n">
        <v>4150</v>
      </c>
      <c r="BB10" s="19" t="n">
        <v>15631</v>
      </c>
      <c r="BC10" s="19" t="n">
        <v>4231</v>
      </c>
      <c r="BD10" s="19" t="n">
        <v>3292</v>
      </c>
      <c r="BE10" s="19" t="n">
        <v>2962</v>
      </c>
      <c r="BF10" s="19" t="n">
        <v>3046</v>
      </c>
      <c r="BG10" s="19" t="n">
        <v>13532</v>
      </c>
      <c r="BH10" s="19" t="n">
        <v>2612</v>
      </c>
      <c r="BI10" s="19" t="n">
        <v>2463</v>
      </c>
      <c r="BJ10" s="19" t="n">
        <v>2433</v>
      </c>
      <c r="BK10" s="19" t="n">
        <v>2469</v>
      </c>
      <c r="BL10" s="19" t="n">
        <v>9977</v>
      </c>
      <c r="BM10" s="19" t="n">
        <v>2285</v>
      </c>
      <c r="BN10" s="19" t="n">
        <v>2355</v>
      </c>
      <c r="BO10" s="19" t="n">
        <v>2387</v>
      </c>
      <c r="BP10" s="19" t="n">
        <v>2604</v>
      </c>
      <c r="BQ10" s="19" t="n">
        <v>9631</v>
      </c>
      <c r="BR10" s="19" t="n">
        <v>2341</v>
      </c>
      <c r="BS10" s="19" t="n">
        <v>2499</v>
      </c>
      <c r="BT10" s="19" t="n">
        <v>2588</v>
      </c>
      <c r="BU10" s="19" t="n">
        <v>2946</v>
      </c>
      <c r="BV10" s="19" t="n">
        <v>10374</v>
      </c>
      <c r="BW10" s="19" t="n">
        <v>2636</v>
      </c>
      <c r="BX10" s="19" t="n">
        <v>2815</v>
      </c>
      <c r="BY10" s="20" t="n">
        <f aca="false">BT10*(1+BY11)</f>
        <v>2771.25937852074</v>
      </c>
      <c r="BZ10" s="20" t="n">
        <f aca="false">BU10*(1+BZ11)</f>
        <v>2987.87848111364</v>
      </c>
      <c r="CA10" s="20" t="n">
        <f aca="false">SUM(BW10,BX10,BY10,BZ10)</f>
        <v>11210.1378596344</v>
      </c>
      <c r="CB10" s="20" t="n">
        <f aca="false">CA10*(1+CB11)</f>
        <v>11882.7461312124</v>
      </c>
      <c r="CC10" s="20" t="n">
        <f aca="false">CB10*(1+CC11)</f>
        <v>12655.1246297413</v>
      </c>
      <c r="CD10" s="20" t="n">
        <f aca="false">CC10*(1+CD11)</f>
        <v>13540.9833538231</v>
      </c>
      <c r="CE10" s="20" t="n">
        <f aca="false">CD10*(1+CE11)</f>
        <v>14488.8521885908</v>
      </c>
      <c r="CF10" s="21" t="s">
        <v>86</v>
      </c>
      <c r="CH10" s="22" t="n">
        <f aca="false">IFERROR((CE10/BV10)^(1/5)-1,"n/m")</f>
        <v>0.0690980752029224</v>
      </c>
      <c r="CI10" s="22" t="n">
        <f aca="false">IFERROR((BV10/AW10)^(1/5)-1,"n/m")</f>
        <v>-0.0313978950289751</v>
      </c>
      <c r="CJ10" s="22" t="n">
        <f aca="false">IFERROR((BV10/X10)^(1/10)-1,"n/m")</f>
        <v>0.0885846261996248</v>
      </c>
      <c r="CK10" s="22" t="str">
        <f aca="false">IFERROR((BV10/C10)^(1/19)-1,"n/m")</f>
        <v>n/m</v>
      </c>
    </row>
    <row r="11" customFormat="false" ht="15" hidden="false" customHeight="false" outlineLevel="0" collapsed="false">
      <c r="B11" s="23" t="s">
        <v>87</v>
      </c>
      <c r="C11" s="24"/>
      <c r="D11" s="25" t="str">
        <f aca="false">IF(AND(ISNUMBER(D10),ISNUMBER(C10)),IFERROR(D10/C10-1,""),"")</f>
        <v/>
      </c>
      <c r="E11" s="25" t="str">
        <f aca="false">IF(AND(ISNUMBER(E10),ISNUMBER(D10)),IFERROR(E10/D10-1,""),"")</f>
        <v/>
      </c>
      <c r="F11" s="25" t="str">
        <f aca="false">IF(AND(ISNUMBER(F10),ISNUMBER(E10)),IFERROR(F10/E10-1,""),"")</f>
        <v/>
      </c>
      <c r="G11" s="25" t="str">
        <f aca="false">IF(AND(ISNUMBER(G10),ISNUMBER(F10)),IFERROR(G10/F10-1,""),"")</f>
        <v/>
      </c>
      <c r="H11" s="25" t="str">
        <f aca="false">IF(AND(ISNUMBER(H10),ISNUMBER(G10)),IFERROR(H10/G10-1,""),"")</f>
        <v/>
      </c>
      <c r="I11" s="25" t="str">
        <f aca="false">IF(AND(ISNUMBER(I10),ISNUMBER(H10)),IFERROR(I10/H10-1,""),"")</f>
        <v/>
      </c>
      <c r="J11" s="24"/>
      <c r="K11" s="24"/>
      <c r="L11" s="24"/>
      <c r="M11" s="24"/>
      <c r="N11" s="25" t="str">
        <f aca="false">IF(AND(ISNUMBER(N10),ISNUMBER(I10)),IFERROR(N10/I10-1,""),"")</f>
        <v/>
      </c>
      <c r="O11" s="25" t="str">
        <f aca="false">IF(AND(ISNUMBER(O10),ISNUMBER(J10)),IFERROR(O10/J10-1,""),"")</f>
        <v/>
      </c>
      <c r="P11" s="25" t="str">
        <f aca="false">IF(AND(ISNUMBER(P10),ISNUMBER(K10)),IFERROR(P10/K10-1,""),"")</f>
        <v/>
      </c>
      <c r="Q11" s="25" t="str">
        <f aca="false">IF(AND(ISNUMBER(Q10),ISNUMBER(L10)),IFERROR(Q10/L10-1,""),"")</f>
        <v/>
      </c>
      <c r="R11" s="25" t="str">
        <f aca="false">IF(AND(ISNUMBER(R10),ISNUMBER(M10)),IFERROR(R10/M10-1,""),"")</f>
        <v/>
      </c>
      <c r="S11" s="25" t="str">
        <f aca="false">IF(AND(ISNUMBER(S10),ISNUMBER(N10)),IFERROR(S10/N10-1,""),"")</f>
        <v/>
      </c>
      <c r="T11" s="25" t="n">
        <f aca="false">IF(AND(ISNUMBER(T10),ISNUMBER(O10)),IFERROR(T10/O10-1,""),"")</f>
        <v>0.220706163973669</v>
      </c>
      <c r="U11" s="25" t="n">
        <f aca="false">IF(AND(ISNUMBER(U10),ISNUMBER(P10)),IFERROR(U10/P10-1,""),"")</f>
        <v>0.0237512464871725</v>
      </c>
      <c r="V11" s="25" t="n">
        <f aca="false">IF(AND(ISNUMBER(V10),ISNUMBER(Q10)),IFERROR(V10/Q10-1,""),"")</f>
        <v>0.00792984420188447</v>
      </c>
      <c r="W11" s="25" t="n">
        <f aca="false">IF(AND(ISNUMBER(W10),ISNUMBER(R10)),IFERROR(W10/R10-1,""),"")</f>
        <v>0.020755990550118</v>
      </c>
      <c r="X11" s="25" t="n">
        <f aca="false">IF(AND(ISNUMBER(X10),ISNUMBER(S10)),IFERROR(X10/S10-1,""),"")</f>
        <v>0.0580832757346808</v>
      </c>
      <c r="Y11" s="25" t="n">
        <f aca="false">IF(AND(ISNUMBER(Y10),ISNUMBER(T10)),IFERROR(Y10/T10-1,""),"")</f>
        <v>0.110893224825963</v>
      </c>
      <c r="Z11" s="25" t="n">
        <f aca="false">IF(AND(ISNUMBER(Z10),ISNUMBER(U10)),IFERROR(Z10/U10-1,""),"")</f>
        <v>0.131320286903391</v>
      </c>
      <c r="AA11" s="25" t="n">
        <f aca="false">IF(AND(ISNUMBER(AA10),ISNUMBER(V10)),IFERROR(AA10/V10-1,""),"")</f>
        <v>0.139855609033691</v>
      </c>
      <c r="AB11" s="25" t="n">
        <f aca="false">IF(AND(ISNUMBER(AB10),ISNUMBER(W10)),IFERROR(AB10/W10-1,""),"")</f>
        <v>0.104314762770706</v>
      </c>
      <c r="AC11" s="25" t="n">
        <f aca="false">IF(AND(ISNUMBER(AC10),ISNUMBER(X10)),IFERROR(AC10/X10-1,""),"")</f>
        <v>0.121345226832455</v>
      </c>
      <c r="AD11" s="25" t="n">
        <f aca="false">IF(AND(ISNUMBER(AD10),ISNUMBER(Y10)),IFERROR(AD10/Y10-1,""),"")</f>
        <v>0.203442188879082</v>
      </c>
      <c r="AE11" s="25" t="n">
        <f aca="false">IF(AND(ISNUMBER(AE10),ISNUMBER(Z10)),IFERROR(AE10/Z10-1,""),"")</f>
        <v>0.0994051346274265</v>
      </c>
      <c r="AF11" s="25" t="n">
        <f aca="false">IF(AND(ISNUMBER(AF10),ISNUMBER(AA10)),IFERROR(AF10/AA10-1,""),"")</f>
        <v>0.122208688591149</v>
      </c>
      <c r="AG11" s="25" t="n">
        <f aca="false">IF(AND(ISNUMBER(AG10),ISNUMBER(AB10)),IFERROR(AG10/AB10-1,""),"")</f>
        <v>0.181137724550898</v>
      </c>
      <c r="AH11" s="25" t="n">
        <f aca="false">IF(AND(ISNUMBER(AH10),ISNUMBER(AC10)),IFERROR(AH10/AC10-1,""),"")</f>
        <v>0.150639802334224</v>
      </c>
      <c r="AI11" s="25" t="n">
        <f aca="false">IF(AND(ISNUMBER(AI10),ISNUMBER(AD10)),IFERROR(AI10/AD10-1,""),"")</f>
        <v>0.0993766043270994</v>
      </c>
      <c r="AJ11" s="25" t="n">
        <f aca="false">IF(AND(ISNUMBER(AJ10),ISNUMBER(AE10)),IFERROR(AJ10/AE10-1,""),"")</f>
        <v>0.117043998291329</v>
      </c>
      <c r="AK11" s="25" t="n">
        <f aca="false">IF(AND(ISNUMBER(AK10),ISNUMBER(AF10)),IFERROR(AK10/AF10-1,""),"")</f>
        <v>0.0882778581765558</v>
      </c>
      <c r="AL11" s="25" t="n">
        <f aca="false">IF(AND(ISNUMBER(AL10),ISNUMBER(AG10)),IFERROR(AL10/AG10-1,""),"")</f>
        <v>0.0754119138149556</v>
      </c>
      <c r="AM11" s="25" t="n">
        <f aca="false">IF(AND(ISNUMBER(AM10),ISNUMBER(AH10)),IFERROR(AM10/AH10-1,""),"")</f>
        <v>0.0944483240223464</v>
      </c>
      <c r="AN11" s="25" t="n">
        <f aca="false">IF(AND(ISNUMBER(AN10),ISNUMBER(AI10)),IFERROR(AN10/AI10-1,""),"")</f>
        <v>0.0720480320213475</v>
      </c>
      <c r="AO11" s="25" t="n">
        <f aca="false">IF(AND(ISNUMBER(AO10),ISNUMBER(AJ10)),IFERROR(AO10/AJ10-1,""),"")</f>
        <v>0.089866156787763</v>
      </c>
      <c r="AP11" s="25" t="n">
        <f aca="false">IF(AND(ISNUMBER(AP10),ISNUMBER(AK10)),IFERROR(AP10/AK10-1,""),"")</f>
        <v>0.130984042553191</v>
      </c>
      <c r="AQ11" s="25" t="n">
        <f aca="false">IF(AND(ISNUMBER(AQ10),ISNUMBER(AL10)),IFERROR(AQ10/AL10-1,""),"")</f>
        <v>0.0830878020035357</v>
      </c>
      <c r="AR11" s="25" t="n">
        <f aca="false">IF(AND(ISNUMBER(AR10),ISNUMBER(AM10)),IFERROR(AR10/AM10-1,""),"")</f>
        <v>0.0936353485404371</v>
      </c>
      <c r="AS11" s="25" t="n">
        <f aca="false">IF(AND(ISNUMBER(AS10),ISNUMBER(AN10)),IFERROR(AS10/AN10-1,""),"")</f>
        <v>0.10392034847542</v>
      </c>
      <c r="AT11" s="25" t="n">
        <f aca="false">IF(AND(ISNUMBER(AT10),ISNUMBER(AO10)),IFERROR(AT10/AO10-1,""),"")</f>
        <v>0.521637426900585</v>
      </c>
      <c r="AU11" s="25" t="n">
        <f aca="false">IF(AND(ISNUMBER(AU10),ISNUMBER(AP10)),IFERROR(AU10/AP10-1,""),"")</f>
        <v>1.01293356848912</v>
      </c>
      <c r="AV11" s="25" t="n">
        <f aca="false">IF(AND(ISNUMBER(AV10),ISNUMBER(AQ10)),IFERROR(AV10/AQ10-1,""),"")</f>
        <v>1.37649619151251</v>
      </c>
      <c r="AW11" s="25" t="n">
        <f aca="false">IF(AND(ISNUMBER(AW10),ISNUMBER(AR10)),IFERROR(AW10/AR10-1,""),"")</f>
        <v>0.774795799299883</v>
      </c>
      <c r="AX11" s="25" t="n">
        <f aca="false">IF(AND(ISNUMBER(AX10),ISNUMBER(AS10)),IFERROR(AX10/AS10-1,""),"")</f>
        <v>1.36922209695603</v>
      </c>
      <c r="AY11" s="25" t="n">
        <f aca="false">IF(AND(ISNUMBER(AY10),ISNUMBER(AT10)),IFERROR(AY10/AT10-1,""),"")</f>
        <v>0.367025365103766</v>
      </c>
      <c r="AZ11" s="25" t="n">
        <f aca="false">IF(AND(ISNUMBER(AZ10),ISNUMBER(AU10)),IFERROR(AZ10/AU10-1,""),"")</f>
        <v>0.0867406542056075</v>
      </c>
      <c r="BA11" s="25" t="n">
        <f aca="false">IF(AND(ISNUMBER(BA10),ISNUMBER(AV10)),IFERROR(BA10/AV10-1,""),"")</f>
        <v>-0.049908424908425</v>
      </c>
      <c r="BB11" s="25" t="n">
        <f aca="false">IF(AND(ISNUMBER(BB10),ISNUMBER(AW10)),IFERROR(BB10/AW10-1,""),"")</f>
        <v>0.284598948060486</v>
      </c>
      <c r="BC11" s="25" t="n">
        <f aca="false">IF(AND(ISNUMBER(BC10),ISNUMBER(AX10)),IFERROR(BC10/AX10-1,""),"")</f>
        <v>0.00666190816083745</v>
      </c>
      <c r="BD11" s="25" t="n">
        <f aca="false">IF(AND(ISNUMBER(BD10),ISNUMBER(AY10)),IFERROR(BD10/AY10-1,""),"")</f>
        <v>-0.0745009839752601</v>
      </c>
      <c r="BE11" s="25" t="n">
        <f aca="false">IF(AND(ISNUMBER(BE10),ISNUMBER(AZ10)),IFERROR(BE10/AZ10-1,""),"")</f>
        <v>-0.203977425423273</v>
      </c>
      <c r="BF11" s="25" t="n">
        <f aca="false">IF(AND(ISNUMBER(BF10),ISNUMBER(BA10)),IFERROR(BF10/BA10-1,""),"")</f>
        <v>-0.266024096385542</v>
      </c>
      <c r="BG11" s="25" t="n">
        <f aca="false">IF(AND(ISNUMBER(BG10),ISNUMBER(BB10)),IFERROR(BG10/BB10-1,""),"")</f>
        <v>-0.134284434777046</v>
      </c>
      <c r="BH11" s="25" t="n">
        <f aca="false">IF(AND(ISNUMBER(BH10),ISNUMBER(BC10)),IFERROR(BH10/BC10-1,""),"")</f>
        <v>-0.382651855353344</v>
      </c>
      <c r="BI11" s="25" t="n">
        <f aca="false">IF(AND(ISNUMBER(BI10),ISNUMBER(BD10)),IFERROR(BI10/BD10-1,""),"")</f>
        <v>-0.251822600243013</v>
      </c>
      <c r="BJ11" s="25" t="n">
        <f aca="false">IF(AND(ISNUMBER(BJ10),ISNUMBER(BE10)),IFERROR(BJ10/BE10-1,""),"")</f>
        <v>-0.178595543551654</v>
      </c>
      <c r="BK11" s="25" t="n">
        <f aca="false">IF(AND(ISNUMBER(BK10),ISNUMBER(BF10)),IFERROR(BK10/BF10-1,""),"")</f>
        <v>-0.189428759028234</v>
      </c>
      <c r="BL11" s="25" t="n">
        <f aca="false">IF(AND(ISNUMBER(BL10),ISNUMBER(BG10)),IFERROR(BL10/BG10-1,""),"")</f>
        <v>-0.262710611882944</v>
      </c>
      <c r="BM11" s="25" t="n">
        <f aca="false">IF(AND(ISNUMBER(BM10),ISNUMBER(BH10)),IFERROR(BM10/BH10-1,""),"")</f>
        <v>-0.125191424196018</v>
      </c>
      <c r="BN11" s="25" t="n">
        <f aca="false">IF(AND(ISNUMBER(BN10),ISNUMBER(BI10)),IFERROR(BN10/BI10-1,""),"")</f>
        <v>-0.0438489646772229</v>
      </c>
      <c r="BO11" s="25" t="n">
        <f aca="false">IF(AND(ISNUMBER(BO10),ISNUMBER(BJ10)),IFERROR(BO10/BJ10-1,""),"")</f>
        <v>-0.0189066995478833</v>
      </c>
      <c r="BP11" s="25" t="n">
        <f aca="false">IF(AND(ISNUMBER(BP10),ISNUMBER(BK10)),IFERROR(BP10/BK10-1,""),"")</f>
        <v>0.054678007290401</v>
      </c>
      <c r="BQ11" s="25" t="n">
        <f aca="false">IF(AND(ISNUMBER(BQ10),ISNUMBER(BL10)),IFERROR(BQ10/BL10-1,""),"")</f>
        <v>-0.0346797634559487</v>
      </c>
      <c r="BR11" s="25" t="n">
        <f aca="false">IF(AND(ISNUMBER(BR10),ISNUMBER(BM10)),IFERROR(BR10/BM10-1,""),"")</f>
        <v>0.0245076586433259</v>
      </c>
      <c r="BS11" s="25" t="n">
        <f aca="false">IF(AND(ISNUMBER(BS10),ISNUMBER(BN10)),IFERROR(BS10/BN10-1,""),"")</f>
        <v>0.0611464968152866</v>
      </c>
      <c r="BT11" s="25" t="n">
        <f aca="false">IF(AND(ISNUMBER(BT10),ISNUMBER(BO10)),IFERROR(BT10/BO10-1,""),"")</f>
        <v>0.084206116464181</v>
      </c>
      <c r="BU11" s="25" t="n">
        <f aca="false">IF(AND(ISNUMBER(BU10),ISNUMBER(BP10)),IFERROR(BU10/BP10-1,""),"")</f>
        <v>0.131336405529954</v>
      </c>
      <c r="BV11" s="25" t="n">
        <f aca="false">IF(AND(ISNUMBER(BV10),ISNUMBER(BQ10)),IFERROR(BV10/BQ10-1,""),"")</f>
        <v>0.0771467137368913</v>
      </c>
      <c r="BW11" s="25" t="n">
        <f aca="false">IF(AND(ISNUMBER(BW10),ISNUMBER(BR10)),IFERROR(BW10/BR10-1,""),"")</f>
        <v>0.126014523707817</v>
      </c>
      <c r="BX11" s="25" t="n">
        <f aca="false">IF(AND(ISNUMBER(BX10),ISNUMBER(BS10)),IFERROR(BX10/BS10-1,""),"")</f>
        <v>0.126450580232093</v>
      </c>
      <c r="BY11" s="26" t="n">
        <f aca="false">BY12+BY13+BY14</f>
        <v>0.0708111972645835</v>
      </c>
      <c r="BZ11" s="26" t="n">
        <f aca="false">BZ12+BZ13+BZ14</f>
        <v>0.0142153703712296</v>
      </c>
      <c r="CA11" s="26" t="n">
        <f aca="false">IFERROR(CA10/BV10-1,"")</f>
        <v>0.0805993695425473</v>
      </c>
      <c r="CB11" s="26" t="n">
        <f aca="false">CB12+CB13+CB14</f>
        <v>0.06</v>
      </c>
      <c r="CC11" s="26" t="n">
        <f aca="false">CC12+CC13+CC14</f>
        <v>0.065</v>
      </c>
      <c r="CD11" s="26" t="n">
        <f aca="false">CD12+CD13+CD14</f>
        <v>0.07</v>
      </c>
      <c r="CE11" s="26" t="n">
        <f aca="false">CE12+CE13+CE14</f>
        <v>0.07</v>
      </c>
      <c r="CF11" s="21"/>
      <c r="CN11" s="13" t="s">
        <v>88</v>
      </c>
      <c r="CO11" s="27" t="s">
        <v>89</v>
      </c>
      <c r="CP11" s="27" t="s">
        <v>90</v>
      </c>
      <c r="CQ11" s="27" t="s">
        <v>91</v>
      </c>
      <c r="CR11" s="16" t="s">
        <v>92</v>
      </c>
    </row>
    <row r="12" customFormat="false" ht="15" hidden="false" customHeight="false" outlineLevel="0" collapsed="false">
      <c r="B12" s="23" t="s">
        <v>93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8" t="n">
        <v>0.23</v>
      </c>
      <c r="BC12" s="28" t="n">
        <v>-0.01</v>
      </c>
      <c r="BD12" s="28" t="n">
        <v>-0.05</v>
      </c>
      <c r="BE12" s="28" t="n">
        <v>-0.17</v>
      </c>
      <c r="BF12" s="24"/>
      <c r="BG12" s="28" t="n">
        <v>-0.12</v>
      </c>
      <c r="BH12" s="28" t="n">
        <v>-0.37</v>
      </c>
      <c r="BI12" s="28" t="n">
        <v>-0.25</v>
      </c>
      <c r="BJ12" s="28" t="n">
        <v>-0.19</v>
      </c>
      <c r="BK12" s="24"/>
      <c r="BL12" s="28" t="n">
        <v>-0.26</v>
      </c>
      <c r="BM12" s="28" t="n">
        <v>-0.12</v>
      </c>
      <c r="BN12" s="28" t="n">
        <v>-0.03</v>
      </c>
      <c r="BO12" s="28" t="n">
        <v>-0.04</v>
      </c>
      <c r="BP12" s="24"/>
      <c r="BQ12" s="28" t="n">
        <v>-0.04</v>
      </c>
      <c r="BR12" s="28" t="n">
        <v>0.02</v>
      </c>
      <c r="BS12" s="28" t="n">
        <v>0.04</v>
      </c>
      <c r="BT12" s="28" t="n">
        <v>0.05</v>
      </c>
      <c r="BU12" s="24"/>
      <c r="BV12" s="28" t="n">
        <v>0.03</v>
      </c>
      <c r="BW12" s="28" t="n">
        <v>0.01</v>
      </c>
      <c r="BX12" s="28" t="n">
        <v>0.03</v>
      </c>
      <c r="BY12" s="26" t="n">
        <f aca="false">$BX12+BY117</f>
        <v>0.0217153703712296</v>
      </c>
      <c r="BZ12" s="26" t="n">
        <f aca="false">$BX12+BZ117</f>
        <v>0.0217153703712296</v>
      </c>
      <c r="CA12" s="29"/>
      <c r="CB12" s="26" t="n">
        <f aca="false">CHOOSE(MATCH($CF$2,{"Bull","Base","Bear"},0),$CO$30,$CP$30,$CQ$30)</f>
        <v>0.06</v>
      </c>
      <c r="CC12" s="26" t="n">
        <f aca="false">CHOOSE(MATCH($CF$2,{"Bull","Base","Bear"},0),$CO$31,$CP$31,$CQ$31)</f>
        <v>0.065</v>
      </c>
      <c r="CD12" s="26" t="n">
        <f aca="false">CHOOSE(MATCH($CF$2,{"Bull","Base","Bear"},0),$CO$32,$CP$32,$CQ$32)</f>
        <v>0.07</v>
      </c>
      <c r="CE12" s="26" t="n">
        <f aca="false">CHOOSE(MATCH($CF$2,{"Bull","Base","Bear"},0),$CO$33,$CP$33,$CQ$33)</f>
        <v>0.07</v>
      </c>
      <c r="CF12" s="21" t="s">
        <v>94</v>
      </c>
      <c r="CN12" s="23" t="s">
        <v>95</v>
      </c>
      <c r="CO12" s="30" t="n">
        <v>48100</v>
      </c>
      <c r="CP12" s="30" t="n">
        <v>47750</v>
      </c>
      <c r="CQ12" s="30" t="n">
        <v>47400</v>
      </c>
      <c r="CR12" s="16" t="s">
        <v>96</v>
      </c>
    </row>
    <row r="13" customFormat="false" ht="15" hidden="false" customHeight="false" outlineLevel="0" collapsed="false">
      <c r="B13" s="23" t="s">
        <v>97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8" t="n">
        <v>0.03</v>
      </c>
      <c r="BC13" s="28" t="n">
        <v>0.03</v>
      </c>
      <c r="BD13" s="28" t="n">
        <v>0.01</v>
      </c>
      <c r="BE13" s="28" t="n">
        <v>0.01</v>
      </c>
      <c r="BF13" s="24"/>
      <c r="BG13" s="28" t="n">
        <v>0.01</v>
      </c>
      <c r="BH13" s="28" t="n">
        <v>0</v>
      </c>
      <c r="BI13" s="28" t="n">
        <v>0</v>
      </c>
      <c r="BJ13" s="28" t="n">
        <v>0</v>
      </c>
      <c r="BK13" s="24"/>
      <c r="BL13" s="28" t="n">
        <v>0</v>
      </c>
      <c r="BM13" s="28" t="n">
        <v>0</v>
      </c>
      <c r="BN13" s="28" t="n">
        <v>0</v>
      </c>
      <c r="BO13" s="28" t="n">
        <v>0.02</v>
      </c>
      <c r="BP13" s="24"/>
      <c r="BQ13" s="28" t="n">
        <v>0.01</v>
      </c>
      <c r="BR13" s="28" t="n">
        <v>0.02</v>
      </c>
      <c r="BS13" s="28" t="n">
        <v>0.01</v>
      </c>
      <c r="BT13" s="28" t="n">
        <v>0.03</v>
      </c>
      <c r="BU13" s="24"/>
      <c r="BV13" s="28" t="n">
        <v>0.03</v>
      </c>
      <c r="BW13" s="28" t="n">
        <v>0.09</v>
      </c>
      <c r="BX13" s="28" t="n">
        <v>0.09</v>
      </c>
      <c r="BY13" s="26" t="n">
        <f aca="false">$CA$71*2/BT10</f>
        <v>0.0540958268933539</v>
      </c>
      <c r="BZ13" s="31" t="n">
        <v>0</v>
      </c>
      <c r="CA13" s="29"/>
      <c r="CB13" s="31" t="n">
        <v>0</v>
      </c>
      <c r="CC13" s="31" t="n">
        <v>0</v>
      </c>
      <c r="CD13" s="31" t="n">
        <v>0</v>
      </c>
      <c r="CE13" s="31" t="n">
        <v>0</v>
      </c>
      <c r="CF13" s="21" t="s">
        <v>98</v>
      </c>
      <c r="CN13" s="23" t="s">
        <v>99</v>
      </c>
      <c r="CO13" s="32" t="n">
        <v>0.236</v>
      </c>
      <c r="CP13" s="32" t="n">
        <v>0.235</v>
      </c>
      <c r="CQ13" s="32" t="n">
        <v>0.234</v>
      </c>
      <c r="CR13" s="16" t="s">
        <v>100</v>
      </c>
    </row>
    <row r="14" customFormat="false" ht="15" hidden="false" customHeight="false" outlineLevel="0" collapsed="false">
      <c r="B14" s="23" t="s">
        <v>101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8" t="n">
        <v>0.02</v>
      </c>
      <c r="BC14" s="28" t="n">
        <v>-0.02</v>
      </c>
      <c r="BD14" s="28" t="n">
        <v>-0.03</v>
      </c>
      <c r="BE14" s="28" t="n">
        <v>-0.04</v>
      </c>
      <c r="BF14" s="24"/>
      <c r="BG14" s="28" t="n">
        <v>-0.03</v>
      </c>
      <c r="BH14" s="28" t="n">
        <v>-0.02</v>
      </c>
      <c r="BI14" s="28" t="n">
        <v>0</v>
      </c>
      <c r="BJ14" s="28" t="n">
        <v>0.01</v>
      </c>
      <c r="BK14" s="24"/>
      <c r="BL14" s="28" t="n">
        <v>0</v>
      </c>
      <c r="BM14" s="28" t="n">
        <v>0</v>
      </c>
      <c r="BN14" s="28" t="n">
        <v>-0.01</v>
      </c>
      <c r="BO14" s="28" t="n">
        <v>0</v>
      </c>
      <c r="BP14" s="24"/>
      <c r="BQ14" s="28" t="n">
        <v>0</v>
      </c>
      <c r="BR14" s="28" t="n">
        <v>-0.01</v>
      </c>
      <c r="BS14" s="28" t="n">
        <v>0.01</v>
      </c>
      <c r="BT14" s="28" t="n">
        <v>0.01</v>
      </c>
      <c r="BU14" s="24"/>
      <c r="BV14" s="28" t="n">
        <v>0.01</v>
      </c>
      <c r="BW14" s="28" t="n">
        <v>0.03</v>
      </c>
      <c r="BX14" s="28" t="n">
        <v>0.01</v>
      </c>
      <c r="BY14" s="26" t="n">
        <f aca="false">BY113</f>
        <v>-0.005</v>
      </c>
      <c r="BZ14" s="26" t="n">
        <f aca="false">BZ113</f>
        <v>-0.0075</v>
      </c>
      <c r="CA14" s="29"/>
      <c r="CB14" s="26" t="n">
        <f aca="false">CB113</f>
        <v>0</v>
      </c>
      <c r="CC14" s="26" t="n">
        <f aca="false">CC113</f>
        <v>0</v>
      </c>
      <c r="CD14" s="26" t="n">
        <f aca="false">CD113</f>
        <v>0</v>
      </c>
      <c r="CE14" s="26" t="n">
        <f aca="false">CE113</f>
        <v>0</v>
      </c>
      <c r="CF14" s="21" t="s">
        <v>102</v>
      </c>
      <c r="CN14" s="23" t="s">
        <v>103</v>
      </c>
      <c r="CO14" s="33" t="n">
        <v>25.33</v>
      </c>
      <c r="CP14" s="33" t="n">
        <v>25.13</v>
      </c>
      <c r="CQ14" s="33" t="n">
        <v>24.93</v>
      </c>
      <c r="CR14" s="16" t="s">
        <v>104</v>
      </c>
    </row>
    <row r="15" customFormat="false" ht="15" hidden="false" customHeight="false" outlineLevel="0" collapsed="false">
      <c r="B15" s="17" t="s">
        <v>105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 t="n">
        <v>244.6</v>
      </c>
      <c r="P15" s="19" t="n">
        <v>299.1</v>
      </c>
      <c r="Q15" s="19" t="n">
        <v>306.3</v>
      </c>
      <c r="R15" s="19" t="n">
        <v>364.9</v>
      </c>
      <c r="S15" s="19" t="n">
        <v>1214.9</v>
      </c>
      <c r="T15" s="19" t="n">
        <v>298.7</v>
      </c>
      <c r="U15" s="19" t="n">
        <v>323.5</v>
      </c>
      <c r="V15" s="19" t="n">
        <v>332.7</v>
      </c>
      <c r="W15" s="19" t="n">
        <v>382</v>
      </c>
      <c r="X15" s="19" t="n">
        <v>1336.9</v>
      </c>
      <c r="Y15" s="19" t="n">
        <v>330</v>
      </c>
      <c r="Z15" s="19" t="n">
        <v>369.6</v>
      </c>
      <c r="AA15" s="19" t="n">
        <v>370.1</v>
      </c>
      <c r="AB15" s="19" t="n">
        <v>445</v>
      </c>
      <c r="AC15" s="19" t="n">
        <v>1514.7</v>
      </c>
      <c r="AD15" s="19" t="n">
        <v>433.9</v>
      </c>
      <c r="AE15" s="19" t="n">
        <v>448.1</v>
      </c>
      <c r="AF15" s="19" t="n">
        <v>453</v>
      </c>
      <c r="AG15" s="19" t="n">
        <v>561</v>
      </c>
      <c r="AH15" s="19" t="n">
        <v>1896</v>
      </c>
      <c r="AI15" s="19" t="n">
        <v>517</v>
      </c>
      <c r="AJ15" s="19" t="n">
        <v>522</v>
      </c>
      <c r="AK15" s="19" t="n">
        <v>495</v>
      </c>
      <c r="AL15" s="19" t="n">
        <v>624</v>
      </c>
      <c r="AM15" s="19" t="n">
        <v>2158</v>
      </c>
      <c r="AN15" s="19" t="n">
        <v>561</v>
      </c>
      <c r="AO15" s="19" t="n">
        <v>609</v>
      </c>
      <c r="AP15" s="19" t="n">
        <v>586</v>
      </c>
      <c r="AQ15" s="19" t="n">
        <v>690</v>
      </c>
      <c r="AR15" s="19" t="n">
        <v>2446</v>
      </c>
      <c r="AS15" s="19" t="n">
        <v>675</v>
      </c>
      <c r="AT15" s="19" t="n">
        <v>1234</v>
      </c>
      <c r="AU15" s="19" t="n">
        <v>1879</v>
      </c>
      <c r="AV15" s="19" t="n">
        <v>2321</v>
      </c>
      <c r="AW15" s="19" t="n">
        <v>6109</v>
      </c>
      <c r="AX15" s="19" t="n">
        <v>2279</v>
      </c>
      <c r="AY15" s="19" t="n">
        <v>1718</v>
      </c>
      <c r="AZ15" s="19" t="n">
        <v>1821</v>
      </c>
      <c r="BA15" s="19" t="n">
        <v>1999</v>
      </c>
      <c r="BB15" s="19" t="n">
        <v>7817</v>
      </c>
      <c r="BC15" s="19" t="n">
        <v>2176</v>
      </c>
      <c r="BD15" s="19" t="n">
        <v>1327</v>
      </c>
      <c r="BE15" s="19" t="n">
        <v>1039</v>
      </c>
      <c r="BF15" s="19" t="n">
        <v>1040</v>
      </c>
      <c r="BG15" s="19" t="n">
        <v>5582</v>
      </c>
      <c r="BH15" s="19" t="n">
        <v>836</v>
      </c>
      <c r="BI15" s="19" t="n">
        <v>817</v>
      </c>
      <c r="BJ15" s="19" t="n">
        <v>872</v>
      </c>
      <c r="BK15" s="19" t="n">
        <v>895</v>
      </c>
      <c r="BL15" s="19" t="n">
        <v>3420</v>
      </c>
      <c r="BM15" s="19" t="n">
        <v>840</v>
      </c>
      <c r="BN15" s="19" t="n">
        <v>865</v>
      </c>
      <c r="BO15" s="19" t="n">
        <v>845</v>
      </c>
      <c r="BP15" s="19" t="n">
        <v>952</v>
      </c>
      <c r="BQ15" s="19" t="n">
        <v>3503</v>
      </c>
      <c r="BR15" s="19" t="n">
        <v>834</v>
      </c>
      <c r="BS15" s="19" t="n">
        <v>919</v>
      </c>
      <c r="BT15" s="19" t="n">
        <v>968</v>
      </c>
      <c r="BU15" s="19" t="n">
        <v>1046</v>
      </c>
      <c r="BV15" s="19" t="n">
        <v>3768</v>
      </c>
      <c r="BW15" s="19" t="n">
        <v>954</v>
      </c>
      <c r="BX15" s="19" t="n">
        <v>1041</v>
      </c>
      <c r="BY15" s="20" t="n">
        <f aca="false">BY10*BY17</f>
        <v>1074.94172066774</v>
      </c>
      <c r="BZ15" s="20" t="n">
        <f aca="false">BZ10*BZ17</f>
        <v>1102.26707017999</v>
      </c>
      <c r="CA15" s="20" t="n">
        <f aca="false">SUM(BW15,BX15,BY15,BZ15)</f>
        <v>4172.20879084773</v>
      </c>
      <c r="CB15" s="20" t="n">
        <f aca="false">CB10*CB17</f>
        <v>4467.91254533588</v>
      </c>
      <c r="CC15" s="20" t="n">
        <f aca="false">CC10*CC17</f>
        <v>4808.94735930168</v>
      </c>
      <c r="CD15" s="20" t="n">
        <f aca="false">CD10*CD17</f>
        <v>5199.73760786809</v>
      </c>
      <c r="CE15" s="20" t="n">
        <f aca="false">CE10*CE17</f>
        <v>5621.67464917322</v>
      </c>
      <c r="CF15" s="21"/>
      <c r="CH15" s="22" t="n">
        <f aca="false">IFERROR((CE15/BV15)^(1/5)-1,"n/m")</f>
        <v>0.0833055363785158</v>
      </c>
      <c r="CI15" s="22" t="n">
        <f aca="false">IFERROR((BV15/AW15)^(1/5)-1,"n/m")</f>
        <v>-0.0921206170729658</v>
      </c>
      <c r="CJ15" s="22" t="n">
        <f aca="false">IFERROR((BV15/X15)^(1/10)-1,"n/m")</f>
        <v>0.109177872580531</v>
      </c>
      <c r="CK15" s="22" t="str">
        <f aca="false">IFERROR((BV15/C15)^(1/19)-1,"n/m")</f>
        <v>n/m</v>
      </c>
      <c r="CN15" s="23" t="s">
        <v>106</v>
      </c>
      <c r="CO15" s="30" t="n">
        <v>7400</v>
      </c>
      <c r="CP15" s="30" t="n">
        <v>7150</v>
      </c>
      <c r="CQ15" s="30" t="n">
        <v>6900</v>
      </c>
      <c r="CR15" s="16" t="s">
        <v>107</v>
      </c>
    </row>
    <row r="16" customFormat="false" ht="15" hidden="false" customHeight="false" outlineLevel="1" collapsed="false">
      <c r="B16" s="23" t="s">
        <v>108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6" t="n">
        <f aca="false">BT17+(BW15+BX15)/(BW10+BX10)-(BR15+BS15)/(BR10+BS10)</f>
        <v>0.377831812576446</v>
      </c>
      <c r="BZ16" s="26" t="n">
        <f aca="false">BU17+(BW15+BX15)/(BW10+BX10)-(BR15+BS15)/(BR10+BS10)</f>
        <v>0.358855514848461</v>
      </c>
      <c r="CA16" s="29"/>
      <c r="CB16" s="29"/>
      <c r="CC16" s="29"/>
      <c r="CD16" s="29"/>
      <c r="CE16" s="29"/>
      <c r="CF16" s="21" t="s">
        <v>109</v>
      </c>
      <c r="CN16" s="23" t="s">
        <v>110</v>
      </c>
      <c r="CO16" s="30" t="n">
        <v>2100</v>
      </c>
      <c r="CP16" s="30" t="n">
        <v>2000</v>
      </c>
      <c r="CQ16" s="30" t="n">
        <v>1900</v>
      </c>
      <c r="CR16" s="16" t="s">
        <v>111</v>
      </c>
    </row>
    <row r="17" customFormat="false" ht="15" hidden="false" customHeight="false" outlineLevel="0" collapsed="false">
      <c r="B17" s="23" t="s">
        <v>112</v>
      </c>
      <c r="C17" s="25" t="str">
        <f aca="false">IF(AND(ISNUMBER(C15),ISNUMBER(C10)),C15/C10,"")</f>
        <v/>
      </c>
      <c r="D17" s="25" t="str">
        <f aca="false">IF(AND(ISNUMBER(D15),ISNUMBER(D10)),D15/D10,"")</f>
        <v/>
      </c>
      <c r="E17" s="25" t="str">
        <f aca="false">IF(AND(ISNUMBER(E15),ISNUMBER(E10)),E15/E10,"")</f>
        <v/>
      </c>
      <c r="F17" s="25" t="str">
        <f aca="false">IF(AND(ISNUMBER(F15),ISNUMBER(F10)),F15/F10,"")</f>
        <v/>
      </c>
      <c r="G17" s="25" t="str">
        <f aca="false">IF(AND(ISNUMBER(G15),ISNUMBER(G10)),G15/G10,"")</f>
        <v/>
      </c>
      <c r="H17" s="25" t="str">
        <f aca="false">IF(AND(ISNUMBER(H15),ISNUMBER(H10)),H15/H10,"")</f>
        <v/>
      </c>
      <c r="I17" s="25" t="str">
        <f aca="false">IF(AND(ISNUMBER(I15),ISNUMBER(I10)),I15/I10,"")</f>
        <v/>
      </c>
      <c r="J17" s="25" t="str">
        <f aca="false">IF(AND(ISNUMBER(J15),ISNUMBER(J10)),J15/J10,"")</f>
        <v/>
      </c>
      <c r="K17" s="25" t="str">
        <f aca="false">IF(AND(ISNUMBER(K15),ISNUMBER(K10)),K15/K10,"")</f>
        <v/>
      </c>
      <c r="L17" s="25" t="str">
        <f aca="false">IF(AND(ISNUMBER(L15),ISNUMBER(L10)),L15/L10,"")</f>
        <v/>
      </c>
      <c r="M17" s="25" t="str">
        <f aca="false">IF(AND(ISNUMBER(M15),ISNUMBER(M10)),M15/M10,"")</f>
        <v/>
      </c>
      <c r="N17" s="25" t="str">
        <f aca="false">IF(AND(ISNUMBER(N15),ISNUMBER(N10)),N15/N10,"")</f>
        <v/>
      </c>
      <c r="O17" s="25" t="n">
        <f aca="false">IF(AND(ISNUMBER(O15),ISNUMBER(O10)),O15/O10,"")</f>
        <v>0.292758827049671</v>
      </c>
      <c r="P17" s="25" t="n">
        <f aca="false">IF(AND(ISNUMBER(P15),ISNUMBER(P10)),P15/P10,"")</f>
        <v>0.271144955126462</v>
      </c>
      <c r="Q17" s="25" t="n">
        <f aca="false">IF(AND(ISNUMBER(Q15),ISNUMBER(Q10)),Q15/Q10,"")</f>
        <v>0.285754268122026</v>
      </c>
      <c r="R17" s="25" t="n">
        <f aca="false">IF(AND(ISNUMBER(R15),ISNUMBER(R10)),R15/R10,"")</f>
        <v>0.307880526493419</v>
      </c>
      <c r="S17" s="25" t="n">
        <f aca="false">IF(AND(ISNUMBER(S15),ISNUMBER(S10)),S15/S10,"")</f>
        <v>0.289558357365875</v>
      </c>
      <c r="T17" s="25" t="n">
        <f aca="false">IF(AND(ISNUMBER(T15),ISNUMBER(T10)),T15/T10,"")</f>
        <v>0.29287185018139</v>
      </c>
      <c r="U17" s="25" t="n">
        <f aca="false">IF(AND(ISNUMBER(U15),ISNUMBER(U10)),U15/U10,"")</f>
        <v>0.286460639334101</v>
      </c>
      <c r="V17" s="25" t="n">
        <f aca="false">IF(AND(ISNUMBER(V15),ISNUMBER(V10)),V15/V10,"")</f>
        <v>0.307941503146983</v>
      </c>
      <c r="W17" s="25" t="n">
        <f aca="false">IF(AND(ISNUMBER(W15),ISNUMBER(W10)),W15/W10,"")</f>
        <v>0.31575467019342</v>
      </c>
      <c r="X17" s="25" t="n">
        <f aca="false">IF(AND(ISNUMBER(X15),ISNUMBER(X10)),X15/X10,"")</f>
        <v>0.301144298779114</v>
      </c>
      <c r="Y17" s="25" t="n">
        <f aca="false">IF(AND(ISNUMBER(Y15),ISNUMBER(Y10)),Y15/Y10,"")</f>
        <v>0.29126213592233</v>
      </c>
      <c r="Z17" s="25" t="n">
        <f aca="false">IF(AND(ISNUMBER(Z15),ISNUMBER(Z10)),Z15/Z10,"")</f>
        <v>0.289292423293676</v>
      </c>
      <c r="AA17" s="25" t="n">
        <f aca="false">IF(AND(ISNUMBER(AA15),ISNUMBER(AA10)),AA15/AA10,"")</f>
        <v>0.300527811611856</v>
      </c>
      <c r="AB17" s="25" t="n">
        <f aca="false">IF(AND(ISNUMBER(AB15),ISNUMBER(AB10)),AB15/AB10,"")</f>
        <v>0.333083832335329</v>
      </c>
      <c r="AC17" s="25" t="n">
        <f aca="false">IF(AND(ISNUMBER(AC15),ISNUMBER(AC10)),AC15/AC10,"")</f>
        <v>0.304272714489464</v>
      </c>
      <c r="AD17" s="25" t="n">
        <f aca="false">IF(AND(ISNUMBER(AD15),ISNUMBER(AD10)),AD15/AD10,"")</f>
        <v>0.318225155848918</v>
      </c>
      <c r="AE17" s="25" t="n">
        <f aca="false">IF(AND(ISNUMBER(AE15),ISNUMBER(AE10)),AE15/AE10,"")</f>
        <v>0.319023209454649</v>
      </c>
      <c r="AF17" s="25" t="n">
        <f aca="false">IF(AND(ISNUMBER(AF15),ISNUMBER(AF10)),AF15/AF10,"")</f>
        <v>0.327785817655572</v>
      </c>
      <c r="AG17" s="25" t="n">
        <f aca="false">IF(AND(ISNUMBER(AG15),ISNUMBER(AG10)),AG15/AG10,"")</f>
        <v>0.355513307984791</v>
      </c>
      <c r="AH17" s="25" t="n">
        <f aca="false">IF(AND(ISNUMBER(AH15),ISNUMBER(AH10)),AH15/AH10,"")</f>
        <v>0.331005586592179</v>
      </c>
      <c r="AI17" s="25" t="n">
        <f aca="false">IF(AND(ISNUMBER(AI15),ISNUMBER(AI10)),AI15/AI10,"")</f>
        <v>0.344896597731821</v>
      </c>
      <c r="AJ17" s="25" t="n">
        <f aca="false">IF(AND(ISNUMBER(AJ15),ISNUMBER(AJ10)),AJ15/AJ10,"")</f>
        <v>0.332695984703633</v>
      </c>
      <c r="AK17" s="25" t="n">
        <f aca="false">IF(AND(ISNUMBER(AK15),ISNUMBER(AK10)),AK15/AK10,"")</f>
        <v>0.329122340425532</v>
      </c>
      <c r="AL17" s="25" t="n">
        <f aca="false">IF(AND(ISNUMBER(AL15),ISNUMBER(AL10)),AL15/AL10,"")</f>
        <v>0.367707719505009</v>
      </c>
      <c r="AM17" s="25" t="n">
        <f aca="false">IF(AND(ISNUMBER(AM15),ISNUMBER(AM10)),AM15/AM10,"")</f>
        <v>0.344233530068592</v>
      </c>
      <c r="AN17" s="25" t="n">
        <f aca="false">IF(AND(ISNUMBER(AN15),ISNUMBER(AN10)),AN15/AN10,"")</f>
        <v>0.349097697573118</v>
      </c>
      <c r="AO17" s="25" t="n">
        <f aca="false">IF(AND(ISNUMBER(AO15),ISNUMBER(AO10)),AO15/AO10,"")</f>
        <v>0.356140350877193</v>
      </c>
      <c r="AP17" s="25" t="n">
        <f aca="false">IF(AND(ISNUMBER(AP15),ISNUMBER(AP10)),AP15/AP10,"")</f>
        <v>0.344503233392122</v>
      </c>
      <c r="AQ17" s="25" t="n">
        <f aca="false">IF(AND(ISNUMBER(AQ15),ISNUMBER(AQ10)),AQ15/AQ10,"")</f>
        <v>0.375408052230686</v>
      </c>
      <c r="AR17" s="25" t="n">
        <f aca="false">IF(AND(ISNUMBER(AR15),ISNUMBER(AR10)),AR15/AR10,"")</f>
        <v>0.356767794632439</v>
      </c>
      <c r="AS17" s="25" t="n">
        <f aca="false">IF(AND(ISNUMBER(AS15),ISNUMBER(AS10)),AS15/AS10,"")</f>
        <v>0.380496054114994</v>
      </c>
      <c r="AT17" s="25" t="n">
        <f aca="false">IF(AND(ISNUMBER(AT15),ISNUMBER(AT10)),AT15/AT10,"")</f>
        <v>0.474250576479631</v>
      </c>
      <c r="AU17" s="25" t="n">
        <f aca="false">IF(AND(ISNUMBER(AU15),ISNUMBER(AU10)),AU15/AU10,"")</f>
        <v>0.548773364485981</v>
      </c>
      <c r="AV17" s="25" t="n">
        <f aca="false">IF(AND(ISNUMBER(AV15),ISNUMBER(AV10)),AV15/AV10,"")</f>
        <v>0.531364468864469</v>
      </c>
      <c r="AW17" s="25" t="n">
        <f aca="false">IF(AND(ISNUMBER(AW15),ISNUMBER(AW10)),AW15/AW10,"")</f>
        <v>0.502054569362262</v>
      </c>
      <c r="AX17" s="25" t="n">
        <f aca="false">IF(AND(ISNUMBER(AX15),ISNUMBER(AX10)),AX15/AX10,"")</f>
        <v>0.542231739233881</v>
      </c>
      <c r="AY17" s="25" t="n">
        <f aca="false">IF(AND(ISNUMBER(AY15),ISNUMBER(AY10)),AY15/AY10,"")</f>
        <v>0.482991284790554</v>
      </c>
      <c r="AZ17" s="25" t="n">
        <f aca="false">IF(AND(ISNUMBER(AZ15),ISNUMBER(AZ10)),AZ15/AZ10,"")</f>
        <v>0.489384574039237</v>
      </c>
      <c r="BA17" s="25" t="n">
        <f aca="false">IF(AND(ISNUMBER(BA15),ISNUMBER(BA10)),BA15/BA10,"")</f>
        <v>0.481686746987952</v>
      </c>
      <c r="BB17" s="25" t="n">
        <f aca="false">IF(AND(ISNUMBER(BB15),ISNUMBER(BB10)),BB15/BB10,"")</f>
        <v>0.50009596315015</v>
      </c>
      <c r="BC17" s="25" t="n">
        <f aca="false">IF(AND(ISNUMBER(BC15),ISNUMBER(BC10)),BC15/BC10,"")</f>
        <v>0.514299220042543</v>
      </c>
      <c r="BD17" s="25" t="n">
        <f aca="false">IF(AND(ISNUMBER(BD15),ISNUMBER(BD10)),BD15/BD10,"")</f>
        <v>0.403098420413123</v>
      </c>
      <c r="BE17" s="25" t="n">
        <f aca="false">IF(AND(ISNUMBER(BE15),ISNUMBER(BE10)),BE15/BE10,"")</f>
        <v>0.350776502363268</v>
      </c>
      <c r="BF17" s="25" t="n">
        <f aca="false">IF(AND(ISNUMBER(BF15),ISNUMBER(BF10)),BF15/BF10,"")</f>
        <v>0.341431385423506</v>
      </c>
      <c r="BG17" s="25" t="n">
        <f aca="false">IF(AND(ISNUMBER(BG15),ISNUMBER(BG10)),BG15/BG10,"")</f>
        <v>0.412503694945315</v>
      </c>
      <c r="BH17" s="25" t="n">
        <f aca="false">IF(AND(ISNUMBER(BH15),ISNUMBER(BH10)),BH15/BH10,"")</f>
        <v>0.320061255742726</v>
      </c>
      <c r="BI17" s="25" t="n">
        <f aca="false">IF(AND(ISNUMBER(BI15),ISNUMBER(BI10)),BI15/BI10,"")</f>
        <v>0.331709297604547</v>
      </c>
      <c r="BJ17" s="25" t="n">
        <f aca="false">IF(AND(ISNUMBER(BJ15),ISNUMBER(BJ10)),BJ15/BJ10,"")</f>
        <v>0.358405260994657</v>
      </c>
      <c r="BK17" s="25" t="n">
        <f aca="false">IF(AND(ISNUMBER(BK15),ISNUMBER(BK10)),BK15/BK10,"")</f>
        <v>0.362494937221547</v>
      </c>
      <c r="BL17" s="25" t="n">
        <f aca="false">IF(AND(ISNUMBER(BL15),ISNUMBER(BL10)),BL15/BL10,"")</f>
        <v>0.342788413350707</v>
      </c>
      <c r="BM17" s="25" t="n">
        <f aca="false">IF(AND(ISNUMBER(BM15),ISNUMBER(BM10)),BM15/BM10,"")</f>
        <v>0.367614879649891</v>
      </c>
      <c r="BN17" s="25" t="n">
        <f aca="false">IF(AND(ISNUMBER(BN15),ISNUMBER(BN10)),BN15/BN10,"")</f>
        <v>0.367303609341826</v>
      </c>
      <c r="BO17" s="25" t="n">
        <f aca="false">IF(AND(ISNUMBER(BO15),ISNUMBER(BO10)),BO15/BO10,"")</f>
        <v>0.354000837871806</v>
      </c>
      <c r="BP17" s="25" t="n">
        <f aca="false">IF(AND(ISNUMBER(BP15),ISNUMBER(BP10)),BP15/BP10,"")</f>
        <v>0.365591397849462</v>
      </c>
      <c r="BQ17" s="25" t="n">
        <f aca="false">IF(AND(ISNUMBER(BQ15),ISNUMBER(BQ10)),BQ15/BQ10,"")</f>
        <v>0.363721316581871</v>
      </c>
      <c r="BR17" s="25" t="n">
        <f aca="false">IF(AND(ISNUMBER(BR15),ISNUMBER(BR10)),BR15/BR10,"")</f>
        <v>0.356258009397693</v>
      </c>
      <c r="BS17" s="25" t="n">
        <f aca="false">IF(AND(ISNUMBER(BS15),ISNUMBER(BS10)),BS15/BS10,"")</f>
        <v>0.367747098839536</v>
      </c>
      <c r="BT17" s="25" t="n">
        <f aca="false">IF(AND(ISNUMBER(BT15),ISNUMBER(BT10)),BT15/BT10,"")</f>
        <v>0.37403400309119</v>
      </c>
      <c r="BU17" s="25" t="n">
        <f aca="false">IF(AND(ISNUMBER(BU15),ISNUMBER(BU10)),BU15/BU10,"")</f>
        <v>0.355057705363204</v>
      </c>
      <c r="BV17" s="25" t="n">
        <f aca="false">IF(AND(ISNUMBER(BV15),ISNUMBER(BV10)),BV15/BV10,"")</f>
        <v>0.363215731636784</v>
      </c>
      <c r="BW17" s="25" t="n">
        <f aca="false">IF(AND(ISNUMBER(BW15),ISNUMBER(BW10)),BW15/BW10,"")</f>
        <v>0.361911987860395</v>
      </c>
      <c r="BX17" s="25" t="n">
        <f aca="false">IF(AND(ISNUMBER(BX15),ISNUMBER(BX10)),BX15/BX10,"")</f>
        <v>0.369804618117229</v>
      </c>
      <c r="BY17" s="26" t="n">
        <f aca="false">BY16+BY122</f>
        <v>0.387889249558997</v>
      </c>
      <c r="BZ17" s="26" t="n">
        <f aca="false">BZ16+BZ122</f>
        <v>0.368912951831011</v>
      </c>
      <c r="CA17" s="26" t="n">
        <f aca="false">IFERROR(CA15/CA10,"")</f>
        <v>0.372181755754412</v>
      </c>
      <c r="CB17" s="26" t="n">
        <f aca="false">CHOOSE(MATCH($CF$2,{"Bull","Base","Bear"},0),$CO$50,$CP$50,$CQ$50)</f>
        <v>0.376</v>
      </c>
      <c r="CC17" s="26" t="n">
        <f aca="false">CHOOSE(MATCH($CF$2,{"Bull","Base","Bear"},0),$CO$51,$CP$51,$CQ$51)</f>
        <v>0.38</v>
      </c>
      <c r="CD17" s="26" t="n">
        <f aca="false">CHOOSE(MATCH($CF$2,{"Bull","Base","Bear"},0),$CO$52,$CP$52,$CQ$52)</f>
        <v>0.384</v>
      </c>
      <c r="CE17" s="26" t="n">
        <f aca="false">CHOOSE(MATCH($CF$2,{"Bull","Base","Bear"},0),$CO$53,$CP$53,$CQ$53)</f>
        <v>0.388</v>
      </c>
      <c r="CF17" s="21" t="s">
        <v>113</v>
      </c>
      <c r="CN17" s="13" t="s">
        <v>114</v>
      </c>
      <c r="CO17" s="27"/>
      <c r="CP17" s="27"/>
      <c r="CQ17" s="27"/>
    </row>
    <row r="18" customFormat="false" ht="15" hidden="false" customHeight="false" outlineLevel="1" collapsed="false">
      <c r="B18" s="23" t="s">
        <v>115</v>
      </c>
      <c r="C18" s="24"/>
      <c r="D18" s="25" t="str">
        <f aca="false">IF(AND(ISNUMBER(D15),ISNUMBER(C15)),IFERROR((D15-C15)/(D10-C10),""),"")</f>
        <v/>
      </c>
      <c r="E18" s="25" t="str">
        <f aca="false">IF(AND(ISNUMBER(E15),ISNUMBER(D15)),IFERROR((E15-D15)/(E10-D10),""),"")</f>
        <v/>
      </c>
      <c r="F18" s="25" t="str">
        <f aca="false">IF(AND(ISNUMBER(F15),ISNUMBER(E15)),IFERROR((F15-E15)/(F10-E10),""),"")</f>
        <v/>
      </c>
      <c r="G18" s="25" t="str">
        <f aca="false">IF(AND(ISNUMBER(G15),ISNUMBER(F15)),IFERROR((G15-F15)/(G10-F10),""),"")</f>
        <v/>
      </c>
      <c r="H18" s="25" t="str">
        <f aca="false">IF(AND(ISNUMBER(H15),ISNUMBER(G15)),IFERROR((H15-G15)/(H10-G10),""),"")</f>
        <v/>
      </c>
      <c r="I18" s="25" t="str">
        <f aca="false">IF(AND(ISNUMBER(I15),ISNUMBER(H15)),IFERROR((I15-H15)/(I10-H10),""),"")</f>
        <v/>
      </c>
      <c r="J18" s="24"/>
      <c r="K18" s="24"/>
      <c r="L18" s="24"/>
      <c r="M18" s="24"/>
      <c r="N18" s="25" t="str">
        <f aca="false">IF(AND(ISNUMBER(N15),ISNUMBER(I15)),IFERROR((N15-I15)/(N10-I10),""),"")</f>
        <v/>
      </c>
      <c r="O18" s="25" t="str">
        <f aca="false">IF(AND(ISNUMBER(O15),ISNUMBER(J15)),IFERROR((O15-J15)/(O10-J10),""),"")</f>
        <v/>
      </c>
      <c r="P18" s="25" t="str">
        <f aca="false">IF(AND(ISNUMBER(P15),ISNUMBER(K15)),IFERROR((P15-K15)/(P10-K10),""),"")</f>
        <v/>
      </c>
      <c r="Q18" s="25" t="str">
        <f aca="false">IF(AND(ISNUMBER(Q15),ISNUMBER(L15)),IFERROR((Q15-L15)/(Q10-L10),""),"")</f>
        <v/>
      </c>
      <c r="R18" s="25" t="str">
        <f aca="false">IF(AND(ISNUMBER(R15),ISNUMBER(M15)),IFERROR((R15-M15)/(R10-M10),""),"")</f>
        <v/>
      </c>
      <c r="S18" s="25" t="str">
        <f aca="false">IF(AND(ISNUMBER(S15),ISNUMBER(N15)),IFERROR((S15-N15)/(S10-N10),""),"")</f>
        <v/>
      </c>
      <c r="T18" s="25" t="n">
        <f aca="false">IF(AND(ISNUMBER(T15),ISNUMBER(O15)),IFERROR((T15-O15)/(T10-O10),""),"")</f>
        <v>0.293383947939263</v>
      </c>
      <c r="U18" s="25" t="n">
        <f aca="false">IF(AND(ISNUMBER(U15),ISNUMBER(P15)),IFERROR((U15-P15)/(U10-P10),""),"")</f>
        <v>0.931297709923662</v>
      </c>
      <c r="V18" s="25" t="n">
        <f aca="false">IF(AND(ISNUMBER(V15),ISNUMBER(Q15)),IFERROR((V15-Q15)/(V10-Q10),""),"")</f>
        <v>3.10588235294117</v>
      </c>
      <c r="W18" s="25" t="n">
        <f aca="false">IF(AND(ISNUMBER(W15),ISNUMBER(R15)),IFERROR((W15-R15)/(W10-R10),""),"")</f>
        <v>0.695121951219516</v>
      </c>
      <c r="X18" s="25" t="n">
        <f aca="false">IF(AND(ISNUMBER(X15),ISNUMBER(S15)),IFERROR((X15-S15)/(X10-S10),""),"")</f>
        <v>0.500615510874026</v>
      </c>
      <c r="Y18" s="25" t="n">
        <f aca="false">IF(AND(ISNUMBER(Y15),ISNUMBER(T15)),IFERROR((Y15-T15)/(Y10-T10),""),"")</f>
        <v>0.276746242263484</v>
      </c>
      <c r="Z18" s="25" t="n">
        <f aca="false">IF(AND(ISNUMBER(Z15),ISNUMBER(U15)),IFERROR((Z15-U15)/(Z10-U10),""),"")</f>
        <v>0.310856372218476</v>
      </c>
      <c r="AA18" s="25" t="n">
        <f aca="false">IF(AND(ISNUMBER(AA15),ISNUMBER(V15)),IFERROR((AA15-V15)/(AA10-V10),""),"")</f>
        <v>0.247518199867638</v>
      </c>
      <c r="AB18" s="25" t="n">
        <f aca="false">IF(AND(ISNUMBER(AB15),ISNUMBER(W15)),IFERROR((AB15-W15)/(AB10-W10),""),"")</f>
        <v>0.499207606973058</v>
      </c>
      <c r="AC18" s="25" t="n">
        <f aca="false">IF(AND(ISNUMBER(AC15),ISNUMBER(X15)),IFERROR((AC15-X15)/(AC10-X10),""),"")</f>
        <v>0.330053833302394</v>
      </c>
      <c r="AD18" s="25" t="n">
        <f aca="false">IF(AND(ISNUMBER(AD15),ISNUMBER(Y15)),IFERROR((AD15-Y15)/(AD10-Y10),""),"")</f>
        <v>0.450759219088937</v>
      </c>
      <c r="AE18" s="25" t="n">
        <f aca="false">IF(AND(ISNUMBER(AE15),ISNUMBER(Z15)),IFERROR((AE15-Z15)/(AE10-Z10),""),"")</f>
        <v>0.618110236220473</v>
      </c>
      <c r="AF18" s="25" t="n">
        <f aca="false">IF(AND(ISNUMBER(AF15),ISNUMBER(AA15)),IFERROR((AF15-AA15)/(AF10-AA10),""),"")</f>
        <v>0.550830564784053</v>
      </c>
      <c r="AG18" s="25" t="n">
        <f aca="false">IF(AND(ISNUMBER(AG15),ISNUMBER(AB15)),IFERROR((AG15-AB15)/(AG10-AB10),""),"")</f>
        <v>0.479338842975207</v>
      </c>
      <c r="AH18" s="25" t="n">
        <f aca="false">IF(AND(ISNUMBER(AH15),ISNUMBER(AC15)),IFERROR((AH15-AC15)/(AH10-AC10),""),"")</f>
        <v>0.508467795706094</v>
      </c>
      <c r="AI18" s="25" t="n">
        <f aca="false">IF(AND(ISNUMBER(AI15),ISNUMBER(AD15)),IFERROR((AI15-AD15)/(AI10-AD10),""),"")</f>
        <v>0.613284132841329</v>
      </c>
      <c r="AJ18" s="25" t="n">
        <f aca="false">IF(AND(ISNUMBER(AJ15),ISNUMBER(AE15)),IFERROR((AJ15-AE15)/(AJ10-AE10),""),"")</f>
        <v>0.449513381995133</v>
      </c>
      <c r="AK18" s="25" t="n">
        <f aca="false">IF(AND(ISNUMBER(AK15),ISNUMBER(AF15)),IFERROR((AK15-AF15)/(AK10-AF10),""),"")</f>
        <v>0.344262295081967</v>
      </c>
      <c r="AL18" s="25" t="n">
        <f aca="false">IF(AND(ISNUMBER(AL15),ISNUMBER(AG15)),IFERROR((AL15-AG15)/(AL10-AG10),""),"")</f>
        <v>0.529411764705882</v>
      </c>
      <c r="AM18" s="25" t="n">
        <f aca="false">IF(AND(ISNUMBER(AM15),ISNUMBER(AH15)),IFERROR((AM15-AH15)/(AM10-AH10),""),"")</f>
        <v>0.484288354898336</v>
      </c>
      <c r="AN18" s="25" t="n">
        <f aca="false">IF(AND(ISNUMBER(AN15),ISNUMBER(AI15)),IFERROR((AN15-AI15)/(AN10-AI10),""),"")</f>
        <v>0.407407407407407</v>
      </c>
      <c r="AO18" s="25" t="n">
        <f aca="false">IF(AND(ISNUMBER(AO15),ISNUMBER(AJ15)),IFERROR((AO15-AJ15)/(AO10-AJ10),""),"")</f>
        <v>0.617021276595745</v>
      </c>
      <c r="AP18" s="25" t="n">
        <f aca="false">IF(AND(ISNUMBER(AP15),ISNUMBER(AK15)),IFERROR((AP15-AK15)/(AP10-AK10),""),"")</f>
        <v>0.461928934010152</v>
      </c>
      <c r="AQ18" s="25" t="n">
        <f aca="false">IF(AND(ISNUMBER(AQ15),ISNUMBER(AL15)),IFERROR((AQ15-AL15)/(AQ10-AL10),""),"")</f>
        <v>0.468085106382979</v>
      </c>
      <c r="AR18" s="25" t="n">
        <f aca="false">IF(AND(ISNUMBER(AR15),ISNUMBER(AM15)),IFERROR((AR15-AM15)/(AR10-AM10),""),"")</f>
        <v>0.490630323679727</v>
      </c>
      <c r="AS18" s="25" t="n">
        <f aca="false">IF(AND(ISNUMBER(AS15),ISNUMBER(AN15)),IFERROR((AS15-AN15)/(AS10-AN10),""),"")</f>
        <v>0.682634730538922</v>
      </c>
      <c r="AT18" s="25" t="n">
        <f aca="false">IF(AND(ISNUMBER(AT15),ISNUMBER(AO15)),IFERROR((AT15-AO15)/(AT10-AO10),""),"")</f>
        <v>0.70067264573991</v>
      </c>
      <c r="AU18" s="25" t="n">
        <f aca="false">IF(AND(ISNUMBER(AU15),ISNUMBER(AP15)),IFERROR((AU15-AP15)/(AU10-AP10),""),"")</f>
        <v>0.750435287289611</v>
      </c>
      <c r="AV18" s="25" t="n">
        <f aca="false">IF(AND(ISNUMBER(AV15),ISNUMBER(AQ15)),IFERROR((AV15-AQ15)/(AV10-AQ10),""),"")</f>
        <v>0.644664031620553</v>
      </c>
      <c r="AW18" s="25" t="n">
        <f aca="false">IF(AND(ISNUMBER(AW15),ISNUMBER(AR15)),IFERROR((AW15-AR15)/(AW10-AR10),""),"")</f>
        <v>0.68957078313253</v>
      </c>
      <c r="AX18" s="25" t="n">
        <f aca="false">IF(AND(ISNUMBER(AX15),ISNUMBER(AS15)),IFERROR((AX15-AS15)/(AX10-AS10),""),"")</f>
        <v>0.660354055166735</v>
      </c>
      <c r="AY18" s="25" t="n">
        <f aca="false">IF(AND(ISNUMBER(AY15),ISNUMBER(AT15)),IFERROR((AY15-AT15)/(AY10-AT10),""),"")</f>
        <v>0.506806282722513</v>
      </c>
      <c r="AZ18" s="25" t="n">
        <f aca="false">IF(AND(ISNUMBER(AZ15),ISNUMBER(AU15)),IFERROR((AZ15-AU15)/(AZ10-AU10),""),"")</f>
        <v>-0.195286195286195</v>
      </c>
      <c r="BA18" s="25" t="n">
        <f aca="false">IF(AND(ISNUMBER(BA15),ISNUMBER(AV15)),IFERROR((BA15-AV15)/(BA10-AV10),""),"")</f>
        <v>1.47706422018349</v>
      </c>
      <c r="BB18" s="25" t="n">
        <f aca="false">IF(AND(ISNUMBER(BB15),ISNUMBER(AW15)),IFERROR((BB15-AW15)/(BB10-AW10),""),"")</f>
        <v>0.493213976321109</v>
      </c>
      <c r="BC18" s="25" t="n">
        <f aca="false">IF(AND(ISNUMBER(BC15),ISNUMBER(AX15)),IFERROR((BC15-AX15)/(BC10-AX10),""),"")</f>
        <v>-3.67857142857143</v>
      </c>
      <c r="BD18" s="25" t="n">
        <f aca="false">IF(AND(ISNUMBER(BD15),ISNUMBER(AY15)),IFERROR((BD15-AY15)/(BD10-AY10),""),"")</f>
        <v>1.47547169811321</v>
      </c>
      <c r="BE18" s="25" t="n">
        <f aca="false">IF(AND(ISNUMBER(BE15),ISNUMBER(AZ15)),IFERROR((BE15-AZ15)/(BE10-AZ10),""),"")</f>
        <v>1.03030303030303</v>
      </c>
      <c r="BF18" s="25" t="n">
        <f aca="false">IF(AND(ISNUMBER(BF15),ISNUMBER(BA15)),IFERROR((BF15-BA15)/(BF10-BA10),""),"")</f>
        <v>0.868659420289855</v>
      </c>
      <c r="BG18" s="25" t="n">
        <f aca="false">IF(AND(ISNUMBER(BG15),ISNUMBER(BB15)),IFERROR((BG15-BB15)/(BG10-BB10),""),"")</f>
        <v>1.06479275845641</v>
      </c>
      <c r="BH18" s="25" t="n">
        <f aca="false">IF(AND(ISNUMBER(BH15),ISNUMBER(BC15)),IFERROR((BH15-BC15)/(BH10-BC10),""),"")</f>
        <v>0.827671402100062</v>
      </c>
      <c r="BI18" s="25" t="n">
        <f aca="false">IF(AND(ISNUMBER(BI15),ISNUMBER(BD15)),IFERROR((BI15-BD15)/(BI10-BD10),""),"")</f>
        <v>0.615199034981906</v>
      </c>
      <c r="BJ18" s="25" t="n">
        <f aca="false">IF(AND(ISNUMBER(BJ15),ISNUMBER(BE15)),IFERROR((BJ15-BE15)/(BJ10-BE10),""),"")</f>
        <v>0.315689981096408</v>
      </c>
      <c r="BK18" s="25" t="n">
        <f aca="false">IF(AND(ISNUMBER(BK15),ISNUMBER(BF15)),IFERROR((BK15-BF15)/(BK10-BF10),""),"")</f>
        <v>0.251299826689775</v>
      </c>
      <c r="BL18" s="25" t="n">
        <f aca="false">IF(AND(ISNUMBER(BL15),ISNUMBER(BG15)),IFERROR((BL15-BG15)/(BL10-BG10),""),"")</f>
        <v>0.608157524613221</v>
      </c>
      <c r="BM18" s="25" t="n">
        <f aca="false">IF(AND(ISNUMBER(BM15),ISNUMBER(BH15)),IFERROR((BM15-BH15)/(BM10-BH10),""),"")</f>
        <v>-0.0122324159021407</v>
      </c>
      <c r="BN18" s="25" t="n">
        <f aca="false">IF(AND(ISNUMBER(BN15),ISNUMBER(BI15)),IFERROR((BN15-BI15)/(BN10-BI10),""),"")</f>
        <v>-0.444444444444444</v>
      </c>
      <c r="BO18" s="25" t="n">
        <f aca="false">IF(AND(ISNUMBER(BO15),ISNUMBER(BJ15)),IFERROR((BO15-BJ15)/(BO10-BJ10),""),"")</f>
        <v>0.586956521739131</v>
      </c>
      <c r="BP18" s="25" t="n">
        <f aca="false">IF(AND(ISNUMBER(BP15),ISNUMBER(BK15)),IFERROR((BP15-BK15)/(BP10-BK10),""),"")</f>
        <v>0.422222222222222</v>
      </c>
      <c r="BQ18" s="25" t="n">
        <f aca="false">IF(AND(ISNUMBER(BQ15),ISNUMBER(BL15)),IFERROR((BQ15-BL15)/(BQ10-BL10),""),"")</f>
        <v>-0.239884393063584</v>
      </c>
      <c r="BR18" s="25" t="n">
        <f aca="false">IF(AND(ISNUMBER(BR15),ISNUMBER(BM15)),IFERROR((BR15-BM15)/(BR10-BM10),""),"")</f>
        <v>-0.107142857142857</v>
      </c>
      <c r="BS18" s="25" t="n">
        <f aca="false">IF(AND(ISNUMBER(BS15),ISNUMBER(BN15)),IFERROR((BS15-BN15)/(BS10-BN10),""),"")</f>
        <v>0.375</v>
      </c>
      <c r="BT18" s="25" t="n">
        <f aca="false">IF(AND(ISNUMBER(BT15),ISNUMBER(BO15)),IFERROR((BT15-BO15)/(BT10-BO10),""),"")</f>
        <v>0.611940298507463</v>
      </c>
      <c r="BU18" s="25" t="n">
        <f aca="false">IF(AND(ISNUMBER(BU15),ISNUMBER(BP15)),IFERROR((BU15-BP15)/(BU10-BP10),""),"")</f>
        <v>0.274853801169591</v>
      </c>
      <c r="BV18" s="25" t="n">
        <f aca="false">IF(AND(ISNUMBER(BV15),ISNUMBER(BQ15)),IFERROR((BV15-BQ15)/(BV10-BQ10),""),"")</f>
        <v>0.356662180349933</v>
      </c>
      <c r="BW18" s="25" t="n">
        <f aca="false">IF(AND(ISNUMBER(BW15),ISNUMBER(BR15)),IFERROR((BW15-BR15)/(BW10-BR10),""),"")</f>
        <v>0.406779661016949</v>
      </c>
      <c r="BX18" s="25" t="n">
        <f aca="false">IF(AND(ISNUMBER(BX15),ISNUMBER(BS15)),IFERROR((BX15-BS15)/(BX10-BS10),""),"")</f>
        <v>0.386075949367089</v>
      </c>
      <c r="BY18" s="26" t="n">
        <f aca="false">IFERROR((BY15-BT15)/(BY10-BT10),"")</f>
        <v>0.583553876101563</v>
      </c>
      <c r="BZ18" s="26" t="n">
        <f aca="false">IFERROR((BZ15-BU15)/(BZ10-BU10),"")</f>
        <v>1.34357953497177</v>
      </c>
      <c r="CA18" s="26" t="n">
        <f aca="false">IFERROR((CA15-BV15)/(CA10-BV10),"")</f>
        <v>0.483423619909378</v>
      </c>
      <c r="CB18" s="26" t="n">
        <f aca="false">IFERROR((CB15-CA15)/(CB10-CA10),"")</f>
        <v>0.43963740409313</v>
      </c>
      <c r="CC18" s="26" t="n">
        <f aca="false">IFERROR((CC15-CB15)/(CC10-CB10),"")</f>
        <v>0.441538461538461</v>
      </c>
      <c r="CD18" s="26" t="n">
        <f aca="false">IFERROR((CD15-CC15)/(CD10-CC10),"")</f>
        <v>0.441142857142857</v>
      </c>
      <c r="CE18" s="26" t="n">
        <f aca="false">IFERROR((CE15-CD15)/(CE10-CD10),"")</f>
        <v>0.445142857142857</v>
      </c>
      <c r="CF18" s="21"/>
      <c r="CN18" s="23" t="s">
        <v>116</v>
      </c>
      <c r="CO18" s="32"/>
      <c r="CP18" s="32" t="n">
        <v>0.04</v>
      </c>
      <c r="CQ18" s="32"/>
      <c r="CR18" s="16" t="s">
        <v>117</v>
      </c>
    </row>
    <row r="19" customFormat="false" ht="15" hidden="false" customHeight="false" outlineLevel="1" collapsed="false">
      <c r="B19" s="23" t="s">
        <v>118</v>
      </c>
      <c r="C19" s="24"/>
      <c r="D19" s="25" t="str">
        <f aca="false">IF(AND(ISNUMBER(D15),ISNUMBER(C15)),IFERROR(D15/C15-1,""),"")</f>
        <v/>
      </c>
      <c r="E19" s="25" t="str">
        <f aca="false">IF(AND(ISNUMBER(E15),ISNUMBER(D15)),IFERROR(E15/D15-1,""),"")</f>
        <v/>
      </c>
      <c r="F19" s="25" t="str">
        <f aca="false">IF(AND(ISNUMBER(F15),ISNUMBER(E15)),IFERROR(F15/E15-1,""),"")</f>
        <v/>
      </c>
      <c r="G19" s="25" t="str">
        <f aca="false">IF(AND(ISNUMBER(G15),ISNUMBER(F15)),IFERROR(G15/F15-1,""),"")</f>
        <v/>
      </c>
      <c r="H19" s="25" t="str">
        <f aca="false">IF(AND(ISNUMBER(H15),ISNUMBER(G15)),IFERROR(H15/G15-1,""),"")</f>
        <v/>
      </c>
      <c r="I19" s="25" t="str">
        <f aca="false">IF(AND(ISNUMBER(I15),ISNUMBER(H15)),IFERROR(I15/H15-1,""),"")</f>
        <v/>
      </c>
      <c r="J19" s="24"/>
      <c r="K19" s="24"/>
      <c r="L19" s="24"/>
      <c r="M19" s="24"/>
      <c r="N19" s="25" t="str">
        <f aca="false">IF(AND(ISNUMBER(N15),ISNUMBER(I15)),IFERROR(N15/I15-1,""),"")</f>
        <v/>
      </c>
      <c r="O19" s="25" t="str">
        <f aca="false">IF(AND(ISNUMBER(O15),ISNUMBER(J15)),IFERROR(O15/J15-1,""),"")</f>
        <v/>
      </c>
      <c r="P19" s="25" t="str">
        <f aca="false">IF(AND(ISNUMBER(P15),ISNUMBER(K15)),IFERROR(P15/K15-1,""),"")</f>
        <v/>
      </c>
      <c r="Q19" s="25" t="str">
        <f aca="false">IF(AND(ISNUMBER(Q15),ISNUMBER(L15)),IFERROR(Q15/L15-1,""),"")</f>
        <v/>
      </c>
      <c r="R19" s="25" t="str">
        <f aca="false">IF(AND(ISNUMBER(R15),ISNUMBER(M15)),IFERROR(R15/M15-1,""),"")</f>
        <v/>
      </c>
      <c r="S19" s="25" t="str">
        <f aca="false">IF(AND(ISNUMBER(S15),ISNUMBER(N15)),IFERROR(S15/N15-1,""),"")</f>
        <v/>
      </c>
      <c r="T19" s="25" t="n">
        <f aca="false">IF(AND(ISNUMBER(T15),ISNUMBER(O15)),IFERROR(T15/O15-1,""),"")</f>
        <v>0.221177432542927</v>
      </c>
      <c r="U19" s="25" t="n">
        <f aca="false">IF(AND(ISNUMBER(U15),ISNUMBER(P15)),IFERROR(U15/P15-1,""),"")</f>
        <v>0.081578067535941</v>
      </c>
      <c r="V19" s="25" t="n">
        <f aca="false">IF(AND(ISNUMBER(V15),ISNUMBER(Q15)),IFERROR(V15/Q15-1,""),"")</f>
        <v>0.0861900097943191</v>
      </c>
      <c r="W19" s="25" t="n">
        <f aca="false">IF(AND(ISNUMBER(W15),ISNUMBER(R15)),IFERROR(W15/R15-1,""),"")</f>
        <v>0.0468621540147987</v>
      </c>
      <c r="X19" s="25" t="n">
        <f aca="false">IF(AND(ISNUMBER(X15),ISNUMBER(S15)),IFERROR(X15/S15-1,""),"")</f>
        <v>0.100419787636842</v>
      </c>
      <c r="Y19" s="25" t="n">
        <f aca="false">IF(AND(ISNUMBER(Y15),ISNUMBER(T15)),IFERROR(Y15/T15-1,""),"")</f>
        <v>0.104787412119183</v>
      </c>
      <c r="Z19" s="25" t="n">
        <f aca="false">IF(AND(ISNUMBER(Z15),ISNUMBER(U15)),IFERROR(Z15/U15-1,""),"")</f>
        <v>0.142503863987635</v>
      </c>
      <c r="AA19" s="25" t="n">
        <f aca="false">IF(AND(ISNUMBER(AA15),ISNUMBER(V15)),IFERROR(AA15/V15-1,""),"")</f>
        <v>0.112413585813045</v>
      </c>
      <c r="AB19" s="25" t="n">
        <f aca="false">IF(AND(ISNUMBER(AB15),ISNUMBER(W15)),IFERROR(AB15/W15-1,""),"")</f>
        <v>0.164921465968586</v>
      </c>
      <c r="AC19" s="25" t="n">
        <f aca="false">IF(AND(ISNUMBER(AC15),ISNUMBER(X15)),IFERROR(AC15/X15-1,""),"")</f>
        <v>0.132994240406912</v>
      </c>
      <c r="AD19" s="25" t="n">
        <f aca="false">IF(AND(ISNUMBER(AD15),ISNUMBER(Y15)),IFERROR(AD15/Y15-1,""),"")</f>
        <v>0.314848484848485</v>
      </c>
      <c r="AE19" s="25" t="n">
        <f aca="false">IF(AND(ISNUMBER(AE15),ISNUMBER(Z15)),IFERROR(AE15/Z15-1,""),"")</f>
        <v>0.212391774891775</v>
      </c>
      <c r="AF19" s="25" t="n">
        <f aca="false">IF(AND(ISNUMBER(AF15),ISNUMBER(AA15)),IFERROR(AF15/AA15-1,""),"")</f>
        <v>0.223993515266144</v>
      </c>
      <c r="AG19" s="25" t="n">
        <f aca="false">IF(AND(ISNUMBER(AG15),ISNUMBER(AB15)),IFERROR(AG15/AB15-1,""),"")</f>
        <v>0.260674157303371</v>
      </c>
      <c r="AH19" s="25" t="n">
        <f aca="false">IF(AND(ISNUMBER(AH15),ISNUMBER(AC15)),IFERROR(AH15/AC15-1,""),"")</f>
        <v>0.251733016438899</v>
      </c>
      <c r="AI19" s="25" t="n">
        <f aca="false">IF(AND(ISNUMBER(AI15),ISNUMBER(AD15)),IFERROR(AI15/AD15-1,""),"")</f>
        <v>0.191518783129754</v>
      </c>
      <c r="AJ19" s="25" t="n">
        <f aca="false">IF(AND(ISNUMBER(AJ15),ISNUMBER(AE15)),IFERROR(AJ15/AE15-1,""),"")</f>
        <v>0.164918544967641</v>
      </c>
      <c r="AK19" s="25" t="n">
        <f aca="false">IF(AND(ISNUMBER(AK15),ISNUMBER(AF15)),IFERROR(AK15/AF15-1,""),"")</f>
        <v>0.0927152317880795</v>
      </c>
      <c r="AL19" s="25" t="n">
        <f aca="false">IF(AND(ISNUMBER(AL15),ISNUMBER(AG15)),IFERROR(AL15/AG15-1,""),"")</f>
        <v>0.112299465240642</v>
      </c>
      <c r="AM19" s="25" t="n">
        <f aca="false">IF(AND(ISNUMBER(AM15),ISNUMBER(AH15)),IFERROR(AM15/AH15-1,""),"")</f>
        <v>0.138185654008439</v>
      </c>
      <c r="AN19" s="25" t="n">
        <f aca="false">IF(AND(ISNUMBER(AN15),ISNUMBER(AI15)),IFERROR(AN15/AI15-1,""),"")</f>
        <v>0.0851063829787233</v>
      </c>
      <c r="AO19" s="25" t="n">
        <f aca="false">IF(AND(ISNUMBER(AO15),ISNUMBER(AJ15)),IFERROR(AO15/AJ15-1,""),"")</f>
        <v>0.166666666666667</v>
      </c>
      <c r="AP19" s="25" t="n">
        <f aca="false">IF(AND(ISNUMBER(AP15),ISNUMBER(AK15)),IFERROR(AP15/AK15-1,""),"")</f>
        <v>0.183838383838384</v>
      </c>
      <c r="AQ19" s="25" t="n">
        <f aca="false">IF(AND(ISNUMBER(AQ15),ISNUMBER(AL15)),IFERROR(AQ15/AL15-1,""),"")</f>
        <v>0.105769230769231</v>
      </c>
      <c r="AR19" s="25" t="n">
        <f aca="false">IF(AND(ISNUMBER(AR15),ISNUMBER(AM15)),IFERROR(AR15/AM15-1,""),"")</f>
        <v>0.133456904541242</v>
      </c>
      <c r="AS19" s="25" t="n">
        <f aca="false">IF(AND(ISNUMBER(AS15),ISNUMBER(AN15)),IFERROR(AS15/AN15-1,""),"")</f>
        <v>0.203208556149733</v>
      </c>
      <c r="AT19" s="25" t="n">
        <f aca="false">IF(AND(ISNUMBER(AT15),ISNUMBER(AO15)),IFERROR(AT15/AO15-1,""),"")</f>
        <v>1.02627257799672</v>
      </c>
      <c r="AU19" s="25" t="n">
        <f aca="false">IF(AND(ISNUMBER(AU15),ISNUMBER(AP15)),IFERROR(AU15/AP15-1,""),"")</f>
        <v>2.20648464163823</v>
      </c>
      <c r="AV19" s="25" t="n">
        <f aca="false">IF(AND(ISNUMBER(AV15),ISNUMBER(AQ15)),IFERROR(AV15/AQ15-1,""),"")</f>
        <v>2.36376811594203</v>
      </c>
      <c r="AW19" s="25" t="n">
        <f aca="false">IF(AND(ISNUMBER(AW15),ISNUMBER(AR15)),IFERROR(AW15/AR15-1,""),"")</f>
        <v>1.49754701553557</v>
      </c>
      <c r="AX19" s="25" t="n">
        <f aca="false">IF(AND(ISNUMBER(AX15),ISNUMBER(AS15)),IFERROR(AX15/AS15-1,""),"")</f>
        <v>2.3762962962963</v>
      </c>
      <c r="AY19" s="25" t="n">
        <f aca="false">IF(AND(ISNUMBER(AY15),ISNUMBER(AT15)),IFERROR(AY15/AT15-1,""),"")</f>
        <v>0.392220421393841</v>
      </c>
      <c r="AZ19" s="25" t="n">
        <f aca="false">IF(AND(ISNUMBER(AZ15),ISNUMBER(AU15)),IFERROR(AZ15/AU15-1,""),"")</f>
        <v>-0.0308674827035658</v>
      </c>
      <c r="BA19" s="25" t="n">
        <f aca="false">IF(AND(ISNUMBER(BA15),ISNUMBER(AV15)),IFERROR(BA15/AV15-1,""),"")</f>
        <v>-0.138733304610082</v>
      </c>
      <c r="BB19" s="25" t="n">
        <f aca="false">IF(AND(ISNUMBER(BB15),ISNUMBER(AW15)),IFERROR(BB15/AW15-1,""),"")</f>
        <v>0.279587493861516</v>
      </c>
      <c r="BC19" s="25" t="n">
        <f aca="false">IF(AND(ISNUMBER(BC15),ISNUMBER(AX15)),IFERROR(BC15/AX15-1,""),"")</f>
        <v>-0.0451952610794208</v>
      </c>
      <c r="BD19" s="25" t="n">
        <f aca="false">IF(AND(ISNUMBER(BD15),ISNUMBER(AY15)),IFERROR(BD15/AY15-1,""),"")</f>
        <v>-0.227590221187427</v>
      </c>
      <c r="BE19" s="25" t="n">
        <f aca="false">IF(AND(ISNUMBER(BE15),ISNUMBER(AZ15)),IFERROR(BE15/AZ15-1,""),"")</f>
        <v>-0.42943437671609</v>
      </c>
      <c r="BF19" s="25" t="n">
        <f aca="false">IF(AND(ISNUMBER(BF15),ISNUMBER(BA15)),IFERROR(BF15/BA15-1,""),"")</f>
        <v>-0.479739869934968</v>
      </c>
      <c r="BG19" s="25" t="n">
        <f aca="false">IF(AND(ISNUMBER(BG15),ISNUMBER(BB15)),IFERROR(BG15/BB15-1,""),"")</f>
        <v>-0.285915312779839</v>
      </c>
      <c r="BH19" s="25" t="n">
        <f aca="false">IF(AND(ISNUMBER(BH15),ISNUMBER(BC15)),IFERROR(BH15/BC15-1,""),"")</f>
        <v>-0.615808823529412</v>
      </c>
      <c r="BI19" s="25" t="n">
        <f aca="false">IF(AND(ISNUMBER(BI15),ISNUMBER(BD15)),IFERROR(BI15/BD15-1,""),"")</f>
        <v>-0.384325546345139</v>
      </c>
      <c r="BJ19" s="25" t="n">
        <f aca="false">IF(AND(ISNUMBER(BJ15),ISNUMBER(BE15)),IFERROR(BJ15/BE15-1,""),"")</f>
        <v>-0.160731472569779</v>
      </c>
      <c r="BK19" s="25" t="n">
        <f aca="false">IF(AND(ISNUMBER(BK15),ISNUMBER(BF15)),IFERROR(BK15/BF15-1,""),"")</f>
        <v>-0.139423076923077</v>
      </c>
      <c r="BL19" s="25" t="n">
        <f aca="false">IF(AND(ISNUMBER(BL15),ISNUMBER(BG15)),IFERROR(BL15/BG15-1,""),"")</f>
        <v>-0.387316374059477</v>
      </c>
      <c r="BM19" s="25" t="n">
        <f aca="false">IF(AND(ISNUMBER(BM15),ISNUMBER(BH15)),IFERROR(BM15/BH15-1,""),"")</f>
        <v>0.00478468899521523</v>
      </c>
      <c r="BN19" s="25" t="n">
        <f aca="false">IF(AND(ISNUMBER(BN15),ISNUMBER(BI15)),IFERROR(BN15/BI15-1,""),"")</f>
        <v>0.0587515299877601</v>
      </c>
      <c r="BO19" s="25" t="n">
        <f aca="false">IF(AND(ISNUMBER(BO15),ISNUMBER(BJ15)),IFERROR(BO15/BJ15-1,""),"")</f>
        <v>-0.0309633027522935</v>
      </c>
      <c r="BP19" s="25" t="n">
        <f aca="false">IF(AND(ISNUMBER(BP15),ISNUMBER(BK15)),IFERROR(BP15/BK15-1,""),"")</f>
        <v>0.0636871508379888</v>
      </c>
      <c r="BQ19" s="25" t="n">
        <f aca="false">IF(AND(ISNUMBER(BQ15),ISNUMBER(BL15)),IFERROR(BQ15/BL15-1,""),"")</f>
        <v>0.0242690058479531</v>
      </c>
      <c r="BR19" s="25" t="n">
        <f aca="false">IF(AND(ISNUMBER(BR15),ISNUMBER(BM15)),IFERROR(BR15/BM15-1,""),"")</f>
        <v>-0.00714285714285712</v>
      </c>
      <c r="BS19" s="25" t="n">
        <f aca="false">IF(AND(ISNUMBER(BS15),ISNUMBER(BN15)),IFERROR(BS15/BN15-1,""),"")</f>
        <v>0.06242774566474</v>
      </c>
      <c r="BT19" s="25" t="n">
        <f aca="false">IF(AND(ISNUMBER(BT15),ISNUMBER(BO15)),IFERROR(BT15/BO15-1,""),"")</f>
        <v>0.145562130177515</v>
      </c>
      <c r="BU19" s="25" t="n">
        <f aca="false">IF(AND(ISNUMBER(BU15),ISNUMBER(BP15)),IFERROR(BU15/BP15-1,""),"")</f>
        <v>0.0987394957983194</v>
      </c>
      <c r="BV19" s="25" t="n">
        <f aca="false">IF(AND(ISNUMBER(BV15),ISNUMBER(BQ15)),IFERROR(BV15/BQ15-1,""),"")</f>
        <v>0.0756494433342849</v>
      </c>
      <c r="BW19" s="25" t="n">
        <f aca="false">IF(AND(ISNUMBER(BW15),ISNUMBER(BR15)),IFERROR(BW15/BR15-1,""),"")</f>
        <v>0.143884892086331</v>
      </c>
      <c r="BX19" s="25" t="n">
        <f aca="false">IF(AND(ISNUMBER(BX15),ISNUMBER(BS15)),IFERROR(BX15/BS15-1,""),"")</f>
        <v>0.132752992383025</v>
      </c>
      <c r="BY19" s="26" t="n">
        <f aca="false">IFERROR(BY15/BT15-1,"")</f>
        <v>0.110476984160891</v>
      </c>
      <c r="BZ19" s="26" t="n">
        <f aca="false">IFERROR(BZ15/BU15-1,"")</f>
        <v>0.0537926101147148</v>
      </c>
      <c r="CA19" s="26" t="n">
        <f aca="false">IFERROR(CA15/BV15-1,"")</f>
        <v>0.107274095235598</v>
      </c>
      <c r="CB19" s="26" t="n">
        <f aca="false">IFERROR(CB15/CA15-1,"")</f>
        <v>0.0708746300369267</v>
      </c>
      <c r="CC19" s="26" t="n">
        <f aca="false">IFERROR(CC15/CB15-1,"")</f>
        <v>0.0763297872340425</v>
      </c>
      <c r="CD19" s="26" t="n">
        <f aca="false">IFERROR(CD15/CC15-1,"")</f>
        <v>0.0812631578947367</v>
      </c>
      <c r="CE19" s="26" t="n">
        <f aca="false">IFERROR(CE15/CD15-1,"")</f>
        <v>0.0811458333333335</v>
      </c>
      <c r="CF19" s="21"/>
      <c r="CN19" s="23" t="s">
        <v>119</v>
      </c>
      <c r="CO19" s="30"/>
      <c r="CP19" s="30" t="n">
        <v>1600</v>
      </c>
      <c r="CQ19" s="30"/>
      <c r="CR19" s="16" t="s">
        <v>120</v>
      </c>
    </row>
    <row r="20" customFormat="false" ht="15" hidden="false" customHeight="false" outlineLevel="0" collapsed="false">
      <c r="CN20" s="23" t="s">
        <v>121</v>
      </c>
      <c r="CO20" s="30"/>
      <c r="CP20" s="30" t="n">
        <v>660</v>
      </c>
      <c r="CQ20" s="30"/>
      <c r="CR20" s="16" t="s">
        <v>122</v>
      </c>
    </row>
    <row r="21" customFormat="false" ht="15" hidden="false" customHeight="false" outlineLevel="0" collapsed="false">
      <c r="B21" s="12" t="s">
        <v>123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3" t="s">
        <v>124</v>
      </c>
      <c r="CN21" s="23" t="s">
        <v>125</v>
      </c>
      <c r="CO21" s="32"/>
      <c r="CP21" s="32" t="n">
        <v>0.115</v>
      </c>
      <c r="CQ21" s="32"/>
      <c r="CR21" s="16" t="s">
        <v>126</v>
      </c>
    </row>
    <row r="22" customFormat="false" ht="15" hidden="false" customHeight="false" outlineLevel="0" collapsed="false">
      <c r="B22" s="17" t="s">
        <v>85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 t="n">
        <v>769.9</v>
      </c>
      <c r="P22" s="19" t="n">
        <v>793.4</v>
      </c>
      <c r="Q22" s="19" t="n">
        <v>786.5</v>
      </c>
      <c r="R22" s="19" t="n">
        <v>902.4</v>
      </c>
      <c r="S22" s="19" t="n">
        <v>3252.2</v>
      </c>
      <c r="T22" s="19" t="n">
        <v>727.4</v>
      </c>
      <c r="U22" s="19" t="n">
        <v>777</v>
      </c>
      <c r="V22" s="19" t="n">
        <v>778.5</v>
      </c>
      <c r="W22" s="19" t="n">
        <v>925.3</v>
      </c>
      <c r="X22" s="19" t="n">
        <v>3208.2</v>
      </c>
      <c r="Y22" s="19" t="n">
        <v>759.3</v>
      </c>
      <c r="Z22" s="19" t="n">
        <v>793.9</v>
      </c>
      <c r="AA22" s="19" t="n">
        <v>898</v>
      </c>
      <c r="AB22" s="19" t="n">
        <v>1217</v>
      </c>
      <c r="AC22" s="19" t="n">
        <v>3668.2</v>
      </c>
      <c r="AD22" s="19" t="n">
        <v>1052</v>
      </c>
      <c r="AE22" s="19" t="n">
        <v>1165.8</v>
      </c>
      <c r="AF22" s="19" t="n">
        <v>1189.6</v>
      </c>
      <c r="AG22" s="19" t="n">
        <v>1414</v>
      </c>
      <c r="AH22" s="19" t="n">
        <v>4821</v>
      </c>
      <c r="AI22" s="19" t="n">
        <v>1257</v>
      </c>
      <c r="AJ22" s="19" t="n">
        <v>1311</v>
      </c>
      <c r="AK22" s="19" t="n">
        <v>1333</v>
      </c>
      <c r="AL22" s="19" t="n">
        <v>1568</v>
      </c>
      <c r="AM22" s="19" t="n">
        <v>5469</v>
      </c>
      <c r="AN22" s="19" t="n">
        <v>1322</v>
      </c>
      <c r="AO22" s="19" t="n">
        <v>1324</v>
      </c>
      <c r="AP22" s="19" t="n">
        <v>1358</v>
      </c>
      <c r="AQ22" s="19" t="n">
        <v>1518</v>
      </c>
      <c r="AR22" s="19" t="n">
        <v>5522</v>
      </c>
      <c r="AS22" s="19" t="n">
        <v>1101</v>
      </c>
      <c r="AT22" s="19" t="n">
        <v>1051</v>
      </c>
      <c r="AU22" s="19" t="n">
        <v>1336</v>
      </c>
      <c r="AV22" s="19" t="n">
        <v>1636</v>
      </c>
      <c r="AW22" s="19" t="n">
        <v>5124</v>
      </c>
      <c r="AX22" s="19" t="n">
        <v>1387</v>
      </c>
      <c r="AY22" s="19" t="n">
        <v>1481</v>
      </c>
      <c r="AZ22" s="19" t="n">
        <v>1476</v>
      </c>
      <c r="BA22" s="19" t="n">
        <v>1725</v>
      </c>
      <c r="BB22" s="19" t="n">
        <v>6069</v>
      </c>
      <c r="BC22" s="19" t="n">
        <v>1518</v>
      </c>
      <c r="BD22" s="19" t="n">
        <v>1607</v>
      </c>
      <c r="BE22" s="19" t="n">
        <v>1621</v>
      </c>
      <c r="BF22" s="19" t="n">
        <v>1878</v>
      </c>
      <c r="BG22" s="19" t="n">
        <v>6624</v>
      </c>
      <c r="BH22" s="19" t="n">
        <v>1723</v>
      </c>
      <c r="BI22" s="19" t="n">
        <v>1749</v>
      </c>
      <c r="BJ22" s="19" t="n">
        <v>1754</v>
      </c>
      <c r="BK22" s="19" t="n">
        <v>2037</v>
      </c>
      <c r="BL22" s="19" t="n">
        <v>7263</v>
      </c>
      <c r="BM22" s="19" t="n">
        <v>1687</v>
      </c>
      <c r="BN22" s="19" t="n">
        <v>1782</v>
      </c>
      <c r="BO22" s="19" t="n">
        <v>1808</v>
      </c>
      <c r="BP22" s="19" t="n">
        <v>2186</v>
      </c>
      <c r="BQ22" s="19" t="n">
        <v>7463</v>
      </c>
      <c r="BR22" s="19" t="n">
        <v>1718</v>
      </c>
      <c r="BS22" s="19" t="n">
        <v>1728</v>
      </c>
      <c r="BT22" s="19" t="n">
        <v>1893</v>
      </c>
      <c r="BU22" s="19" t="n">
        <v>2215</v>
      </c>
      <c r="BV22" s="19" t="n">
        <v>7554</v>
      </c>
      <c r="BW22" s="19" t="n">
        <v>1716</v>
      </c>
      <c r="BX22" s="19" t="n">
        <v>1847</v>
      </c>
      <c r="BY22" s="20" t="n">
        <f aca="false">BT22*(1+BY23)</f>
        <v>2000.36219611274</v>
      </c>
      <c r="BZ22" s="20" t="n">
        <f aca="false">BU22*(1+BZ23)</f>
        <v>2335.08704537227</v>
      </c>
      <c r="CA22" s="20" t="n">
        <f aca="false">SUM(BW22,BX22,BY22,BZ22)</f>
        <v>7898.44924148501</v>
      </c>
      <c r="CB22" s="20" t="n">
        <f aca="false">CA22*(1+CB23)</f>
        <v>8293.37170355926</v>
      </c>
      <c r="CC22" s="20" t="n">
        <f aca="false">CB22*(1+CC23)</f>
        <v>8749.50714725502</v>
      </c>
      <c r="CD22" s="20" t="n">
        <f aca="false">CC22*(1+CD23)</f>
        <v>9230.73004035405</v>
      </c>
      <c r="CE22" s="20" t="n">
        <f aca="false">CD22*(1+CE23)</f>
        <v>9738.42019257352</v>
      </c>
      <c r="CF22" s="21"/>
      <c r="CH22" s="22" t="n">
        <f aca="false">IFERROR((CE22/BV22)^(1/5)-1,"n/m")</f>
        <v>0.0521128037478247</v>
      </c>
      <c r="CI22" s="22" t="n">
        <f aca="false">IFERROR((BV22/AW22)^(1/5)-1,"n/m")</f>
        <v>0.0807209535973443</v>
      </c>
      <c r="CJ22" s="22" t="n">
        <f aca="false">IFERROR((BV22/X22)^(1/10)-1,"n/m")</f>
        <v>0.0894104945038698</v>
      </c>
      <c r="CK22" s="22" t="str">
        <f aca="false">IFERROR((BV22/C22)^(1/19)-1,"n/m")</f>
        <v>n/m</v>
      </c>
      <c r="CN22" s="23" t="s">
        <v>127</v>
      </c>
      <c r="CO22" s="30"/>
      <c r="CP22" s="30" t="n">
        <v>700</v>
      </c>
      <c r="CQ22" s="30"/>
      <c r="CR22" s="16" t="s">
        <v>128</v>
      </c>
    </row>
    <row r="23" customFormat="false" ht="15" hidden="false" customHeight="false" outlineLevel="0" collapsed="false">
      <c r="B23" s="23" t="s">
        <v>87</v>
      </c>
      <c r="C23" s="24"/>
      <c r="D23" s="25" t="str">
        <f aca="false">IF(AND(ISNUMBER(D22),ISNUMBER(C22)),IFERROR(D22/C22-1,""),"")</f>
        <v/>
      </c>
      <c r="E23" s="25" t="str">
        <f aca="false">IF(AND(ISNUMBER(E22),ISNUMBER(D22)),IFERROR(E22/D22-1,""),"")</f>
        <v/>
      </c>
      <c r="F23" s="25" t="str">
        <f aca="false">IF(AND(ISNUMBER(F22),ISNUMBER(E22)),IFERROR(F22/E22-1,""),"")</f>
        <v/>
      </c>
      <c r="G23" s="25" t="str">
        <f aca="false">IF(AND(ISNUMBER(G22),ISNUMBER(F22)),IFERROR(G22/F22-1,""),"")</f>
        <v/>
      </c>
      <c r="H23" s="25" t="str">
        <f aca="false">IF(AND(ISNUMBER(H22),ISNUMBER(G22)),IFERROR(H22/G22-1,""),"")</f>
        <v/>
      </c>
      <c r="I23" s="25" t="str">
        <f aca="false">IF(AND(ISNUMBER(I22),ISNUMBER(H22)),IFERROR(I22/H22-1,""),"")</f>
        <v/>
      </c>
      <c r="J23" s="24"/>
      <c r="K23" s="24"/>
      <c r="L23" s="24"/>
      <c r="M23" s="24"/>
      <c r="N23" s="25" t="str">
        <f aca="false">IF(AND(ISNUMBER(N22),ISNUMBER(I22)),IFERROR(N22/I22-1,""),"")</f>
        <v/>
      </c>
      <c r="O23" s="25" t="str">
        <f aca="false">IF(AND(ISNUMBER(O22),ISNUMBER(J22)),IFERROR(O22/J22-1,""),"")</f>
        <v/>
      </c>
      <c r="P23" s="25" t="str">
        <f aca="false">IF(AND(ISNUMBER(P22),ISNUMBER(K22)),IFERROR(P22/K22-1,""),"")</f>
        <v/>
      </c>
      <c r="Q23" s="25" t="str">
        <f aca="false">IF(AND(ISNUMBER(Q22),ISNUMBER(L22)),IFERROR(Q22/L22-1,""),"")</f>
        <v/>
      </c>
      <c r="R23" s="25" t="str">
        <f aca="false">IF(AND(ISNUMBER(R22),ISNUMBER(M22)),IFERROR(R22/M22-1,""),"")</f>
        <v/>
      </c>
      <c r="S23" s="25" t="str">
        <f aca="false">IF(AND(ISNUMBER(S22),ISNUMBER(N22)),IFERROR(S22/N22-1,""),"")</f>
        <v/>
      </c>
      <c r="T23" s="25" t="n">
        <f aca="false">IF(AND(ISNUMBER(T22),ISNUMBER(O22)),IFERROR(T22/O22-1,""),"")</f>
        <v>-0.0552019742823744</v>
      </c>
      <c r="U23" s="25" t="n">
        <f aca="false">IF(AND(ISNUMBER(U22),ISNUMBER(P22)),IFERROR(U22/P22-1,""),"")</f>
        <v>-0.0206705318880766</v>
      </c>
      <c r="V23" s="25" t="n">
        <f aca="false">IF(AND(ISNUMBER(V22),ISNUMBER(Q22)),IFERROR(V22/Q22-1,""),"")</f>
        <v>-0.0101716465352829</v>
      </c>
      <c r="W23" s="25" t="n">
        <f aca="false">IF(AND(ISNUMBER(W22),ISNUMBER(R22)),IFERROR(W22/R22-1,""),"")</f>
        <v>0.0253767730496455</v>
      </c>
      <c r="X23" s="25" t="n">
        <f aca="false">IF(AND(ISNUMBER(X22),ISNUMBER(S22)),IFERROR(X22/S22-1,""),"")</f>
        <v>-0.0135293032408831</v>
      </c>
      <c r="Y23" s="25" t="n">
        <f aca="false">IF(AND(ISNUMBER(Y22),ISNUMBER(T22)),IFERROR(Y22/T22-1,""),"")</f>
        <v>0.043854825405554</v>
      </c>
      <c r="Z23" s="25" t="n">
        <f aca="false">IF(AND(ISNUMBER(Z22),ISNUMBER(U22)),IFERROR(Z22/U22-1,""),"")</f>
        <v>0.0217503217503217</v>
      </c>
      <c r="AA23" s="25" t="n">
        <f aca="false">IF(AND(ISNUMBER(AA22),ISNUMBER(V22)),IFERROR(AA22/V22-1,""),"")</f>
        <v>0.153500321130379</v>
      </c>
      <c r="AB23" s="25" t="n">
        <f aca="false">IF(AND(ISNUMBER(AB22),ISNUMBER(W22)),IFERROR(AB22/W22-1,""),"")</f>
        <v>0.315249108397277</v>
      </c>
      <c r="AC23" s="25" t="n">
        <f aca="false">IF(AND(ISNUMBER(AC22),ISNUMBER(X22)),IFERROR(AC22/X22-1,""),"")</f>
        <v>0.143382582133283</v>
      </c>
      <c r="AD23" s="25" t="n">
        <f aca="false">IF(AND(ISNUMBER(AD22),ISNUMBER(Y22)),IFERROR(AD22/Y22-1,""),"")</f>
        <v>0.385486632424602</v>
      </c>
      <c r="AE23" s="25" t="n">
        <f aca="false">IF(AND(ISNUMBER(AE22),ISNUMBER(Z22)),IFERROR(AE22/Z22-1,""),"")</f>
        <v>0.468446907670991</v>
      </c>
      <c r="AF23" s="25" t="n">
        <f aca="false">IF(AND(ISNUMBER(AF22),ISNUMBER(AA22)),IFERROR(AF22/AA22-1,""),"")</f>
        <v>0.324721603563474</v>
      </c>
      <c r="AG23" s="25" t="n">
        <f aca="false">IF(AND(ISNUMBER(AG22),ISNUMBER(AB22)),IFERROR(AG22/AB22-1,""),"")</f>
        <v>0.161873459326212</v>
      </c>
      <c r="AH23" s="25" t="n">
        <f aca="false">IF(AND(ISNUMBER(AH22),ISNUMBER(AC22)),IFERROR(AH22/AC22-1,""),"")</f>
        <v>0.314268578594406</v>
      </c>
      <c r="AI23" s="25" t="n">
        <f aca="false">IF(AND(ISNUMBER(AI22),ISNUMBER(AD22)),IFERROR(AI22/AD22-1,""),"")</f>
        <v>0.194866920152091</v>
      </c>
      <c r="AJ23" s="25" t="n">
        <f aca="false">IF(AND(ISNUMBER(AJ22),ISNUMBER(AE22)),IFERROR(AJ22/AE22-1,""),"")</f>
        <v>0.124549665465775</v>
      </c>
      <c r="AK23" s="25" t="n">
        <f aca="false">IF(AND(ISNUMBER(AK22),ISNUMBER(AF22)),IFERROR(AK22/AF22-1,""),"")</f>
        <v>0.120544720914593</v>
      </c>
      <c r="AL23" s="25" t="n">
        <f aca="false">IF(AND(ISNUMBER(AL22),ISNUMBER(AG22)),IFERROR(AL22/AG22-1,""),"")</f>
        <v>0.108910891089109</v>
      </c>
      <c r="AM23" s="25" t="n">
        <f aca="false">IF(AND(ISNUMBER(AM22),ISNUMBER(AH22)),IFERROR(AM22/AH22-1,""),"")</f>
        <v>0.134411947728687</v>
      </c>
      <c r="AN23" s="25" t="n">
        <f aca="false">IF(AND(ISNUMBER(AN22),ISNUMBER(AI22)),IFERROR(AN22/AI22-1,""),"")</f>
        <v>0.0517104216388227</v>
      </c>
      <c r="AO23" s="25" t="n">
        <f aca="false">IF(AND(ISNUMBER(AO22),ISNUMBER(AJ22)),IFERROR(AO22/AJ22-1,""),"")</f>
        <v>0.00991609458428688</v>
      </c>
      <c r="AP23" s="25" t="n">
        <f aca="false">IF(AND(ISNUMBER(AP22),ISNUMBER(AK22)),IFERROR(AP22/AK22-1,""),"")</f>
        <v>0.0187546886721681</v>
      </c>
      <c r="AQ23" s="25" t="n">
        <f aca="false">IF(AND(ISNUMBER(AQ22),ISNUMBER(AL22)),IFERROR(AQ22/AL22-1,""),"")</f>
        <v>-0.0318877551020408</v>
      </c>
      <c r="AR23" s="25" t="n">
        <f aca="false">IF(AND(ISNUMBER(AR22),ISNUMBER(AM22)),IFERROR(AR22/AM22-1,""),"")</f>
        <v>0.00969098555494607</v>
      </c>
      <c r="AS23" s="25" t="n">
        <f aca="false">IF(AND(ISNUMBER(AS22),ISNUMBER(AN22)),IFERROR(AS22/AN22-1,""),"")</f>
        <v>-0.167170953101362</v>
      </c>
      <c r="AT23" s="25" t="n">
        <f aca="false">IF(AND(ISNUMBER(AT22),ISNUMBER(AO22)),IFERROR(AT22/AO22-1,""),"")</f>
        <v>-0.20619335347432</v>
      </c>
      <c r="AU23" s="25" t="n">
        <f aca="false">IF(AND(ISNUMBER(AU22),ISNUMBER(AP22)),IFERROR(AU22/AP22-1,""),"")</f>
        <v>-0.0162002945508101</v>
      </c>
      <c r="AV23" s="25" t="n">
        <f aca="false">IF(AND(ISNUMBER(AV22),ISNUMBER(AQ22)),IFERROR(AV22/AQ22-1,""),"")</f>
        <v>0.0777338603425559</v>
      </c>
      <c r="AW23" s="25" t="n">
        <f aca="false">IF(AND(ISNUMBER(AW22),ISNUMBER(AR22)),IFERROR(AW22/AR22-1,""),"")</f>
        <v>-0.0720753350235422</v>
      </c>
      <c r="AX23" s="25" t="n">
        <f aca="false">IF(AND(ISNUMBER(AX22),ISNUMBER(AS22)),IFERROR(AX22/AS22-1,""),"")</f>
        <v>0.259763851044505</v>
      </c>
      <c r="AY23" s="25" t="n">
        <f aca="false">IF(AND(ISNUMBER(AY22),ISNUMBER(AT22)),IFERROR(AY22/AT22-1,""),"")</f>
        <v>0.409134157944814</v>
      </c>
      <c r="AZ23" s="25" t="n">
        <f aca="false">IF(AND(ISNUMBER(AZ22),ISNUMBER(AU22)),IFERROR(AZ22/AU22-1,""),"")</f>
        <v>0.104790419161677</v>
      </c>
      <c r="BA23" s="25" t="n">
        <f aca="false">IF(AND(ISNUMBER(BA22),ISNUMBER(AV22)),IFERROR(BA22/AV22-1,""),"")</f>
        <v>0.05440097799511</v>
      </c>
      <c r="BB23" s="25" t="n">
        <f aca="false">IF(AND(ISNUMBER(BB22),ISNUMBER(AW22)),IFERROR(BB22/AW22-1,""),"")</f>
        <v>0.184426229508197</v>
      </c>
      <c r="BC23" s="25" t="n">
        <f aca="false">IF(AND(ISNUMBER(BC22),ISNUMBER(AX22)),IFERROR(BC22/AX22-1,""),"")</f>
        <v>0.094448449891853</v>
      </c>
      <c r="BD23" s="25" t="n">
        <f aca="false">IF(AND(ISNUMBER(BD22),ISNUMBER(AY22)),IFERROR(BD22/AY22-1,""),"")</f>
        <v>0.0850776502363269</v>
      </c>
      <c r="BE23" s="25" t="n">
        <f aca="false">IF(AND(ISNUMBER(BE22),ISNUMBER(AZ22)),IFERROR(BE22/AZ22-1,""),"")</f>
        <v>0.0982384823848239</v>
      </c>
      <c r="BF23" s="25" t="n">
        <f aca="false">IF(AND(ISNUMBER(BF22),ISNUMBER(BA22)),IFERROR(BF22/BA22-1,""),"")</f>
        <v>0.0886956521739131</v>
      </c>
      <c r="BG23" s="25" t="n">
        <f aca="false">IF(AND(ISNUMBER(BG22),ISNUMBER(BB22)),IFERROR(BG22/BB22-1,""),"")</f>
        <v>0.0914483440434997</v>
      </c>
      <c r="BH23" s="25" t="n">
        <f aca="false">IF(AND(ISNUMBER(BH22),ISNUMBER(BC22)),IFERROR(BH22/BC22-1,""),"")</f>
        <v>0.135046113306983</v>
      </c>
      <c r="BI23" s="25" t="n">
        <f aca="false">IF(AND(ISNUMBER(BI22),ISNUMBER(BD22)),IFERROR(BI22/BD22-1,""),"")</f>
        <v>0.0883634100808961</v>
      </c>
      <c r="BJ23" s="25" t="n">
        <f aca="false">IF(AND(ISNUMBER(BJ22),ISNUMBER(BE22)),IFERROR(BJ22/BE22-1,""),"")</f>
        <v>0.0820481184454041</v>
      </c>
      <c r="BK23" s="25" t="n">
        <f aca="false">IF(AND(ISNUMBER(BK22),ISNUMBER(BF22)),IFERROR(BK22/BF22-1,""),"")</f>
        <v>0.084664536741214</v>
      </c>
      <c r="BL23" s="25" t="n">
        <f aca="false">IF(AND(ISNUMBER(BL22),ISNUMBER(BG22)),IFERROR(BL22/BG22-1,""),"")</f>
        <v>0.0964673913043479</v>
      </c>
      <c r="BM23" s="25" t="n">
        <f aca="false">IF(AND(ISNUMBER(BM22),ISNUMBER(BH22)),IFERROR(BM22/BH22-1,""),"")</f>
        <v>-0.0208937899013348</v>
      </c>
      <c r="BN23" s="25" t="n">
        <f aca="false">IF(AND(ISNUMBER(BN22),ISNUMBER(BI22)),IFERROR(BN22/BI22-1,""),"")</f>
        <v>0.0188679245283019</v>
      </c>
      <c r="BO23" s="25" t="n">
        <f aca="false">IF(AND(ISNUMBER(BO22),ISNUMBER(BJ22)),IFERROR(BO22/BJ22-1,""),"")</f>
        <v>0.0307867730900797</v>
      </c>
      <c r="BP23" s="25" t="n">
        <f aca="false">IF(AND(ISNUMBER(BP22),ISNUMBER(BK22)),IFERROR(BP22/BK22-1,""),"")</f>
        <v>0.0731467844869906</v>
      </c>
      <c r="BQ23" s="25" t="n">
        <f aca="false">IF(AND(ISNUMBER(BQ22),ISNUMBER(BL22)),IFERROR(BQ22/BL22-1,""),"")</f>
        <v>0.0275368305108081</v>
      </c>
      <c r="BR23" s="25" t="n">
        <f aca="false">IF(AND(ISNUMBER(BR22),ISNUMBER(BM22)),IFERROR(BR22/BM22-1,""),"")</f>
        <v>0.0183758150563129</v>
      </c>
      <c r="BS23" s="25" t="n">
        <f aca="false">IF(AND(ISNUMBER(BS22),ISNUMBER(BN22)),IFERROR(BS22/BN22-1,""),"")</f>
        <v>-0.0303030303030303</v>
      </c>
      <c r="BT23" s="25" t="n">
        <f aca="false">IF(AND(ISNUMBER(BT22),ISNUMBER(BO22)),IFERROR(BT22/BO22-1,""),"")</f>
        <v>0.0470132743362832</v>
      </c>
      <c r="BU23" s="25" t="n">
        <f aca="false">IF(AND(ISNUMBER(BU22),ISNUMBER(BP22)),IFERROR(BU22/BP22-1,""),"")</f>
        <v>0.0132662397072278</v>
      </c>
      <c r="BV23" s="25" t="n">
        <f aca="false">IF(AND(ISNUMBER(BV22),ISNUMBER(BQ22)),IFERROR(BV22/BQ22-1,""),"")</f>
        <v>0.0121934878735093</v>
      </c>
      <c r="BW23" s="25" t="n">
        <f aca="false">IF(AND(ISNUMBER(BW22),ISNUMBER(BR22)),IFERROR(BW22/BR22-1,""),"")</f>
        <v>-0.00116414435389989</v>
      </c>
      <c r="BX23" s="25" t="n">
        <f aca="false">IF(AND(ISNUMBER(BX22),ISNUMBER(BS22)),IFERROR(BX22/BS22-1,""),"")</f>
        <v>0.0688657407407407</v>
      </c>
      <c r="BY23" s="26" t="n">
        <f aca="false">BY24+BY25+BY26</f>
        <v>0.0567153703712296</v>
      </c>
      <c r="BZ23" s="26" t="n">
        <f aca="false">BZ24+BZ25+BZ26</f>
        <v>0.0542153703712296</v>
      </c>
      <c r="CA23" s="26" t="n">
        <f aca="false">IFERROR(CA22/BV22-1,"")</f>
        <v>0.0455982580732077</v>
      </c>
      <c r="CB23" s="26" t="n">
        <f aca="false">CB24+CB25+CB26</f>
        <v>0.05</v>
      </c>
      <c r="CC23" s="26" t="n">
        <f aca="false">CC24+CC25+CC26</f>
        <v>0.055</v>
      </c>
      <c r="CD23" s="26" t="n">
        <f aca="false">CD24+CD25+CD26</f>
        <v>0.055</v>
      </c>
      <c r="CE23" s="26" t="n">
        <f aca="false">CE24+CE25+CE26</f>
        <v>0.055</v>
      </c>
      <c r="CF23" s="21"/>
      <c r="CN23" s="23" t="s">
        <v>129</v>
      </c>
      <c r="CO23" s="30"/>
      <c r="CP23" s="30" t="n">
        <v>4000</v>
      </c>
      <c r="CQ23" s="30"/>
      <c r="CR23" s="16" t="s">
        <v>130</v>
      </c>
    </row>
    <row r="24" customFormat="false" ht="15" hidden="false" customHeight="false" outlineLevel="0" collapsed="false">
      <c r="B24" s="23" t="s">
        <v>93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8" t="n">
        <v>0.17</v>
      </c>
      <c r="BC24" s="28" t="n">
        <v>0.12</v>
      </c>
      <c r="BD24" s="28" t="n">
        <v>0.13</v>
      </c>
      <c r="BE24" s="28" t="n">
        <v>0.16</v>
      </c>
      <c r="BF24" s="24"/>
      <c r="BG24" s="28" t="n">
        <v>0.14</v>
      </c>
      <c r="BH24" s="28" t="n">
        <v>0.17</v>
      </c>
      <c r="BI24" s="28" t="n">
        <v>0.1</v>
      </c>
      <c r="BJ24" s="28" t="n">
        <v>0.08</v>
      </c>
      <c r="BK24" s="24"/>
      <c r="BL24" s="28" t="n">
        <v>0.1</v>
      </c>
      <c r="BM24" s="28" t="n">
        <v>-0.01</v>
      </c>
      <c r="BN24" s="28" t="n">
        <v>0.03</v>
      </c>
      <c r="BO24" s="28" t="n">
        <v>0.03</v>
      </c>
      <c r="BP24" s="24"/>
      <c r="BQ24" s="28" t="n">
        <v>0.03</v>
      </c>
      <c r="BR24" s="28" t="n">
        <v>0.03</v>
      </c>
      <c r="BS24" s="28" t="n">
        <v>-0.04</v>
      </c>
      <c r="BT24" s="28" t="n">
        <v>0.04</v>
      </c>
      <c r="BU24" s="24"/>
      <c r="BV24" s="28" t="n">
        <v>0</v>
      </c>
      <c r="BW24" s="28" t="n">
        <v>-0.02</v>
      </c>
      <c r="BX24" s="28" t="n">
        <v>0.07</v>
      </c>
      <c r="BY24" s="26" t="n">
        <f aca="false">$BX24+BY117</f>
        <v>0.0617153703712296</v>
      </c>
      <c r="BZ24" s="26" t="n">
        <f aca="false">$BX24+BZ117</f>
        <v>0.0617153703712296</v>
      </c>
      <c r="CA24" s="29"/>
      <c r="CB24" s="26" t="n">
        <f aca="false">CHOOSE(MATCH($CF$2,{"Bull","Base","Bear"},0),$CO$35,$CP$35,$CQ$35)</f>
        <v>0.05</v>
      </c>
      <c r="CC24" s="26" t="n">
        <f aca="false">CHOOSE(MATCH($CF$2,{"Bull","Base","Bear"},0),$CO$36,$CP$36,$CQ$36)</f>
        <v>0.055</v>
      </c>
      <c r="CD24" s="26" t="n">
        <f aca="false">CHOOSE(MATCH($CF$2,{"Bull","Base","Bear"},0),$CO$37,$CP$37,$CQ$37)</f>
        <v>0.055</v>
      </c>
      <c r="CE24" s="26" t="n">
        <f aca="false">CHOOSE(MATCH($CF$2,{"Bull","Base","Bear"},0),$CO$38,$CP$38,$CQ$38)</f>
        <v>0.055</v>
      </c>
      <c r="CF24" s="21" t="s">
        <v>131</v>
      </c>
      <c r="CN24" s="23" t="s">
        <v>132</v>
      </c>
      <c r="CO24" s="30" t="n">
        <v>1000</v>
      </c>
      <c r="CP24" s="30" t="n">
        <v>0</v>
      </c>
      <c r="CQ24" s="30" t="n">
        <v>0</v>
      </c>
      <c r="CR24" s="16" t="s">
        <v>133</v>
      </c>
    </row>
    <row r="25" customFormat="false" ht="15" hidden="false" customHeight="false" outlineLevel="0" collapsed="false">
      <c r="B25" s="23" t="s">
        <v>97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8" t="n">
        <v>0</v>
      </c>
      <c r="BC25" s="28" t="n">
        <v>0</v>
      </c>
      <c r="BD25" s="28" t="n">
        <v>0</v>
      </c>
      <c r="BE25" s="28" t="n">
        <v>0</v>
      </c>
      <c r="BF25" s="24"/>
      <c r="BG25" s="28" t="n">
        <v>0</v>
      </c>
      <c r="BH25" s="28" t="n">
        <v>0</v>
      </c>
      <c r="BI25" s="28" t="n">
        <v>0</v>
      </c>
      <c r="BJ25" s="28" t="n">
        <v>0</v>
      </c>
      <c r="BK25" s="24"/>
      <c r="BL25" s="28" t="n">
        <v>0</v>
      </c>
      <c r="BM25" s="28" t="n">
        <v>0</v>
      </c>
      <c r="BN25" s="28" t="n">
        <v>0</v>
      </c>
      <c r="BO25" s="28" t="n">
        <v>0</v>
      </c>
      <c r="BP25" s="24"/>
      <c r="BQ25" s="28" t="n">
        <v>0</v>
      </c>
      <c r="BR25" s="28" t="n">
        <v>0</v>
      </c>
      <c r="BS25" s="28" t="n">
        <v>0</v>
      </c>
      <c r="BT25" s="28" t="n">
        <v>0</v>
      </c>
      <c r="BU25" s="24"/>
      <c r="BV25" s="28" t="n">
        <v>0</v>
      </c>
      <c r="BW25" s="28" t="n">
        <v>0</v>
      </c>
      <c r="BX25" s="28" t="n">
        <v>0</v>
      </c>
      <c r="BY25" s="31" t="n">
        <v>0</v>
      </c>
      <c r="BZ25" s="31" t="n">
        <v>0</v>
      </c>
      <c r="CA25" s="29"/>
      <c r="CB25" s="31" t="n">
        <v>0</v>
      </c>
      <c r="CC25" s="31" t="n">
        <v>0</v>
      </c>
      <c r="CD25" s="31" t="n">
        <v>0</v>
      </c>
      <c r="CE25" s="31" t="n">
        <v>0</v>
      </c>
      <c r="CF25" s="21" t="s">
        <v>134</v>
      </c>
    </row>
    <row r="26" customFormat="false" ht="15" hidden="false" customHeight="false" outlineLevel="0" collapsed="false">
      <c r="B26" s="23" t="s">
        <v>101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8" t="n">
        <v>0.02</v>
      </c>
      <c r="BC26" s="28" t="n">
        <v>-0.02</v>
      </c>
      <c r="BD26" s="28" t="n">
        <v>-0.04</v>
      </c>
      <c r="BE26" s="28" t="n">
        <v>-0.06</v>
      </c>
      <c r="BF26" s="24"/>
      <c r="BG26" s="28" t="n">
        <v>-0.05</v>
      </c>
      <c r="BH26" s="28" t="n">
        <v>-0.03</v>
      </c>
      <c r="BI26" s="28" t="n">
        <v>-0.01</v>
      </c>
      <c r="BJ26" s="28" t="n">
        <v>0.01</v>
      </c>
      <c r="BK26" s="24"/>
      <c r="BL26" s="28" t="n">
        <v>-0.01</v>
      </c>
      <c r="BM26" s="28" t="n">
        <v>-0.01</v>
      </c>
      <c r="BN26" s="28" t="n">
        <v>-0.01</v>
      </c>
      <c r="BO26" s="28" t="n">
        <v>0</v>
      </c>
      <c r="BP26" s="24"/>
      <c r="BQ26" s="28" t="n">
        <v>-0.01</v>
      </c>
      <c r="BR26" s="28" t="n">
        <v>-0.01</v>
      </c>
      <c r="BS26" s="28" t="n">
        <v>0.01</v>
      </c>
      <c r="BT26" s="28" t="n">
        <v>0.01</v>
      </c>
      <c r="BU26" s="24"/>
      <c r="BV26" s="28" t="n">
        <v>0.01</v>
      </c>
      <c r="BW26" s="28" t="n">
        <v>0.02</v>
      </c>
      <c r="BX26" s="28" t="n">
        <v>0</v>
      </c>
      <c r="BY26" s="26" t="n">
        <f aca="false">BY113</f>
        <v>-0.005</v>
      </c>
      <c r="BZ26" s="26" t="n">
        <f aca="false">BZ113</f>
        <v>-0.0075</v>
      </c>
      <c r="CA26" s="29"/>
      <c r="CB26" s="26" t="n">
        <f aca="false">CB113</f>
        <v>0</v>
      </c>
      <c r="CC26" s="26" t="n">
        <f aca="false">CC113</f>
        <v>0</v>
      </c>
      <c r="CD26" s="26" t="n">
        <f aca="false">CD113</f>
        <v>0</v>
      </c>
      <c r="CE26" s="26" t="n">
        <f aca="false">CE113</f>
        <v>0</v>
      </c>
      <c r="CF26" s="21"/>
      <c r="CN26" s="13" t="s">
        <v>135</v>
      </c>
      <c r="CO26" s="27"/>
      <c r="CP26" s="27"/>
      <c r="CQ26" s="27"/>
    </row>
    <row r="27" customFormat="false" ht="15" hidden="false" customHeight="false" outlineLevel="0" collapsed="false">
      <c r="B27" s="17" t="s">
        <v>105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 t="n">
        <v>130.9</v>
      </c>
      <c r="P27" s="19" t="n">
        <v>130.4</v>
      </c>
      <c r="Q27" s="19" t="n">
        <v>137.8</v>
      </c>
      <c r="R27" s="19" t="n">
        <v>182</v>
      </c>
      <c r="S27" s="19" t="n">
        <v>581.1</v>
      </c>
      <c r="T27" s="19" t="n">
        <v>121.7</v>
      </c>
      <c r="U27" s="19" t="n">
        <v>139.6</v>
      </c>
      <c r="V27" s="19" t="n">
        <v>146.5</v>
      </c>
      <c r="W27" s="19" t="n">
        <v>205</v>
      </c>
      <c r="X27" s="19" t="n">
        <v>612.8</v>
      </c>
      <c r="Y27" s="19" t="n">
        <v>111.7</v>
      </c>
      <c r="Z27" s="19" t="n">
        <v>144.9</v>
      </c>
      <c r="AA27" s="19" t="n">
        <v>190.1</v>
      </c>
      <c r="AB27" s="19" t="n">
        <v>298.5</v>
      </c>
      <c r="AC27" s="19" t="n">
        <v>745.2</v>
      </c>
      <c r="AD27" s="19" t="n">
        <v>191.8</v>
      </c>
      <c r="AE27" s="19" t="n">
        <v>232.6</v>
      </c>
      <c r="AF27" s="19" t="n">
        <v>256.6</v>
      </c>
      <c r="AG27" s="19" t="n">
        <v>346</v>
      </c>
      <c r="AH27" s="19" t="n">
        <v>1027</v>
      </c>
      <c r="AI27" s="19" t="n">
        <v>246</v>
      </c>
      <c r="AJ27" s="19" t="n">
        <v>291</v>
      </c>
      <c r="AK27" s="19" t="n">
        <v>294</v>
      </c>
      <c r="AL27" s="19" t="n">
        <v>416</v>
      </c>
      <c r="AM27" s="19" t="n">
        <v>1247</v>
      </c>
      <c r="AN27" s="19" t="n">
        <v>282</v>
      </c>
      <c r="AO27" s="19" t="n">
        <v>286</v>
      </c>
      <c r="AP27" s="19" t="n">
        <v>311</v>
      </c>
      <c r="AQ27" s="19" t="n">
        <v>394</v>
      </c>
      <c r="AR27" s="19" t="n">
        <v>1273</v>
      </c>
      <c r="AS27" s="19" t="n">
        <v>171</v>
      </c>
      <c r="AT27" s="19" t="n">
        <v>135</v>
      </c>
      <c r="AU27" s="19" t="n">
        <v>171</v>
      </c>
      <c r="AV27" s="19" t="n">
        <v>331</v>
      </c>
      <c r="AW27" s="19" t="n">
        <v>808</v>
      </c>
      <c r="AX27" s="19" t="n">
        <v>272</v>
      </c>
      <c r="AY27" s="19" t="n">
        <v>280</v>
      </c>
      <c r="AZ27" s="19" t="n">
        <v>264</v>
      </c>
      <c r="BA27" s="19" t="n">
        <v>381</v>
      </c>
      <c r="BB27" s="19" t="n">
        <v>1197</v>
      </c>
      <c r="BC27" s="19" t="n">
        <v>301</v>
      </c>
      <c r="BD27" s="19" t="n">
        <v>344</v>
      </c>
      <c r="BE27" s="19" t="n">
        <v>386</v>
      </c>
      <c r="BF27" s="19" t="n">
        <v>476</v>
      </c>
      <c r="BG27" s="19" t="n">
        <v>1507</v>
      </c>
      <c r="BH27" s="19" t="n">
        <v>421</v>
      </c>
      <c r="BI27" s="19" t="n">
        <v>432</v>
      </c>
      <c r="BJ27" s="19" t="n">
        <v>468</v>
      </c>
      <c r="BK27" s="19" t="n">
        <v>587</v>
      </c>
      <c r="BL27" s="19" t="n">
        <v>1908</v>
      </c>
      <c r="BM27" s="19" t="n">
        <v>400</v>
      </c>
      <c r="BN27" s="19" t="n">
        <v>439</v>
      </c>
      <c r="BO27" s="19" t="n">
        <v>451</v>
      </c>
      <c r="BP27" s="19" t="n">
        <v>666</v>
      </c>
      <c r="BQ27" s="19" t="n">
        <v>1955</v>
      </c>
      <c r="BR27" s="19" t="n">
        <v>399</v>
      </c>
      <c r="BS27" s="19" t="n">
        <v>325</v>
      </c>
      <c r="BT27" s="19" t="n">
        <v>429</v>
      </c>
      <c r="BU27" s="19" t="n">
        <v>583</v>
      </c>
      <c r="BV27" s="19" t="n">
        <v>1736</v>
      </c>
      <c r="BW27" s="19" t="n">
        <v>355</v>
      </c>
      <c r="BX27" s="19" t="n">
        <v>424</v>
      </c>
      <c r="BY27" s="20" t="n">
        <f aca="false">BY22*BY29</f>
        <v>490.527134393494</v>
      </c>
      <c r="BZ27" s="20" t="n">
        <f aca="false">BZ22*BZ29</f>
        <v>658.027927251475</v>
      </c>
      <c r="CA27" s="20" t="n">
        <f aca="false">SUM(BW27,BX27,BY27,BZ27)</f>
        <v>1927.55506164497</v>
      </c>
      <c r="CB27" s="20" t="n">
        <f aca="false">CB22*CB29</f>
        <v>2073.34292588982</v>
      </c>
      <c r="CC27" s="20" t="n">
        <f aca="false">CC22*CC29</f>
        <v>2231.12432255003</v>
      </c>
      <c r="CD27" s="20" t="n">
        <f aca="false">CD22*CD29</f>
        <v>2399.98981049205</v>
      </c>
      <c r="CE27" s="20" t="n">
        <f aca="false">CE22*CE29</f>
        <v>2580.68135103198</v>
      </c>
      <c r="CF27" s="21"/>
      <c r="CH27" s="22" t="n">
        <f aca="false">IFERROR((CE27/BV27)^(1/5)-1,"n/m")</f>
        <v>0.0825225017077123</v>
      </c>
      <c r="CI27" s="22" t="n">
        <f aca="false">IFERROR((BV27/AW27)^(1/5)-1,"n/m")</f>
        <v>0.165272968549667</v>
      </c>
      <c r="CJ27" s="22" t="n">
        <f aca="false">IFERROR((BV27/X27)^(1/10)-1,"n/m")</f>
        <v>0.109744743068311</v>
      </c>
      <c r="CK27" s="22" t="str">
        <f aca="false">IFERROR((BV27/C27)^(1/19)-1,"n/m")</f>
        <v>n/m</v>
      </c>
      <c r="CN27" s="23" t="s">
        <v>136</v>
      </c>
      <c r="CO27" s="34" t="n">
        <v>2.75</v>
      </c>
      <c r="CP27" s="34" t="n">
        <v>2.5</v>
      </c>
      <c r="CQ27" s="34" t="n">
        <v>2.25</v>
      </c>
      <c r="CR27" s="16" t="s">
        <v>137</v>
      </c>
    </row>
    <row r="28" customFormat="false" ht="15" hidden="false" customHeight="false" outlineLevel="1" collapsed="false">
      <c r="B28" s="23" t="s">
        <v>108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6" t="n">
        <f aca="false">BT29+(BW27+BX27)/(BW22+BX22)-(BR27+BS27)/(BR22+BS22)</f>
        <v>0.235161721501211</v>
      </c>
      <c r="BZ28" s="26" t="n">
        <f aca="false">BU29+(BW27+BX27)/(BW22+BX22)-(BR27+BS27)/(BR22+BS22)</f>
        <v>0.271742733403204</v>
      </c>
      <c r="CA28" s="29"/>
      <c r="CB28" s="29"/>
      <c r="CC28" s="29"/>
      <c r="CD28" s="29"/>
      <c r="CE28" s="29"/>
      <c r="CF28" s="21" t="s">
        <v>109</v>
      </c>
    </row>
    <row r="29" customFormat="false" ht="15" hidden="false" customHeight="false" outlineLevel="0" collapsed="false">
      <c r="B29" s="23" t="s">
        <v>112</v>
      </c>
      <c r="C29" s="25" t="str">
        <f aca="false">IF(AND(ISNUMBER(C27),ISNUMBER(C22)),C27/C22,"")</f>
        <v/>
      </c>
      <c r="D29" s="25" t="str">
        <f aca="false">IF(AND(ISNUMBER(D27),ISNUMBER(D22)),D27/D22,"")</f>
        <v/>
      </c>
      <c r="E29" s="25" t="str">
        <f aca="false">IF(AND(ISNUMBER(E27),ISNUMBER(E22)),E27/E22,"")</f>
        <v/>
      </c>
      <c r="F29" s="25" t="str">
        <f aca="false">IF(AND(ISNUMBER(F27),ISNUMBER(F22)),F27/F22,"")</f>
        <v/>
      </c>
      <c r="G29" s="25" t="str">
        <f aca="false">IF(AND(ISNUMBER(G27),ISNUMBER(G22)),G27/G22,"")</f>
        <v/>
      </c>
      <c r="H29" s="25" t="str">
        <f aca="false">IF(AND(ISNUMBER(H27),ISNUMBER(H22)),H27/H22,"")</f>
        <v/>
      </c>
      <c r="I29" s="25" t="str">
        <f aca="false">IF(AND(ISNUMBER(I27),ISNUMBER(I22)),I27/I22,"")</f>
        <v/>
      </c>
      <c r="J29" s="25" t="str">
        <f aca="false">IF(AND(ISNUMBER(J27),ISNUMBER(J22)),J27/J22,"")</f>
        <v/>
      </c>
      <c r="K29" s="25" t="str">
        <f aca="false">IF(AND(ISNUMBER(K27),ISNUMBER(K22)),K27/K22,"")</f>
        <v/>
      </c>
      <c r="L29" s="25" t="str">
        <f aca="false">IF(AND(ISNUMBER(L27),ISNUMBER(L22)),L27/L22,"")</f>
        <v/>
      </c>
      <c r="M29" s="25" t="str">
        <f aca="false">IF(AND(ISNUMBER(M27),ISNUMBER(M22)),M27/M22,"")</f>
        <v/>
      </c>
      <c r="N29" s="25" t="str">
        <f aca="false">IF(AND(ISNUMBER(N27),ISNUMBER(N22)),N27/N22,"")</f>
        <v/>
      </c>
      <c r="O29" s="25" t="n">
        <f aca="false">IF(AND(ISNUMBER(O27),ISNUMBER(O22)),O27/O22,"")</f>
        <v>0.170022080789713</v>
      </c>
      <c r="P29" s="25" t="n">
        <f aca="false">IF(AND(ISNUMBER(P27),ISNUMBER(P22)),P27/P22,"")</f>
        <v>0.164355936475926</v>
      </c>
      <c r="Q29" s="25" t="n">
        <f aca="false">IF(AND(ISNUMBER(Q27),ISNUMBER(Q22)),Q27/Q22,"")</f>
        <v>0.175206611570248</v>
      </c>
      <c r="R29" s="25" t="n">
        <f aca="false">IF(AND(ISNUMBER(R27),ISNUMBER(R22)),R27/R22,"")</f>
        <v>0.201684397163121</v>
      </c>
      <c r="S29" s="25" t="n">
        <f aca="false">IF(AND(ISNUMBER(S27),ISNUMBER(S22)),S27/S22,"")</f>
        <v>0.178679048029027</v>
      </c>
      <c r="T29" s="25" t="n">
        <f aca="false">IF(AND(ISNUMBER(T27),ISNUMBER(T22)),T27/T22,"")</f>
        <v>0.167308221061314</v>
      </c>
      <c r="U29" s="25" t="n">
        <f aca="false">IF(AND(ISNUMBER(U27),ISNUMBER(U22)),U27/U22,"")</f>
        <v>0.17966537966538</v>
      </c>
      <c r="V29" s="25" t="n">
        <f aca="false">IF(AND(ISNUMBER(V27),ISNUMBER(V22)),V27/V22,"")</f>
        <v>0.188182402055234</v>
      </c>
      <c r="W29" s="25" t="n">
        <f aca="false">IF(AND(ISNUMBER(W27),ISNUMBER(W22)),W27/W22,"")</f>
        <v>0.221549767642927</v>
      </c>
      <c r="X29" s="25" t="n">
        <f aca="false">IF(AND(ISNUMBER(X27),ISNUMBER(X22)),X27/X22,"")</f>
        <v>0.191010535502774</v>
      </c>
      <c r="Y29" s="25" t="n">
        <f aca="false">IF(AND(ISNUMBER(Y27),ISNUMBER(Y22)),Y27/Y22,"")</f>
        <v>0.147109179507441</v>
      </c>
      <c r="Z29" s="25" t="n">
        <f aca="false">IF(AND(ISNUMBER(Z27),ISNUMBER(Z22)),Z27/Z22,"")</f>
        <v>0.182516689759416</v>
      </c>
      <c r="AA29" s="25" t="n">
        <f aca="false">IF(AND(ISNUMBER(AA27),ISNUMBER(AA22)),AA27/AA22,"")</f>
        <v>0.211692650334076</v>
      </c>
      <c r="AB29" s="25" t="n">
        <f aca="false">IF(AND(ISNUMBER(AB27),ISNUMBER(AB22)),AB27/AB22,"")</f>
        <v>0.245275267050123</v>
      </c>
      <c r="AC29" s="25" t="n">
        <f aca="false">IF(AND(ISNUMBER(AC27),ISNUMBER(AC22)),AC27/AC22,"")</f>
        <v>0.20315140941061</v>
      </c>
      <c r="AD29" s="25" t="n">
        <f aca="false">IF(AND(ISNUMBER(AD27),ISNUMBER(AD22)),AD27/AD22,"")</f>
        <v>0.182319391634981</v>
      </c>
      <c r="AE29" s="25" t="n">
        <f aca="false">IF(AND(ISNUMBER(AE27),ISNUMBER(AE22)),AE27/AE22,"")</f>
        <v>0.199519643163493</v>
      </c>
      <c r="AF29" s="25" t="n">
        <f aca="false">IF(AND(ISNUMBER(AF27),ISNUMBER(AF22)),AF27/AF22,"")</f>
        <v>0.215702757229321</v>
      </c>
      <c r="AG29" s="25" t="n">
        <f aca="false">IF(AND(ISNUMBER(AG27),ISNUMBER(AG22)),AG27/AG22,"")</f>
        <v>0.244695898161245</v>
      </c>
      <c r="AH29" s="25" t="n">
        <f aca="false">IF(AND(ISNUMBER(AH27),ISNUMBER(AH22)),AH27/AH22,"")</f>
        <v>0.213026343082348</v>
      </c>
      <c r="AI29" s="25" t="n">
        <f aca="false">IF(AND(ISNUMBER(AI27),ISNUMBER(AI22)),AI27/AI22,"")</f>
        <v>0.195704057279236</v>
      </c>
      <c r="AJ29" s="25" t="n">
        <f aca="false">IF(AND(ISNUMBER(AJ27),ISNUMBER(AJ22)),AJ27/AJ22,"")</f>
        <v>0.221967963386728</v>
      </c>
      <c r="AK29" s="25" t="n">
        <f aca="false">IF(AND(ISNUMBER(AK27),ISNUMBER(AK22)),AK27/AK22,"")</f>
        <v>0.220555138784696</v>
      </c>
      <c r="AL29" s="25" t="n">
        <f aca="false">IF(AND(ISNUMBER(AL27),ISNUMBER(AL22)),AL27/AL22,"")</f>
        <v>0.26530612244898</v>
      </c>
      <c r="AM29" s="25" t="n">
        <f aca="false">IF(AND(ISNUMBER(AM27),ISNUMBER(AM22)),AM27/AM22,"")</f>
        <v>0.228012433717316</v>
      </c>
      <c r="AN29" s="25" t="n">
        <f aca="false">IF(AND(ISNUMBER(AN27),ISNUMBER(AN22)),AN27/AN22,"")</f>
        <v>0.213313161875946</v>
      </c>
      <c r="AO29" s="25" t="n">
        <f aca="false">IF(AND(ISNUMBER(AO27),ISNUMBER(AO22)),AO27/AO22,"")</f>
        <v>0.216012084592145</v>
      </c>
      <c r="AP29" s="25" t="n">
        <f aca="false">IF(AND(ISNUMBER(AP27),ISNUMBER(AP22)),AP27/AP22,"")</f>
        <v>0.229013254786451</v>
      </c>
      <c r="AQ29" s="25" t="n">
        <f aca="false">IF(AND(ISNUMBER(AQ27),ISNUMBER(AQ22)),AQ27/AQ22,"")</f>
        <v>0.259552042160738</v>
      </c>
      <c r="AR29" s="25" t="n">
        <f aca="false">IF(AND(ISNUMBER(AR27),ISNUMBER(AR22)),AR27/AR22,"")</f>
        <v>0.23053241579138</v>
      </c>
      <c r="AS29" s="25" t="n">
        <f aca="false">IF(AND(ISNUMBER(AS27),ISNUMBER(AS22)),AS27/AS22,"")</f>
        <v>0.155313351498638</v>
      </c>
      <c r="AT29" s="25" t="n">
        <f aca="false">IF(AND(ISNUMBER(AT27),ISNUMBER(AT22)),AT27/AT22,"")</f>
        <v>0.128449096098953</v>
      </c>
      <c r="AU29" s="25" t="n">
        <f aca="false">IF(AND(ISNUMBER(AU27),ISNUMBER(AU22)),AU27/AU22,"")</f>
        <v>0.127994011976048</v>
      </c>
      <c r="AV29" s="25" t="n">
        <f aca="false">IF(AND(ISNUMBER(AV27),ISNUMBER(AV22)),AV27/AV22,"")</f>
        <v>0.202322738386308</v>
      </c>
      <c r="AW29" s="25" t="n">
        <f aca="false">IF(AND(ISNUMBER(AW27),ISNUMBER(AW22)),AW27/AW22,"")</f>
        <v>0.157689305230289</v>
      </c>
      <c r="AX29" s="25" t="n">
        <f aca="false">IF(AND(ISNUMBER(AX27),ISNUMBER(AX22)),AX27/AX22,"")</f>
        <v>0.196106705118962</v>
      </c>
      <c r="AY29" s="25" t="n">
        <f aca="false">IF(AND(ISNUMBER(AY27),ISNUMBER(AY22)),AY27/AY22,"")</f>
        <v>0.189061444969615</v>
      </c>
      <c r="AZ29" s="25" t="n">
        <f aca="false">IF(AND(ISNUMBER(AZ27),ISNUMBER(AZ22)),AZ27/AZ22,"")</f>
        <v>0.178861788617886</v>
      </c>
      <c r="BA29" s="25" t="n">
        <f aca="false">IF(AND(ISNUMBER(BA27),ISNUMBER(BA22)),BA27/BA22,"")</f>
        <v>0.220869565217391</v>
      </c>
      <c r="BB29" s="25" t="n">
        <f aca="false">IF(AND(ISNUMBER(BB27),ISNUMBER(BB22)),BB27/BB22,"")</f>
        <v>0.197231833910035</v>
      </c>
      <c r="BC29" s="25" t="n">
        <f aca="false">IF(AND(ISNUMBER(BC27),ISNUMBER(BC22)),BC27/BC22,"")</f>
        <v>0.19828722002635</v>
      </c>
      <c r="BD29" s="25" t="n">
        <f aca="false">IF(AND(ISNUMBER(BD27),ISNUMBER(BD22)),BD27/BD22,"")</f>
        <v>0.21406347230865</v>
      </c>
      <c r="BE29" s="25" t="n">
        <f aca="false">IF(AND(ISNUMBER(BE27),ISNUMBER(BE22)),BE27/BE22,"")</f>
        <v>0.238124614435534</v>
      </c>
      <c r="BF29" s="25" t="n">
        <f aca="false">IF(AND(ISNUMBER(BF27),ISNUMBER(BF22)),BF27/BF22,"")</f>
        <v>0.25346112886049</v>
      </c>
      <c r="BG29" s="25" t="n">
        <f aca="false">IF(AND(ISNUMBER(BG27),ISNUMBER(BG22)),BG27/BG22,"")</f>
        <v>0.227506038647343</v>
      </c>
      <c r="BH29" s="25" t="n">
        <f aca="false">IF(AND(ISNUMBER(BH27),ISNUMBER(BH22)),BH27/BH22,"")</f>
        <v>0.244341265235055</v>
      </c>
      <c r="BI29" s="25" t="n">
        <f aca="false">IF(AND(ISNUMBER(BI27),ISNUMBER(BI22)),BI27/BI22,"")</f>
        <v>0.246998284734134</v>
      </c>
      <c r="BJ29" s="25" t="n">
        <f aca="false">IF(AND(ISNUMBER(BJ27),ISNUMBER(BJ22)),BJ27/BJ22,"")</f>
        <v>0.266818700114025</v>
      </c>
      <c r="BK29" s="25" t="n">
        <f aca="false">IF(AND(ISNUMBER(BK27),ISNUMBER(BK22)),BK27/BK22,"")</f>
        <v>0.288168875797742</v>
      </c>
      <c r="BL29" s="25" t="n">
        <f aca="false">IF(AND(ISNUMBER(BL27),ISNUMBER(BL22)),BL27/BL22,"")</f>
        <v>0.26270136307311</v>
      </c>
      <c r="BM29" s="25" t="n">
        <f aca="false">IF(AND(ISNUMBER(BM27),ISNUMBER(BM22)),BM27/BM22,"")</f>
        <v>0.2371072910492</v>
      </c>
      <c r="BN29" s="25" t="n">
        <f aca="false">IF(AND(ISNUMBER(BN27),ISNUMBER(BN22)),BN27/BN22,"")</f>
        <v>0.24635241301908</v>
      </c>
      <c r="BO29" s="25" t="n">
        <f aca="false">IF(AND(ISNUMBER(BO27),ISNUMBER(BO22)),BO27/BO22,"")</f>
        <v>0.249446902654867</v>
      </c>
      <c r="BP29" s="25" t="n">
        <f aca="false">IF(AND(ISNUMBER(BP27),ISNUMBER(BP22)),BP27/BP22,"")</f>
        <v>0.304666056724611</v>
      </c>
      <c r="BQ29" s="25" t="n">
        <f aca="false">IF(AND(ISNUMBER(BQ27),ISNUMBER(BQ22)),BQ27/BQ22,"")</f>
        <v>0.261958997722096</v>
      </c>
      <c r="BR29" s="25" t="n">
        <f aca="false">IF(AND(ISNUMBER(BR27),ISNUMBER(BR22)),BR27/BR22,"")</f>
        <v>0.232246798603027</v>
      </c>
      <c r="BS29" s="25" t="n">
        <f aca="false">IF(AND(ISNUMBER(BS27),ISNUMBER(BS22)),BS27/BS22,"")</f>
        <v>0.188078703703704</v>
      </c>
      <c r="BT29" s="25" t="n">
        <f aca="false">IF(AND(ISNUMBER(BT27),ISNUMBER(BT22)),BT27/BT22,"")</f>
        <v>0.22662440570523</v>
      </c>
      <c r="BU29" s="25" t="n">
        <f aca="false">IF(AND(ISNUMBER(BU27),ISNUMBER(BU22)),BU27/BU22,"")</f>
        <v>0.263205417607224</v>
      </c>
      <c r="BV29" s="25" t="n">
        <f aca="false">IF(AND(ISNUMBER(BV27),ISNUMBER(BV22)),BV27/BV22,"")</f>
        <v>0.22981202012179</v>
      </c>
      <c r="BW29" s="25" t="n">
        <f aca="false">IF(AND(ISNUMBER(BW27),ISNUMBER(BW22)),BW27/BW22,"")</f>
        <v>0.206876456876457</v>
      </c>
      <c r="BX29" s="25" t="n">
        <f aca="false">IF(AND(ISNUMBER(BX27),ISNUMBER(BX22)),BX27/BX22,"")</f>
        <v>0.229561451001624</v>
      </c>
      <c r="BY29" s="26" t="n">
        <f aca="false">BY28+BY122</f>
        <v>0.245219158483761</v>
      </c>
      <c r="BZ29" s="26" t="n">
        <f aca="false">BZ28+BZ122</f>
        <v>0.281800170385755</v>
      </c>
      <c r="CA29" s="26" t="n">
        <f aca="false">IFERROR(CA27/CA22,"")</f>
        <v>0.244042216732985</v>
      </c>
      <c r="CB29" s="26" t="n">
        <f aca="false">CHOOSE(MATCH($CF$2,{"Bull","Base","Bear"},0),$CO$55,$CP$55,$CQ$55)</f>
        <v>0.25</v>
      </c>
      <c r="CC29" s="26" t="n">
        <f aca="false">CHOOSE(MATCH($CF$2,{"Bull","Base","Bear"},0),$CO$56,$CP$56,$CQ$56)</f>
        <v>0.255</v>
      </c>
      <c r="CD29" s="26" t="n">
        <f aca="false">CHOOSE(MATCH($CF$2,{"Bull","Base","Bear"},0),$CO$57,$CP$57,$CQ$57)</f>
        <v>0.26</v>
      </c>
      <c r="CE29" s="26" t="n">
        <f aca="false">CHOOSE(MATCH($CF$2,{"Bull","Base","Bear"},0),$CO$58,$CP$58,$CQ$58)</f>
        <v>0.265</v>
      </c>
      <c r="CF29" s="21" t="s">
        <v>138</v>
      </c>
      <c r="CN29" s="13" t="s">
        <v>139</v>
      </c>
      <c r="CO29" s="35" t="n">
        <v>0.02</v>
      </c>
      <c r="CP29" s="13" t="s">
        <v>140</v>
      </c>
      <c r="CQ29" s="35" t="n">
        <v>-0.02</v>
      </c>
      <c r="CR29" s="16" t="s">
        <v>141</v>
      </c>
    </row>
    <row r="30" customFormat="false" ht="15" hidden="false" customHeight="false" outlineLevel="1" collapsed="false">
      <c r="B30" s="23" t="s">
        <v>115</v>
      </c>
      <c r="C30" s="24"/>
      <c r="D30" s="25" t="str">
        <f aca="false">IF(AND(ISNUMBER(D27),ISNUMBER(C27)),IFERROR((D27-C27)/(D22-C22),""),"")</f>
        <v/>
      </c>
      <c r="E30" s="25" t="str">
        <f aca="false">IF(AND(ISNUMBER(E27),ISNUMBER(D27)),IFERROR((E27-D27)/(E22-D22),""),"")</f>
        <v/>
      </c>
      <c r="F30" s="25" t="str">
        <f aca="false">IF(AND(ISNUMBER(F27),ISNUMBER(E27)),IFERROR((F27-E27)/(F22-E22),""),"")</f>
        <v/>
      </c>
      <c r="G30" s="25" t="str">
        <f aca="false">IF(AND(ISNUMBER(G27),ISNUMBER(F27)),IFERROR((G27-F27)/(G22-F22),""),"")</f>
        <v/>
      </c>
      <c r="H30" s="25" t="str">
        <f aca="false">IF(AND(ISNUMBER(H27),ISNUMBER(G27)),IFERROR((H27-G27)/(H22-G22),""),"")</f>
        <v/>
      </c>
      <c r="I30" s="25" t="str">
        <f aca="false">IF(AND(ISNUMBER(I27),ISNUMBER(H27)),IFERROR((I27-H27)/(I22-H22),""),"")</f>
        <v/>
      </c>
      <c r="J30" s="24"/>
      <c r="K30" s="24"/>
      <c r="L30" s="24"/>
      <c r="M30" s="24"/>
      <c r="N30" s="25" t="str">
        <f aca="false">IF(AND(ISNUMBER(N27),ISNUMBER(I27)),IFERROR((N27-I27)/(N22-I22),""),"")</f>
        <v/>
      </c>
      <c r="O30" s="25" t="str">
        <f aca="false">IF(AND(ISNUMBER(O27),ISNUMBER(J27)),IFERROR((O27-J27)/(O22-J22),""),"")</f>
        <v/>
      </c>
      <c r="P30" s="25" t="str">
        <f aca="false">IF(AND(ISNUMBER(P27),ISNUMBER(K27)),IFERROR((P27-K27)/(P22-K22),""),"")</f>
        <v/>
      </c>
      <c r="Q30" s="25" t="str">
        <f aca="false">IF(AND(ISNUMBER(Q27),ISNUMBER(L27)),IFERROR((Q27-L27)/(Q22-L22),""),"")</f>
        <v/>
      </c>
      <c r="R30" s="25" t="str">
        <f aca="false">IF(AND(ISNUMBER(R27),ISNUMBER(M27)),IFERROR((R27-M27)/(R22-M22),""),"")</f>
        <v/>
      </c>
      <c r="S30" s="25" t="str">
        <f aca="false">IF(AND(ISNUMBER(S27),ISNUMBER(N27)),IFERROR((S27-N27)/(S22-N22),""),"")</f>
        <v/>
      </c>
      <c r="T30" s="25" t="n">
        <f aca="false">IF(AND(ISNUMBER(T27),ISNUMBER(O27)),IFERROR((T27-O27)/(T22-O22),""),"")</f>
        <v>0.216470588235294</v>
      </c>
      <c r="U30" s="25" t="n">
        <f aca="false">IF(AND(ISNUMBER(U27),ISNUMBER(P27)),IFERROR((U27-P27)/(U22-P22),""),"")</f>
        <v>-0.560975609756098</v>
      </c>
      <c r="V30" s="25" t="n">
        <f aca="false">IF(AND(ISNUMBER(V27),ISNUMBER(Q27)),IFERROR((V27-Q27)/(V22-Q22),""),"")</f>
        <v>-1.0875</v>
      </c>
      <c r="W30" s="25" t="n">
        <f aca="false">IF(AND(ISNUMBER(W27),ISNUMBER(R27)),IFERROR((W27-R27)/(W22-R22),""),"")</f>
        <v>1.00436681222708</v>
      </c>
      <c r="X30" s="25" t="n">
        <f aca="false">IF(AND(ISNUMBER(X27),ISNUMBER(S27)),IFERROR((X27-S27)/(X22-S22),""),"")</f>
        <v>-0.720454545454544</v>
      </c>
      <c r="Y30" s="25" t="n">
        <f aca="false">IF(AND(ISNUMBER(Y27),ISNUMBER(T27)),IFERROR((Y27-T27)/(Y22-T22),""),"")</f>
        <v>-0.313479623824452</v>
      </c>
      <c r="Z30" s="25" t="n">
        <f aca="false">IF(AND(ISNUMBER(Z27),ISNUMBER(U27)),IFERROR((Z27-U27)/(Z22-U22),""),"")</f>
        <v>0.313609467455622</v>
      </c>
      <c r="AA30" s="25" t="n">
        <f aca="false">IF(AND(ISNUMBER(AA27),ISNUMBER(V27)),IFERROR((AA27-V27)/(AA22-V22),""),"")</f>
        <v>0.364853556485356</v>
      </c>
      <c r="AB30" s="25" t="n">
        <f aca="false">IF(AND(ISNUMBER(AB27),ISNUMBER(W27)),IFERROR((AB27-W27)/(AB22-W22),""),"")</f>
        <v>0.320534796023312</v>
      </c>
      <c r="AC30" s="25" t="n">
        <f aca="false">IF(AND(ISNUMBER(AC27),ISNUMBER(X27)),IFERROR((AC27-X27)/(AC22-X22),""),"")</f>
        <v>0.287826086956522</v>
      </c>
      <c r="AD30" s="25" t="n">
        <f aca="false">IF(AND(ISNUMBER(AD27),ISNUMBER(Y27)),IFERROR((AD27-Y27)/(AD22-Y22),""),"")</f>
        <v>0.273659036556201</v>
      </c>
      <c r="AE30" s="25" t="n">
        <f aca="false">IF(AND(ISNUMBER(AE27),ISNUMBER(Z27)),IFERROR((AE27-Z27)/(AE22-Z22),""),"")</f>
        <v>0.235816079591288</v>
      </c>
      <c r="AF30" s="25" t="n">
        <f aca="false">IF(AND(ISNUMBER(AF27),ISNUMBER(AA27)),IFERROR((AF27-AA27)/(AF22-AA22),""),"")</f>
        <v>0.228052126200275</v>
      </c>
      <c r="AG30" s="25" t="n">
        <f aca="false">IF(AND(ISNUMBER(AG27),ISNUMBER(AB27)),IFERROR((AG27-AB27)/(AG22-AB22),""),"")</f>
        <v>0.241116751269036</v>
      </c>
      <c r="AH30" s="25" t="n">
        <f aca="false">IF(AND(ISNUMBER(AH27),ISNUMBER(AC27)),IFERROR((AH27-AC27)/(AH22-AC22),""),"")</f>
        <v>0.244448299791811</v>
      </c>
      <c r="AI30" s="25" t="n">
        <f aca="false">IF(AND(ISNUMBER(AI27),ISNUMBER(AD27)),IFERROR((AI27-AD27)/(AI22-AD22),""),"")</f>
        <v>0.264390243902439</v>
      </c>
      <c r="AJ30" s="25" t="n">
        <f aca="false">IF(AND(ISNUMBER(AJ27),ISNUMBER(AE27)),IFERROR((AJ27-AE27)/(AJ22-AE22),""),"")</f>
        <v>0.402203856749311</v>
      </c>
      <c r="AK30" s="25" t="n">
        <f aca="false">IF(AND(ISNUMBER(AK27),ISNUMBER(AF27)),IFERROR((AK27-AF27)/(AK22-AF22),""),"")</f>
        <v>0.260808926080892</v>
      </c>
      <c r="AL30" s="25" t="n">
        <f aca="false">IF(AND(ISNUMBER(AL27),ISNUMBER(AG27)),IFERROR((AL27-AG27)/(AL22-AG22),""),"")</f>
        <v>0.454545454545455</v>
      </c>
      <c r="AM30" s="25" t="n">
        <f aca="false">IF(AND(ISNUMBER(AM27),ISNUMBER(AH27)),IFERROR((AM27-AH27)/(AM22-AH22),""),"")</f>
        <v>0.339506172839506</v>
      </c>
      <c r="AN30" s="25" t="n">
        <f aca="false">IF(AND(ISNUMBER(AN27),ISNUMBER(AI27)),IFERROR((AN27-AI27)/(AN22-AI22),""),"")</f>
        <v>0.553846153846154</v>
      </c>
      <c r="AO30" s="25" t="n">
        <f aca="false">IF(AND(ISNUMBER(AO27),ISNUMBER(AJ27)),IFERROR((AO27-AJ27)/(AO22-AJ22),""),"")</f>
        <v>-0.384615384615385</v>
      </c>
      <c r="AP30" s="25" t="n">
        <f aca="false">IF(AND(ISNUMBER(AP27),ISNUMBER(AK27)),IFERROR((AP27-AK27)/(AP22-AK22),""),"")</f>
        <v>0.68</v>
      </c>
      <c r="AQ30" s="25" t="n">
        <f aca="false">IF(AND(ISNUMBER(AQ27),ISNUMBER(AL27)),IFERROR((AQ27-AL27)/(AQ22-AL22),""),"")</f>
        <v>0.44</v>
      </c>
      <c r="AR30" s="25" t="n">
        <f aca="false">IF(AND(ISNUMBER(AR27),ISNUMBER(AM27)),IFERROR((AR27-AM27)/(AR22-AM22),""),"")</f>
        <v>0.490566037735849</v>
      </c>
      <c r="AS30" s="25" t="n">
        <f aca="false">IF(AND(ISNUMBER(AS27),ISNUMBER(AN27)),IFERROR((AS27-AN27)/(AS22-AN22),""),"")</f>
        <v>0.502262443438914</v>
      </c>
      <c r="AT30" s="25" t="n">
        <f aca="false">IF(AND(ISNUMBER(AT27),ISNUMBER(AO27)),IFERROR((AT27-AO27)/(AT22-AO22),""),"")</f>
        <v>0.553113553113553</v>
      </c>
      <c r="AU30" s="25" t="n">
        <f aca="false">IF(AND(ISNUMBER(AU27),ISNUMBER(AP27)),IFERROR((AU27-AP27)/(AU22-AP22),""),"")</f>
        <v>6.36363636363636</v>
      </c>
      <c r="AV30" s="25" t="n">
        <f aca="false">IF(AND(ISNUMBER(AV27),ISNUMBER(AQ27)),IFERROR((AV27-AQ27)/(AV22-AQ22),""),"")</f>
        <v>-0.533898305084746</v>
      </c>
      <c r="AW30" s="25" t="n">
        <f aca="false">IF(AND(ISNUMBER(AW27),ISNUMBER(AR27)),IFERROR((AW27-AR27)/(AW22-AR22),""),"")</f>
        <v>1.16834170854271</v>
      </c>
      <c r="AX30" s="25" t="n">
        <f aca="false">IF(AND(ISNUMBER(AX27),ISNUMBER(AS27)),IFERROR((AX27-AS27)/(AX22-AS22),""),"")</f>
        <v>0.353146853146853</v>
      </c>
      <c r="AY30" s="25" t="n">
        <f aca="false">IF(AND(ISNUMBER(AY27),ISNUMBER(AT27)),IFERROR((AY27-AT27)/(AY22-AT22),""),"")</f>
        <v>0.337209302325581</v>
      </c>
      <c r="AZ30" s="25" t="n">
        <f aca="false">IF(AND(ISNUMBER(AZ27),ISNUMBER(AU27)),IFERROR((AZ27-AU27)/(AZ22-AU22),""),"")</f>
        <v>0.664285714285714</v>
      </c>
      <c r="BA30" s="25" t="n">
        <f aca="false">IF(AND(ISNUMBER(BA27),ISNUMBER(AV27)),IFERROR((BA27-AV27)/(BA22-AV22),""),"")</f>
        <v>0.561797752808989</v>
      </c>
      <c r="BB30" s="25" t="n">
        <f aca="false">IF(AND(ISNUMBER(BB27),ISNUMBER(AW27)),IFERROR((BB27-AW27)/(BB22-AW22),""),"")</f>
        <v>0.411640211640212</v>
      </c>
      <c r="BC30" s="25" t="n">
        <f aca="false">IF(AND(ISNUMBER(BC27),ISNUMBER(AX27)),IFERROR((BC27-AX27)/(BC22-AX22),""),"")</f>
        <v>0.221374045801527</v>
      </c>
      <c r="BD30" s="25" t="n">
        <f aca="false">IF(AND(ISNUMBER(BD27),ISNUMBER(AY27)),IFERROR((BD27-AY27)/(BD22-AY22),""),"")</f>
        <v>0.507936507936508</v>
      </c>
      <c r="BE30" s="25" t="n">
        <f aca="false">IF(AND(ISNUMBER(BE27),ISNUMBER(AZ27)),IFERROR((BE27-AZ27)/(BE22-AZ22),""),"")</f>
        <v>0.841379310344828</v>
      </c>
      <c r="BF30" s="25" t="n">
        <f aca="false">IF(AND(ISNUMBER(BF27),ISNUMBER(BA27)),IFERROR((BF27-BA27)/(BF22-BA22),""),"")</f>
        <v>0.620915032679739</v>
      </c>
      <c r="BG30" s="25" t="n">
        <f aca="false">IF(AND(ISNUMBER(BG27),ISNUMBER(BB27)),IFERROR((BG27-BB27)/(BG22-BB22),""),"")</f>
        <v>0.558558558558559</v>
      </c>
      <c r="BH30" s="25" t="n">
        <f aca="false">IF(AND(ISNUMBER(BH27),ISNUMBER(BC27)),IFERROR((BH27-BC27)/(BH22-BC22),""),"")</f>
        <v>0.585365853658537</v>
      </c>
      <c r="BI30" s="25" t="n">
        <f aca="false">IF(AND(ISNUMBER(BI27),ISNUMBER(BD27)),IFERROR((BI27-BD27)/(BI22-BD22),""),"")</f>
        <v>0.619718309859155</v>
      </c>
      <c r="BJ30" s="25" t="n">
        <f aca="false">IF(AND(ISNUMBER(BJ27),ISNUMBER(BE27)),IFERROR((BJ27-BE27)/(BJ22-BE22),""),"")</f>
        <v>0.616541353383459</v>
      </c>
      <c r="BK30" s="25" t="n">
        <f aca="false">IF(AND(ISNUMBER(BK27),ISNUMBER(BF27)),IFERROR((BK27-BF27)/(BK22-BF22),""),"")</f>
        <v>0.69811320754717</v>
      </c>
      <c r="BL30" s="25" t="n">
        <f aca="false">IF(AND(ISNUMBER(BL27),ISNUMBER(BG27)),IFERROR((BL27-BG27)/(BL22-BG22),""),"")</f>
        <v>0.62754303599374</v>
      </c>
      <c r="BM30" s="25" t="n">
        <f aca="false">IF(AND(ISNUMBER(BM27),ISNUMBER(BH27)),IFERROR((BM27-BH27)/(BM22-BH22),""),"")</f>
        <v>0.583333333333333</v>
      </c>
      <c r="BN30" s="25" t="n">
        <f aca="false">IF(AND(ISNUMBER(BN27),ISNUMBER(BI27)),IFERROR((BN27-BI27)/(BN22-BI22),""),"")</f>
        <v>0.212121212121212</v>
      </c>
      <c r="BO30" s="25" t="n">
        <f aca="false">IF(AND(ISNUMBER(BO27),ISNUMBER(BJ27)),IFERROR((BO27-BJ27)/(BO22-BJ22),""),"")</f>
        <v>-0.314814814814815</v>
      </c>
      <c r="BP30" s="25" t="n">
        <f aca="false">IF(AND(ISNUMBER(BP27),ISNUMBER(BK27)),IFERROR((BP27-BK27)/(BP22-BK22),""),"")</f>
        <v>0.530201342281879</v>
      </c>
      <c r="BQ30" s="25" t="n">
        <f aca="false">IF(AND(ISNUMBER(BQ27),ISNUMBER(BL27)),IFERROR((BQ27-BL27)/(BQ22-BL22),""),"")</f>
        <v>0.235</v>
      </c>
      <c r="BR30" s="25" t="n">
        <f aca="false">IF(AND(ISNUMBER(BR27),ISNUMBER(BM27)),IFERROR((BR27-BM27)/(BR22-BM22),""),"")</f>
        <v>-0.032258064516129</v>
      </c>
      <c r="BS30" s="25" t="n">
        <f aca="false">IF(AND(ISNUMBER(BS27),ISNUMBER(BN27)),IFERROR((BS27-BN27)/(BS22-BN22),""),"")</f>
        <v>2.11111111111111</v>
      </c>
      <c r="BT30" s="25" t="n">
        <f aca="false">IF(AND(ISNUMBER(BT27),ISNUMBER(BO27)),IFERROR((BT27-BO27)/(BT22-BO22),""),"")</f>
        <v>-0.258823529411765</v>
      </c>
      <c r="BU30" s="25" t="n">
        <f aca="false">IF(AND(ISNUMBER(BU27),ISNUMBER(BP27)),IFERROR((BU27-BP27)/(BU22-BP22),""),"")</f>
        <v>-2.86206896551724</v>
      </c>
      <c r="BV30" s="25" t="n">
        <f aca="false">IF(AND(ISNUMBER(BV27),ISNUMBER(BQ27)),IFERROR((BV27-BQ27)/(BV22-BQ22),""),"")</f>
        <v>-2.40659340659341</v>
      </c>
      <c r="BW30" s="25" t="n">
        <f aca="false">IF(AND(ISNUMBER(BW27),ISNUMBER(BR27)),IFERROR((BW27-BR27)/(BW22-BR22),""),"")</f>
        <v>22</v>
      </c>
      <c r="BX30" s="25" t="n">
        <f aca="false">IF(AND(ISNUMBER(BX27),ISNUMBER(BS27)),IFERROR((BX27-BS27)/(BX22-BS22),""),"")</f>
        <v>0.831932773109244</v>
      </c>
      <c r="BY30" s="26" t="n">
        <f aca="false">IFERROR((BY27-BT27)/(BY22-BT22),"")</f>
        <v>0.573080065620918</v>
      </c>
      <c r="BZ30" s="26" t="n">
        <f aca="false">IFERROR((BZ27-BU27)/(BZ22-BU22),"")</f>
        <v>0.624779525708924</v>
      </c>
      <c r="CA30" s="26" t="n">
        <f aca="false">IFERROR((CA27-BV27)/(CA22-BV22),"")</f>
        <v>0.556119853302985</v>
      </c>
      <c r="CB30" s="26" t="n">
        <f aca="false">IFERROR((CB27-CA27)/(CB22-CA22),"")</f>
        <v>0.369155665340293</v>
      </c>
      <c r="CC30" s="26" t="n">
        <f aca="false">IFERROR((CC27-CB27)/(CC22-CB22),"")</f>
        <v>0.345909090909091</v>
      </c>
      <c r="CD30" s="26" t="n">
        <f aca="false">IFERROR((CD27-CC27)/(CD22-CC22),"")</f>
        <v>0.350909090909091</v>
      </c>
      <c r="CE30" s="26" t="n">
        <f aca="false">IFERROR((CE27-CD27)/(CE22-CD22),"")</f>
        <v>0.355909090909092</v>
      </c>
      <c r="CF30" s="21"/>
      <c r="CN30" s="23" t="s">
        <v>142</v>
      </c>
      <c r="CO30" s="36" t="n">
        <f aca="false">CP30+$CO$29</f>
        <v>0.08</v>
      </c>
      <c r="CP30" s="32" t="n">
        <v>0.06</v>
      </c>
      <c r="CQ30" s="36" t="n">
        <f aca="false">CP30+$CQ$29</f>
        <v>0.04</v>
      </c>
    </row>
    <row r="31" customFormat="false" ht="15" hidden="false" customHeight="false" outlineLevel="1" collapsed="false">
      <c r="B31" s="23" t="s">
        <v>118</v>
      </c>
      <c r="C31" s="24"/>
      <c r="D31" s="25" t="str">
        <f aca="false">IF(AND(ISNUMBER(D27),ISNUMBER(C27)),IFERROR(D27/C27-1,""),"")</f>
        <v/>
      </c>
      <c r="E31" s="25" t="str">
        <f aca="false">IF(AND(ISNUMBER(E27),ISNUMBER(D27)),IFERROR(E27/D27-1,""),"")</f>
        <v/>
      </c>
      <c r="F31" s="25" t="str">
        <f aca="false">IF(AND(ISNUMBER(F27),ISNUMBER(E27)),IFERROR(F27/E27-1,""),"")</f>
        <v/>
      </c>
      <c r="G31" s="25" t="str">
        <f aca="false">IF(AND(ISNUMBER(G27),ISNUMBER(F27)),IFERROR(G27/F27-1,""),"")</f>
        <v/>
      </c>
      <c r="H31" s="25" t="str">
        <f aca="false">IF(AND(ISNUMBER(H27),ISNUMBER(G27)),IFERROR(H27/G27-1,""),"")</f>
        <v/>
      </c>
      <c r="I31" s="25" t="str">
        <f aca="false">IF(AND(ISNUMBER(I27),ISNUMBER(H27)),IFERROR(I27/H27-1,""),"")</f>
        <v/>
      </c>
      <c r="J31" s="24"/>
      <c r="K31" s="24"/>
      <c r="L31" s="24"/>
      <c r="M31" s="24"/>
      <c r="N31" s="25" t="str">
        <f aca="false">IF(AND(ISNUMBER(N27),ISNUMBER(I27)),IFERROR(N27/I27-1,""),"")</f>
        <v/>
      </c>
      <c r="O31" s="25" t="str">
        <f aca="false">IF(AND(ISNUMBER(O27),ISNUMBER(J27)),IFERROR(O27/J27-1,""),"")</f>
        <v/>
      </c>
      <c r="P31" s="25" t="str">
        <f aca="false">IF(AND(ISNUMBER(P27),ISNUMBER(K27)),IFERROR(P27/K27-1,""),"")</f>
        <v/>
      </c>
      <c r="Q31" s="25" t="str">
        <f aca="false">IF(AND(ISNUMBER(Q27),ISNUMBER(L27)),IFERROR(Q27/L27-1,""),"")</f>
        <v/>
      </c>
      <c r="R31" s="25" t="str">
        <f aca="false">IF(AND(ISNUMBER(R27),ISNUMBER(M27)),IFERROR(R27/M27-1,""),"")</f>
        <v/>
      </c>
      <c r="S31" s="25" t="str">
        <f aca="false">IF(AND(ISNUMBER(S27),ISNUMBER(N27)),IFERROR(S27/N27-1,""),"")</f>
        <v/>
      </c>
      <c r="T31" s="25" t="n">
        <f aca="false">IF(AND(ISNUMBER(T27),ISNUMBER(O27)),IFERROR(T27/O27-1,""),"")</f>
        <v>-0.0702826585179527</v>
      </c>
      <c r="U31" s="25" t="n">
        <f aca="false">IF(AND(ISNUMBER(U27),ISNUMBER(P27)),IFERROR(U27/P27-1,""),"")</f>
        <v>0.0705521472392636</v>
      </c>
      <c r="V31" s="25" t="n">
        <f aca="false">IF(AND(ISNUMBER(V27),ISNUMBER(Q27)),IFERROR(V27/Q27-1,""),"")</f>
        <v>0.0631349782293178</v>
      </c>
      <c r="W31" s="25" t="n">
        <f aca="false">IF(AND(ISNUMBER(W27),ISNUMBER(R27)),IFERROR(W27/R27-1,""),"")</f>
        <v>0.126373626373626</v>
      </c>
      <c r="X31" s="25" t="n">
        <f aca="false">IF(AND(ISNUMBER(X27),ISNUMBER(S27)),IFERROR(X27/S27-1,""),"")</f>
        <v>0.0545517122698329</v>
      </c>
      <c r="Y31" s="25" t="n">
        <f aca="false">IF(AND(ISNUMBER(Y27),ISNUMBER(T27)),IFERROR(Y27/T27-1,""),"")</f>
        <v>-0.0821692686935086</v>
      </c>
      <c r="Z31" s="25" t="n">
        <f aca="false">IF(AND(ISNUMBER(Z27),ISNUMBER(U27)),IFERROR(Z27/U27-1,""),"")</f>
        <v>0.0379656160458453</v>
      </c>
      <c r="AA31" s="25" t="n">
        <f aca="false">IF(AND(ISNUMBER(AA27),ISNUMBER(V27)),IFERROR(AA27/V27-1,""),"")</f>
        <v>0.297610921501706</v>
      </c>
      <c r="AB31" s="25" t="n">
        <f aca="false">IF(AND(ISNUMBER(AB27),ISNUMBER(W27)),IFERROR(AB27/W27-1,""),"")</f>
        <v>0.45609756097561</v>
      </c>
      <c r="AC31" s="25" t="n">
        <f aca="false">IF(AND(ISNUMBER(AC27),ISNUMBER(X27)),IFERROR(AC27/X27-1,""),"")</f>
        <v>0.216057441253264</v>
      </c>
      <c r="AD31" s="25" t="n">
        <f aca="false">IF(AND(ISNUMBER(AD27),ISNUMBER(Y27)),IFERROR(AD27/Y27-1,""),"")</f>
        <v>0.717099373321397</v>
      </c>
      <c r="AE31" s="25" t="n">
        <f aca="false">IF(AND(ISNUMBER(AE27),ISNUMBER(Z27)),IFERROR(AE27/Z27-1,""),"")</f>
        <v>0.605244996549344</v>
      </c>
      <c r="AF31" s="25" t="n">
        <f aca="false">IF(AND(ISNUMBER(AF27),ISNUMBER(AA27)),IFERROR(AF27/AA27-1,""),"")</f>
        <v>0.349815886375592</v>
      </c>
      <c r="AG31" s="25" t="n">
        <f aca="false">IF(AND(ISNUMBER(AG27),ISNUMBER(AB27)),IFERROR(AG27/AB27-1,""),"")</f>
        <v>0.159128978224456</v>
      </c>
      <c r="AH31" s="25" t="n">
        <f aca="false">IF(AND(ISNUMBER(AH27),ISNUMBER(AC27)),IFERROR(AH27/AC27-1,""),"")</f>
        <v>0.378153515834675</v>
      </c>
      <c r="AI31" s="25" t="n">
        <f aca="false">IF(AND(ISNUMBER(AI27),ISNUMBER(AD27)),IFERROR(AI27/AD27-1,""),"")</f>
        <v>0.282586027111575</v>
      </c>
      <c r="AJ31" s="25" t="n">
        <f aca="false">IF(AND(ISNUMBER(AJ27),ISNUMBER(AE27)),IFERROR(AJ27/AE27-1,""),"")</f>
        <v>0.251074806534824</v>
      </c>
      <c r="AK31" s="25" t="n">
        <f aca="false">IF(AND(ISNUMBER(AK27),ISNUMBER(AF27)),IFERROR(AK27/AF27-1,""),"")</f>
        <v>0.145752143413874</v>
      </c>
      <c r="AL31" s="25" t="n">
        <f aca="false">IF(AND(ISNUMBER(AL27),ISNUMBER(AG27)),IFERROR(AL27/AG27-1,""),"")</f>
        <v>0.202312138728324</v>
      </c>
      <c r="AM31" s="25" t="n">
        <f aca="false">IF(AND(ISNUMBER(AM27),ISNUMBER(AH27)),IFERROR(AM27/AH27-1,""),"")</f>
        <v>0.214216163583252</v>
      </c>
      <c r="AN31" s="25" t="n">
        <f aca="false">IF(AND(ISNUMBER(AN27),ISNUMBER(AI27)),IFERROR(AN27/AI27-1,""),"")</f>
        <v>0.146341463414634</v>
      </c>
      <c r="AO31" s="25" t="n">
        <f aca="false">IF(AND(ISNUMBER(AO27),ISNUMBER(AJ27)),IFERROR(AO27/AJ27-1,""),"")</f>
        <v>-0.0171821305841925</v>
      </c>
      <c r="AP31" s="25" t="n">
        <f aca="false">IF(AND(ISNUMBER(AP27),ISNUMBER(AK27)),IFERROR(AP27/AK27-1,""),"")</f>
        <v>0.0578231292517006</v>
      </c>
      <c r="AQ31" s="25" t="n">
        <f aca="false">IF(AND(ISNUMBER(AQ27),ISNUMBER(AL27)),IFERROR(AQ27/AL27-1,""),"")</f>
        <v>-0.0528846153846154</v>
      </c>
      <c r="AR31" s="25" t="n">
        <f aca="false">IF(AND(ISNUMBER(AR27),ISNUMBER(AM27)),IFERROR(AR27/AM27-1,""),"")</f>
        <v>0.020850040096231</v>
      </c>
      <c r="AS31" s="25" t="n">
        <f aca="false">IF(AND(ISNUMBER(AS27),ISNUMBER(AN27)),IFERROR(AS27/AN27-1,""),"")</f>
        <v>-0.393617021276596</v>
      </c>
      <c r="AT31" s="25" t="n">
        <f aca="false">IF(AND(ISNUMBER(AT27),ISNUMBER(AO27)),IFERROR(AT27/AO27-1,""),"")</f>
        <v>-0.527972027972028</v>
      </c>
      <c r="AU31" s="25" t="n">
        <f aca="false">IF(AND(ISNUMBER(AU27),ISNUMBER(AP27)),IFERROR(AU27/AP27-1,""),"")</f>
        <v>-0.45016077170418</v>
      </c>
      <c r="AV31" s="25" t="n">
        <f aca="false">IF(AND(ISNUMBER(AV27),ISNUMBER(AQ27)),IFERROR(AV27/AQ27-1,""),"")</f>
        <v>-0.15989847715736</v>
      </c>
      <c r="AW31" s="25" t="n">
        <f aca="false">IF(AND(ISNUMBER(AW27),ISNUMBER(AR27)),IFERROR(AW27/AR27-1,""),"")</f>
        <v>-0.365278868813826</v>
      </c>
      <c r="AX31" s="25" t="n">
        <f aca="false">IF(AND(ISNUMBER(AX27),ISNUMBER(AS27)),IFERROR(AX27/AS27-1,""),"")</f>
        <v>0.590643274853801</v>
      </c>
      <c r="AY31" s="25" t="n">
        <f aca="false">IF(AND(ISNUMBER(AY27),ISNUMBER(AT27)),IFERROR(AY27/AT27-1,""),"")</f>
        <v>1.07407407407407</v>
      </c>
      <c r="AZ31" s="25" t="n">
        <f aca="false">IF(AND(ISNUMBER(AZ27),ISNUMBER(AU27)),IFERROR(AZ27/AU27-1,""),"")</f>
        <v>0.543859649122807</v>
      </c>
      <c r="BA31" s="25" t="n">
        <f aca="false">IF(AND(ISNUMBER(BA27),ISNUMBER(AV27)),IFERROR(BA27/AV27-1,""),"")</f>
        <v>0.151057401812689</v>
      </c>
      <c r="BB31" s="25" t="n">
        <f aca="false">IF(AND(ISNUMBER(BB27),ISNUMBER(AW27)),IFERROR(BB27/AW27-1,""),"")</f>
        <v>0.481435643564357</v>
      </c>
      <c r="BC31" s="25" t="n">
        <f aca="false">IF(AND(ISNUMBER(BC27),ISNUMBER(AX27)),IFERROR(BC27/AX27-1,""),"")</f>
        <v>0.106617647058824</v>
      </c>
      <c r="BD31" s="25" t="n">
        <f aca="false">IF(AND(ISNUMBER(BD27),ISNUMBER(AY27)),IFERROR(BD27/AY27-1,""),"")</f>
        <v>0.228571428571429</v>
      </c>
      <c r="BE31" s="25" t="n">
        <f aca="false">IF(AND(ISNUMBER(BE27),ISNUMBER(AZ27)),IFERROR(BE27/AZ27-1,""),"")</f>
        <v>0.462121212121212</v>
      </c>
      <c r="BF31" s="25" t="n">
        <f aca="false">IF(AND(ISNUMBER(BF27),ISNUMBER(BA27)),IFERROR(BF27/BA27-1,""),"")</f>
        <v>0.249343832020997</v>
      </c>
      <c r="BG31" s="25" t="n">
        <f aca="false">IF(AND(ISNUMBER(BG27),ISNUMBER(BB27)),IFERROR(BG27/BB27-1,""),"")</f>
        <v>0.258980785296575</v>
      </c>
      <c r="BH31" s="25" t="n">
        <f aca="false">IF(AND(ISNUMBER(BH27),ISNUMBER(BC27)),IFERROR(BH27/BC27-1,""),"")</f>
        <v>0.398671096345515</v>
      </c>
      <c r="BI31" s="25" t="n">
        <f aca="false">IF(AND(ISNUMBER(BI27),ISNUMBER(BD27)),IFERROR(BI27/BD27-1,""),"")</f>
        <v>0.255813953488372</v>
      </c>
      <c r="BJ31" s="25" t="n">
        <f aca="false">IF(AND(ISNUMBER(BJ27),ISNUMBER(BE27)),IFERROR(BJ27/BE27-1,""),"")</f>
        <v>0.212435233160622</v>
      </c>
      <c r="BK31" s="25" t="n">
        <f aca="false">IF(AND(ISNUMBER(BK27),ISNUMBER(BF27)),IFERROR(BK27/BF27-1,""),"")</f>
        <v>0.233193277310924</v>
      </c>
      <c r="BL31" s="25" t="n">
        <f aca="false">IF(AND(ISNUMBER(BL27),ISNUMBER(BG27)),IFERROR(BL27/BG27-1,""),"")</f>
        <v>0.266091572660916</v>
      </c>
      <c r="BM31" s="25" t="n">
        <f aca="false">IF(AND(ISNUMBER(BM27),ISNUMBER(BH27)),IFERROR(BM27/BH27-1,""),"")</f>
        <v>-0.0498812351543944</v>
      </c>
      <c r="BN31" s="25" t="n">
        <f aca="false">IF(AND(ISNUMBER(BN27),ISNUMBER(BI27)),IFERROR(BN27/BI27-1,""),"")</f>
        <v>0.0162037037037037</v>
      </c>
      <c r="BO31" s="25" t="n">
        <f aca="false">IF(AND(ISNUMBER(BO27),ISNUMBER(BJ27)),IFERROR(BO27/BJ27-1,""),"")</f>
        <v>-0.0363247863247863</v>
      </c>
      <c r="BP31" s="25" t="n">
        <f aca="false">IF(AND(ISNUMBER(BP27),ISNUMBER(BK27)),IFERROR(BP27/BK27-1,""),"")</f>
        <v>0.13458262350937</v>
      </c>
      <c r="BQ31" s="25" t="n">
        <f aca="false">IF(AND(ISNUMBER(BQ27),ISNUMBER(BL27)),IFERROR(BQ27/BL27-1,""),"")</f>
        <v>0.0246331236897275</v>
      </c>
      <c r="BR31" s="25" t="n">
        <f aca="false">IF(AND(ISNUMBER(BR27),ISNUMBER(BM27)),IFERROR(BR27/BM27-1,""),"")</f>
        <v>-0.00249999999999995</v>
      </c>
      <c r="BS31" s="25" t="n">
        <f aca="false">IF(AND(ISNUMBER(BS27),ISNUMBER(BN27)),IFERROR(BS27/BN27-1,""),"")</f>
        <v>-0.259681093394077</v>
      </c>
      <c r="BT31" s="25" t="n">
        <f aca="false">IF(AND(ISNUMBER(BT27),ISNUMBER(BO27)),IFERROR(BT27/BO27-1,""),"")</f>
        <v>-0.0487804878048781</v>
      </c>
      <c r="BU31" s="25" t="n">
        <f aca="false">IF(AND(ISNUMBER(BU27),ISNUMBER(BP27)),IFERROR(BU27/BP27-1,""),"")</f>
        <v>-0.124624624624625</v>
      </c>
      <c r="BV31" s="25" t="n">
        <f aca="false">IF(AND(ISNUMBER(BV27),ISNUMBER(BQ27)),IFERROR(BV27/BQ27-1,""),"")</f>
        <v>-0.112020460358056</v>
      </c>
      <c r="BW31" s="25" t="n">
        <f aca="false">IF(AND(ISNUMBER(BW27),ISNUMBER(BR27)),IFERROR(BW27/BR27-1,""),"")</f>
        <v>-0.110275689223058</v>
      </c>
      <c r="BX31" s="25" t="n">
        <f aca="false">IF(AND(ISNUMBER(BX27),ISNUMBER(BS27)),IFERROR(BX27/BS27-1,""),"")</f>
        <v>0.304615384615385</v>
      </c>
      <c r="BY31" s="26" t="n">
        <f aca="false">IFERROR(BY27/BT27-1,"")</f>
        <v>0.143419893691127</v>
      </c>
      <c r="BZ31" s="26" t="n">
        <f aca="false">IFERROR(BZ27/BU27-1,"")</f>
        <v>0.128692842626887</v>
      </c>
      <c r="CA31" s="26" t="n">
        <f aca="false">IFERROR(CA27/BV27-1,"")</f>
        <v>0.110342777445258</v>
      </c>
      <c r="CB31" s="26" t="n">
        <f aca="false">IFERROR(CB27/CA27-1,"")</f>
        <v>0.075633566659534</v>
      </c>
      <c r="CC31" s="26" t="n">
        <f aca="false">IFERROR(CC27/CB27-1,"")</f>
        <v>0.0760999999999998</v>
      </c>
      <c r="CD31" s="26" t="n">
        <f aca="false">IFERROR(CD27/CC27-1,"")</f>
        <v>0.0756862745098039</v>
      </c>
      <c r="CE31" s="26" t="n">
        <f aca="false">IFERROR(CE27/CD27-1,"")</f>
        <v>0.0752884615384615</v>
      </c>
      <c r="CF31" s="21"/>
      <c r="CN31" s="23" t="s">
        <v>143</v>
      </c>
      <c r="CO31" s="36" t="n">
        <f aca="false">CP31+$CO$29</f>
        <v>0.085</v>
      </c>
      <c r="CP31" s="32" t="n">
        <v>0.065</v>
      </c>
      <c r="CQ31" s="36" t="n">
        <f aca="false">CP31+$CQ$29</f>
        <v>0.045</v>
      </c>
    </row>
    <row r="32" customFormat="false" ht="15" hidden="false" customHeight="false" outlineLevel="0" collapsed="false">
      <c r="CN32" s="23" t="s">
        <v>144</v>
      </c>
      <c r="CO32" s="36" t="n">
        <f aca="false">CP32+$CO$29</f>
        <v>0.09</v>
      </c>
      <c r="CP32" s="32" t="n">
        <v>0.07</v>
      </c>
      <c r="CQ32" s="36" t="n">
        <f aca="false">CP32+$CQ$29</f>
        <v>0.05</v>
      </c>
    </row>
    <row r="33" customFormat="false" ht="15" hidden="false" customHeight="false" outlineLevel="0" collapsed="false">
      <c r="B33" s="12" t="s">
        <v>145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3" t="s">
        <v>146</v>
      </c>
      <c r="CN33" s="23" t="s">
        <v>147</v>
      </c>
      <c r="CO33" s="36" t="n">
        <f aca="false">CP33+$CO$29</f>
        <v>0.09</v>
      </c>
      <c r="CP33" s="32" t="n">
        <v>0.07</v>
      </c>
      <c r="CQ33" s="36" t="n">
        <f aca="false">CP33+$CQ$29</f>
        <v>0.05</v>
      </c>
    </row>
    <row r="34" customFormat="false" ht="15" hidden="false" customHeight="false" outlineLevel="0" collapsed="false">
      <c r="B34" s="17" t="s">
        <v>85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 t="n">
        <v>813.7</v>
      </c>
      <c r="P34" s="19" t="n">
        <v>855.1</v>
      </c>
      <c r="Q34" s="19" t="n">
        <v>811.8</v>
      </c>
      <c r="R34" s="19" t="n">
        <v>863</v>
      </c>
      <c r="S34" s="19" t="n">
        <v>3343.6</v>
      </c>
      <c r="T34" s="19" t="n">
        <v>785.2</v>
      </c>
      <c r="U34" s="19" t="n">
        <v>817.1</v>
      </c>
      <c r="V34" s="19" t="n">
        <v>776.9</v>
      </c>
      <c r="W34" s="19" t="n">
        <v>864.7</v>
      </c>
      <c r="X34" s="19" t="n">
        <v>3243.9</v>
      </c>
      <c r="Y34" s="19" t="n">
        <v>854.6</v>
      </c>
      <c r="Z34" s="19" t="n">
        <v>851.3</v>
      </c>
      <c r="AA34" s="19" t="n">
        <v>798.9</v>
      </c>
      <c r="AB34" s="19" t="n">
        <v>834.4</v>
      </c>
      <c r="AC34" s="19" t="n">
        <v>3339.2</v>
      </c>
      <c r="AD34" s="19" t="n">
        <v>866.4</v>
      </c>
      <c r="AE34" s="19" t="n">
        <v>861.8</v>
      </c>
      <c r="AF34" s="19" t="n">
        <v>843.7</v>
      </c>
      <c r="AG34" s="19" t="n">
        <v>914</v>
      </c>
      <c r="AH34" s="19" t="n">
        <v>3486</v>
      </c>
      <c r="AI34" s="19" t="n">
        <v>947</v>
      </c>
      <c r="AJ34" s="19" t="n">
        <v>932</v>
      </c>
      <c r="AK34" s="19" t="n">
        <v>894</v>
      </c>
      <c r="AL34" s="19" t="n">
        <v>951</v>
      </c>
      <c r="AM34" s="19" t="n">
        <v>3724</v>
      </c>
      <c r="AN34" s="19" t="n">
        <v>957</v>
      </c>
      <c r="AO34" s="19" t="n">
        <v>943</v>
      </c>
      <c r="AP34" s="19" t="n">
        <v>879</v>
      </c>
      <c r="AQ34" s="19" t="n">
        <v>939</v>
      </c>
      <c r="AR34" s="19" t="n">
        <v>3718</v>
      </c>
      <c r="AS34" s="19" t="n">
        <v>958</v>
      </c>
      <c r="AT34" s="19" t="n">
        <v>988</v>
      </c>
      <c r="AU34" s="19" t="n">
        <v>1430</v>
      </c>
      <c r="AV34" s="19" t="n">
        <v>1967</v>
      </c>
      <c r="AW34" s="19" t="n">
        <v>5343</v>
      </c>
      <c r="AX34" s="19" t="n">
        <v>1615</v>
      </c>
      <c r="AY34" s="19" t="n">
        <v>1235</v>
      </c>
      <c r="AZ34" s="19" t="n">
        <v>1362</v>
      </c>
      <c r="BA34" s="19" t="n">
        <v>1447</v>
      </c>
      <c r="BB34" s="19" t="n">
        <v>5659</v>
      </c>
      <c r="BC34" s="19" t="n">
        <v>1482</v>
      </c>
      <c r="BD34" s="19" t="n">
        <v>1101</v>
      </c>
      <c r="BE34" s="19" t="n">
        <v>1065</v>
      </c>
      <c r="BF34" s="19" t="n">
        <v>1115</v>
      </c>
      <c r="BG34" s="19" t="n">
        <v>4763</v>
      </c>
      <c r="BH34" s="19" t="n">
        <v>1108</v>
      </c>
      <c r="BI34" s="19" t="n">
        <v>1109</v>
      </c>
      <c r="BJ34" s="19" t="n">
        <v>1083</v>
      </c>
      <c r="BK34" s="19" t="n">
        <v>1105</v>
      </c>
      <c r="BL34" s="19" t="n">
        <v>4405</v>
      </c>
      <c r="BM34" s="19" t="n">
        <v>1109</v>
      </c>
      <c r="BN34" s="19" t="n">
        <v>1117</v>
      </c>
      <c r="BO34" s="19" t="n">
        <v>1129</v>
      </c>
      <c r="BP34" s="19" t="n">
        <v>1157</v>
      </c>
      <c r="BQ34" s="19" t="n">
        <v>4512</v>
      </c>
      <c r="BR34" s="19" t="n">
        <v>1148</v>
      </c>
      <c r="BS34" s="19" t="n">
        <v>1134</v>
      </c>
      <c r="BT34" s="19" t="n">
        <v>1174</v>
      </c>
      <c r="BU34" s="19" t="n">
        <v>1220</v>
      </c>
      <c r="BV34" s="19" t="n">
        <v>4676</v>
      </c>
      <c r="BW34" s="19" t="n">
        <v>1142</v>
      </c>
      <c r="BX34" s="19" t="n">
        <v>1205</v>
      </c>
      <c r="BY34" s="20" t="n">
        <f aca="false">BT34*(1+BY35)</f>
        <v>1170.81813053011</v>
      </c>
      <c r="BZ34" s="20" t="n">
        <f aca="false">BU34*(1+BZ35)</f>
        <v>1089.7427518529</v>
      </c>
      <c r="CA34" s="20" t="n">
        <f aca="false">SUM(BW34,BX34,BY34,BZ34)</f>
        <v>4607.56088238301</v>
      </c>
      <c r="CB34" s="20" t="n">
        <f aca="false">CA34*(1+CB35)</f>
        <v>4373.18683637596</v>
      </c>
      <c r="CC34" s="20" t="n">
        <f aca="false">CB34*(1+CC35)</f>
        <v>4591.84617819476</v>
      </c>
      <c r="CD34" s="20" t="n">
        <f aca="false">CC34*(1+CD35)</f>
        <v>4821.4384871045</v>
      </c>
      <c r="CE34" s="20" t="n">
        <f aca="false">CD34*(1+CE35)</f>
        <v>5062.51041145972</v>
      </c>
      <c r="CF34" s="21"/>
      <c r="CH34" s="22" t="n">
        <f aca="false">IFERROR((CE34/BV34)^(1/5)-1,"n/m")</f>
        <v>0.0160107086200116</v>
      </c>
      <c r="CI34" s="22" t="n">
        <f aca="false">IFERROR((BV34/AW34)^(1/5)-1,"n/m")</f>
        <v>-0.0263163764015874</v>
      </c>
      <c r="CJ34" s="22" t="n">
        <f aca="false">IFERROR((BV34/X34)^(1/10)-1,"n/m")</f>
        <v>0.0372434582574726</v>
      </c>
      <c r="CK34" s="22" t="str">
        <f aca="false">IFERROR((BV34/C34)^(1/19)-1,"n/m")</f>
        <v>n/m</v>
      </c>
      <c r="CN34" s="13" t="s">
        <v>148</v>
      </c>
      <c r="CO34" s="35" t="n">
        <v>0.025</v>
      </c>
      <c r="CP34" s="13" t="s">
        <v>140</v>
      </c>
      <c r="CQ34" s="35" t="n">
        <v>-0.025</v>
      </c>
      <c r="CR34" s="16" t="s">
        <v>149</v>
      </c>
    </row>
    <row r="35" customFormat="false" ht="15" hidden="false" customHeight="false" outlineLevel="0" collapsed="false">
      <c r="B35" s="23" t="s">
        <v>87</v>
      </c>
      <c r="C35" s="24"/>
      <c r="D35" s="25" t="str">
        <f aca="false">IF(AND(ISNUMBER(D34),ISNUMBER(C34)),IFERROR(D34/C34-1,""),"")</f>
        <v/>
      </c>
      <c r="E35" s="25" t="str">
        <f aca="false">IF(AND(ISNUMBER(E34),ISNUMBER(D34)),IFERROR(E34/D34-1,""),"")</f>
        <v/>
      </c>
      <c r="F35" s="25" t="str">
        <f aca="false">IF(AND(ISNUMBER(F34),ISNUMBER(E34)),IFERROR(F34/E34-1,""),"")</f>
        <v/>
      </c>
      <c r="G35" s="25" t="str">
        <f aca="false">IF(AND(ISNUMBER(G34),ISNUMBER(F34)),IFERROR(G34/F34-1,""),"")</f>
        <v/>
      </c>
      <c r="H35" s="25" t="str">
        <f aca="false">IF(AND(ISNUMBER(H34),ISNUMBER(G34)),IFERROR(H34/G34-1,""),"")</f>
        <v/>
      </c>
      <c r="I35" s="25" t="str">
        <f aca="false">IF(AND(ISNUMBER(I34),ISNUMBER(H34)),IFERROR(I34/H34-1,""),"")</f>
        <v/>
      </c>
      <c r="J35" s="24"/>
      <c r="K35" s="24"/>
      <c r="L35" s="24"/>
      <c r="M35" s="24"/>
      <c r="N35" s="25" t="str">
        <f aca="false">IF(AND(ISNUMBER(N34),ISNUMBER(I34)),IFERROR(N34/I34-1,""),"")</f>
        <v/>
      </c>
      <c r="O35" s="25" t="str">
        <f aca="false">IF(AND(ISNUMBER(O34),ISNUMBER(J34)),IFERROR(O34/J34-1,""),"")</f>
        <v/>
      </c>
      <c r="P35" s="25" t="str">
        <f aca="false">IF(AND(ISNUMBER(P34),ISNUMBER(K34)),IFERROR(P34/K34-1,""),"")</f>
        <v/>
      </c>
      <c r="Q35" s="25" t="str">
        <f aca="false">IF(AND(ISNUMBER(Q34),ISNUMBER(L34)),IFERROR(Q34/L34-1,""),"")</f>
        <v/>
      </c>
      <c r="R35" s="25" t="str">
        <f aca="false">IF(AND(ISNUMBER(R34),ISNUMBER(M34)),IFERROR(R34/M34-1,""),"")</f>
        <v/>
      </c>
      <c r="S35" s="25" t="str">
        <f aca="false">IF(AND(ISNUMBER(S34),ISNUMBER(N34)),IFERROR(S34/N34-1,""),"")</f>
        <v/>
      </c>
      <c r="T35" s="25" t="n">
        <f aca="false">IF(AND(ISNUMBER(T34),ISNUMBER(O34)),IFERROR(T34/O34-1,""),"")</f>
        <v>-0.0350251935602802</v>
      </c>
      <c r="U35" s="25" t="n">
        <f aca="false">IF(AND(ISNUMBER(U34),ISNUMBER(P34)),IFERROR(U34/P34-1,""),"")</f>
        <v>-0.0444392468717109</v>
      </c>
      <c r="V35" s="25" t="n">
        <f aca="false">IF(AND(ISNUMBER(V34),ISNUMBER(Q34)),IFERROR(V34/Q34-1,""),"")</f>
        <v>-0.0429908844542991</v>
      </c>
      <c r="W35" s="25" t="n">
        <f aca="false">IF(AND(ISNUMBER(W34),ISNUMBER(R34)),IFERROR(W34/R34-1,""),"")</f>
        <v>0.00196987253765935</v>
      </c>
      <c r="X35" s="25" t="n">
        <f aca="false">IF(AND(ISNUMBER(X34),ISNUMBER(S34)),IFERROR(X34/S34-1,""),"")</f>
        <v>-0.0298181600669936</v>
      </c>
      <c r="Y35" s="25" t="n">
        <f aca="false">IF(AND(ISNUMBER(Y34),ISNUMBER(T34)),IFERROR(Y34/T34-1,""),"")</f>
        <v>0.0883851248089658</v>
      </c>
      <c r="Z35" s="25" t="n">
        <f aca="false">IF(AND(ISNUMBER(Z34),ISNUMBER(U34)),IFERROR(Z34/U34-1,""),"")</f>
        <v>0.0418553420633949</v>
      </c>
      <c r="AA35" s="25" t="n">
        <f aca="false">IF(AND(ISNUMBER(AA34),ISNUMBER(V34)),IFERROR(AA34/V34-1,""),"")</f>
        <v>0.0283176728021624</v>
      </c>
      <c r="AB35" s="25" t="n">
        <f aca="false">IF(AND(ISNUMBER(AB34),ISNUMBER(W34)),IFERROR(AB34/W34-1,""),"")</f>
        <v>-0.0350410547010525</v>
      </c>
      <c r="AC35" s="25" t="n">
        <f aca="false">IF(AND(ISNUMBER(AC34),ISNUMBER(X34)),IFERROR(AC34/X34-1,""),"")</f>
        <v>0.0293782175776072</v>
      </c>
      <c r="AD35" s="25" t="n">
        <f aca="false">IF(AND(ISNUMBER(AD34),ISNUMBER(Y34)),IFERROR(AD34/Y34-1,""),"")</f>
        <v>0.0138076293002574</v>
      </c>
      <c r="AE35" s="25" t="n">
        <f aca="false">IF(AND(ISNUMBER(AE34),ISNUMBER(Z34)),IFERROR(AE34/Z34-1,""),"")</f>
        <v>0.012334077293551</v>
      </c>
      <c r="AF35" s="25" t="n">
        <f aca="false">IF(AND(ISNUMBER(AF34),ISNUMBER(AA34)),IFERROR(AF34/AA34-1,""),"")</f>
        <v>0.0560771060207788</v>
      </c>
      <c r="AG35" s="25" t="n">
        <f aca="false">IF(AND(ISNUMBER(AG34),ISNUMBER(AB34)),IFERROR(AG34/AB34-1,""),"")</f>
        <v>0.0953978906999042</v>
      </c>
      <c r="AH35" s="25" t="n">
        <f aca="false">IF(AND(ISNUMBER(AH34),ISNUMBER(AC34)),IFERROR(AH34/AC34-1,""),"")</f>
        <v>0.0439626257786296</v>
      </c>
      <c r="AI35" s="25" t="n">
        <f aca="false">IF(AND(ISNUMBER(AI34),ISNUMBER(AD34)),IFERROR(AI34/AD34-1,""),"")</f>
        <v>0.093028624192059</v>
      </c>
      <c r="AJ35" s="25" t="n">
        <f aca="false">IF(AND(ISNUMBER(AJ34),ISNUMBER(AE34)),IFERROR(AJ34/AE34-1,""),"")</f>
        <v>0.0814574147133906</v>
      </c>
      <c r="AK35" s="25" t="n">
        <f aca="false">IF(AND(ISNUMBER(AK34),ISNUMBER(AF34)),IFERROR(AK34/AF34-1,""),"")</f>
        <v>0.0596183477539409</v>
      </c>
      <c r="AL35" s="25" t="n">
        <f aca="false">IF(AND(ISNUMBER(AL34),ISNUMBER(AG34)),IFERROR(AL34/AG34-1,""),"")</f>
        <v>0.0404814004376368</v>
      </c>
      <c r="AM35" s="25" t="n">
        <f aca="false">IF(AND(ISNUMBER(AM34),ISNUMBER(AH34)),IFERROR(AM34/AH34-1,""),"")</f>
        <v>0.0682730923694779</v>
      </c>
      <c r="AN35" s="25" t="n">
        <f aca="false">IF(AND(ISNUMBER(AN34),ISNUMBER(AI34)),IFERROR(AN34/AI34-1,""),"")</f>
        <v>0.010559662090813</v>
      </c>
      <c r="AO35" s="25" t="n">
        <f aca="false">IF(AND(ISNUMBER(AO34),ISNUMBER(AJ34)),IFERROR(AO34/AJ34-1,""),"")</f>
        <v>0.0118025751072961</v>
      </c>
      <c r="AP35" s="25" t="n">
        <f aca="false">IF(AND(ISNUMBER(AP34),ISNUMBER(AK34)),IFERROR(AP34/AK34-1,""),"")</f>
        <v>-0.0167785234899329</v>
      </c>
      <c r="AQ35" s="25" t="n">
        <f aca="false">IF(AND(ISNUMBER(AQ34),ISNUMBER(AL34)),IFERROR(AQ34/AL34-1,""),"")</f>
        <v>-0.0126182965299685</v>
      </c>
      <c r="AR35" s="25" t="n">
        <f aca="false">IF(AND(ISNUMBER(AR34),ISNUMBER(AM34)),IFERROR(AR34/AM34-1,""),"")</f>
        <v>-0.00161117078410311</v>
      </c>
      <c r="AS35" s="25" t="n">
        <f aca="false">IF(AND(ISNUMBER(AS34),ISNUMBER(AN34)),IFERROR(AS34/AN34-1,""),"")</f>
        <v>0.00104493207941481</v>
      </c>
      <c r="AT35" s="25" t="n">
        <f aca="false">IF(AND(ISNUMBER(AT34),ISNUMBER(AO34)),IFERROR(AT34/AO34-1,""),"")</f>
        <v>0.0477200424178155</v>
      </c>
      <c r="AU35" s="25" t="n">
        <f aca="false">IF(AND(ISNUMBER(AU34),ISNUMBER(AP34)),IFERROR(AU34/AP34-1,""),"")</f>
        <v>0.626848691695108</v>
      </c>
      <c r="AV35" s="25" t="n">
        <f aca="false">IF(AND(ISNUMBER(AV34),ISNUMBER(AQ34)),IFERROR(AV34/AQ34-1,""),"")</f>
        <v>1.09478168264111</v>
      </c>
      <c r="AW35" s="25" t="n">
        <f aca="false">IF(AND(ISNUMBER(AW34),ISNUMBER(AR34)),IFERROR(AW34/AR34-1,""),"")</f>
        <v>0.437062937062937</v>
      </c>
      <c r="AX35" s="25" t="n">
        <f aca="false">IF(AND(ISNUMBER(AX34),ISNUMBER(AS34)),IFERROR(AX34/AS34-1,""),"")</f>
        <v>0.68580375782881</v>
      </c>
      <c r="AY35" s="25" t="n">
        <f aca="false">IF(AND(ISNUMBER(AY34),ISNUMBER(AT34)),IFERROR(AY34/AT34-1,""),"")</f>
        <v>0.25</v>
      </c>
      <c r="AZ35" s="25" t="n">
        <f aca="false">IF(AND(ISNUMBER(AZ34),ISNUMBER(AU34)),IFERROR(AZ34/AU34-1,""),"")</f>
        <v>-0.0475524475524476</v>
      </c>
      <c r="BA35" s="25" t="n">
        <f aca="false">IF(AND(ISNUMBER(BA34),ISNUMBER(AV34)),IFERROR(BA34/AV34-1,""),"")</f>
        <v>-0.264361972547026</v>
      </c>
      <c r="BB35" s="25" t="n">
        <f aca="false">IF(AND(ISNUMBER(BB34),ISNUMBER(AW34)),IFERROR(BB34/AW34-1,""),"")</f>
        <v>0.059142803668351</v>
      </c>
      <c r="BC35" s="25" t="n">
        <f aca="false">IF(AND(ISNUMBER(BC34),ISNUMBER(AX34)),IFERROR(BC34/AX34-1,""),"")</f>
        <v>-0.0823529411764706</v>
      </c>
      <c r="BD35" s="25" t="n">
        <f aca="false">IF(AND(ISNUMBER(BD34),ISNUMBER(AY34)),IFERROR(BD34/AY34-1,""),"")</f>
        <v>-0.108502024291498</v>
      </c>
      <c r="BE35" s="25" t="n">
        <f aca="false">IF(AND(ISNUMBER(BE34),ISNUMBER(AZ34)),IFERROR(BE34/AZ34-1,""),"")</f>
        <v>-0.218061674008811</v>
      </c>
      <c r="BF35" s="25" t="n">
        <f aca="false">IF(AND(ISNUMBER(BF34),ISNUMBER(BA34)),IFERROR(BF34/BA34-1,""),"")</f>
        <v>-0.229440221147201</v>
      </c>
      <c r="BG35" s="25" t="n">
        <f aca="false">IF(AND(ISNUMBER(BG34),ISNUMBER(BB34)),IFERROR(BG34/BB34-1,""),"")</f>
        <v>-0.158331860752783</v>
      </c>
      <c r="BH35" s="25" t="n">
        <f aca="false">IF(AND(ISNUMBER(BH34),ISNUMBER(BC34)),IFERROR(BH34/BC34-1,""),"")</f>
        <v>-0.252361673414305</v>
      </c>
      <c r="BI35" s="25" t="n">
        <f aca="false">IF(AND(ISNUMBER(BI34),ISNUMBER(BD34)),IFERROR(BI34/BD34-1,""),"")</f>
        <v>0.00726612170753871</v>
      </c>
      <c r="BJ35" s="25" t="n">
        <f aca="false">IF(AND(ISNUMBER(BJ34),ISNUMBER(BE34)),IFERROR(BJ34/BE34-1,""),"")</f>
        <v>0.0169014084507042</v>
      </c>
      <c r="BK35" s="25" t="n">
        <f aca="false">IF(AND(ISNUMBER(BK34),ISNUMBER(BF34)),IFERROR(BK34/BF34-1,""),"")</f>
        <v>-0.00896860986547088</v>
      </c>
      <c r="BL35" s="25" t="n">
        <f aca="false">IF(AND(ISNUMBER(BL34),ISNUMBER(BG34)),IFERROR(BL34/BG34-1,""),"")</f>
        <v>-0.0751627125761075</v>
      </c>
      <c r="BM35" s="25" t="n">
        <f aca="false">IF(AND(ISNUMBER(BM34),ISNUMBER(BH34)),IFERROR(BM34/BH34-1,""),"")</f>
        <v>0.000902527075812287</v>
      </c>
      <c r="BN35" s="25" t="n">
        <f aca="false">IF(AND(ISNUMBER(BN34),ISNUMBER(BI34)),IFERROR(BN34/BI34-1,""),"")</f>
        <v>0.00721370604147875</v>
      </c>
      <c r="BO35" s="25" t="n">
        <f aca="false">IF(AND(ISNUMBER(BO34),ISNUMBER(BJ34)),IFERROR(BO34/BJ34-1,""),"")</f>
        <v>0.0424746075715605</v>
      </c>
      <c r="BP35" s="25" t="n">
        <f aca="false">IF(AND(ISNUMBER(BP34),ISNUMBER(BK34)),IFERROR(BP34/BK34-1,""),"")</f>
        <v>0.0470588235294118</v>
      </c>
      <c r="BQ35" s="25" t="n">
        <f aca="false">IF(AND(ISNUMBER(BQ34),ISNUMBER(BL34)),IFERROR(BQ34/BL34-1,""),"")</f>
        <v>0.0242905788876278</v>
      </c>
      <c r="BR35" s="25" t="n">
        <f aca="false">IF(AND(ISNUMBER(BR34),ISNUMBER(BM34)),IFERROR(BR34/BM34-1,""),"")</f>
        <v>0.0351668169522092</v>
      </c>
      <c r="BS35" s="25" t="n">
        <f aca="false">IF(AND(ISNUMBER(BS34),ISNUMBER(BN34)),IFERROR(BS34/BN34-1,""),"")</f>
        <v>0.0152193375111906</v>
      </c>
      <c r="BT35" s="25" t="n">
        <f aca="false">IF(AND(ISNUMBER(BT34),ISNUMBER(BO34)),IFERROR(BT34/BO34-1,""),"")</f>
        <v>0.0398582816651905</v>
      </c>
      <c r="BU35" s="25" t="n">
        <f aca="false">IF(AND(ISNUMBER(BU34),ISNUMBER(BP34)),IFERROR(BU34/BP34-1,""),"")</f>
        <v>0.0544511668107173</v>
      </c>
      <c r="BV35" s="25" t="n">
        <f aca="false">IF(AND(ISNUMBER(BV34),ISNUMBER(BQ34)),IFERROR(BV34/BQ34-1,""),"")</f>
        <v>0.0363475177304964</v>
      </c>
      <c r="BW35" s="25" t="n">
        <f aca="false">IF(AND(ISNUMBER(BW34),ISNUMBER(BR34)),IFERROR(BW34/BR34-1,""),"")</f>
        <v>-0.00522648083623689</v>
      </c>
      <c r="BX35" s="25" t="n">
        <f aca="false">IF(AND(ISNUMBER(BX34),ISNUMBER(BS34)),IFERROR(BX34/BS34-1,""),"")</f>
        <v>0.062610229276896</v>
      </c>
      <c r="BY35" s="26" t="n">
        <f aca="false">BY36+BY37+BY38</f>
        <v>-0.00271028063874854</v>
      </c>
      <c r="BZ35" s="26" t="n">
        <f aca="false">BZ36+BZ37+BZ38</f>
        <v>-0.106768236186147</v>
      </c>
      <c r="CA35" s="26" t="n">
        <f aca="false">IFERROR(CA34/BV34-1,"")</f>
        <v>-0.0146362526982444</v>
      </c>
      <c r="CB35" s="26" t="n">
        <f aca="false">CB36+CB37+CB38</f>
        <v>-0.0508672705559201</v>
      </c>
      <c r="CC35" s="26" t="n">
        <f aca="false">CC36+CC37+CC38</f>
        <v>0.05</v>
      </c>
      <c r="CD35" s="26" t="n">
        <f aca="false">CD36+CD37+CD38</f>
        <v>0.05</v>
      </c>
      <c r="CE35" s="26" t="n">
        <f aca="false">CE36+CE37+CE38</f>
        <v>0.05</v>
      </c>
      <c r="CF35" s="21"/>
      <c r="CN35" s="23" t="s">
        <v>142</v>
      </c>
      <c r="CO35" s="36" t="n">
        <f aca="false">CP35+$CO$34</f>
        <v>0.075</v>
      </c>
      <c r="CP35" s="32" t="n">
        <v>0.05</v>
      </c>
      <c r="CQ35" s="36" t="n">
        <f aca="false">CP35+$CQ$34</f>
        <v>0.025</v>
      </c>
    </row>
    <row r="36" customFormat="false" ht="15" hidden="false" customHeight="false" outlineLevel="0" collapsed="false">
      <c r="B36" s="23" t="s">
        <v>93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8" t="n">
        <v>0.05</v>
      </c>
      <c r="BC36" s="28" t="n">
        <v>-0.07</v>
      </c>
      <c r="BD36" s="28" t="n">
        <v>-0.08</v>
      </c>
      <c r="BE36" s="28" t="n">
        <v>-0.19</v>
      </c>
      <c r="BF36" s="24"/>
      <c r="BG36" s="28" t="n">
        <v>-0.13</v>
      </c>
      <c r="BH36" s="28" t="n">
        <v>-0.28</v>
      </c>
      <c r="BI36" s="28" t="n">
        <v>-0.05</v>
      </c>
      <c r="BJ36" s="28" t="n">
        <v>-0.06</v>
      </c>
      <c r="BK36" s="24"/>
      <c r="BL36" s="28" t="n">
        <v>-0.13</v>
      </c>
      <c r="BM36" s="28" t="n">
        <v>0</v>
      </c>
      <c r="BN36" s="28" t="n">
        <v>0.01</v>
      </c>
      <c r="BO36" s="28" t="n">
        <v>0.04</v>
      </c>
      <c r="BP36" s="24"/>
      <c r="BQ36" s="28" t="n">
        <v>0.03</v>
      </c>
      <c r="BR36" s="28" t="n">
        <v>0.04</v>
      </c>
      <c r="BS36" s="28" t="n">
        <v>0</v>
      </c>
      <c r="BT36" s="28" t="n">
        <v>0.02</v>
      </c>
      <c r="BU36" s="24"/>
      <c r="BV36" s="28" t="n">
        <v>0.02</v>
      </c>
      <c r="BW36" s="28" t="n">
        <v>-0.03</v>
      </c>
      <c r="BX36" s="28" t="n">
        <v>0.05</v>
      </c>
      <c r="BY36" s="26" t="n">
        <f aca="false">$BX36+BY117</f>
        <v>0.0417153703712296</v>
      </c>
      <c r="BZ36" s="26" t="n">
        <f aca="false">$BX36+BZ117</f>
        <v>0.0417153703712296</v>
      </c>
      <c r="CA36" s="29"/>
      <c r="CB36" s="26" t="n">
        <f aca="false">CHOOSE(MATCH($CF$2,{"Bull","Base","Bear"},0),$CO$40,$CP$40,$CQ$40)</f>
        <v>0.045</v>
      </c>
      <c r="CC36" s="26" t="n">
        <f aca="false">CHOOSE(MATCH($CF$2,{"Bull","Base","Bear"},0),$CO$41,$CP$41,$CQ$41)</f>
        <v>0.05</v>
      </c>
      <c r="CD36" s="26" t="n">
        <f aca="false">CHOOSE(MATCH($CF$2,{"Bull","Base","Bear"},0),$CO$42,$CP$42,$CQ$42)</f>
        <v>0.05</v>
      </c>
      <c r="CE36" s="26" t="n">
        <f aca="false">CHOOSE(MATCH($CF$2,{"Bull","Base","Bear"},0),$CO$43,$CP$43,$CQ$43)</f>
        <v>0.05</v>
      </c>
      <c r="CF36" s="21" t="s">
        <v>150</v>
      </c>
      <c r="CN36" s="23" t="s">
        <v>143</v>
      </c>
      <c r="CO36" s="36" t="n">
        <f aca="false">CP36+$CO$34</f>
        <v>0.08</v>
      </c>
      <c r="CP36" s="32" t="n">
        <v>0.055</v>
      </c>
      <c r="CQ36" s="36" t="n">
        <f aca="false">CP36+$CQ$34</f>
        <v>0.03</v>
      </c>
    </row>
    <row r="37" customFormat="false" ht="15" hidden="false" customHeight="false" outlineLevel="0" collapsed="false">
      <c r="B37" s="23" t="s">
        <v>97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8" t="n">
        <v>0</v>
      </c>
      <c r="BC37" s="28" t="n">
        <v>0</v>
      </c>
      <c r="BD37" s="28" t="n">
        <v>0</v>
      </c>
      <c r="BE37" s="28" t="n">
        <v>0</v>
      </c>
      <c r="BF37" s="24"/>
      <c r="BG37" s="28" t="n">
        <v>0</v>
      </c>
      <c r="BH37" s="28" t="n">
        <v>0.04</v>
      </c>
      <c r="BI37" s="28" t="n">
        <v>0.06</v>
      </c>
      <c r="BJ37" s="28" t="n">
        <v>0.06</v>
      </c>
      <c r="BK37" s="24"/>
      <c r="BL37" s="28" t="n">
        <v>0.05</v>
      </c>
      <c r="BM37" s="28" t="n">
        <v>0</v>
      </c>
      <c r="BN37" s="28" t="n">
        <v>0</v>
      </c>
      <c r="BO37" s="28" t="n">
        <v>0</v>
      </c>
      <c r="BP37" s="24"/>
      <c r="BQ37" s="28" t="n">
        <v>0</v>
      </c>
      <c r="BR37" s="28" t="n">
        <v>0</v>
      </c>
      <c r="BS37" s="28" t="n">
        <v>0</v>
      </c>
      <c r="BT37" s="28" t="n">
        <v>0</v>
      </c>
      <c r="BU37" s="24"/>
      <c r="BV37" s="28" t="n">
        <v>0</v>
      </c>
      <c r="BW37" s="28" t="n">
        <v>0</v>
      </c>
      <c r="BX37" s="28" t="n">
        <v>0</v>
      </c>
      <c r="BY37" s="26" t="n">
        <f aca="false">BY80/BT34</f>
        <v>-0.0394256510099781</v>
      </c>
      <c r="BZ37" s="26" t="n">
        <f aca="false">BZ80/BU34</f>
        <v>-0.140983606557377</v>
      </c>
      <c r="CA37" s="29"/>
      <c r="CB37" s="26" t="n">
        <f aca="false">-CA78/CA34</f>
        <v>-0.0958672705559201</v>
      </c>
      <c r="CC37" s="31" t="n">
        <v>0</v>
      </c>
      <c r="CD37" s="31" t="n">
        <v>0</v>
      </c>
      <c r="CE37" s="31" t="n">
        <v>0</v>
      </c>
      <c r="CF37" s="21" t="s">
        <v>151</v>
      </c>
      <c r="CN37" s="23" t="s">
        <v>144</v>
      </c>
      <c r="CO37" s="36" t="n">
        <f aca="false">CP37+$CO$34</f>
        <v>0.08</v>
      </c>
      <c r="CP37" s="32" t="n">
        <v>0.055</v>
      </c>
      <c r="CQ37" s="36" t="n">
        <f aca="false">CP37+$CQ$34</f>
        <v>0.03</v>
      </c>
    </row>
    <row r="38" customFormat="false" ht="15" hidden="false" customHeight="false" outlineLevel="0" collapsed="false">
      <c r="B38" s="23" t="s">
        <v>101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8" t="n">
        <v>0.01</v>
      </c>
      <c r="BC38" s="28" t="n">
        <v>-0.01</v>
      </c>
      <c r="BD38" s="28" t="n">
        <v>-0.03</v>
      </c>
      <c r="BE38" s="28" t="n">
        <v>-0.03</v>
      </c>
      <c r="BF38" s="24"/>
      <c r="BG38" s="28" t="n">
        <v>-0.03</v>
      </c>
      <c r="BH38" s="28" t="n">
        <v>-0.01</v>
      </c>
      <c r="BI38" s="28" t="n">
        <v>0</v>
      </c>
      <c r="BJ38" s="28" t="n">
        <v>0.01</v>
      </c>
      <c r="BK38" s="24"/>
      <c r="BL38" s="28" t="n">
        <v>0</v>
      </c>
      <c r="BM38" s="28" t="n">
        <v>0</v>
      </c>
      <c r="BN38" s="28" t="n">
        <v>-0.01</v>
      </c>
      <c r="BO38" s="28" t="n">
        <v>0</v>
      </c>
      <c r="BP38" s="24"/>
      <c r="BQ38" s="28" t="n">
        <v>0</v>
      </c>
      <c r="BR38" s="28" t="n">
        <v>-0.01</v>
      </c>
      <c r="BS38" s="28" t="n">
        <v>0.01</v>
      </c>
      <c r="BT38" s="28" t="n">
        <v>0.02</v>
      </c>
      <c r="BU38" s="24"/>
      <c r="BV38" s="28" t="n">
        <v>0.01</v>
      </c>
      <c r="BW38" s="28" t="n">
        <v>0.03</v>
      </c>
      <c r="BX38" s="28" t="n">
        <v>0.01</v>
      </c>
      <c r="BY38" s="26" t="n">
        <f aca="false">BY113</f>
        <v>-0.005</v>
      </c>
      <c r="BZ38" s="26" t="n">
        <f aca="false">BZ113</f>
        <v>-0.0075</v>
      </c>
      <c r="CA38" s="29"/>
      <c r="CB38" s="26" t="n">
        <f aca="false">CB113</f>
        <v>0</v>
      </c>
      <c r="CC38" s="26" t="n">
        <f aca="false">CC113</f>
        <v>0</v>
      </c>
      <c r="CD38" s="26" t="n">
        <f aca="false">CD113</f>
        <v>0</v>
      </c>
      <c r="CE38" s="26" t="n">
        <f aca="false">CE113</f>
        <v>0</v>
      </c>
      <c r="CF38" s="21"/>
      <c r="CN38" s="23" t="s">
        <v>147</v>
      </c>
      <c r="CO38" s="36" t="n">
        <f aca="false">CP38+$CO$34</f>
        <v>0.08</v>
      </c>
      <c r="CP38" s="32" t="n">
        <v>0.055</v>
      </c>
      <c r="CQ38" s="36" t="n">
        <f aca="false">CP38+$CQ$34</f>
        <v>0.03</v>
      </c>
    </row>
    <row r="39" customFormat="false" ht="15" hidden="false" customHeight="false" outlineLevel="0" collapsed="false">
      <c r="B39" s="17" t="s">
        <v>105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 t="n">
        <v>221</v>
      </c>
      <c r="P39" s="19" t="n">
        <v>236.4</v>
      </c>
      <c r="Q39" s="19" t="n">
        <v>224.3</v>
      </c>
      <c r="R39" s="19" t="n">
        <v>234.3</v>
      </c>
      <c r="S39" s="19" t="n">
        <v>916</v>
      </c>
      <c r="T39" s="19" t="n">
        <v>214.1</v>
      </c>
      <c r="U39" s="19" t="n">
        <v>227.2</v>
      </c>
      <c r="V39" s="19" t="n">
        <v>204.9</v>
      </c>
      <c r="W39" s="19" t="n">
        <v>226.7</v>
      </c>
      <c r="X39" s="19" t="n">
        <v>872.9</v>
      </c>
      <c r="Y39" s="19" t="n">
        <v>230.1</v>
      </c>
      <c r="Z39" s="19" t="n">
        <v>237.9</v>
      </c>
      <c r="AA39" s="19" t="n">
        <v>214.4</v>
      </c>
      <c r="AB39" s="19" t="n">
        <v>227.4</v>
      </c>
      <c r="AC39" s="19" t="n">
        <v>909.8</v>
      </c>
      <c r="AD39" s="19" t="n">
        <v>233.9</v>
      </c>
      <c r="AE39" s="19" t="n">
        <v>235</v>
      </c>
      <c r="AF39" s="19" t="n">
        <v>218.8</v>
      </c>
      <c r="AG39" s="19" t="n">
        <v>242</v>
      </c>
      <c r="AH39" s="19" t="n">
        <v>930</v>
      </c>
      <c r="AI39" s="19" t="n">
        <v>243</v>
      </c>
      <c r="AJ39" s="19" t="n">
        <v>253</v>
      </c>
      <c r="AK39" s="19" t="n">
        <v>223</v>
      </c>
      <c r="AL39" s="19" t="n">
        <v>233</v>
      </c>
      <c r="AM39" s="19" t="n">
        <v>952</v>
      </c>
      <c r="AN39" s="19" t="n">
        <v>242</v>
      </c>
      <c r="AO39" s="19" t="n">
        <v>242</v>
      </c>
      <c r="AP39" s="19" t="n">
        <v>223</v>
      </c>
      <c r="AQ39" s="19" t="n">
        <v>223</v>
      </c>
      <c r="AR39" s="19" t="n">
        <v>930</v>
      </c>
      <c r="AS39" s="19" t="n">
        <v>236</v>
      </c>
      <c r="AT39" s="19" t="n">
        <v>214</v>
      </c>
      <c r="AU39" s="19" t="n">
        <v>398</v>
      </c>
      <c r="AV39" s="19" t="n">
        <v>520</v>
      </c>
      <c r="AW39" s="19" t="n">
        <v>1368</v>
      </c>
      <c r="AX39" s="19" t="n">
        <v>428</v>
      </c>
      <c r="AY39" s="19" t="n">
        <v>245</v>
      </c>
      <c r="AZ39" s="19" t="n">
        <v>310</v>
      </c>
      <c r="BA39" s="19" t="n">
        <v>297</v>
      </c>
      <c r="BB39" s="19" t="n">
        <v>1280</v>
      </c>
      <c r="BC39" s="19" t="n">
        <v>353</v>
      </c>
      <c r="BD39" s="19" t="n">
        <v>243</v>
      </c>
      <c r="BE39" s="19" t="n">
        <v>220</v>
      </c>
      <c r="BF39" s="19" t="n">
        <v>208</v>
      </c>
      <c r="BG39" s="19" t="n">
        <v>1024</v>
      </c>
      <c r="BH39" s="19" t="n">
        <v>280</v>
      </c>
      <c r="BI39" s="19" t="n">
        <v>297</v>
      </c>
      <c r="BJ39" s="19" t="n">
        <v>283</v>
      </c>
      <c r="BK39" s="19" t="n">
        <v>264</v>
      </c>
      <c r="BL39" s="19" t="n">
        <v>1124</v>
      </c>
      <c r="BM39" s="19" t="n">
        <v>294</v>
      </c>
      <c r="BN39" s="19" t="n">
        <v>299</v>
      </c>
      <c r="BO39" s="19" t="n">
        <v>293</v>
      </c>
      <c r="BP39" s="19" t="n">
        <v>273</v>
      </c>
      <c r="BQ39" s="19" t="n">
        <v>1159</v>
      </c>
      <c r="BR39" s="19" t="n">
        <v>304</v>
      </c>
      <c r="BS39" s="19" t="n">
        <v>306</v>
      </c>
      <c r="BT39" s="19" t="n">
        <v>321</v>
      </c>
      <c r="BU39" s="19" t="n">
        <v>324</v>
      </c>
      <c r="BV39" s="19" t="n">
        <v>1256</v>
      </c>
      <c r="BW39" s="19" t="n">
        <v>313</v>
      </c>
      <c r="BX39" s="19" t="n">
        <v>334</v>
      </c>
      <c r="BY39" s="20" t="n">
        <f aca="false">BY34*BY41</f>
        <v>341.695449738566</v>
      </c>
      <c r="BZ39" s="20" t="n">
        <f aca="false">BZ34*BZ41</f>
        <v>309.479203465515</v>
      </c>
      <c r="CA39" s="20" t="n">
        <f aca="false">SUM(BW39,BX39,BY39,BZ39)</f>
        <v>1298.17465320408</v>
      </c>
      <c r="CB39" s="20" t="n">
        <f aca="false">CB34*CB41</f>
        <v>1250.73143520352</v>
      </c>
      <c r="CC39" s="20" t="n">
        <f aca="false">CC34*CC41</f>
        <v>1331.63539167648</v>
      </c>
      <c r="CD39" s="20" t="n">
        <f aca="false">CD34*CD41</f>
        <v>1417.50291520872</v>
      </c>
      <c r="CE39" s="20" t="n">
        <f aca="false">CE34*CE41</f>
        <v>1508.628102615</v>
      </c>
      <c r="CF39" s="21"/>
      <c r="CH39" s="22" t="n">
        <f aca="false">IFERROR((CE39/BV39)^(1/5)-1,"n/m")</f>
        <v>0.0373337566177556</v>
      </c>
      <c r="CI39" s="22" t="n">
        <f aca="false">IFERROR((BV39/AW39)^(1/5)-1,"n/m")</f>
        <v>-0.0169384538155293</v>
      </c>
      <c r="CJ39" s="22" t="n">
        <f aca="false">IFERROR((BV39/X39)^(1/10)-1,"n/m")</f>
        <v>0.0370567309284282</v>
      </c>
      <c r="CK39" s="22" t="str">
        <f aca="false">IFERROR((BV39/C39)^(1/19)-1,"n/m")</f>
        <v>n/m</v>
      </c>
      <c r="CN39" s="13" t="s">
        <v>152</v>
      </c>
      <c r="CO39" s="35" t="n">
        <v>0.015</v>
      </c>
      <c r="CP39" s="13" t="s">
        <v>140</v>
      </c>
      <c r="CQ39" s="35" t="n">
        <v>-0.015</v>
      </c>
      <c r="CR39" s="16" t="s">
        <v>153</v>
      </c>
    </row>
    <row r="40" customFormat="false" ht="15" hidden="false" customHeight="false" outlineLevel="1" collapsed="false">
      <c r="B40" s="23" t="s">
        <v>108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6" t="n">
        <f aca="false">BT41+(BW39+BX39)/(BW34+BX34)-(BR39+BS39)/(BR34+BS34)</f>
        <v>0.281785882512218</v>
      </c>
      <c r="BZ40" s="26" t="n">
        <f aca="false">BU41+(BW39+BX39)/(BW34+BX34)-(BR39+BS39)/(BR34+BS34)</f>
        <v>0.27393546220334</v>
      </c>
      <c r="CA40" s="29"/>
      <c r="CB40" s="29"/>
      <c r="CC40" s="29"/>
      <c r="CD40" s="29"/>
      <c r="CE40" s="29"/>
      <c r="CF40" s="21" t="s">
        <v>109</v>
      </c>
      <c r="CN40" s="23" t="s">
        <v>142</v>
      </c>
      <c r="CO40" s="36" t="n">
        <f aca="false">CP40+$CO$39</f>
        <v>0.06</v>
      </c>
      <c r="CP40" s="32" t="n">
        <v>0.045</v>
      </c>
      <c r="CQ40" s="36" t="n">
        <f aca="false">CP40+$CQ$39</f>
        <v>0.03</v>
      </c>
    </row>
    <row r="41" customFormat="false" ht="15" hidden="false" customHeight="false" outlineLevel="0" collapsed="false">
      <c r="B41" s="23" t="s">
        <v>112</v>
      </c>
      <c r="C41" s="25" t="str">
        <f aca="false">IF(AND(ISNUMBER(C39),ISNUMBER(C34)),C39/C34,"")</f>
        <v/>
      </c>
      <c r="D41" s="25" t="str">
        <f aca="false">IF(AND(ISNUMBER(D39),ISNUMBER(D34)),D39/D34,"")</f>
        <v/>
      </c>
      <c r="E41" s="25" t="str">
        <f aca="false">IF(AND(ISNUMBER(E39),ISNUMBER(E34)),E39/E34,"")</f>
        <v/>
      </c>
      <c r="F41" s="25" t="str">
        <f aca="false">IF(AND(ISNUMBER(F39),ISNUMBER(F34)),F39/F34,"")</f>
        <v/>
      </c>
      <c r="G41" s="25" t="str">
        <f aca="false">IF(AND(ISNUMBER(G39),ISNUMBER(G34)),G39/G34,"")</f>
        <v/>
      </c>
      <c r="H41" s="25" t="str">
        <f aca="false">IF(AND(ISNUMBER(H39),ISNUMBER(H34)),H39/H34,"")</f>
        <v/>
      </c>
      <c r="I41" s="25" t="str">
        <f aca="false">IF(AND(ISNUMBER(I39),ISNUMBER(I34)),I39/I34,"")</f>
        <v/>
      </c>
      <c r="J41" s="25" t="str">
        <f aca="false">IF(AND(ISNUMBER(J39),ISNUMBER(J34)),J39/J34,"")</f>
        <v/>
      </c>
      <c r="K41" s="25" t="str">
        <f aca="false">IF(AND(ISNUMBER(K39),ISNUMBER(K34)),K39/K34,"")</f>
        <v/>
      </c>
      <c r="L41" s="25" t="str">
        <f aca="false">IF(AND(ISNUMBER(L39),ISNUMBER(L34)),L39/L34,"")</f>
        <v/>
      </c>
      <c r="M41" s="25" t="str">
        <f aca="false">IF(AND(ISNUMBER(M39),ISNUMBER(M34)),M39/M34,"")</f>
        <v/>
      </c>
      <c r="N41" s="25" t="str">
        <f aca="false">IF(AND(ISNUMBER(N39),ISNUMBER(N34)),N39/N34,"")</f>
        <v/>
      </c>
      <c r="O41" s="25" t="n">
        <f aca="false">IF(AND(ISNUMBER(O39),ISNUMBER(O34)),O39/O34,"")</f>
        <v>0.271598869362173</v>
      </c>
      <c r="P41" s="25" t="n">
        <f aca="false">IF(AND(ISNUMBER(P39),ISNUMBER(P34)),P39/P34,"")</f>
        <v>0.276458893696644</v>
      </c>
      <c r="Q41" s="25" t="n">
        <f aca="false">IF(AND(ISNUMBER(Q39),ISNUMBER(Q34)),Q39/Q34,"")</f>
        <v>0.27629958117763</v>
      </c>
      <c r="R41" s="25" t="n">
        <f aca="false">IF(AND(ISNUMBER(R39),ISNUMBER(R34)),R39/R34,"")</f>
        <v>0.271494785631518</v>
      </c>
      <c r="S41" s="25" t="n">
        <f aca="false">IF(AND(ISNUMBER(S39),ISNUMBER(S34)),S39/S34,"")</f>
        <v>0.273956214858237</v>
      </c>
      <c r="T41" s="25" t="n">
        <f aca="false">IF(AND(ISNUMBER(T39),ISNUMBER(T34)),T39/T34,"")</f>
        <v>0.272669383596536</v>
      </c>
      <c r="U41" s="25" t="n">
        <f aca="false">IF(AND(ISNUMBER(U39),ISNUMBER(U34)),U39/U34,"")</f>
        <v>0.278056541426998</v>
      </c>
      <c r="V41" s="25" t="n">
        <f aca="false">IF(AND(ISNUMBER(V39),ISNUMBER(V34)),V39/V34,"")</f>
        <v>0.263740507143777</v>
      </c>
      <c r="W41" s="25" t="n">
        <f aca="false">IF(AND(ISNUMBER(W39),ISNUMBER(W34)),W39/W34,"")</f>
        <v>0.262171851509194</v>
      </c>
      <c r="X41" s="25" t="n">
        <f aca="false">IF(AND(ISNUMBER(X39),ISNUMBER(X34)),X39/X34,"")</f>
        <v>0.269089676007275</v>
      </c>
      <c r="Y41" s="25" t="n">
        <f aca="false">IF(AND(ISNUMBER(Y39),ISNUMBER(Y34)),Y39/Y34,"")</f>
        <v>0.26924877135502</v>
      </c>
      <c r="Z41" s="25" t="n">
        <f aca="false">IF(AND(ISNUMBER(Z39),ISNUMBER(Z34)),Z39/Z34,"")</f>
        <v>0.279454951251028</v>
      </c>
      <c r="AA41" s="25" t="n">
        <f aca="false">IF(AND(ISNUMBER(AA39),ISNUMBER(AA34)),AA39/AA34,"")</f>
        <v>0.268369007385155</v>
      </c>
      <c r="AB41" s="25" t="n">
        <f aca="false">IF(AND(ISNUMBER(AB39),ISNUMBER(AB34)),AB39/AB34,"")</f>
        <v>0.272531160115053</v>
      </c>
      <c r="AC41" s="25" t="n">
        <f aca="false">IF(AND(ISNUMBER(AC39),ISNUMBER(AC34)),AC39/AC34,"")</f>
        <v>0.272460469573551</v>
      </c>
      <c r="AD41" s="25" t="n">
        <f aca="false">IF(AND(ISNUMBER(AD39),ISNUMBER(AD34)),AD39/AD34,"")</f>
        <v>0.269967682363804</v>
      </c>
      <c r="AE41" s="25" t="n">
        <f aca="false">IF(AND(ISNUMBER(AE39),ISNUMBER(AE34)),AE39/AE34,"")</f>
        <v>0.272685077744256</v>
      </c>
      <c r="AF41" s="25" t="n">
        <f aca="false">IF(AND(ISNUMBER(AF39),ISNUMBER(AF34)),AF39/AF34,"")</f>
        <v>0.259333886452531</v>
      </c>
      <c r="AG41" s="25" t="n">
        <f aca="false">IF(AND(ISNUMBER(AG39),ISNUMBER(AG34)),AG39/AG34,"")</f>
        <v>0.264770240700219</v>
      </c>
      <c r="AH41" s="25" t="n">
        <f aca="false">IF(AND(ISNUMBER(AH39),ISNUMBER(AH34)),AH39/AH34,"")</f>
        <v>0.266781411359725</v>
      </c>
      <c r="AI41" s="25" t="n">
        <f aca="false">IF(AND(ISNUMBER(AI39),ISNUMBER(AI34)),AI39/AI34,"")</f>
        <v>0.256599788806758</v>
      </c>
      <c r="AJ41" s="25" t="n">
        <f aca="false">IF(AND(ISNUMBER(AJ39),ISNUMBER(AJ34)),AJ39/AJ34,"")</f>
        <v>0.271459227467811</v>
      </c>
      <c r="AK41" s="25" t="n">
        <f aca="false">IF(AND(ISNUMBER(AK39),ISNUMBER(AK34)),AK39/AK34,"")</f>
        <v>0.249440715883669</v>
      </c>
      <c r="AL41" s="25" t="n">
        <f aca="false">IF(AND(ISNUMBER(AL39),ISNUMBER(AL34)),AL39/AL34,"")</f>
        <v>0.245005257623554</v>
      </c>
      <c r="AM41" s="25" t="n">
        <f aca="false">IF(AND(ISNUMBER(AM39),ISNUMBER(AM34)),AM39/AM34,"")</f>
        <v>0.255639097744361</v>
      </c>
      <c r="AN41" s="25" t="n">
        <f aca="false">IF(AND(ISNUMBER(AN39),ISNUMBER(AN34)),AN39/AN34,"")</f>
        <v>0.252873563218391</v>
      </c>
      <c r="AO41" s="25" t="n">
        <f aca="false">IF(AND(ISNUMBER(AO39),ISNUMBER(AO34)),AO39/AO34,"")</f>
        <v>0.256627783669141</v>
      </c>
      <c r="AP41" s="25" t="n">
        <f aca="false">IF(AND(ISNUMBER(AP39),ISNUMBER(AP34)),AP39/AP34,"")</f>
        <v>0.253697383390216</v>
      </c>
      <c r="AQ41" s="25" t="n">
        <f aca="false">IF(AND(ISNUMBER(AQ39),ISNUMBER(AQ34)),AQ39/AQ34,"")</f>
        <v>0.237486687965921</v>
      </c>
      <c r="AR41" s="25" t="n">
        <f aca="false">IF(AND(ISNUMBER(AR39),ISNUMBER(AR34)),AR39/AR34,"")</f>
        <v>0.250134480903712</v>
      </c>
      <c r="AS41" s="25" t="n">
        <f aca="false">IF(AND(ISNUMBER(AS39),ISNUMBER(AS34)),AS39/AS34,"")</f>
        <v>0.246346555323591</v>
      </c>
      <c r="AT41" s="25" t="n">
        <f aca="false">IF(AND(ISNUMBER(AT39),ISNUMBER(AT34)),AT39/AT34,"")</f>
        <v>0.216599190283401</v>
      </c>
      <c r="AU41" s="25" t="n">
        <f aca="false">IF(AND(ISNUMBER(AU39),ISNUMBER(AU34)),AU39/AU34,"")</f>
        <v>0.278321678321678</v>
      </c>
      <c r="AV41" s="25" t="n">
        <f aca="false">IF(AND(ISNUMBER(AV39),ISNUMBER(AV34)),AV39/AV34,"")</f>
        <v>0.264361972547026</v>
      </c>
      <c r="AW41" s="25" t="n">
        <f aca="false">IF(AND(ISNUMBER(AW39),ISNUMBER(AW34)),AW39/AW34,"")</f>
        <v>0.256035934868052</v>
      </c>
      <c r="AX41" s="25" t="n">
        <f aca="false">IF(AND(ISNUMBER(AX39),ISNUMBER(AX34)),AX39/AX34,"")</f>
        <v>0.265015479876161</v>
      </c>
      <c r="AY41" s="25" t="n">
        <f aca="false">IF(AND(ISNUMBER(AY39),ISNUMBER(AY34)),AY39/AY34,"")</f>
        <v>0.198380566801619</v>
      </c>
      <c r="AZ41" s="25" t="n">
        <f aca="false">IF(AND(ISNUMBER(AZ39),ISNUMBER(AZ34)),AZ39/AZ34,"")</f>
        <v>0.227606461086637</v>
      </c>
      <c r="BA41" s="25" t="n">
        <f aca="false">IF(AND(ISNUMBER(BA39),ISNUMBER(BA34)),BA39/BA34,"")</f>
        <v>0.205252246026261</v>
      </c>
      <c r="BB41" s="25" t="n">
        <f aca="false">IF(AND(ISNUMBER(BB39),ISNUMBER(BB34)),BB39/BB34,"")</f>
        <v>0.226188372503976</v>
      </c>
      <c r="BC41" s="25" t="n">
        <f aca="false">IF(AND(ISNUMBER(BC39),ISNUMBER(BC34)),BC39/BC34,"")</f>
        <v>0.238191632928475</v>
      </c>
      <c r="BD41" s="25" t="n">
        <f aca="false">IF(AND(ISNUMBER(BD39),ISNUMBER(BD34)),BD39/BD34,"")</f>
        <v>0.220708446866485</v>
      </c>
      <c r="BE41" s="25" t="n">
        <f aca="false">IF(AND(ISNUMBER(BE39),ISNUMBER(BE34)),BE39/BE34,"")</f>
        <v>0.206572769953052</v>
      </c>
      <c r="BF41" s="25" t="n">
        <f aca="false">IF(AND(ISNUMBER(BF39),ISNUMBER(BF34)),BF39/BF34,"")</f>
        <v>0.186547085201794</v>
      </c>
      <c r="BG41" s="25" t="n">
        <f aca="false">IF(AND(ISNUMBER(BG39),ISNUMBER(BG34)),BG39/BG34,"")</f>
        <v>0.214990552173</v>
      </c>
      <c r="BH41" s="25" t="n">
        <f aca="false">IF(AND(ISNUMBER(BH39),ISNUMBER(BH34)),BH39/BH34,"")</f>
        <v>0.252707581227437</v>
      </c>
      <c r="BI41" s="25" t="n">
        <f aca="false">IF(AND(ISNUMBER(BI39),ISNUMBER(BI34)),BI39/BI34,"")</f>
        <v>0.267808836789901</v>
      </c>
      <c r="BJ41" s="25" t="n">
        <f aca="false">IF(AND(ISNUMBER(BJ39),ISNUMBER(BJ34)),BJ39/BJ34,"")</f>
        <v>0.261311172668513</v>
      </c>
      <c r="BK41" s="25" t="n">
        <f aca="false">IF(AND(ISNUMBER(BK39),ISNUMBER(BK34)),BK39/BK34,"")</f>
        <v>0.238914027149321</v>
      </c>
      <c r="BL41" s="25" t="n">
        <f aca="false">IF(AND(ISNUMBER(BL39),ISNUMBER(BL34)),BL39/BL34,"")</f>
        <v>0.25516458569807</v>
      </c>
      <c r="BM41" s="25" t="n">
        <f aca="false">IF(AND(ISNUMBER(BM39),ISNUMBER(BM34)),BM39/BM34,"")</f>
        <v>0.265103697024346</v>
      </c>
      <c r="BN41" s="25" t="n">
        <f aca="false">IF(AND(ISNUMBER(BN39),ISNUMBER(BN34)),BN39/BN34,"")</f>
        <v>0.267681289167413</v>
      </c>
      <c r="BO41" s="25" t="n">
        <f aca="false">IF(AND(ISNUMBER(BO39),ISNUMBER(BO34)),BO39/BO34,"")</f>
        <v>0.259521700620018</v>
      </c>
      <c r="BP41" s="25" t="n">
        <f aca="false">IF(AND(ISNUMBER(BP39),ISNUMBER(BP34)),BP39/BP34,"")</f>
        <v>0.235955056179775</v>
      </c>
      <c r="BQ41" s="25" t="n">
        <f aca="false">IF(AND(ISNUMBER(BQ39),ISNUMBER(BQ34)),BQ39/BQ34,"")</f>
        <v>0.256870567375887</v>
      </c>
      <c r="BR41" s="25" t="n">
        <f aca="false">IF(AND(ISNUMBER(BR39),ISNUMBER(BR34)),BR39/BR34,"")</f>
        <v>0.264808362369338</v>
      </c>
      <c r="BS41" s="25" t="n">
        <f aca="false">IF(AND(ISNUMBER(BS39),ISNUMBER(BS34)),BS39/BS34,"")</f>
        <v>0.26984126984127</v>
      </c>
      <c r="BT41" s="25" t="n">
        <f aca="false">IF(AND(ISNUMBER(BT39),ISNUMBER(BT34)),BT39/BT34,"")</f>
        <v>0.273424190800681</v>
      </c>
      <c r="BU41" s="25" t="n">
        <f aca="false">IF(AND(ISNUMBER(BU39),ISNUMBER(BU34)),BU39/BU34,"")</f>
        <v>0.265573770491803</v>
      </c>
      <c r="BV41" s="25" t="n">
        <f aca="false">IF(AND(ISNUMBER(BV39),ISNUMBER(BV34)),BV39/BV34,"")</f>
        <v>0.268605645851155</v>
      </c>
      <c r="BW41" s="25" t="n">
        <f aca="false">IF(AND(ISNUMBER(BW39),ISNUMBER(BW34)),BW39/BW34,"")</f>
        <v>0.274080560420315</v>
      </c>
      <c r="BX41" s="25" t="n">
        <f aca="false">IF(AND(ISNUMBER(BX39),ISNUMBER(BX34)),BX39/BX34,"")</f>
        <v>0.277178423236515</v>
      </c>
      <c r="BY41" s="26" t="n">
        <f aca="false">BY40+BY122</f>
        <v>0.291843319494769</v>
      </c>
      <c r="BZ41" s="26" t="n">
        <f aca="false">BZ40+BZ122</f>
        <v>0.28399289918589</v>
      </c>
      <c r="CA41" s="26" t="n">
        <f aca="false">IFERROR(CA39/CA34,"")</f>
        <v>0.281748779092133</v>
      </c>
      <c r="CB41" s="26" t="n">
        <f aca="false">CHOOSE(MATCH($CF$2,{"Bull","Base","Bear"},0),$CO$60,$CP$60,$CQ$60)</f>
        <v>0.286</v>
      </c>
      <c r="CC41" s="26" t="n">
        <f aca="false">CHOOSE(MATCH($CF$2,{"Bull","Base","Bear"},0),$CO$61,$CP$61,$CQ$61)</f>
        <v>0.29</v>
      </c>
      <c r="CD41" s="26" t="n">
        <f aca="false">CHOOSE(MATCH($CF$2,{"Bull","Base","Bear"},0),$CO$62,$CP$62,$CQ$62)</f>
        <v>0.294</v>
      </c>
      <c r="CE41" s="26" t="n">
        <f aca="false">CHOOSE(MATCH($CF$2,{"Bull","Base","Bear"},0),$CO$63,$CP$63,$CQ$63)</f>
        <v>0.298</v>
      </c>
      <c r="CF41" s="21" t="s">
        <v>154</v>
      </c>
      <c r="CN41" s="23" t="s">
        <v>143</v>
      </c>
      <c r="CO41" s="36" t="n">
        <f aca="false">CP41+$CO$39</f>
        <v>0.065</v>
      </c>
      <c r="CP41" s="32" t="n">
        <v>0.05</v>
      </c>
      <c r="CQ41" s="36" t="n">
        <f aca="false">CP41+$CQ$39</f>
        <v>0.035</v>
      </c>
    </row>
    <row r="42" customFormat="false" ht="15" hidden="false" customHeight="false" outlineLevel="1" collapsed="false">
      <c r="B42" s="23" t="s">
        <v>115</v>
      </c>
      <c r="C42" s="24"/>
      <c r="D42" s="25" t="str">
        <f aca="false">IF(AND(ISNUMBER(D39),ISNUMBER(C39)),IFERROR((D39-C39)/(D34-C34),""),"")</f>
        <v/>
      </c>
      <c r="E42" s="25" t="str">
        <f aca="false">IF(AND(ISNUMBER(E39),ISNUMBER(D39)),IFERROR((E39-D39)/(E34-D34),""),"")</f>
        <v/>
      </c>
      <c r="F42" s="25" t="str">
        <f aca="false">IF(AND(ISNUMBER(F39),ISNUMBER(E39)),IFERROR((F39-E39)/(F34-E34),""),"")</f>
        <v/>
      </c>
      <c r="G42" s="25" t="str">
        <f aca="false">IF(AND(ISNUMBER(G39),ISNUMBER(F39)),IFERROR((G39-F39)/(G34-F34),""),"")</f>
        <v/>
      </c>
      <c r="H42" s="25" t="str">
        <f aca="false">IF(AND(ISNUMBER(H39),ISNUMBER(G39)),IFERROR((H39-G39)/(H34-G34),""),"")</f>
        <v/>
      </c>
      <c r="I42" s="25" t="str">
        <f aca="false">IF(AND(ISNUMBER(I39),ISNUMBER(H39)),IFERROR((I39-H39)/(I34-H34),""),"")</f>
        <v/>
      </c>
      <c r="J42" s="24"/>
      <c r="K42" s="24"/>
      <c r="L42" s="24"/>
      <c r="M42" s="24"/>
      <c r="N42" s="25" t="str">
        <f aca="false">IF(AND(ISNUMBER(N39),ISNUMBER(I39)),IFERROR((N39-I39)/(N34-I34),""),"")</f>
        <v/>
      </c>
      <c r="O42" s="25" t="str">
        <f aca="false">IF(AND(ISNUMBER(O39),ISNUMBER(J39)),IFERROR((O39-J39)/(O34-J34),""),"")</f>
        <v/>
      </c>
      <c r="P42" s="25" t="str">
        <f aca="false">IF(AND(ISNUMBER(P39),ISNUMBER(K39)),IFERROR((P39-K39)/(P34-K34),""),"")</f>
        <v/>
      </c>
      <c r="Q42" s="25" t="str">
        <f aca="false">IF(AND(ISNUMBER(Q39),ISNUMBER(L39)),IFERROR((Q39-L39)/(Q34-L34),""),"")</f>
        <v/>
      </c>
      <c r="R42" s="25" t="str">
        <f aca="false">IF(AND(ISNUMBER(R39),ISNUMBER(M39)),IFERROR((R39-M39)/(R34-M34),""),"")</f>
        <v/>
      </c>
      <c r="S42" s="25" t="str">
        <f aca="false">IF(AND(ISNUMBER(S39),ISNUMBER(N39)),IFERROR((S39-N39)/(S34-N34),""),"")</f>
        <v/>
      </c>
      <c r="T42" s="25" t="n">
        <f aca="false">IF(AND(ISNUMBER(T39),ISNUMBER(O39)),IFERROR((T39-O39)/(T34-O34),""),"")</f>
        <v>0.242105263157895</v>
      </c>
      <c r="U42" s="25" t="n">
        <f aca="false">IF(AND(ISNUMBER(U39),ISNUMBER(P39)),IFERROR((U39-P39)/(U34-P34),""),"")</f>
        <v>0.242105263157895</v>
      </c>
      <c r="V42" s="25" t="n">
        <f aca="false">IF(AND(ISNUMBER(V39),ISNUMBER(Q39)),IFERROR((V39-Q39)/(V34-Q34),""),"")</f>
        <v>0.555873925501433</v>
      </c>
      <c r="W42" s="25" t="n">
        <f aca="false">IF(AND(ISNUMBER(W39),ISNUMBER(R39)),IFERROR((W39-R39)/(W34-R34),""),"")</f>
        <v>-4.47058823529401</v>
      </c>
      <c r="X42" s="25" t="n">
        <f aca="false">IF(AND(ISNUMBER(X39),ISNUMBER(S39)),IFERROR((X39-S39)/(X34-S34),""),"")</f>
        <v>0.432296890672017</v>
      </c>
      <c r="Y42" s="25" t="n">
        <f aca="false">IF(AND(ISNUMBER(Y39),ISNUMBER(T39)),IFERROR((Y39-T39)/(Y34-T34),""),"")</f>
        <v>0.230547550432277</v>
      </c>
      <c r="Z42" s="25" t="n">
        <f aca="false">IF(AND(ISNUMBER(Z39),ISNUMBER(U39)),IFERROR((Z39-U39)/(Z34-U34),""),"")</f>
        <v>0.312865497076025</v>
      </c>
      <c r="AA42" s="25" t="n">
        <f aca="false">IF(AND(ISNUMBER(AA39),ISNUMBER(V39)),IFERROR((AA39-V39)/(AA34-V34),""),"")</f>
        <v>0.431818181818182</v>
      </c>
      <c r="AB42" s="25" t="n">
        <f aca="false">IF(AND(ISNUMBER(AB39),ISNUMBER(W39)),IFERROR((AB39-W39)/(AB34-W34),""),"")</f>
        <v>-0.0231023102310236</v>
      </c>
      <c r="AC42" s="25" t="n">
        <f aca="false">IF(AND(ISNUMBER(AC39),ISNUMBER(X39)),IFERROR((AC39-X39)/(AC34-X34),""),"")</f>
        <v>0.387198321091292</v>
      </c>
      <c r="AD42" s="25" t="n">
        <f aca="false">IF(AND(ISNUMBER(AD39),ISNUMBER(Y39)),IFERROR((AD39-Y39)/(AD34-Y34),""),"")</f>
        <v>0.322033898305087</v>
      </c>
      <c r="AE42" s="25" t="n">
        <f aca="false">IF(AND(ISNUMBER(AE39),ISNUMBER(Z39)),IFERROR((AE39-Z39)/(AE34-Z34),""),"")</f>
        <v>-0.276190476190477</v>
      </c>
      <c r="AF42" s="25" t="n">
        <f aca="false">IF(AND(ISNUMBER(AF39),ISNUMBER(AA39)),IFERROR((AF39-AA39)/(AF34-AA34),""),"")</f>
        <v>0.0982142857142857</v>
      </c>
      <c r="AG42" s="25" t="n">
        <f aca="false">IF(AND(ISNUMBER(AG39),ISNUMBER(AB39)),IFERROR((AG39-AB39)/(AG34-AB34),""),"")</f>
        <v>0.183417085427136</v>
      </c>
      <c r="AH42" s="25" t="n">
        <f aca="false">IF(AND(ISNUMBER(AH39),ISNUMBER(AC39)),IFERROR((AH39-AC39)/(AH34-AC34),""),"")</f>
        <v>0.137602179836512</v>
      </c>
      <c r="AI42" s="25" t="n">
        <f aca="false">IF(AND(ISNUMBER(AI39),ISNUMBER(AD39)),IFERROR((AI39-AD39)/(AI34-AD34),""),"")</f>
        <v>0.112903225806452</v>
      </c>
      <c r="AJ42" s="25" t="n">
        <f aca="false">IF(AND(ISNUMBER(AJ39),ISNUMBER(AE39)),IFERROR((AJ39-AE39)/(AJ34-AE34),""),"")</f>
        <v>0.256410256410256</v>
      </c>
      <c r="AK42" s="25" t="n">
        <f aca="false">IF(AND(ISNUMBER(AK39),ISNUMBER(AF39)),IFERROR((AK39-AF39)/(AK34-AF34),""),"")</f>
        <v>0.0834990059642146</v>
      </c>
      <c r="AL42" s="25" t="n">
        <f aca="false">IF(AND(ISNUMBER(AL39),ISNUMBER(AG39)),IFERROR((AL39-AG39)/(AL34-AG34),""),"")</f>
        <v>-0.243243243243243</v>
      </c>
      <c r="AM42" s="25" t="n">
        <f aca="false">IF(AND(ISNUMBER(AM39),ISNUMBER(AH39)),IFERROR((AM39-AH39)/(AM34-AH34),""),"")</f>
        <v>0.092436974789916</v>
      </c>
      <c r="AN42" s="25" t="n">
        <f aca="false">IF(AND(ISNUMBER(AN39),ISNUMBER(AI39)),IFERROR((AN39-AI39)/(AN34-AI34),""),"")</f>
        <v>-0.1</v>
      </c>
      <c r="AO42" s="25" t="n">
        <f aca="false">IF(AND(ISNUMBER(AO39),ISNUMBER(AJ39)),IFERROR((AO39-AJ39)/(AO34-AJ34),""),"")</f>
        <v>-1</v>
      </c>
      <c r="AP42" s="25" t="n">
        <f aca="false">IF(AND(ISNUMBER(AP39),ISNUMBER(AK39)),IFERROR((AP39-AK39)/(AP34-AK34),""),"")</f>
        <v>-0</v>
      </c>
      <c r="AQ42" s="25" t="n">
        <f aca="false">IF(AND(ISNUMBER(AQ39),ISNUMBER(AL39)),IFERROR((AQ39-AL39)/(AQ34-AL34),""),"")</f>
        <v>0.833333333333333</v>
      </c>
      <c r="AR42" s="25" t="n">
        <f aca="false">IF(AND(ISNUMBER(AR39),ISNUMBER(AM39)),IFERROR((AR39-AM39)/(AR34-AM34),""),"")</f>
        <v>3.66666666666667</v>
      </c>
      <c r="AS42" s="25" t="n">
        <f aca="false">IF(AND(ISNUMBER(AS39),ISNUMBER(AN39)),IFERROR((AS39-AN39)/(AS34-AN34),""),"")</f>
        <v>-6</v>
      </c>
      <c r="AT42" s="25" t="n">
        <f aca="false">IF(AND(ISNUMBER(AT39),ISNUMBER(AO39)),IFERROR((AT39-AO39)/(AT34-AO34),""),"")</f>
        <v>-0.622222222222222</v>
      </c>
      <c r="AU42" s="25" t="n">
        <f aca="false">IF(AND(ISNUMBER(AU39),ISNUMBER(AP39)),IFERROR((AU39-AP39)/(AU34-AP34),""),"")</f>
        <v>0.317604355716878</v>
      </c>
      <c r="AV42" s="25" t="n">
        <f aca="false">IF(AND(ISNUMBER(AV39),ISNUMBER(AQ39)),IFERROR((AV39-AQ39)/(AV34-AQ34),""),"")</f>
        <v>0.288910505836576</v>
      </c>
      <c r="AW42" s="25" t="n">
        <f aca="false">IF(AND(ISNUMBER(AW39),ISNUMBER(AR39)),IFERROR((AW39-AR39)/(AW34-AR34),""),"")</f>
        <v>0.269538461538462</v>
      </c>
      <c r="AX42" s="25" t="n">
        <f aca="false">IF(AND(ISNUMBER(AX39),ISNUMBER(AS39)),IFERROR((AX39-AS39)/(AX34-AS34),""),"")</f>
        <v>0.292237442922374</v>
      </c>
      <c r="AY42" s="25" t="n">
        <f aca="false">IF(AND(ISNUMBER(AY39),ISNUMBER(AT39)),IFERROR((AY39-AT39)/(AY34-AT34),""),"")</f>
        <v>0.125506072874494</v>
      </c>
      <c r="AZ42" s="25" t="n">
        <f aca="false">IF(AND(ISNUMBER(AZ39),ISNUMBER(AU39)),IFERROR((AZ39-AU39)/(AZ34-AU34),""),"")</f>
        <v>1.29411764705882</v>
      </c>
      <c r="BA42" s="25" t="n">
        <f aca="false">IF(AND(ISNUMBER(BA39),ISNUMBER(AV39)),IFERROR((BA39-AV39)/(BA34-AV34),""),"")</f>
        <v>0.428846153846154</v>
      </c>
      <c r="BB42" s="25" t="n">
        <f aca="false">IF(AND(ISNUMBER(BB39),ISNUMBER(AW39)),IFERROR((BB39-AW39)/(BB34-AW34),""),"")</f>
        <v>-0.278481012658228</v>
      </c>
      <c r="BC42" s="25" t="n">
        <f aca="false">IF(AND(ISNUMBER(BC39),ISNUMBER(AX39)),IFERROR((BC39-AX39)/(BC34-AX34),""),"")</f>
        <v>0.56390977443609</v>
      </c>
      <c r="BD42" s="25" t="n">
        <f aca="false">IF(AND(ISNUMBER(BD39),ISNUMBER(AY39)),IFERROR((BD39-AY39)/(BD34-AY34),""),"")</f>
        <v>0.0149253731343284</v>
      </c>
      <c r="BE42" s="25" t="n">
        <f aca="false">IF(AND(ISNUMBER(BE39),ISNUMBER(AZ39)),IFERROR((BE39-AZ39)/(BE34-AZ34),""),"")</f>
        <v>0.303030303030303</v>
      </c>
      <c r="BF42" s="25" t="n">
        <f aca="false">IF(AND(ISNUMBER(BF39),ISNUMBER(BA39)),IFERROR((BF39-BA39)/(BF34-BA34),""),"")</f>
        <v>0.268072289156627</v>
      </c>
      <c r="BG42" s="25" t="n">
        <f aca="false">IF(AND(ISNUMBER(BG39),ISNUMBER(BB39)),IFERROR((BG39-BB39)/(BG34-BB34),""),"")</f>
        <v>0.285714285714286</v>
      </c>
      <c r="BH42" s="25" t="n">
        <f aca="false">IF(AND(ISNUMBER(BH39),ISNUMBER(BC39)),IFERROR((BH39-BC39)/(BH34-BC34),""),"")</f>
        <v>0.195187165775401</v>
      </c>
      <c r="BI42" s="25" t="n">
        <f aca="false">IF(AND(ISNUMBER(BI39),ISNUMBER(BD39)),IFERROR((BI39-BD39)/(BI34-BD34),""),"")</f>
        <v>6.75</v>
      </c>
      <c r="BJ42" s="25" t="n">
        <f aca="false">IF(AND(ISNUMBER(BJ39),ISNUMBER(BE39)),IFERROR((BJ39-BE39)/(BJ34-BE34),""),"")</f>
        <v>3.5</v>
      </c>
      <c r="BK42" s="25" t="n">
        <f aca="false">IF(AND(ISNUMBER(BK39),ISNUMBER(BF39)),IFERROR((BK39-BF39)/(BK34-BF34),""),"")</f>
        <v>-5.6</v>
      </c>
      <c r="BL42" s="25" t="n">
        <f aca="false">IF(AND(ISNUMBER(BL39),ISNUMBER(BG39)),IFERROR((BL39-BG39)/(BL34-BG34),""),"")</f>
        <v>-0.279329608938547</v>
      </c>
      <c r="BM42" s="25" t="n">
        <f aca="false">IF(AND(ISNUMBER(BM39),ISNUMBER(BH39)),IFERROR((BM39-BH39)/(BM34-BH34),""),"")</f>
        <v>14</v>
      </c>
      <c r="BN42" s="25" t="n">
        <f aca="false">IF(AND(ISNUMBER(BN39),ISNUMBER(BI39)),IFERROR((BN39-BI39)/(BN34-BI34),""),"")</f>
        <v>0.25</v>
      </c>
      <c r="BO42" s="25" t="n">
        <f aca="false">IF(AND(ISNUMBER(BO39),ISNUMBER(BJ39)),IFERROR((BO39-BJ39)/(BO34-BJ34),""),"")</f>
        <v>0.217391304347826</v>
      </c>
      <c r="BP42" s="25" t="n">
        <f aca="false">IF(AND(ISNUMBER(BP39),ISNUMBER(BK39)),IFERROR((BP39-BK39)/(BP34-BK34),""),"")</f>
        <v>0.173076923076923</v>
      </c>
      <c r="BQ42" s="25" t="n">
        <f aca="false">IF(AND(ISNUMBER(BQ39),ISNUMBER(BL39)),IFERROR((BQ39-BL39)/(BQ34-BL34),""),"")</f>
        <v>0.327102803738318</v>
      </c>
      <c r="BR42" s="25" t="n">
        <f aca="false">IF(AND(ISNUMBER(BR39),ISNUMBER(BM39)),IFERROR((BR39-BM39)/(BR34-BM34),""),"")</f>
        <v>0.256410256410256</v>
      </c>
      <c r="BS42" s="25" t="n">
        <f aca="false">IF(AND(ISNUMBER(BS39),ISNUMBER(BN39)),IFERROR((BS39-BN39)/(BS34-BN34),""),"")</f>
        <v>0.411764705882353</v>
      </c>
      <c r="BT42" s="25" t="n">
        <f aca="false">IF(AND(ISNUMBER(BT39),ISNUMBER(BO39)),IFERROR((BT39-BO39)/(BT34-BO34),""),"")</f>
        <v>0.622222222222222</v>
      </c>
      <c r="BU42" s="25" t="n">
        <f aca="false">IF(AND(ISNUMBER(BU39),ISNUMBER(BP39)),IFERROR((BU39-BP39)/(BU34-BP34),""),"")</f>
        <v>0.80952380952381</v>
      </c>
      <c r="BV42" s="25" t="n">
        <f aca="false">IF(AND(ISNUMBER(BV39),ISNUMBER(BQ39)),IFERROR((BV39-BQ39)/(BV34-BQ34),""),"")</f>
        <v>0.591463414634146</v>
      </c>
      <c r="BW42" s="25" t="n">
        <f aca="false">IF(AND(ISNUMBER(BW39),ISNUMBER(BR39)),IFERROR((BW39-BR39)/(BW34-BR34),""),"")</f>
        <v>-1.5</v>
      </c>
      <c r="BX42" s="25" t="n">
        <f aca="false">IF(AND(ISNUMBER(BX39),ISNUMBER(BS39)),IFERROR((BX39-BS39)/(BX34-BS34),""),"")</f>
        <v>0.394366197183099</v>
      </c>
      <c r="BY42" s="26" t="n">
        <f aca="false">IFERROR((BY39-BT39)/(BY34-BT34),"")</f>
        <v>-6.50417936197609</v>
      </c>
      <c r="BZ42" s="26" t="n">
        <f aca="false">IFERROR((BZ39-BU39)/(BZ34-BU34),"")</f>
        <v>0.111477838976655</v>
      </c>
      <c r="CA42" s="26" t="n">
        <f aca="false">IFERROR((CA39-BV39)/(CA34-BV34),"")</f>
        <v>-0.616236074814779</v>
      </c>
      <c r="CB42" s="26" t="n">
        <f aca="false">IFERROR((CB39-CA39)/(CB34-CA34),"")</f>
        <v>0.202425220747908</v>
      </c>
      <c r="CC42" s="26" t="n">
        <f aca="false">IFERROR((CC39-CB39)/(CC34-CB34),"")</f>
        <v>0.369999999999999</v>
      </c>
      <c r="CD42" s="26" t="n">
        <f aca="false">IFERROR((CD39-CC39)/(CD34-CC34),"")</f>
        <v>0.374</v>
      </c>
      <c r="CE42" s="26" t="n">
        <f aca="false">IFERROR((CE39-CD39)/(CE34-CD34),"")</f>
        <v>0.378</v>
      </c>
      <c r="CF42" s="21"/>
      <c r="CN42" s="23" t="s">
        <v>144</v>
      </c>
      <c r="CO42" s="36" t="n">
        <f aca="false">CP42+$CO$39</f>
        <v>0.065</v>
      </c>
      <c r="CP42" s="32" t="n">
        <v>0.05</v>
      </c>
      <c r="CQ42" s="36" t="n">
        <f aca="false">CP42+$CQ$39</f>
        <v>0.035</v>
      </c>
    </row>
    <row r="43" customFormat="false" ht="15" hidden="false" customHeight="false" outlineLevel="1" collapsed="false">
      <c r="B43" s="23" t="s">
        <v>118</v>
      </c>
      <c r="C43" s="24"/>
      <c r="D43" s="25" t="str">
        <f aca="false">IF(AND(ISNUMBER(D39),ISNUMBER(C39)),IFERROR(D39/C39-1,""),"")</f>
        <v/>
      </c>
      <c r="E43" s="25" t="str">
        <f aca="false">IF(AND(ISNUMBER(E39),ISNUMBER(D39)),IFERROR(E39/D39-1,""),"")</f>
        <v/>
      </c>
      <c r="F43" s="25" t="str">
        <f aca="false">IF(AND(ISNUMBER(F39),ISNUMBER(E39)),IFERROR(F39/E39-1,""),"")</f>
        <v/>
      </c>
      <c r="G43" s="25" t="str">
        <f aca="false">IF(AND(ISNUMBER(G39),ISNUMBER(F39)),IFERROR(G39/F39-1,""),"")</f>
        <v/>
      </c>
      <c r="H43" s="25" t="str">
        <f aca="false">IF(AND(ISNUMBER(H39),ISNUMBER(G39)),IFERROR(H39/G39-1,""),"")</f>
        <v/>
      </c>
      <c r="I43" s="25" t="str">
        <f aca="false">IF(AND(ISNUMBER(I39),ISNUMBER(H39)),IFERROR(I39/H39-1,""),"")</f>
        <v/>
      </c>
      <c r="J43" s="24"/>
      <c r="K43" s="24"/>
      <c r="L43" s="24"/>
      <c r="M43" s="24"/>
      <c r="N43" s="25" t="str">
        <f aca="false">IF(AND(ISNUMBER(N39),ISNUMBER(I39)),IFERROR(N39/I39-1,""),"")</f>
        <v/>
      </c>
      <c r="O43" s="25" t="str">
        <f aca="false">IF(AND(ISNUMBER(O39),ISNUMBER(J39)),IFERROR(O39/J39-1,""),"")</f>
        <v/>
      </c>
      <c r="P43" s="25" t="str">
        <f aca="false">IF(AND(ISNUMBER(P39),ISNUMBER(K39)),IFERROR(P39/K39-1,""),"")</f>
        <v/>
      </c>
      <c r="Q43" s="25" t="str">
        <f aca="false">IF(AND(ISNUMBER(Q39),ISNUMBER(L39)),IFERROR(Q39/L39-1,""),"")</f>
        <v/>
      </c>
      <c r="R43" s="25" t="str">
        <f aca="false">IF(AND(ISNUMBER(R39),ISNUMBER(M39)),IFERROR(R39/M39-1,""),"")</f>
        <v/>
      </c>
      <c r="S43" s="25" t="str">
        <f aca="false">IF(AND(ISNUMBER(S39),ISNUMBER(N39)),IFERROR(S39/N39-1,""),"")</f>
        <v/>
      </c>
      <c r="T43" s="25" t="n">
        <f aca="false">IF(AND(ISNUMBER(T39),ISNUMBER(O39)),IFERROR(T39/O39-1,""),"")</f>
        <v>-0.0312217194570136</v>
      </c>
      <c r="U43" s="25" t="n">
        <f aca="false">IF(AND(ISNUMBER(U39),ISNUMBER(P39)),IFERROR(U39/P39-1,""),"")</f>
        <v>-0.038917089678511</v>
      </c>
      <c r="V43" s="25" t="n">
        <f aca="false">IF(AND(ISNUMBER(V39),ISNUMBER(Q39)),IFERROR(V39/Q39-1,""),"")</f>
        <v>-0.0864913062862238</v>
      </c>
      <c r="W43" s="25" t="n">
        <f aca="false">IF(AND(ISNUMBER(W39),ISNUMBER(R39)),IFERROR(W39/R39-1,""),"")</f>
        <v>-0.0324370465215537</v>
      </c>
      <c r="X43" s="25" t="n">
        <f aca="false">IF(AND(ISNUMBER(X39),ISNUMBER(S39)),IFERROR(X39/S39-1,""),"")</f>
        <v>-0.0470524017467249</v>
      </c>
      <c r="Y43" s="25" t="n">
        <f aca="false">IF(AND(ISNUMBER(Y39),ISNUMBER(T39)),IFERROR(Y39/T39-1,""),"")</f>
        <v>0.0747314339093881</v>
      </c>
      <c r="Z43" s="25" t="n">
        <f aca="false">IF(AND(ISNUMBER(Z39),ISNUMBER(U39)),IFERROR(Z39/U39-1,""),"")</f>
        <v>0.0470950704225352</v>
      </c>
      <c r="AA43" s="25" t="n">
        <f aca="false">IF(AND(ISNUMBER(AA39),ISNUMBER(V39)),IFERROR(AA39/V39-1,""),"")</f>
        <v>0.0463640800390435</v>
      </c>
      <c r="AB43" s="25" t="n">
        <f aca="false">IF(AND(ISNUMBER(AB39),ISNUMBER(W39)),IFERROR(AB39/W39-1,""),"")</f>
        <v>0.00308778120864583</v>
      </c>
      <c r="AC43" s="25" t="n">
        <f aca="false">IF(AND(ISNUMBER(AC39),ISNUMBER(X39)),IFERROR(AC39/X39-1,""),"")</f>
        <v>0.0422728834918089</v>
      </c>
      <c r="AD43" s="25" t="n">
        <f aca="false">IF(AND(ISNUMBER(AD39),ISNUMBER(Y39)),IFERROR(AD39/Y39-1,""),"")</f>
        <v>0.0165145588874402</v>
      </c>
      <c r="AE43" s="25" t="n">
        <f aca="false">IF(AND(ISNUMBER(AE39),ISNUMBER(Z39)),IFERROR(AE39/Z39-1,""),"")</f>
        <v>-0.0121899957965532</v>
      </c>
      <c r="AF43" s="25" t="n">
        <f aca="false">IF(AND(ISNUMBER(AF39),ISNUMBER(AA39)),IFERROR(AF39/AA39-1,""),"")</f>
        <v>0.0205223880597014</v>
      </c>
      <c r="AG43" s="25" t="n">
        <f aca="false">IF(AND(ISNUMBER(AG39),ISNUMBER(AB39)),IFERROR(AG39/AB39-1,""),"")</f>
        <v>0.0642040457343887</v>
      </c>
      <c r="AH43" s="25" t="n">
        <f aca="false">IF(AND(ISNUMBER(AH39),ISNUMBER(AC39)),IFERROR(AH39/AC39-1,""),"")</f>
        <v>0.0222026819081118</v>
      </c>
      <c r="AI43" s="25" t="n">
        <f aca="false">IF(AND(ISNUMBER(AI39),ISNUMBER(AD39)),IFERROR(AI39/AD39-1,""),"")</f>
        <v>0.0389055151774262</v>
      </c>
      <c r="AJ43" s="25" t="n">
        <f aca="false">IF(AND(ISNUMBER(AJ39),ISNUMBER(AE39)),IFERROR(AJ39/AE39-1,""),"")</f>
        <v>0.0765957446808512</v>
      </c>
      <c r="AK43" s="25" t="n">
        <f aca="false">IF(AND(ISNUMBER(AK39),ISNUMBER(AF39)),IFERROR(AK39/AF39-1,""),"")</f>
        <v>0.0191956124314443</v>
      </c>
      <c r="AL43" s="25" t="n">
        <f aca="false">IF(AND(ISNUMBER(AL39),ISNUMBER(AG39)),IFERROR(AL39/AG39-1,""),"")</f>
        <v>-0.0371900826446281</v>
      </c>
      <c r="AM43" s="25" t="n">
        <f aca="false">IF(AND(ISNUMBER(AM39),ISNUMBER(AH39)),IFERROR(AM39/AH39-1,""),"")</f>
        <v>0.0236559139784946</v>
      </c>
      <c r="AN43" s="25" t="n">
        <f aca="false">IF(AND(ISNUMBER(AN39),ISNUMBER(AI39)),IFERROR(AN39/AI39-1,""),"")</f>
        <v>-0.00411522633744854</v>
      </c>
      <c r="AO43" s="25" t="n">
        <f aca="false">IF(AND(ISNUMBER(AO39),ISNUMBER(AJ39)),IFERROR(AO39/AJ39-1,""),"")</f>
        <v>-0.0434782608695652</v>
      </c>
      <c r="AP43" s="25" t="n">
        <f aca="false">IF(AND(ISNUMBER(AP39),ISNUMBER(AK39)),IFERROR(AP39/AK39-1,""),"")</f>
        <v>0</v>
      </c>
      <c r="AQ43" s="25" t="n">
        <f aca="false">IF(AND(ISNUMBER(AQ39),ISNUMBER(AL39)),IFERROR(AQ39/AL39-1,""),"")</f>
        <v>-0.0429184549356223</v>
      </c>
      <c r="AR43" s="25" t="n">
        <f aca="false">IF(AND(ISNUMBER(AR39),ISNUMBER(AM39)),IFERROR(AR39/AM39-1,""),"")</f>
        <v>-0.023109243697479</v>
      </c>
      <c r="AS43" s="25" t="n">
        <f aca="false">IF(AND(ISNUMBER(AS39),ISNUMBER(AN39)),IFERROR(AS39/AN39-1,""),"")</f>
        <v>-0.0247933884297521</v>
      </c>
      <c r="AT43" s="25" t="n">
        <f aca="false">IF(AND(ISNUMBER(AT39),ISNUMBER(AO39)),IFERROR(AT39/AO39-1,""),"")</f>
        <v>-0.115702479338843</v>
      </c>
      <c r="AU43" s="25" t="n">
        <f aca="false">IF(AND(ISNUMBER(AU39),ISNUMBER(AP39)),IFERROR(AU39/AP39-1,""),"")</f>
        <v>0.7847533632287</v>
      </c>
      <c r="AV43" s="25" t="n">
        <f aca="false">IF(AND(ISNUMBER(AV39),ISNUMBER(AQ39)),IFERROR(AV39/AQ39-1,""),"")</f>
        <v>1.33183856502242</v>
      </c>
      <c r="AW43" s="25" t="n">
        <f aca="false">IF(AND(ISNUMBER(AW39),ISNUMBER(AR39)),IFERROR(AW39/AR39-1,""),"")</f>
        <v>0.470967741935484</v>
      </c>
      <c r="AX43" s="25" t="n">
        <f aca="false">IF(AND(ISNUMBER(AX39),ISNUMBER(AS39)),IFERROR(AX39/AS39-1,""),"")</f>
        <v>0.813559322033898</v>
      </c>
      <c r="AY43" s="25" t="n">
        <f aca="false">IF(AND(ISNUMBER(AY39),ISNUMBER(AT39)),IFERROR(AY39/AT39-1,""),"")</f>
        <v>0.144859813084112</v>
      </c>
      <c r="AZ43" s="25" t="n">
        <f aca="false">IF(AND(ISNUMBER(AZ39),ISNUMBER(AU39)),IFERROR(AZ39/AU39-1,""),"")</f>
        <v>-0.221105527638191</v>
      </c>
      <c r="BA43" s="25" t="n">
        <f aca="false">IF(AND(ISNUMBER(BA39),ISNUMBER(AV39)),IFERROR(BA39/AV39-1,""),"")</f>
        <v>-0.428846153846154</v>
      </c>
      <c r="BB43" s="25" t="n">
        <f aca="false">IF(AND(ISNUMBER(BB39),ISNUMBER(AW39)),IFERROR(BB39/AW39-1,""),"")</f>
        <v>-0.064327485380117</v>
      </c>
      <c r="BC43" s="25" t="n">
        <f aca="false">IF(AND(ISNUMBER(BC39),ISNUMBER(AX39)),IFERROR(BC39/AX39-1,""),"")</f>
        <v>-0.175233644859813</v>
      </c>
      <c r="BD43" s="25" t="n">
        <f aca="false">IF(AND(ISNUMBER(BD39),ISNUMBER(AY39)),IFERROR(BD39/AY39-1,""),"")</f>
        <v>-0.00816326530612244</v>
      </c>
      <c r="BE43" s="25" t="n">
        <f aca="false">IF(AND(ISNUMBER(BE39),ISNUMBER(AZ39)),IFERROR(BE39/AZ39-1,""),"")</f>
        <v>-0.290322580645161</v>
      </c>
      <c r="BF43" s="25" t="n">
        <f aca="false">IF(AND(ISNUMBER(BF39),ISNUMBER(BA39)),IFERROR(BF39/BA39-1,""),"")</f>
        <v>-0.2996632996633</v>
      </c>
      <c r="BG43" s="25" t="n">
        <f aca="false">IF(AND(ISNUMBER(BG39),ISNUMBER(BB39)),IFERROR(BG39/BB39-1,""),"")</f>
        <v>-0.2</v>
      </c>
      <c r="BH43" s="25" t="n">
        <f aca="false">IF(AND(ISNUMBER(BH39),ISNUMBER(BC39)),IFERROR(BH39/BC39-1,""),"")</f>
        <v>-0.206798866855524</v>
      </c>
      <c r="BI43" s="25" t="n">
        <f aca="false">IF(AND(ISNUMBER(BI39),ISNUMBER(BD39)),IFERROR(BI39/BD39-1,""),"")</f>
        <v>0.222222222222222</v>
      </c>
      <c r="BJ43" s="25" t="n">
        <f aca="false">IF(AND(ISNUMBER(BJ39),ISNUMBER(BE39)),IFERROR(BJ39/BE39-1,""),"")</f>
        <v>0.286363636363636</v>
      </c>
      <c r="BK43" s="25" t="n">
        <f aca="false">IF(AND(ISNUMBER(BK39),ISNUMBER(BF39)),IFERROR(BK39/BF39-1,""),"")</f>
        <v>0.269230769230769</v>
      </c>
      <c r="BL43" s="25" t="n">
        <f aca="false">IF(AND(ISNUMBER(BL39),ISNUMBER(BG39)),IFERROR(BL39/BG39-1,""),"")</f>
        <v>0.09765625</v>
      </c>
      <c r="BM43" s="25" t="n">
        <f aca="false">IF(AND(ISNUMBER(BM39),ISNUMBER(BH39)),IFERROR(BM39/BH39-1,""),"")</f>
        <v>0.05</v>
      </c>
      <c r="BN43" s="25" t="n">
        <f aca="false">IF(AND(ISNUMBER(BN39),ISNUMBER(BI39)),IFERROR(BN39/BI39-1,""),"")</f>
        <v>0.0067340067340067</v>
      </c>
      <c r="BO43" s="25" t="n">
        <f aca="false">IF(AND(ISNUMBER(BO39),ISNUMBER(BJ39)),IFERROR(BO39/BJ39-1,""),"")</f>
        <v>0.0353356890459364</v>
      </c>
      <c r="BP43" s="25" t="n">
        <f aca="false">IF(AND(ISNUMBER(BP39),ISNUMBER(BK39)),IFERROR(BP39/BK39-1,""),"")</f>
        <v>0.0340909090909092</v>
      </c>
      <c r="BQ43" s="25" t="n">
        <f aca="false">IF(AND(ISNUMBER(BQ39),ISNUMBER(BL39)),IFERROR(BQ39/BL39-1,""),"")</f>
        <v>0.0311387900355873</v>
      </c>
      <c r="BR43" s="25" t="n">
        <f aca="false">IF(AND(ISNUMBER(BR39),ISNUMBER(BM39)),IFERROR(BR39/BM39-1,""),"")</f>
        <v>0.0340136054421769</v>
      </c>
      <c r="BS43" s="25" t="n">
        <f aca="false">IF(AND(ISNUMBER(BS39),ISNUMBER(BN39)),IFERROR(BS39/BN39-1,""),"")</f>
        <v>0.0234113712374582</v>
      </c>
      <c r="BT43" s="25" t="n">
        <f aca="false">IF(AND(ISNUMBER(BT39),ISNUMBER(BO39)),IFERROR(BT39/BO39-1,""),"")</f>
        <v>0.0955631399317407</v>
      </c>
      <c r="BU43" s="25" t="n">
        <f aca="false">IF(AND(ISNUMBER(BU39),ISNUMBER(BP39)),IFERROR(BU39/BP39-1,""),"")</f>
        <v>0.186813186813187</v>
      </c>
      <c r="BV43" s="25" t="n">
        <f aca="false">IF(AND(ISNUMBER(BV39),ISNUMBER(BQ39)),IFERROR(BV39/BQ39-1,""),"")</f>
        <v>0.0836928386540121</v>
      </c>
      <c r="BW43" s="25" t="n">
        <f aca="false">IF(AND(ISNUMBER(BW39),ISNUMBER(BR39)),IFERROR(BW39/BR39-1,""),"")</f>
        <v>0.0296052631578947</v>
      </c>
      <c r="BX43" s="25" t="n">
        <f aca="false">IF(AND(ISNUMBER(BX39),ISNUMBER(BS39)),IFERROR(BX39/BS39-1,""),"")</f>
        <v>0.0915032679738561</v>
      </c>
      <c r="BY43" s="26" t="n">
        <f aca="false">IFERROR(BY39/BT39-1,"")</f>
        <v>0.0644718060391469</v>
      </c>
      <c r="BZ43" s="26" t="n">
        <f aca="false">IFERROR(BZ39/BU39-1,"")</f>
        <v>-0.0448172732545823</v>
      </c>
      <c r="CA43" s="26" t="n">
        <f aca="false">IFERROR(CA39/BV39-1,"")</f>
        <v>0.0335785455446509</v>
      </c>
      <c r="CB43" s="26" t="n">
        <f aca="false">IFERROR(CB39/CA39-1,"")</f>
        <v>-0.0365460979256225</v>
      </c>
      <c r="CC43" s="26" t="n">
        <f aca="false">IFERROR(CC39/CB39-1,"")</f>
        <v>0.0646853146853148</v>
      </c>
      <c r="CD43" s="26" t="n">
        <f aca="false">IFERROR(CD39/CC39-1,"")</f>
        <v>0.0644827586206895</v>
      </c>
      <c r="CE43" s="26" t="n">
        <f aca="false">IFERROR(CE39/CD39-1,"")</f>
        <v>0.0642857142857143</v>
      </c>
      <c r="CF43" s="21"/>
      <c r="CN43" s="23" t="s">
        <v>147</v>
      </c>
      <c r="CO43" s="36" t="n">
        <f aca="false">CP43+$CO$39</f>
        <v>0.065</v>
      </c>
      <c r="CP43" s="32" t="n">
        <v>0.05</v>
      </c>
      <c r="CQ43" s="36" t="n">
        <f aca="false">CP43+$CQ$39</f>
        <v>0.035</v>
      </c>
    </row>
    <row r="44" customFormat="false" ht="15" hidden="false" customHeight="false" outlineLevel="0" collapsed="false">
      <c r="CN44" s="13" t="s">
        <v>155</v>
      </c>
      <c r="CO44" s="35" t="n">
        <v>0.02</v>
      </c>
      <c r="CP44" s="13" t="s">
        <v>140</v>
      </c>
      <c r="CQ44" s="35" t="n">
        <v>-0.02</v>
      </c>
      <c r="CR44" s="16" t="s">
        <v>156</v>
      </c>
    </row>
    <row r="45" customFormat="false" ht="15" hidden="false" customHeight="false" outlineLevel="0" collapsed="false">
      <c r="B45" s="12" t="s">
        <v>157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3" t="s">
        <v>158</v>
      </c>
      <c r="CN45" s="23" t="s">
        <v>142</v>
      </c>
      <c r="CO45" s="36" t="n">
        <f aca="false">CP45+$CO$44</f>
        <v>0.075</v>
      </c>
      <c r="CP45" s="32" t="n">
        <v>0.055</v>
      </c>
      <c r="CQ45" s="36" t="n">
        <f aca="false">CP45+$CQ$44</f>
        <v>0.035</v>
      </c>
    </row>
    <row r="46" customFormat="false" ht="15" hidden="false" customHeight="false" outlineLevel="0" collapsed="false">
      <c r="B46" s="17" t="s">
        <v>85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9" t="n">
        <v>1590.5</v>
      </c>
      <c r="P46" s="19" t="n">
        <v>1699.4</v>
      </c>
      <c r="Q46" s="19" t="n">
        <v>1628.7</v>
      </c>
      <c r="R46" s="19" t="n">
        <v>1682.9</v>
      </c>
      <c r="S46" s="19" t="n">
        <v>6601.5</v>
      </c>
      <c r="T46" s="19" t="n">
        <v>1513.4</v>
      </c>
      <c r="U46" s="19" t="n">
        <v>1693.3</v>
      </c>
      <c r="V46" s="19" t="n">
        <v>1638.2</v>
      </c>
      <c r="W46" s="19" t="n">
        <v>1816.6</v>
      </c>
      <c r="X46" s="19" t="n">
        <v>6661.5</v>
      </c>
      <c r="Y46" s="19" t="n">
        <v>1724.6</v>
      </c>
      <c r="Z46" s="19" t="n">
        <v>1802.2</v>
      </c>
      <c r="AA46" s="19" t="n">
        <v>1746.2</v>
      </c>
      <c r="AB46" s="19" t="n">
        <v>1757</v>
      </c>
      <c r="AC46" s="19" t="n">
        <v>7030</v>
      </c>
      <c r="AD46" s="19" t="n">
        <v>1699</v>
      </c>
      <c r="AE46" s="19" t="n">
        <v>1792.5</v>
      </c>
      <c r="AF46" s="19" t="n">
        <v>1933</v>
      </c>
      <c r="AG46" s="19" t="n">
        <v>2401</v>
      </c>
      <c r="AH46" s="19" t="n">
        <v>7825</v>
      </c>
      <c r="AI46" s="19" t="n">
        <v>2413</v>
      </c>
      <c r="AJ46" s="19" t="n">
        <v>2550</v>
      </c>
      <c r="AK46" s="19" t="n">
        <v>2470</v>
      </c>
      <c r="AL46" s="19" t="n">
        <v>2602</v>
      </c>
      <c r="AM46" s="19" t="n">
        <v>10035</v>
      </c>
      <c r="AN46" s="19" t="n">
        <v>2513</v>
      </c>
      <c r="AO46" s="19" t="n">
        <v>2633</v>
      </c>
      <c r="AP46" s="19" t="n">
        <v>2619</v>
      </c>
      <c r="AQ46" s="19" t="n">
        <v>2834</v>
      </c>
      <c r="AR46" s="19" t="n">
        <v>10599</v>
      </c>
      <c r="AS46" s="19" t="n">
        <v>2730</v>
      </c>
      <c r="AT46" s="19" t="n">
        <v>2787</v>
      </c>
      <c r="AU46" s="19" t="n">
        <v>3112</v>
      </c>
      <c r="AV46" s="19" t="n">
        <v>3616</v>
      </c>
      <c r="AW46" s="19" t="n">
        <v>12245</v>
      </c>
      <c r="AX46" s="19" t="n">
        <v>3597</v>
      </c>
      <c r="AY46" s="19" t="n">
        <v>3583</v>
      </c>
      <c r="AZ46" s="19" t="n">
        <v>3487</v>
      </c>
      <c r="BA46" s="19" t="n">
        <v>4195</v>
      </c>
      <c r="BB46" s="19" t="n">
        <v>14862</v>
      </c>
      <c r="BC46" s="19" t="n">
        <v>5442</v>
      </c>
      <c r="BD46" s="19" t="n">
        <v>5537</v>
      </c>
      <c r="BE46" s="19" t="n">
        <v>5585</v>
      </c>
      <c r="BF46" s="19" t="n">
        <v>5947</v>
      </c>
      <c r="BG46" s="19" t="n">
        <v>22511</v>
      </c>
      <c r="BH46" s="19" t="n">
        <v>5763</v>
      </c>
      <c r="BI46" s="19" t="n">
        <v>5831</v>
      </c>
      <c r="BJ46" s="19" t="n">
        <v>5728</v>
      </c>
      <c r="BK46" s="19" t="n">
        <v>5719</v>
      </c>
      <c r="BL46" s="19" t="n">
        <v>23041</v>
      </c>
      <c r="BM46" s="19" t="n">
        <v>5723</v>
      </c>
      <c r="BN46" s="19" t="n">
        <v>5758</v>
      </c>
      <c r="BO46" s="19" t="n">
        <v>5740</v>
      </c>
      <c r="BP46" s="19" t="n">
        <v>5936</v>
      </c>
      <c r="BQ46" s="19" t="n">
        <v>23157</v>
      </c>
      <c r="BR46" s="19" t="n">
        <v>5640</v>
      </c>
      <c r="BS46" s="19" t="n">
        <v>5995</v>
      </c>
      <c r="BT46" s="19" t="n">
        <v>5970</v>
      </c>
      <c r="BU46" s="19" t="n">
        <v>6379</v>
      </c>
      <c r="BV46" s="19" t="n">
        <v>23984</v>
      </c>
      <c r="BW46" s="19" t="n">
        <v>6036</v>
      </c>
      <c r="BX46" s="19" t="n">
        <v>6693</v>
      </c>
      <c r="BY46" s="20" t="n">
        <f aca="false">BT46*(1+BY47)</f>
        <v>6549.19076111624</v>
      </c>
      <c r="BZ46" s="20" t="n">
        <f aca="false">BU46*(1+BZ47)</f>
        <v>6957.25984759807</v>
      </c>
      <c r="CA46" s="20" t="n">
        <f aca="false">SUM(BW46,BX46,BY46,BZ46)</f>
        <v>26235.4506087143</v>
      </c>
      <c r="CB46" s="20" t="n">
        <f aca="false">CA46*(1+CB47)</f>
        <v>28032.0486113717</v>
      </c>
      <c r="CC46" s="20" t="n">
        <f aca="false">CB46*(1+CC47)</f>
        <v>29713.971528054</v>
      </c>
      <c r="CD46" s="20" t="n">
        <f aca="false">CC46*(1+CD47)</f>
        <v>31496.8098197372</v>
      </c>
      <c r="CE46" s="20" t="n">
        <f aca="false">CD46*(1+CE47)</f>
        <v>33386.6184089215</v>
      </c>
      <c r="CF46" s="21"/>
      <c r="CH46" s="22" t="n">
        <f aca="false">IFERROR((CE46/BV46)^(1/5)-1,"n/m")</f>
        <v>0.0683908589442559</v>
      </c>
      <c r="CI46" s="22" t="n">
        <f aca="false">IFERROR((BV46/AW46)^(1/5)-1,"n/m")</f>
        <v>0.143911866470326</v>
      </c>
      <c r="CJ46" s="22" t="n">
        <f aca="false">IFERROR((BV46/X46)^(1/10)-1,"n/m")</f>
        <v>0.136671466896174</v>
      </c>
      <c r="CK46" s="22" t="str">
        <f aca="false">IFERROR((BV46/C46)^(1/19)-1,"n/m")</f>
        <v>n/m</v>
      </c>
      <c r="CN46" s="23" t="s">
        <v>143</v>
      </c>
      <c r="CO46" s="36" t="n">
        <f aca="false">CP46+$CO$44</f>
        <v>0.08</v>
      </c>
      <c r="CP46" s="32" t="n">
        <v>0.06</v>
      </c>
      <c r="CQ46" s="36" t="n">
        <f aca="false">CP46+$CQ$44</f>
        <v>0.04</v>
      </c>
    </row>
    <row r="47" customFormat="false" ht="15" hidden="false" customHeight="false" outlineLevel="0" collapsed="false">
      <c r="B47" s="23" t="s">
        <v>87</v>
      </c>
      <c r="C47" s="24"/>
      <c r="D47" s="25" t="str">
        <f aca="false">IF(AND(ISNUMBER(D46),ISNUMBER(C46)),IFERROR(D46/C46-1,""),"")</f>
        <v/>
      </c>
      <c r="E47" s="25" t="str">
        <f aca="false">IF(AND(ISNUMBER(E46),ISNUMBER(D46)),IFERROR(E46/D46-1,""),"")</f>
        <v/>
      </c>
      <c r="F47" s="25" t="str">
        <f aca="false">IF(AND(ISNUMBER(F46),ISNUMBER(E46)),IFERROR(F46/E46-1,""),"")</f>
        <v/>
      </c>
      <c r="G47" s="25" t="str">
        <f aca="false">IF(AND(ISNUMBER(G46),ISNUMBER(F46)),IFERROR(G46/F46-1,""),"")</f>
        <v/>
      </c>
      <c r="H47" s="25" t="str">
        <f aca="false">IF(AND(ISNUMBER(H46),ISNUMBER(G46)),IFERROR(H46/G46-1,""),"")</f>
        <v/>
      </c>
      <c r="I47" s="25" t="str">
        <f aca="false">IF(AND(ISNUMBER(I46),ISNUMBER(H46)),IFERROR(I46/H46-1,""),"")</f>
        <v/>
      </c>
      <c r="J47" s="24"/>
      <c r="K47" s="24"/>
      <c r="L47" s="24"/>
      <c r="M47" s="24"/>
      <c r="N47" s="25" t="str">
        <f aca="false">IF(AND(ISNUMBER(N46),ISNUMBER(I46)),IFERROR(N46/I46-1,""),"")</f>
        <v/>
      </c>
      <c r="O47" s="25" t="str">
        <f aca="false">IF(AND(ISNUMBER(O46),ISNUMBER(J46)),IFERROR(O46/J46-1,""),"")</f>
        <v/>
      </c>
      <c r="P47" s="25" t="str">
        <f aca="false">IF(AND(ISNUMBER(P46),ISNUMBER(K46)),IFERROR(P46/K46-1,""),"")</f>
        <v/>
      </c>
      <c r="Q47" s="25" t="str">
        <f aca="false">IF(AND(ISNUMBER(Q46),ISNUMBER(L46)),IFERROR(Q46/L46-1,""),"")</f>
        <v/>
      </c>
      <c r="R47" s="25" t="str">
        <f aca="false">IF(AND(ISNUMBER(R46),ISNUMBER(M46)),IFERROR(R46/M46-1,""),"")</f>
        <v/>
      </c>
      <c r="S47" s="25" t="str">
        <f aca="false">IF(AND(ISNUMBER(S46),ISNUMBER(N46)),IFERROR(S46/N46-1,""),"")</f>
        <v/>
      </c>
      <c r="T47" s="25" t="n">
        <f aca="false">IF(AND(ISNUMBER(T46),ISNUMBER(O46)),IFERROR(T46/O46-1,""),"")</f>
        <v>-0.0484753222257152</v>
      </c>
      <c r="U47" s="25" t="n">
        <f aca="false">IF(AND(ISNUMBER(U46),ISNUMBER(P46)),IFERROR(U46/P46-1,""),"")</f>
        <v>-0.00358950217723908</v>
      </c>
      <c r="V47" s="25" t="n">
        <f aca="false">IF(AND(ISNUMBER(V46),ISNUMBER(Q46)),IFERROR(V46/Q46-1,""),"")</f>
        <v>0.00583287284337208</v>
      </c>
      <c r="W47" s="25" t="n">
        <f aca="false">IF(AND(ISNUMBER(W46),ISNUMBER(R46)),IFERROR(W46/R46-1,""),"")</f>
        <v>0.0794461940697604</v>
      </c>
      <c r="X47" s="25" t="n">
        <f aca="false">IF(AND(ISNUMBER(X46),ISNUMBER(S46)),IFERROR(X46/S46-1,""),"")</f>
        <v>0.00908884344467165</v>
      </c>
      <c r="Y47" s="25" t="n">
        <f aca="false">IF(AND(ISNUMBER(Y46),ISNUMBER(T46)),IFERROR(Y46/T46-1,""),"")</f>
        <v>0.13955332364213</v>
      </c>
      <c r="Z47" s="25" t="n">
        <f aca="false">IF(AND(ISNUMBER(Z46),ISNUMBER(U46)),IFERROR(Z46/U46-1,""),"")</f>
        <v>0.0643122896120003</v>
      </c>
      <c r="AA47" s="25" t="n">
        <f aca="false">IF(AND(ISNUMBER(AA46),ISNUMBER(V46)),IFERROR(AA46/V46-1,""),"")</f>
        <v>0.0659260163594189</v>
      </c>
      <c r="AB47" s="25" t="n">
        <f aca="false">IF(AND(ISNUMBER(AB46),ISNUMBER(W46)),IFERROR(AB46/W46-1,""),"")</f>
        <v>-0.0328085434327865</v>
      </c>
      <c r="AC47" s="25" t="n">
        <f aca="false">IF(AND(ISNUMBER(AC46),ISNUMBER(X46)),IFERROR(AC46/X46-1,""),"")</f>
        <v>0.0553178713502964</v>
      </c>
      <c r="AD47" s="25" t="n">
        <f aca="false">IF(AND(ISNUMBER(AD46),ISNUMBER(Y46)),IFERROR(AD46/Y46-1,""),"")</f>
        <v>-0.0148440218021569</v>
      </c>
      <c r="AE47" s="25" t="n">
        <f aca="false">IF(AND(ISNUMBER(AE46),ISNUMBER(Z46)),IFERROR(AE46/Z46-1,""),"")</f>
        <v>-0.00538231050937743</v>
      </c>
      <c r="AF47" s="25" t="n">
        <f aca="false">IF(AND(ISNUMBER(AF46),ISNUMBER(AA46)),IFERROR(AF46/AA46-1,""),"")</f>
        <v>0.106975146031382</v>
      </c>
      <c r="AG47" s="25" t="n">
        <f aca="false">IF(AND(ISNUMBER(AG46),ISNUMBER(AB46)),IFERROR(AG46/AB46-1,""),"")</f>
        <v>0.366533864541833</v>
      </c>
      <c r="AH47" s="25" t="n">
        <f aca="false">IF(AND(ISNUMBER(AH46),ISNUMBER(AC46)),IFERROR(AH46/AC46-1,""),"")</f>
        <v>0.113086770981508</v>
      </c>
      <c r="AI47" s="25" t="n">
        <f aca="false">IF(AND(ISNUMBER(AI46),ISNUMBER(AD46)),IFERROR(AI46/AD46-1,""),"")</f>
        <v>0.420247204237787</v>
      </c>
      <c r="AJ47" s="25" t="n">
        <f aca="false">IF(AND(ISNUMBER(AJ46),ISNUMBER(AE46)),IFERROR(AJ46/AE46-1,""),"")</f>
        <v>0.422594142259414</v>
      </c>
      <c r="AK47" s="25" t="n">
        <f aca="false">IF(AND(ISNUMBER(AK46),ISNUMBER(AF46)),IFERROR(AK46/AF46-1,""),"")</f>
        <v>0.277806518365235</v>
      </c>
      <c r="AL47" s="25" t="n">
        <f aca="false">IF(AND(ISNUMBER(AL46),ISNUMBER(AG46)),IFERROR(AL46/AG46-1,""),"")</f>
        <v>0.0837151187005414</v>
      </c>
      <c r="AM47" s="25" t="n">
        <f aca="false">IF(AND(ISNUMBER(AM46),ISNUMBER(AH46)),IFERROR(AM46/AH46-1,""),"")</f>
        <v>0.282428115015974</v>
      </c>
      <c r="AN47" s="25" t="n">
        <f aca="false">IF(AND(ISNUMBER(AN46),ISNUMBER(AI46)),IFERROR(AN46/AI46-1,""),"")</f>
        <v>0.0414421881475342</v>
      </c>
      <c r="AO47" s="25" t="n">
        <f aca="false">IF(AND(ISNUMBER(AO46),ISNUMBER(AJ46)),IFERROR(AO46/AJ46-1,""),"")</f>
        <v>0.0325490196078431</v>
      </c>
      <c r="AP47" s="25" t="n">
        <f aca="false">IF(AND(ISNUMBER(AP46),ISNUMBER(AK46)),IFERROR(AP46/AK46-1,""),"")</f>
        <v>0.060323886639676</v>
      </c>
      <c r="AQ47" s="25" t="n">
        <f aca="false">IF(AND(ISNUMBER(AQ46),ISNUMBER(AL46)),IFERROR(AQ46/AL46-1,""),"")</f>
        <v>0.0891621829362028</v>
      </c>
      <c r="AR47" s="25" t="n">
        <f aca="false">IF(AND(ISNUMBER(AR46),ISNUMBER(AM46)),IFERROR(AR46/AM46-1,""),"")</f>
        <v>0.0562032884902841</v>
      </c>
      <c r="AS47" s="25" t="n">
        <f aca="false">IF(AND(ISNUMBER(AS46),ISNUMBER(AN46)),IFERROR(AS46/AN46-1,""),"")</f>
        <v>0.0863509749303622</v>
      </c>
      <c r="AT47" s="25" t="n">
        <f aca="false">IF(AND(ISNUMBER(AT46),ISNUMBER(AO46)),IFERROR(AT46/AO46-1,""),"")</f>
        <v>0.0584884162552222</v>
      </c>
      <c r="AU47" s="25" t="n">
        <f aca="false">IF(AND(ISNUMBER(AU46),ISNUMBER(AP46)),IFERROR(AU46/AP46-1,""),"")</f>
        <v>0.188239786177931</v>
      </c>
      <c r="AV47" s="25" t="n">
        <f aca="false">IF(AND(ISNUMBER(AV46),ISNUMBER(AQ46)),IFERROR(AV46/AQ46-1,""),"")</f>
        <v>0.275935074100212</v>
      </c>
      <c r="AW47" s="25" t="n">
        <f aca="false">IF(AND(ISNUMBER(AW46),ISNUMBER(AR46)),IFERROR(AW46/AR46-1,""),"")</f>
        <v>0.155297669591471</v>
      </c>
      <c r="AX47" s="25" t="n">
        <f aca="false">IF(AND(ISNUMBER(AX46),ISNUMBER(AS46)),IFERROR(AX46/AS46-1,""),"")</f>
        <v>0.317582417582418</v>
      </c>
      <c r="AY47" s="25" t="n">
        <f aca="false">IF(AND(ISNUMBER(AY46),ISNUMBER(AT46)),IFERROR(AY46/AT46-1,""),"")</f>
        <v>0.285611768927162</v>
      </c>
      <c r="AZ47" s="25" t="n">
        <f aca="false">IF(AND(ISNUMBER(AZ46),ISNUMBER(AU46)),IFERROR(AZ46/AU46-1,""),"")</f>
        <v>0.120501285347044</v>
      </c>
      <c r="BA47" s="25" t="n">
        <f aca="false">IF(AND(ISNUMBER(BA46),ISNUMBER(AV46)),IFERROR(BA46/AV46-1,""),"")</f>
        <v>0.160121681415929</v>
      </c>
      <c r="BB47" s="25" t="n">
        <f aca="false">IF(AND(ISNUMBER(BB46),ISNUMBER(AW46)),IFERROR(BB46/AW46-1,""),"")</f>
        <v>0.213719885667619</v>
      </c>
      <c r="BC47" s="25" t="n">
        <f aca="false">IF(AND(ISNUMBER(BC46),ISNUMBER(AX46)),IFERROR(BC46/AX46-1,""),"")</f>
        <v>0.512927439532944</v>
      </c>
      <c r="BD47" s="25" t="n">
        <f aca="false">IF(AND(ISNUMBER(BD46),ISNUMBER(AY46)),IFERROR(BD46/AY46-1,""),"")</f>
        <v>0.545353056098242</v>
      </c>
      <c r="BE47" s="25" t="n">
        <f aca="false">IF(AND(ISNUMBER(BE46),ISNUMBER(AZ46)),IFERROR(BE46/AZ46-1,""),"")</f>
        <v>0.601663320906223</v>
      </c>
      <c r="BF47" s="25" t="n">
        <f aca="false">IF(AND(ISNUMBER(BF46),ISNUMBER(BA46)),IFERROR(BF46/BA46-1,""),"")</f>
        <v>0.417640047675804</v>
      </c>
      <c r="BG47" s="25" t="n">
        <f aca="false">IF(AND(ISNUMBER(BG46),ISNUMBER(BB46)),IFERROR(BG46/BB46-1,""),"")</f>
        <v>0.514668281523348</v>
      </c>
      <c r="BH47" s="25" t="n">
        <f aca="false">IF(AND(ISNUMBER(BH46),ISNUMBER(BC46)),IFERROR(BH46/BC46-1,""),"")</f>
        <v>0.0589856670341786</v>
      </c>
      <c r="BI47" s="25" t="n">
        <f aca="false">IF(AND(ISNUMBER(BI46),ISNUMBER(BD46)),IFERROR(BI46/BD46-1,""),"")</f>
        <v>0.0530973451327434</v>
      </c>
      <c r="BJ47" s="25" t="n">
        <f aca="false">IF(AND(ISNUMBER(BJ46),ISNUMBER(BE46)),IFERROR(BJ46/BE46-1,""),"")</f>
        <v>0.025604297224709</v>
      </c>
      <c r="BK47" s="25" t="n">
        <f aca="false">IF(AND(ISNUMBER(BK46),ISNUMBER(BF46)),IFERROR(BK46/BF46-1,""),"")</f>
        <v>-0.0383386581469649</v>
      </c>
      <c r="BL47" s="25" t="n">
        <f aca="false">IF(AND(ISNUMBER(BL46),ISNUMBER(BG46)),IFERROR(BL46/BG46-1,""),"")</f>
        <v>0.0235440451334903</v>
      </c>
      <c r="BM47" s="25" t="n">
        <f aca="false">IF(AND(ISNUMBER(BM46),ISNUMBER(BH46)),IFERROR(BM46/BH46-1,""),"")</f>
        <v>-0.00694082942911678</v>
      </c>
      <c r="BN47" s="25" t="n">
        <f aca="false">IF(AND(ISNUMBER(BN46),ISNUMBER(BI46)),IFERROR(BN46/BI46-1,""),"")</f>
        <v>-0.0125192934316584</v>
      </c>
      <c r="BO47" s="25" t="n">
        <f aca="false">IF(AND(ISNUMBER(BO46),ISNUMBER(BJ46)),IFERROR(BO46/BJ46-1,""),"")</f>
        <v>0.00209497206703912</v>
      </c>
      <c r="BP47" s="25" t="n">
        <f aca="false">IF(AND(ISNUMBER(BP46),ISNUMBER(BK46)),IFERROR(BP46/BK46-1,""),"")</f>
        <v>0.0379436964504285</v>
      </c>
      <c r="BQ47" s="25" t="n">
        <f aca="false">IF(AND(ISNUMBER(BQ46),ISNUMBER(BL46)),IFERROR(BQ46/BL46-1,""),"")</f>
        <v>0.00503450371077641</v>
      </c>
      <c r="BR47" s="25" t="n">
        <f aca="false">IF(AND(ISNUMBER(BR46),ISNUMBER(BM46)),IFERROR(BR46/BM46-1,""),"")</f>
        <v>-0.0145028831032675</v>
      </c>
      <c r="BS47" s="25" t="n">
        <f aca="false">IF(AND(ISNUMBER(BS46),ISNUMBER(BN46)),IFERROR(BS46/BN46-1,""),"")</f>
        <v>0.0411601250434179</v>
      </c>
      <c r="BT47" s="25" t="n">
        <f aca="false">IF(AND(ISNUMBER(BT46),ISNUMBER(BO46)),IFERROR(BT46/BO46-1,""),"")</f>
        <v>0.0400696864111498</v>
      </c>
      <c r="BU47" s="25" t="n">
        <f aca="false">IF(AND(ISNUMBER(BU46),ISNUMBER(BP46)),IFERROR(BU46/BP46-1,""),"")</f>
        <v>0.0746293800539084</v>
      </c>
      <c r="BV47" s="25" t="n">
        <f aca="false">IF(AND(ISNUMBER(BV46),ISNUMBER(BQ46)),IFERROR(BV46/BQ46-1,""),"")</f>
        <v>0.035712743446906</v>
      </c>
      <c r="BW47" s="25" t="n">
        <f aca="false">IF(AND(ISNUMBER(BW46),ISNUMBER(BR46)),IFERROR(BW46/BR46-1,""),"")</f>
        <v>0.0702127659574467</v>
      </c>
      <c r="BX47" s="25" t="n">
        <f aca="false">IF(AND(ISNUMBER(BX46),ISNUMBER(BS46)),IFERROR(BX46/BS46-1,""),"")</f>
        <v>0.116430358632194</v>
      </c>
      <c r="BY47" s="26" t="n">
        <f aca="false">BY48+BY49+BY50</f>
        <v>0.097016877908918</v>
      </c>
      <c r="BZ47" s="26" t="n">
        <f aca="false">BZ48+BZ49+BZ50</f>
        <v>0.0906505482988044</v>
      </c>
      <c r="CA47" s="26" t="n">
        <f aca="false">IFERROR(CA46/BV46-1,"")</f>
        <v>0.0938730240457937</v>
      </c>
      <c r="CB47" s="26" t="n">
        <f aca="false">CB48+CB49+CB50</f>
        <v>0.0684797844509145</v>
      </c>
      <c r="CC47" s="26" t="n">
        <f aca="false">CC48+CC49+CC50</f>
        <v>0.06</v>
      </c>
      <c r="CD47" s="26" t="n">
        <f aca="false">CD48+CD49+CD50</f>
        <v>0.06</v>
      </c>
      <c r="CE47" s="26" t="n">
        <f aca="false">CE48+CE49+CE50</f>
        <v>0.06</v>
      </c>
      <c r="CF47" s="21"/>
      <c r="CN47" s="23" t="s">
        <v>144</v>
      </c>
      <c r="CO47" s="36" t="n">
        <f aca="false">CP47+$CO$44</f>
        <v>0.08</v>
      </c>
      <c r="CP47" s="32" t="n">
        <v>0.06</v>
      </c>
      <c r="CQ47" s="36" t="n">
        <f aca="false">CP47+$CQ$44</f>
        <v>0.04</v>
      </c>
    </row>
    <row r="48" customFormat="false" ht="15" hidden="false" customHeight="false" outlineLevel="0" collapsed="false">
      <c r="B48" s="23" t="s">
        <v>93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8" t="n">
        <v>0.15</v>
      </c>
      <c r="BC48" s="28" t="n">
        <v>0.06</v>
      </c>
      <c r="BD48" s="28" t="n">
        <v>0.1</v>
      </c>
      <c r="BE48" s="28" t="n">
        <v>0.12</v>
      </c>
      <c r="BF48" s="24"/>
      <c r="BG48" s="28" t="n">
        <v>0.1</v>
      </c>
      <c r="BH48" s="28" t="n">
        <v>0.07</v>
      </c>
      <c r="BI48" s="28" t="n">
        <v>0.05</v>
      </c>
      <c r="BJ48" s="28" t="n">
        <v>0.01</v>
      </c>
      <c r="BK48" s="24"/>
      <c r="BL48" s="28" t="n">
        <v>0.02</v>
      </c>
      <c r="BM48" s="28" t="n">
        <v>-0.01</v>
      </c>
      <c r="BN48" s="28" t="n">
        <v>-0.01</v>
      </c>
      <c r="BO48" s="28" t="n">
        <v>0</v>
      </c>
      <c r="BP48" s="24"/>
      <c r="BQ48" s="28" t="n">
        <v>0</v>
      </c>
      <c r="BR48" s="28" t="n">
        <v>-0.01</v>
      </c>
      <c r="BS48" s="28" t="n">
        <v>0.03</v>
      </c>
      <c r="BT48" s="28" t="n">
        <v>0.03</v>
      </c>
      <c r="BU48" s="24"/>
      <c r="BV48" s="28" t="n">
        <v>0.03</v>
      </c>
      <c r="BW48" s="28" t="n">
        <v>0.04</v>
      </c>
      <c r="BX48" s="28" t="n">
        <v>0.05</v>
      </c>
      <c r="BY48" s="26" t="n">
        <f aca="false">$BX48+BY117</f>
        <v>0.0417153703712296</v>
      </c>
      <c r="BZ48" s="26" t="n">
        <f aca="false">$BX48+BZ117</f>
        <v>0.0417153703712296</v>
      </c>
      <c r="CA48" s="29"/>
      <c r="CB48" s="26" t="n">
        <f aca="false">CHOOSE(MATCH($CF$2,{"Bull","Base","Bear"},0),$CO$45,$CP$45,$CQ$45)</f>
        <v>0.055</v>
      </c>
      <c r="CC48" s="26" t="n">
        <f aca="false">CHOOSE(MATCH($CF$2,{"Bull","Base","Bear"},0),$CO$46,$CP$46,$CQ$46)</f>
        <v>0.06</v>
      </c>
      <c r="CD48" s="26" t="n">
        <f aca="false">CHOOSE(MATCH($CF$2,{"Bull","Base","Bear"},0),$CO$47,$CP$47,$CQ$47)</f>
        <v>0.06</v>
      </c>
      <c r="CE48" s="26" t="n">
        <f aca="false">CHOOSE(MATCH($CF$2,{"Bull","Base","Bear"},0),$CO$48,$CP$48,$CQ$48)</f>
        <v>0.06</v>
      </c>
      <c r="CF48" s="21" t="s">
        <v>159</v>
      </c>
      <c r="CN48" s="23" t="s">
        <v>147</v>
      </c>
      <c r="CO48" s="36" t="n">
        <f aca="false">CP48+$CO$44</f>
        <v>0.08</v>
      </c>
      <c r="CP48" s="32" t="n">
        <v>0.06</v>
      </c>
      <c r="CQ48" s="36" t="n">
        <f aca="false">CP48+$CQ$44</f>
        <v>0.04</v>
      </c>
    </row>
    <row r="49" customFormat="false" ht="15" hidden="false" customHeight="false" outlineLevel="0" collapsed="false">
      <c r="B49" s="23" t="s">
        <v>97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8" t="n">
        <v>0.05</v>
      </c>
      <c r="BC49" s="28" t="n">
        <v>0.47</v>
      </c>
      <c r="BD49" s="28" t="n">
        <v>0.48</v>
      </c>
      <c r="BE49" s="28" t="n">
        <v>0.53</v>
      </c>
      <c r="BF49" s="24"/>
      <c r="BG49" s="28" t="n">
        <v>0.45</v>
      </c>
      <c r="BH49" s="28" t="n">
        <v>0</v>
      </c>
      <c r="BI49" s="28" t="n">
        <v>0</v>
      </c>
      <c r="BJ49" s="28" t="n">
        <v>0</v>
      </c>
      <c r="BK49" s="24"/>
      <c r="BL49" s="28" t="n">
        <v>0</v>
      </c>
      <c r="BM49" s="28" t="n">
        <v>0</v>
      </c>
      <c r="BN49" s="28" t="n">
        <v>0</v>
      </c>
      <c r="BO49" s="28" t="n">
        <v>0</v>
      </c>
      <c r="BP49" s="24"/>
      <c r="BQ49" s="28" t="n">
        <v>0</v>
      </c>
      <c r="BR49" s="28" t="n">
        <v>0</v>
      </c>
      <c r="BS49" s="28" t="n">
        <v>0</v>
      </c>
      <c r="BT49" s="28" t="n">
        <v>0</v>
      </c>
      <c r="BU49" s="24"/>
      <c r="BV49" s="28" t="n">
        <v>0</v>
      </c>
      <c r="BW49" s="28" t="n">
        <v>0.01</v>
      </c>
      <c r="BX49" s="28" t="n">
        <v>0.06</v>
      </c>
      <c r="BY49" s="26" t="n">
        <f aca="false">$CA$72/4/BT46</f>
        <v>0.0603015075376884</v>
      </c>
      <c r="BZ49" s="26" t="n">
        <f aca="false">$CA$72/4/BU46</f>
        <v>0.0564351779275749</v>
      </c>
      <c r="CA49" s="29"/>
      <c r="CB49" s="26" t="n">
        <f aca="false">$CA$72*(1+$CA$73)*83/365/CA46</f>
        <v>0.0134797844509145</v>
      </c>
      <c r="CC49" s="31" t="n">
        <v>0</v>
      </c>
      <c r="CD49" s="31" t="n">
        <v>0</v>
      </c>
      <c r="CE49" s="31" t="n">
        <v>0</v>
      </c>
      <c r="CF49" s="21" t="s">
        <v>160</v>
      </c>
      <c r="CN49" s="13" t="s">
        <v>161</v>
      </c>
      <c r="CO49" s="35" t="n">
        <v>0.015</v>
      </c>
      <c r="CP49" s="13" t="s">
        <v>140</v>
      </c>
      <c r="CQ49" s="35" t="n">
        <v>-0.015</v>
      </c>
      <c r="CR49" s="16" t="s">
        <v>162</v>
      </c>
    </row>
    <row r="50" customFormat="false" ht="15" hidden="false" customHeight="false" outlineLevel="0" collapsed="false">
      <c r="B50" s="23" t="s">
        <v>101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8" t="n">
        <v>0.02</v>
      </c>
      <c r="BC50" s="28" t="n">
        <v>-0.02</v>
      </c>
      <c r="BD50" s="28" t="n">
        <v>-0.04</v>
      </c>
      <c r="BE50" s="28" t="n">
        <v>-0.05</v>
      </c>
      <c r="BF50" s="24"/>
      <c r="BG50" s="28" t="n">
        <v>-0.03</v>
      </c>
      <c r="BH50" s="28" t="n">
        <v>-0.01</v>
      </c>
      <c r="BI50" s="28" t="n">
        <v>0</v>
      </c>
      <c r="BJ50" s="28" t="n">
        <v>0.01</v>
      </c>
      <c r="BK50" s="24"/>
      <c r="BL50" s="28" t="n">
        <v>0</v>
      </c>
      <c r="BM50" s="28" t="n">
        <v>0</v>
      </c>
      <c r="BN50" s="28" t="n">
        <v>0</v>
      </c>
      <c r="BO50" s="28" t="n">
        <v>0</v>
      </c>
      <c r="BP50" s="24"/>
      <c r="BQ50" s="28" t="n">
        <v>0</v>
      </c>
      <c r="BR50" s="28" t="n">
        <v>-0.01</v>
      </c>
      <c r="BS50" s="28" t="n">
        <v>0.01</v>
      </c>
      <c r="BT50" s="28" t="n">
        <v>0.01</v>
      </c>
      <c r="BU50" s="24"/>
      <c r="BV50" s="28" t="n">
        <v>0.01</v>
      </c>
      <c r="BW50" s="28" t="n">
        <v>0.02</v>
      </c>
      <c r="BX50" s="28" t="n">
        <v>0.01</v>
      </c>
      <c r="BY50" s="26" t="n">
        <f aca="false">BY113</f>
        <v>-0.005</v>
      </c>
      <c r="BZ50" s="26" t="n">
        <f aca="false">BZ113</f>
        <v>-0.0075</v>
      </c>
      <c r="CA50" s="29"/>
      <c r="CB50" s="26" t="n">
        <f aca="false">CB113</f>
        <v>0</v>
      </c>
      <c r="CC50" s="26" t="n">
        <f aca="false">CC113</f>
        <v>0</v>
      </c>
      <c r="CD50" s="26" t="n">
        <f aca="false">CD113</f>
        <v>0</v>
      </c>
      <c r="CE50" s="26" t="n">
        <f aca="false">CE113</f>
        <v>0</v>
      </c>
      <c r="CF50" s="21"/>
      <c r="CN50" s="23" t="s">
        <v>142</v>
      </c>
      <c r="CO50" s="36" t="n">
        <f aca="false">CP50+$CO$49</f>
        <v>0.391</v>
      </c>
      <c r="CP50" s="32" t="n">
        <v>0.376</v>
      </c>
      <c r="CQ50" s="36" t="n">
        <f aca="false">CP50+$CQ$49</f>
        <v>0.361</v>
      </c>
    </row>
    <row r="51" customFormat="false" ht="15" hidden="false" customHeight="false" outlineLevel="0" collapsed="false">
      <c r="B51" s="17" t="s">
        <v>105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9" t="n">
        <v>234</v>
      </c>
      <c r="P51" s="19" t="n">
        <v>257.7</v>
      </c>
      <c r="Q51" s="19" t="n">
        <v>246.6</v>
      </c>
      <c r="R51" s="19" t="n">
        <v>244.5</v>
      </c>
      <c r="S51" s="19" t="n">
        <v>982.8</v>
      </c>
      <c r="T51" s="19" t="n">
        <v>222.1</v>
      </c>
      <c r="U51" s="19" t="n">
        <v>260</v>
      </c>
      <c r="V51" s="19" t="n">
        <v>249.6</v>
      </c>
      <c r="W51" s="19" t="n">
        <v>267.4</v>
      </c>
      <c r="X51" s="19" t="n">
        <v>999.1</v>
      </c>
      <c r="Y51" s="19" t="n">
        <v>258.2</v>
      </c>
      <c r="Z51" s="19" t="n">
        <v>279.8</v>
      </c>
      <c r="AA51" s="19" t="n">
        <v>257.9</v>
      </c>
      <c r="AB51" s="19" t="n">
        <v>256.2</v>
      </c>
      <c r="AC51" s="19" t="n">
        <v>1052.1</v>
      </c>
      <c r="AD51" s="19" t="n">
        <v>216.2</v>
      </c>
      <c r="AE51" s="19" t="n">
        <v>246.7</v>
      </c>
      <c r="AF51" s="19" t="n">
        <v>243.4</v>
      </c>
      <c r="AG51" s="19" t="n">
        <v>301</v>
      </c>
      <c r="AH51" s="19" t="n">
        <v>1007</v>
      </c>
      <c r="AI51" s="19" t="n">
        <v>280</v>
      </c>
      <c r="AJ51" s="19" t="n">
        <v>337</v>
      </c>
      <c r="AK51" s="19" t="n">
        <v>299</v>
      </c>
      <c r="AL51" s="19" t="n">
        <v>342</v>
      </c>
      <c r="AM51" s="19" t="n">
        <v>1258</v>
      </c>
      <c r="AN51" s="19" t="n">
        <v>285</v>
      </c>
      <c r="AO51" s="19" t="n">
        <v>345</v>
      </c>
      <c r="AP51" s="19" t="n">
        <v>303</v>
      </c>
      <c r="AQ51" s="19" t="n">
        <v>391</v>
      </c>
      <c r="AR51" s="19" t="n">
        <v>1324</v>
      </c>
      <c r="AS51" s="19" t="n">
        <v>295</v>
      </c>
      <c r="AT51" s="19" t="n">
        <v>281</v>
      </c>
      <c r="AU51" s="19" t="n">
        <v>355</v>
      </c>
      <c r="AV51" s="19" t="n">
        <v>340</v>
      </c>
      <c r="AW51" s="19" t="n">
        <v>1271</v>
      </c>
      <c r="AX51" s="19" t="n">
        <v>531</v>
      </c>
      <c r="AY51" s="19" t="n">
        <v>446</v>
      </c>
      <c r="AZ51" s="19" t="n">
        <v>383</v>
      </c>
      <c r="BA51" s="19" t="n">
        <v>484</v>
      </c>
      <c r="BB51" s="19" t="n">
        <v>1844</v>
      </c>
      <c r="BC51" s="19" t="n">
        <v>620</v>
      </c>
      <c r="BD51" s="19" t="n">
        <v>691</v>
      </c>
      <c r="BE51" s="19" t="n">
        <v>725</v>
      </c>
      <c r="BF51" s="19" t="n">
        <v>836</v>
      </c>
      <c r="BG51" s="19" t="n">
        <v>2872</v>
      </c>
      <c r="BH51" s="19" t="n">
        <v>793</v>
      </c>
      <c r="BI51" s="19" t="n">
        <v>824</v>
      </c>
      <c r="BJ51" s="19" t="n">
        <v>937</v>
      </c>
      <c r="BK51" s="19" t="n">
        <v>804</v>
      </c>
      <c r="BL51" s="19" t="n">
        <v>3358</v>
      </c>
      <c r="BM51" s="19" t="n">
        <v>744</v>
      </c>
      <c r="BN51" s="19" t="n">
        <v>745</v>
      </c>
      <c r="BO51" s="19" t="n">
        <v>773</v>
      </c>
      <c r="BP51" s="19" t="n">
        <v>828</v>
      </c>
      <c r="BQ51" s="19" t="n">
        <v>3090</v>
      </c>
      <c r="BR51" s="19" t="n">
        <v>731</v>
      </c>
      <c r="BS51" s="19" t="n">
        <v>825</v>
      </c>
      <c r="BT51" s="19" t="n">
        <v>868</v>
      </c>
      <c r="BU51" s="19" t="n">
        <v>925</v>
      </c>
      <c r="BV51" s="19" t="n">
        <v>3350</v>
      </c>
      <c r="BW51" s="19" t="n">
        <v>778</v>
      </c>
      <c r="BX51" s="19" t="n">
        <v>936</v>
      </c>
      <c r="BY51" s="20" t="n">
        <f aca="false">BY46*BY53</f>
        <v>1024.09567590769</v>
      </c>
      <c r="BZ51" s="20" t="n">
        <f aca="false">BZ46*BZ53</f>
        <v>1085.21581839552</v>
      </c>
      <c r="CA51" s="20" t="n">
        <f aca="false">SUM(BW51,BX51,BY51,BZ51)</f>
        <v>3823.31149430321</v>
      </c>
      <c r="CB51" s="20" t="n">
        <f aca="false">CB46*CB53</f>
        <v>4204.80729170575</v>
      </c>
      <c r="CC51" s="20" t="n">
        <f aca="false">CC46*CC53</f>
        <v>4575.95161532031</v>
      </c>
      <c r="CD51" s="20" t="n">
        <f aca="false">CD46*CD53</f>
        <v>4976.49595151848</v>
      </c>
      <c r="CE51" s="20" t="n">
        <f aca="false">CE46*CE53</f>
        <v>5408.63218224528</v>
      </c>
      <c r="CF51" s="21"/>
      <c r="CH51" s="22" t="n">
        <f aca="false">IFERROR((CE51/BV51)^(1/5)-1,"n/m")</f>
        <v>0.100546832499792</v>
      </c>
      <c r="CI51" s="22" t="n">
        <f aca="false">IFERROR((BV51/AW51)^(1/5)-1,"n/m")</f>
        <v>0.213891446653187</v>
      </c>
      <c r="CJ51" s="22" t="n">
        <f aca="false">IFERROR((BV51/X51)^(1/10)-1,"n/m")</f>
        <v>0.128609196496768</v>
      </c>
      <c r="CK51" s="22" t="str">
        <f aca="false">IFERROR((BV51/C51)^(1/19)-1,"n/m")</f>
        <v>n/m</v>
      </c>
      <c r="CN51" s="23" t="s">
        <v>143</v>
      </c>
      <c r="CO51" s="36" t="n">
        <f aca="false">CP51+$CO$49</f>
        <v>0.395</v>
      </c>
      <c r="CP51" s="32" t="n">
        <v>0.38</v>
      </c>
      <c r="CQ51" s="36" t="n">
        <f aca="false">CP51+$CQ$49</f>
        <v>0.365</v>
      </c>
    </row>
    <row r="52" customFormat="false" ht="15" hidden="false" customHeight="false" outlineLevel="1" collapsed="false">
      <c r="B52" s="23" t="s">
        <v>108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6" t="n">
        <f aca="false">BT53+(BW51+BX51)/(BW46+BX46)-(BR51+BS51)/(BR46+BS46)</f>
        <v>0.146312367053078</v>
      </c>
      <c r="BZ52" s="26" t="n">
        <f aca="false">BU53+(BW51+BX51)/(BW46+BX46)-(BR51+BS51)/(BR46+BS46)</f>
        <v>0.145925786609448</v>
      </c>
      <c r="CA52" s="29"/>
      <c r="CB52" s="29"/>
      <c r="CC52" s="29"/>
      <c r="CD52" s="29"/>
      <c r="CE52" s="29"/>
      <c r="CF52" s="21" t="s">
        <v>109</v>
      </c>
      <c r="CN52" s="23" t="s">
        <v>144</v>
      </c>
      <c r="CO52" s="36" t="n">
        <f aca="false">CP52+$CO$49</f>
        <v>0.399</v>
      </c>
      <c r="CP52" s="32" t="n">
        <v>0.384</v>
      </c>
      <c r="CQ52" s="36" t="n">
        <f aca="false">CP52+$CQ$49</f>
        <v>0.369</v>
      </c>
    </row>
    <row r="53" customFormat="false" ht="15" hidden="false" customHeight="false" outlineLevel="0" collapsed="false">
      <c r="B53" s="23" t="s">
        <v>112</v>
      </c>
      <c r="C53" s="25" t="str">
        <f aca="false">IF(AND(ISNUMBER(C51),ISNUMBER(C46)),C51/C46,"")</f>
        <v/>
      </c>
      <c r="D53" s="25" t="str">
        <f aca="false">IF(AND(ISNUMBER(D51),ISNUMBER(D46)),D51/D46,"")</f>
        <v/>
      </c>
      <c r="E53" s="25" t="str">
        <f aca="false">IF(AND(ISNUMBER(E51),ISNUMBER(E46)),E51/E46,"")</f>
        <v/>
      </c>
      <c r="F53" s="25" t="str">
        <f aca="false">IF(AND(ISNUMBER(F51),ISNUMBER(F46)),F51/F46,"")</f>
        <v/>
      </c>
      <c r="G53" s="25" t="str">
        <f aca="false">IF(AND(ISNUMBER(G51),ISNUMBER(G46)),G51/G46,"")</f>
        <v/>
      </c>
      <c r="H53" s="25" t="str">
        <f aca="false">IF(AND(ISNUMBER(H51),ISNUMBER(H46)),H51/H46,"")</f>
        <v/>
      </c>
      <c r="I53" s="25" t="str">
        <f aca="false">IF(AND(ISNUMBER(I51),ISNUMBER(I46)),I51/I46,"")</f>
        <v/>
      </c>
      <c r="J53" s="25" t="str">
        <f aca="false">IF(AND(ISNUMBER(J51),ISNUMBER(J46)),J51/J46,"")</f>
        <v/>
      </c>
      <c r="K53" s="25" t="str">
        <f aca="false">IF(AND(ISNUMBER(K51),ISNUMBER(K46)),K51/K46,"")</f>
        <v/>
      </c>
      <c r="L53" s="25" t="str">
        <f aca="false">IF(AND(ISNUMBER(L51),ISNUMBER(L46)),L51/L46,"")</f>
        <v/>
      </c>
      <c r="M53" s="25" t="str">
        <f aca="false">IF(AND(ISNUMBER(M51),ISNUMBER(M46)),M51/M46,"")</f>
        <v/>
      </c>
      <c r="N53" s="25" t="str">
        <f aca="false">IF(AND(ISNUMBER(N51),ISNUMBER(N46)),N51/N46,"")</f>
        <v/>
      </c>
      <c r="O53" s="25" t="n">
        <f aca="false">IF(AND(ISNUMBER(O51),ISNUMBER(O46)),O51/O46,"")</f>
        <v>0.1471235460547</v>
      </c>
      <c r="P53" s="25" t="n">
        <f aca="false">IF(AND(ISNUMBER(P51),ISNUMBER(P46)),P51/P46,"")</f>
        <v>0.151641755913852</v>
      </c>
      <c r="Q53" s="25" t="n">
        <f aca="false">IF(AND(ISNUMBER(Q51),ISNUMBER(Q46)),Q51/Q46,"")</f>
        <v>0.151409099281636</v>
      </c>
      <c r="R53" s="25" t="n">
        <f aca="false">IF(AND(ISNUMBER(R51),ISNUMBER(R46)),R51/R46,"")</f>
        <v>0.145284924832135</v>
      </c>
      <c r="S53" s="25" t="n">
        <f aca="false">IF(AND(ISNUMBER(S51),ISNUMBER(S46)),S51/S46,"")</f>
        <v>0.148875255623722</v>
      </c>
      <c r="T53" s="25" t="n">
        <f aca="false">IF(AND(ISNUMBER(T51),ISNUMBER(T46)),T51/T46,"")</f>
        <v>0.146755649530858</v>
      </c>
      <c r="U53" s="25" t="n">
        <f aca="false">IF(AND(ISNUMBER(U51),ISNUMBER(U46)),U51/U46,"")</f>
        <v>0.153546329652159</v>
      </c>
      <c r="V53" s="25" t="n">
        <f aca="false">IF(AND(ISNUMBER(V51),ISNUMBER(V46)),V51/V46,"")</f>
        <v>0.152362348919546</v>
      </c>
      <c r="W53" s="25" t="n">
        <f aca="false">IF(AND(ISNUMBER(W51),ISNUMBER(W46)),W51/W46,"")</f>
        <v>0.147198062314213</v>
      </c>
      <c r="X53" s="25" t="n">
        <f aca="false">IF(AND(ISNUMBER(X51),ISNUMBER(X46)),X51/X46,"")</f>
        <v>0.14998123545748</v>
      </c>
      <c r="Y53" s="25" t="n">
        <f aca="false">IF(AND(ISNUMBER(Y51),ISNUMBER(Y46)),Y51/Y46,"")</f>
        <v>0.149715876145193</v>
      </c>
      <c r="Z53" s="25" t="n">
        <f aca="false">IF(AND(ISNUMBER(Z51),ISNUMBER(Z46)),Z51/Z46,"")</f>
        <v>0.155254688713794</v>
      </c>
      <c r="AA53" s="25" t="n">
        <f aca="false">IF(AND(ISNUMBER(AA51),ISNUMBER(AA46)),AA51/AA46,"")</f>
        <v>0.147692131485511</v>
      </c>
      <c r="AB53" s="25" t="n">
        <f aca="false">IF(AND(ISNUMBER(AB51),ISNUMBER(AB46)),AB51/AB46,"")</f>
        <v>0.145816733067729</v>
      </c>
      <c r="AC53" s="25" t="n">
        <f aca="false">IF(AND(ISNUMBER(AC51),ISNUMBER(AC46)),AC51/AC46,"")</f>
        <v>0.149658605974395</v>
      </c>
      <c r="AD53" s="25" t="n">
        <f aca="false">IF(AND(ISNUMBER(AD51),ISNUMBER(AD46)),AD51/AD46,"")</f>
        <v>0.127251324308417</v>
      </c>
      <c r="AE53" s="25" t="n">
        <f aca="false">IF(AND(ISNUMBER(AE51),ISNUMBER(AE46)),AE51/AE46,"")</f>
        <v>0.137629009762901</v>
      </c>
      <c r="AF53" s="25" t="n">
        <f aca="false">IF(AND(ISNUMBER(AF51),ISNUMBER(AF46)),AF51/AF46,"")</f>
        <v>0.125918261769271</v>
      </c>
      <c r="AG53" s="25" t="n">
        <f aca="false">IF(AND(ISNUMBER(AG51),ISNUMBER(AG46)),AG51/AG46,"")</f>
        <v>0.12536443148688</v>
      </c>
      <c r="AH53" s="25" t="n">
        <f aca="false">IF(AND(ISNUMBER(AH51),ISNUMBER(AH46)),AH51/AH46,"")</f>
        <v>0.128690095846645</v>
      </c>
      <c r="AI53" s="25" t="n">
        <f aca="false">IF(AND(ISNUMBER(AI51),ISNUMBER(AI46)),AI51/AI46,"")</f>
        <v>0.116038126813096</v>
      </c>
      <c r="AJ53" s="25" t="n">
        <f aca="false">IF(AND(ISNUMBER(AJ51),ISNUMBER(AJ46)),AJ51/AJ46,"")</f>
        <v>0.132156862745098</v>
      </c>
      <c r="AK53" s="25" t="n">
        <f aca="false">IF(AND(ISNUMBER(AK51),ISNUMBER(AK46)),AK51/AK46,"")</f>
        <v>0.121052631578947</v>
      </c>
      <c r="AL53" s="25" t="n">
        <f aca="false">IF(AND(ISNUMBER(AL51),ISNUMBER(AL46)),AL51/AL46,"")</f>
        <v>0.131437355880092</v>
      </c>
      <c r="AM53" s="25" t="n">
        <f aca="false">IF(AND(ISNUMBER(AM51),ISNUMBER(AM46)),AM51/AM46,"")</f>
        <v>0.125361235675137</v>
      </c>
      <c r="AN53" s="25" t="n">
        <f aca="false">IF(AND(ISNUMBER(AN51),ISNUMBER(AN46)),AN51/AN46,"")</f>
        <v>0.113410266613609</v>
      </c>
      <c r="AO53" s="25" t="n">
        <f aca="false">IF(AND(ISNUMBER(AO51),ISNUMBER(AO46)),AO51/AO46,"")</f>
        <v>0.131029244208128</v>
      </c>
      <c r="AP53" s="25" t="n">
        <f aca="false">IF(AND(ISNUMBER(AP51),ISNUMBER(AP46)),AP51/AP46,"")</f>
        <v>0.115693012600229</v>
      </c>
      <c r="AQ53" s="25" t="n">
        <f aca="false">IF(AND(ISNUMBER(AQ51),ISNUMBER(AQ46)),AQ51/AQ46,"")</f>
        <v>0.137967537050106</v>
      </c>
      <c r="AR53" s="25" t="n">
        <f aca="false">IF(AND(ISNUMBER(AR51),ISNUMBER(AR46)),AR51/AR46,"")</f>
        <v>0.124917445041985</v>
      </c>
      <c r="AS53" s="25" t="n">
        <f aca="false">IF(AND(ISNUMBER(AS51),ISNUMBER(AS46)),AS51/AS46,"")</f>
        <v>0.108058608058608</v>
      </c>
      <c r="AT53" s="25" t="n">
        <f aca="false">IF(AND(ISNUMBER(AT51),ISNUMBER(AT46)),AT51/AT46,"")</f>
        <v>0.100825260136347</v>
      </c>
      <c r="AU53" s="25" t="n">
        <f aca="false">IF(AND(ISNUMBER(AU51),ISNUMBER(AU46)),AU51/AU46,"")</f>
        <v>0.114074550128535</v>
      </c>
      <c r="AV53" s="25" t="n">
        <f aca="false">IF(AND(ISNUMBER(AV51),ISNUMBER(AV46)),AV51/AV46,"")</f>
        <v>0.0940265486725664</v>
      </c>
      <c r="AW53" s="25" t="n">
        <f aca="false">IF(AND(ISNUMBER(AW51),ISNUMBER(AW46)),AW51/AW46,"")</f>
        <v>0.10379746835443</v>
      </c>
      <c r="AX53" s="25" t="n">
        <f aca="false">IF(AND(ISNUMBER(AX51),ISNUMBER(AX46)),AX51/AX46,"")</f>
        <v>0.147623019182652</v>
      </c>
      <c r="AY53" s="25" t="n">
        <f aca="false">IF(AND(ISNUMBER(AY51),ISNUMBER(AY46)),AY51/AY46,"")</f>
        <v>0.124476695506559</v>
      </c>
      <c r="AZ53" s="25" t="n">
        <f aca="false">IF(AND(ISNUMBER(AZ51),ISNUMBER(AZ46)),AZ51/AZ46,"")</f>
        <v>0.109836535704044</v>
      </c>
      <c r="BA53" s="25" t="n">
        <f aca="false">IF(AND(ISNUMBER(BA51),ISNUMBER(BA46)),BA51/BA46,"")</f>
        <v>0.115375446960667</v>
      </c>
      <c r="BB53" s="25" t="n">
        <f aca="false">IF(AND(ISNUMBER(BB51),ISNUMBER(BB46)),BB51/BB46,"")</f>
        <v>0.124074821692908</v>
      </c>
      <c r="BC53" s="25" t="n">
        <f aca="false">IF(AND(ISNUMBER(BC51),ISNUMBER(BC46)),BC51/BC46,"")</f>
        <v>0.113928702682837</v>
      </c>
      <c r="BD53" s="25" t="n">
        <f aca="false">IF(AND(ISNUMBER(BD51),ISNUMBER(BD46)),BD51/BD46,"")</f>
        <v>0.124796821383421</v>
      </c>
      <c r="BE53" s="25" t="n">
        <f aca="false">IF(AND(ISNUMBER(BE51),ISNUMBER(BE46)),BE51/BE46,"")</f>
        <v>0.129811996418979</v>
      </c>
      <c r="BF53" s="25" t="n">
        <f aca="false">IF(AND(ISNUMBER(BF51),ISNUMBER(BF46)),BF51/BF46,"")</f>
        <v>0.140575079872204</v>
      </c>
      <c r="BG53" s="25" t="n">
        <f aca="false">IF(AND(ISNUMBER(BG51),ISNUMBER(BG46)),BG51/BG46,"")</f>
        <v>0.127582070987517</v>
      </c>
      <c r="BH53" s="25" t="n">
        <f aca="false">IF(AND(ISNUMBER(BH51),ISNUMBER(BH46)),BH51/BH46,"")</f>
        <v>0.13760194343224</v>
      </c>
      <c r="BI53" s="25" t="n">
        <f aca="false">IF(AND(ISNUMBER(BI51),ISNUMBER(BI46)),BI51/BI46,"")</f>
        <v>0.141313668324473</v>
      </c>
      <c r="BJ53" s="25" t="n">
        <f aca="false">IF(AND(ISNUMBER(BJ51),ISNUMBER(BJ46)),BJ51/BJ46,"")</f>
        <v>0.163582402234637</v>
      </c>
      <c r="BK53" s="25" t="n">
        <f aca="false">IF(AND(ISNUMBER(BK51),ISNUMBER(BK46)),BK51/BK46,"")</f>
        <v>0.140584018184997</v>
      </c>
      <c r="BL53" s="25" t="n">
        <f aca="false">IF(AND(ISNUMBER(BL51),ISNUMBER(BL46)),BL51/BL46,"")</f>
        <v>0.145740202248166</v>
      </c>
      <c r="BM53" s="25" t="n">
        <f aca="false">IF(AND(ISNUMBER(BM51),ISNUMBER(BM46)),BM51/BM46,"")</f>
        <v>0.130001747335314</v>
      </c>
      <c r="BN53" s="25" t="n">
        <f aca="false">IF(AND(ISNUMBER(BN51),ISNUMBER(BN46)),BN51/BN46,"")</f>
        <v>0.129385203195554</v>
      </c>
      <c r="BO53" s="25" t="n">
        <f aca="false">IF(AND(ISNUMBER(BO51),ISNUMBER(BO46)),BO51/BO46,"")</f>
        <v>0.134668989547038</v>
      </c>
      <c r="BP53" s="25" t="n">
        <f aca="false">IF(AND(ISNUMBER(BP51),ISNUMBER(BP46)),BP51/BP46,"")</f>
        <v>0.139487870619946</v>
      </c>
      <c r="BQ53" s="25" t="n">
        <f aca="false">IF(AND(ISNUMBER(BQ51),ISNUMBER(BQ46)),BQ51/BQ46,"")</f>
        <v>0.133436973701257</v>
      </c>
      <c r="BR53" s="25" t="n">
        <f aca="false">IF(AND(ISNUMBER(BR51),ISNUMBER(BR46)),BR51/BR46,"")</f>
        <v>0.129609929078014</v>
      </c>
      <c r="BS53" s="25" t="n">
        <f aca="false">IF(AND(ISNUMBER(BS51),ISNUMBER(BS46)),BS51/BS46,"")</f>
        <v>0.137614678899083</v>
      </c>
      <c r="BT53" s="25" t="n">
        <f aca="false">IF(AND(ISNUMBER(BT51),ISNUMBER(BT46)),BT51/BT46,"")</f>
        <v>0.145393634840871</v>
      </c>
      <c r="BU53" s="25" t="n">
        <f aca="false">IF(AND(ISNUMBER(BU51),ISNUMBER(BU46)),BU51/BU46,"")</f>
        <v>0.145007054397241</v>
      </c>
      <c r="BV53" s="25" t="n">
        <f aca="false">IF(AND(ISNUMBER(BV51),ISNUMBER(BV46)),BV51/BV46,"")</f>
        <v>0.139676450967312</v>
      </c>
      <c r="BW53" s="25" t="n">
        <f aca="false">IF(AND(ISNUMBER(BW51),ISNUMBER(BW46)),BW51/BW46,"")</f>
        <v>0.128893306825712</v>
      </c>
      <c r="BX53" s="25" t="n">
        <f aca="false">IF(AND(ISNUMBER(BX51),ISNUMBER(BX46)),BX51/BX46,"")</f>
        <v>0.13984760197221</v>
      </c>
      <c r="BY53" s="26" t="n">
        <f aca="false">BY52+BY122</f>
        <v>0.156369804035628</v>
      </c>
      <c r="BZ53" s="26" t="n">
        <f aca="false">BZ52+BZ122</f>
        <v>0.155983223591998</v>
      </c>
      <c r="CA53" s="26" t="n">
        <f aca="false">IFERROR(CA51/CA46,"")</f>
        <v>0.145730734772791</v>
      </c>
      <c r="CB53" s="26" t="n">
        <f aca="false">CHOOSE(MATCH($CF$2,{"Bull","Base","Bear"},0),$CO$65,$CP$65,$CQ$65)</f>
        <v>0.15</v>
      </c>
      <c r="CC53" s="26" t="n">
        <f aca="false">CHOOSE(MATCH($CF$2,{"Bull","Base","Bear"},0),$CO$66,$CP$66,$CQ$66)</f>
        <v>0.154</v>
      </c>
      <c r="CD53" s="26" t="n">
        <f aca="false">CHOOSE(MATCH($CF$2,{"Bull","Base","Bear"},0),$CO$67,$CP$67,$CQ$67)</f>
        <v>0.158</v>
      </c>
      <c r="CE53" s="26" t="n">
        <f aca="false">CHOOSE(MATCH($CF$2,{"Bull","Base","Bear"},0),$CO$68,$CP$68,$CQ$68)</f>
        <v>0.162</v>
      </c>
      <c r="CF53" s="21" t="s">
        <v>163</v>
      </c>
      <c r="CN53" s="23" t="s">
        <v>147</v>
      </c>
      <c r="CO53" s="36" t="n">
        <f aca="false">CP53+$CO$49</f>
        <v>0.403</v>
      </c>
      <c r="CP53" s="32" t="n">
        <v>0.388</v>
      </c>
      <c r="CQ53" s="36" t="n">
        <f aca="false">CP53+$CQ$49</f>
        <v>0.373</v>
      </c>
    </row>
    <row r="54" customFormat="false" ht="15" hidden="false" customHeight="false" outlineLevel="1" collapsed="false">
      <c r="B54" s="23" t="s">
        <v>115</v>
      </c>
      <c r="C54" s="24"/>
      <c r="D54" s="25" t="str">
        <f aca="false">IF(AND(ISNUMBER(D51),ISNUMBER(C51)),IFERROR((D51-C51)/(D46-C46),""),"")</f>
        <v/>
      </c>
      <c r="E54" s="25" t="str">
        <f aca="false">IF(AND(ISNUMBER(E51),ISNUMBER(D51)),IFERROR((E51-D51)/(E46-D46),""),"")</f>
        <v/>
      </c>
      <c r="F54" s="25" t="str">
        <f aca="false">IF(AND(ISNUMBER(F51),ISNUMBER(E51)),IFERROR((F51-E51)/(F46-E46),""),"")</f>
        <v/>
      </c>
      <c r="G54" s="25" t="str">
        <f aca="false">IF(AND(ISNUMBER(G51),ISNUMBER(F51)),IFERROR((G51-F51)/(G46-F46),""),"")</f>
        <v/>
      </c>
      <c r="H54" s="25" t="str">
        <f aca="false">IF(AND(ISNUMBER(H51),ISNUMBER(G51)),IFERROR((H51-G51)/(H46-G46),""),"")</f>
        <v/>
      </c>
      <c r="I54" s="25" t="str">
        <f aca="false">IF(AND(ISNUMBER(I51),ISNUMBER(H51)),IFERROR((I51-H51)/(I46-H46),""),"")</f>
        <v/>
      </c>
      <c r="J54" s="24"/>
      <c r="K54" s="24"/>
      <c r="L54" s="24"/>
      <c r="M54" s="24"/>
      <c r="N54" s="25" t="str">
        <f aca="false">IF(AND(ISNUMBER(N51),ISNUMBER(I51)),IFERROR((N51-I51)/(N46-I46),""),"")</f>
        <v/>
      </c>
      <c r="O54" s="25" t="str">
        <f aca="false">IF(AND(ISNUMBER(O51),ISNUMBER(J51)),IFERROR((O51-J51)/(O46-J46),""),"")</f>
        <v/>
      </c>
      <c r="P54" s="25" t="str">
        <f aca="false">IF(AND(ISNUMBER(P51),ISNUMBER(K51)),IFERROR((P51-K51)/(P46-K46),""),"")</f>
        <v/>
      </c>
      <c r="Q54" s="25" t="str">
        <f aca="false">IF(AND(ISNUMBER(Q51),ISNUMBER(L51)),IFERROR((Q51-L51)/(Q46-L46),""),"")</f>
        <v/>
      </c>
      <c r="R54" s="25" t="str">
        <f aca="false">IF(AND(ISNUMBER(R51),ISNUMBER(M51)),IFERROR((R51-M51)/(R46-M46),""),"")</f>
        <v/>
      </c>
      <c r="S54" s="25" t="str">
        <f aca="false">IF(AND(ISNUMBER(S51),ISNUMBER(N51)),IFERROR((S51-N51)/(S46-N46),""),"")</f>
        <v/>
      </c>
      <c r="T54" s="25" t="n">
        <f aca="false">IF(AND(ISNUMBER(T51),ISNUMBER(O51)),IFERROR((T51-O51)/(T46-O46),""),"")</f>
        <v>0.154345006485085</v>
      </c>
      <c r="U54" s="25" t="n">
        <f aca="false">IF(AND(ISNUMBER(U51),ISNUMBER(P51)),IFERROR((U51-P51)/(U46-P46),""),"")</f>
        <v>-0.377049180327862</v>
      </c>
      <c r="V54" s="25" t="n">
        <f aca="false">IF(AND(ISNUMBER(V51),ISNUMBER(Q51)),IFERROR((V51-Q51)/(V46-Q46),""),"")</f>
        <v>0.315789473684211</v>
      </c>
      <c r="W54" s="25" t="n">
        <f aca="false">IF(AND(ISNUMBER(W51),ISNUMBER(R51)),IFERROR((W51-R51)/(W46-R46),""),"")</f>
        <v>0.171278982797307</v>
      </c>
      <c r="X54" s="25" t="n">
        <f aca="false">IF(AND(ISNUMBER(X51),ISNUMBER(S51)),IFERROR((X51-S51)/(X46-S46),""),"")</f>
        <v>0.271666666666668</v>
      </c>
      <c r="Y54" s="25" t="n">
        <f aca="false">IF(AND(ISNUMBER(Y51),ISNUMBER(T51)),IFERROR((Y51-T51)/(Y46-T46),""),"")</f>
        <v>0.17092803030303</v>
      </c>
      <c r="Z54" s="25" t="n">
        <f aca="false">IF(AND(ISNUMBER(Z51),ISNUMBER(U51)),IFERROR((Z51-U51)/(Z46-U46),""),"")</f>
        <v>0.181818181818182</v>
      </c>
      <c r="AA54" s="25" t="n">
        <f aca="false">IF(AND(ISNUMBER(AA51),ISNUMBER(V51)),IFERROR((AA51-V51)/(AA46-V46),""),"")</f>
        <v>0.0768518518518517</v>
      </c>
      <c r="AB54" s="25" t="n">
        <f aca="false">IF(AND(ISNUMBER(AB51),ISNUMBER(W51)),IFERROR((AB51-W51)/(AB46-W46),""),"")</f>
        <v>0.187919463087248</v>
      </c>
      <c r="AC54" s="25" t="n">
        <f aca="false">IF(AND(ISNUMBER(AC51),ISNUMBER(X51)),IFERROR((AC51-X51)/(AC46-X46),""),"")</f>
        <v>0.1438263229308</v>
      </c>
      <c r="AD54" s="25" t="n">
        <f aca="false">IF(AND(ISNUMBER(AD51),ISNUMBER(Y51)),IFERROR((AD51-Y51)/(AD46-Y46),""),"")</f>
        <v>1.64062500000001</v>
      </c>
      <c r="AE54" s="25" t="n">
        <f aca="false">IF(AND(ISNUMBER(AE51),ISNUMBER(Z51)),IFERROR((AE51-Z51)/(AE46-Z46),""),"")</f>
        <v>3.41237113402061</v>
      </c>
      <c r="AF54" s="25" t="n">
        <f aca="false">IF(AND(ISNUMBER(AF51),ISNUMBER(AA51)),IFERROR((AF51-AA51)/(AF46-AA46),""),"")</f>
        <v>-0.0776231263383296</v>
      </c>
      <c r="AG54" s="25" t="n">
        <f aca="false">IF(AND(ISNUMBER(AG51),ISNUMBER(AB51)),IFERROR((AG51-AB51)/(AG46-AB46),""),"")</f>
        <v>0.0695652173913044</v>
      </c>
      <c r="AH54" s="25" t="n">
        <f aca="false">IF(AND(ISNUMBER(AH51),ISNUMBER(AC51)),IFERROR((AH51-AC51)/(AH46-AC46),""),"")</f>
        <v>-0.0567295597484276</v>
      </c>
      <c r="AI54" s="25" t="n">
        <f aca="false">IF(AND(ISNUMBER(AI51),ISNUMBER(AD51)),IFERROR((AI51-AD51)/(AI46-AD46),""),"")</f>
        <v>0.0893557422969188</v>
      </c>
      <c r="AJ54" s="25" t="n">
        <f aca="false">IF(AND(ISNUMBER(AJ51),ISNUMBER(AE51)),IFERROR((AJ51-AE51)/(AJ46-AE46),""),"")</f>
        <v>0.119207920792079</v>
      </c>
      <c r="AK54" s="25" t="n">
        <f aca="false">IF(AND(ISNUMBER(AK51),ISNUMBER(AF51)),IFERROR((AK51-AF51)/(AK46-AF46),""),"")</f>
        <v>0.103538175046555</v>
      </c>
      <c r="AL54" s="25" t="n">
        <f aca="false">IF(AND(ISNUMBER(AL51),ISNUMBER(AG51)),IFERROR((AL51-AG51)/(AL46-AG46),""),"")</f>
        <v>0.203980099502488</v>
      </c>
      <c r="AM54" s="25" t="n">
        <f aca="false">IF(AND(ISNUMBER(AM51),ISNUMBER(AH51)),IFERROR((AM51-AH51)/(AM46-AH46),""),"")</f>
        <v>0.113574660633484</v>
      </c>
      <c r="AN54" s="25" t="n">
        <f aca="false">IF(AND(ISNUMBER(AN51),ISNUMBER(AI51)),IFERROR((AN51-AI51)/(AN46-AI46),""),"")</f>
        <v>0.05</v>
      </c>
      <c r="AO54" s="25" t="n">
        <f aca="false">IF(AND(ISNUMBER(AO51),ISNUMBER(AJ51)),IFERROR((AO51-AJ51)/(AO46-AJ46),""),"")</f>
        <v>0.0963855421686747</v>
      </c>
      <c r="AP54" s="25" t="n">
        <f aca="false">IF(AND(ISNUMBER(AP51),ISNUMBER(AK51)),IFERROR((AP51-AK51)/(AP46-AK46),""),"")</f>
        <v>0.0268456375838926</v>
      </c>
      <c r="AQ54" s="25" t="n">
        <f aca="false">IF(AND(ISNUMBER(AQ51),ISNUMBER(AL51)),IFERROR((AQ51-AL51)/(AQ46-AL46),""),"")</f>
        <v>0.211206896551724</v>
      </c>
      <c r="AR54" s="25" t="n">
        <f aca="false">IF(AND(ISNUMBER(AR51),ISNUMBER(AM51)),IFERROR((AR51-AM51)/(AR46-AM46),""),"")</f>
        <v>0.117021276595745</v>
      </c>
      <c r="AS54" s="25" t="n">
        <f aca="false">IF(AND(ISNUMBER(AS51),ISNUMBER(AN51)),IFERROR((AS51-AN51)/(AS46-AN46),""),"")</f>
        <v>0.0460829493087558</v>
      </c>
      <c r="AT54" s="25" t="n">
        <f aca="false">IF(AND(ISNUMBER(AT51),ISNUMBER(AO51)),IFERROR((AT51-AO51)/(AT46-AO46),""),"")</f>
        <v>-0.415584415584416</v>
      </c>
      <c r="AU54" s="25" t="n">
        <f aca="false">IF(AND(ISNUMBER(AU51),ISNUMBER(AP51)),IFERROR((AU51-AP51)/(AU46-AP46),""),"")</f>
        <v>0.105476673427992</v>
      </c>
      <c r="AV54" s="25" t="n">
        <f aca="false">IF(AND(ISNUMBER(AV51),ISNUMBER(AQ51)),IFERROR((AV51-AQ51)/(AV46-AQ46),""),"")</f>
        <v>-0.0652173913043478</v>
      </c>
      <c r="AW54" s="25" t="n">
        <f aca="false">IF(AND(ISNUMBER(AW51),ISNUMBER(AR51)),IFERROR((AW51-AR51)/(AW46-AR46),""),"")</f>
        <v>-0.0321992709599028</v>
      </c>
      <c r="AX54" s="25" t="n">
        <f aca="false">IF(AND(ISNUMBER(AX51),ISNUMBER(AS51)),IFERROR((AX51-AS51)/(AX46-AS46),""),"")</f>
        <v>0.272202998846598</v>
      </c>
      <c r="AY54" s="25" t="n">
        <f aca="false">IF(AND(ISNUMBER(AY51),ISNUMBER(AT51)),IFERROR((AY51-AT51)/(AY46-AT46),""),"")</f>
        <v>0.207286432160804</v>
      </c>
      <c r="AZ54" s="25" t="n">
        <f aca="false">IF(AND(ISNUMBER(AZ51),ISNUMBER(AU51)),IFERROR((AZ51-AU51)/(AZ46-AU46),""),"")</f>
        <v>0.0746666666666667</v>
      </c>
      <c r="BA54" s="25" t="n">
        <f aca="false">IF(AND(ISNUMBER(BA51),ISNUMBER(AV51)),IFERROR((BA51-AV51)/(BA46-AV46),""),"")</f>
        <v>0.248704663212435</v>
      </c>
      <c r="BB54" s="25" t="n">
        <f aca="false">IF(AND(ISNUMBER(BB51),ISNUMBER(AW51)),IFERROR((BB51-AW51)/(BB46-AW46),""),"")</f>
        <v>0.218952999617883</v>
      </c>
      <c r="BC54" s="25" t="n">
        <f aca="false">IF(AND(ISNUMBER(BC51),ISNUMBER(AX51)),IFERROR((BC51-AX51)/(BC46-AX46),""),"")</f>
        <v>0.0482384823848238</v>
      </c>
      <c r="BD54" s="25" t="n">
        <f aca="false">IF(AND(ISNUMBER(BD51),ISNUMBER(AY51)),IFERROR((BD51-AY51)/(BD46-AY46),""),"")</f>
        <v>0.125383828045036</v>
      </c>
      <c r="BE54" s="25" t="n">
        <f aca="false">IF(AND(ISNUMBER(BE51),ISNUMBER(AZ51)),IFERROR((BE51-AZ51)/(BE46-AZ46),""),"")</f>
        <v>0.163012392755005</v>
      </c>
      <c r="BF54" s="25" t="n">
        <f aca="false">IF(AND(ISNUMBER(BF51),ISNUMBER(BA51)),IFERROR((BF51-BA51)/(BF46-BA46),""),"")</f>
        <v>0.200913242009132</v>
      </c>
      <c r="BG54" s="25" t="n">
        <f aca="false">IF(AND(ISNUMBER(BG51),ISNUMBER(BB51)),IFERROR((BG51-BB51)/(BG46-BB46),""),"")</f>
        <v>0.134396653157275</v>
      </c>
      <c r="BH54" s="25" t="n">
        <f aca="false">IF(AND(ISNUMBER(BH51),ISNUMBER(BC51)),IFERROR((BH51-BC51)/(BH46-BC46),""),"")</f>
        <v>0.538940809968847</v>
      </c>
      <c r="BI54" s="25" t="n">
        <f aca="false">IF(AND(ISNUMBER(BI51),ISNUMBER(BD51)),IFERROR((BI51-BD51)/(BI46-BD46),""),"")</f>
        <v>0.452380952380952</v>
      </c>
      <c r="BJ54" s="25" t="n">
        <f aca="false">IF(AND(ISNUMBER(BJ51),ISNUMBER(BE51)),IFERROR((BJ51-BE51)/(BJ46-BE46),""),"")</f>
        <v>1.48251748251748</v>
      </c>
      <c r="BK54" s="25" t="n">
        <f aca="false">IF(AND(ISNUMBER(BK51),ISNUMBER(BF51)),IFERROR((BK51-BF51)/(BK46-BF46),""),"")</f>
        <v>0.140350877192982</v>
      </c>
      <c r="BL54" s="25" t="n">
        <f aca="false">IF(AND(ISNUMBER(BL51),ISNUMBER(BG51)),IFERROR((BL51-BG51)/(BL46-BG46),""),"")</f>
        <v>0.916981132075472</v>
      </c>
      <c r="BM54" s="25" t="n">
        <f aca="false">IF(AND(ISNUMBER(BM51),ISNUMBER(BH51)),IFERROR((BM51-BH51)/(BM46-BH46),""),"")</f>
        <v>1.225</v>
      </c>
      <c r="BN54" s="25" t="n">
        <f aca="false">IF(AND(ISNUMBER(BN51),ISNUMBER(BI51)),IFERROR((BN51-BI51)/(BN46-BI46),""),"")</f>
        <v>1.08219178082192</v>
      </c>
      <c r="BO54" s="25" t="n">
        <f aca="false">IF(AND(ISNUMBER(BO51),ISNUMBER(BJ51)),IFERROR((BO51-BJ51)/(BO46-BJ46),""),"")</f>
        <v>-13.6666666666667</v>
      </c>
      <c r="BP54" s="25" t="n">
        <f aca="false">IF(AND(ISNUMBER(BP51),ISNUMBER(BK51)),IFERROR((BP51-BK51)/(BP46-BK46),""),"")</f>
        <v>0.110599078341014</v>
      </c>
      <c r="BQ54" s="25" t="n">
        <f aca="false">IF(AND(ISNUMBER(BQ51),ISNUMBER(BL51)),IFERROR((BQ51-BL51)/(BQ46-BL46),""),"")</f>
        <v>-2.31034482758621</v>
      </c>
      <c r="BR54" s="25" t="n">
        <f aca="false">IF(AND(ISNUMBER(BR51),ISNUMBER(BM51)),IFERROR((BR51-BM51)/(BR46-BM46),""),"")</f>
        <v>0.156626506024096</v>
      </c>
      <c r="BS54" s="25" t="n">
        <f aca="false">IF(AND(ISNUMBER(BS51),ISNUMBER(BN51)),IFERROR((BS51-BN51)/(BS46-BN46),""),"")</f>
        <v>0.337552742616034</v>
      </c>
      <c r="BT54" s="25" t="n">
        <f aca="false">IF(AND(ISNUMBER(BT51),ISNUMBER(BO51)),IFERROR((BT51-BO51)/(BT46-BO46),""),"")</f>
        <v>0.41304347826087</v>
      </c>
      <c r="BU54" s="25" t="n">
        <f aca="false">IF(AND(ISNUMBER(BU51),ISNUMBER(BP51)),IFERROR((BU51-BP51)/(BU46-BP46),""),"")</f>
        <v>0.218961625282167</v>
      </c>
      <c r="BV54" s="25" t="n">
        <f aca="false">IF(AND(ISNUMBER(BV51),ISNUMBER(BQ51)),IFERROR((BV51-BQ51)/(BV46-BQ46),""),"")</f>
        <v>0.314389359129383</v>
      </c>
      <c r="BW54" s="25" t="n">
        <f aca="false">IF(AND(ISNUMBER(BW51),ISNUMBER(BR51)),IFERROR((BW51-BR51)/(BW46-BR46),""),"")</f>
        <v>0.118686868686869</v>
      </c>
      <c r="BX54" s="25" t="n">
        <f aca="false">IF(AND(ISNUMBER(BX51),ISNUMBER(BS51)),IFERROR((BX51-BS51)/(BX46-BS46),""),"")</f>
        <v>0.159025787965616</v>
      </c>
      <c r="BY54" s="26" t="n">
        <f aca="false">IFERROR((BY51-BT51)/(BY46-BT46),"")</f>
        <v>0.269506501807555</v>
      </c>
      <c r="BZ54" s="26" t="n">
        <f aca="false">IFERROR((BZ51-BU51)/(BZ46-BU46),"")</f>
        <v>0.277065438766001</v>
      </c>
      <c r="CA54" s="26" t="n">
        <f aca="false">IFERROR((CA51-BV51)/(CA46-BV46),"")</f>
        <v>0.210225128844153</v>
      </c>
      <c r="CB54" s="26" t="n">
        <f aca="false">IFERROR((CB51-CA51)/(CB46-CA46),"")</f>
        <v>0.212343438453268</v>
      </c>
      <c r="CC54" s="26" t="n">
        <f aca="false">IFERROR((CC51-CB51)/(CC46-CB46),"")</f>
        <v>0.220666666666667</v>
      </c>
      <c r="CD54" s="26" t="n">
        <f aca="false">IFERROR((CD51-CC51)/(CD46-CC46),"")</f>
        <v>0.224666666666666</v>
      </c>
      <c r="CE54" s="26" t="n">
        <f aca="false">IFERROR((CE51-CD51)/(CE46-CD46),"")</f>
        <v>0.228666666666666</v>
      </c>
      <c r="CF54" s="21"/>
      <c r="CN54" s="13" t="s">
        <v>164</v>
      </c>
      <c r="CO54" s="35" t="n">
        <v>0.015</v>
      </c>
      <c r="CP54" s="13" t="s">
        <v>140</v>
      </c>
      <c r="CQ54" s="35" t="n">
        <v>-0.015</v>
      </c>
      <c r="CR54" s="16" t="s">
        <v>165</v>
      </c>
    </row>
    <row r="55" customFormat="false" ht="15" hidden="false" customHeight="false" outlineLevel="1" collapsed="false">
      <c r="B55" s="23" t="s">
        <v>118</v>
      </c>
      <c r="C55" s="24"/>
      <c r="D55" s="25" t="str">
        <f aca="false">IF(AND(ISNUMBER(D51),ISNUMBER(C51)),IFERROR(D51/C51-1,""),"")</f>
        <v/>
      </c>
      <c r="E55" s="25" t="str">
        <f aca="false">IF(AND(ISNUMBER(E51),ISNUMBER(D51)),IFERROR(E51/D51-1,""),"")</f>
        <v/>
      </c>
      <c r="F55" s="25" t="str">
        <f aca="false">IF(AND(ISNUMBER(F51),ISNUMBER(E51)),IFERROR(F51/E51-1,""),"")</f>
        <v/>
      </c>
      <c r="G55" s="25" t="str">
        <f aca="false">IF(AND(ISNUMBER(G51),ISNUMBER(F51)),IFERROR(G51/F51-1,""),"")</f>
        <v/>
      </c>
      <c r="H55" s="25" t="str">
        <f aca="false">IF(AND(ISNUMBER(H51),ISNUMBER(G51)),IFERROR(H51/G51-1,""),"")</f>
        <v/>
      </c>
      <c r="I55" s="25" t="str">
        <f aca="false">IF(AND(ISNUMBER(I51),ISNUMBER(H51)),IFERROR(I51/H51-1,""),"")</f>
        <v/>
      </c>
      <c r="J55" s="24"/>
      <c r="K55" s="24"/>
      <c r="L55" s="24"/>
      <c r="M55" s="24"/>
      <c r="N55" s="25" t="str">
        <f aca="false">IF(AND(ISNUMBER(N51),ISNUMBER(I51)),IFERROR(N51/I51-1,""),"")</f>
        <v/>
      </c>
      <c r="O55" s="25" t="str">
        <f aca="false">IF(AND(ISNUMBER(O51),ISNUMBER(J51)),IFERROR(O51/J51-1,""),"")</f>
        <v/>
      </c>
      <c r="P55" s="25" t="str">
        <f aca="false">IF(AND(ISNUMBER(P51),ISNUMBER(K51)),IFERROR(P51/K51-1,""),"")</f>
        <v/>
      </c>
      <c r="Q55" s="25" t="str">
        <f aca="false">IF(AND(ISNUMBER(Q51),ISNUMBER(L51)),IFERROR(Q51/L51-1,""),"")</f>
        <v/>
      </c>
      <c r="R55" s="25" t="str">
        <f aca="false">IF(AND(ISNUMBER(R51),ISNUMBER(M51)),IFERROR(R51/M51-1,""),"")</f>
        <v/>
      </c>
      <c r="S55" s="25" t="str">
        <f aca="false">IF(AND(ISNUMBER(S51),ISNUMBER(N51)),IFERROR(S51/N51-1,""),"")</f>
        <v/>
      </c>
      <c r="T55" s="25" t="n">
        <f aca="false">IF(AND(ISNUMBER(T51),ISNUMBER(O51)),IFERROR(T51/O51-1,""),"")</f>
        <v>-0.0508547008547009</v>
      </c>
      <c r="U55" s="25" t="n">
        <f aca="false">IF(AND(ISNUMBER(U51),ISNUMBER(P51)),IFERROR(U51/P51-1,""),"")</f>
        <v>0.00892510671323255</v>
      </c>
      <c r="V55" s="25" t="n">
        <f aca="false">IF(AND(ISNUMBER(V51),ISNUMBER(Q51)),IFERROR(V51/Q51-1,""),"")</f>
        <v>0.0121654501216546</v>
      </c>
      <c r="W55" s="25" t="n">
        <f aca="false">IF(AND(ISNUMBER(W51),ISNUMBER(R51)),IFERROR(W51/R51-1,""),"")</f>
        <v>0.0936605316973413</v>
      </c>
      <c r="X55" s="25" t="n">
        <f aca="false">IF(AND(ISNUMBER(X51),ISNUMBER(S51)),IFERROR(X51/S51-1,""),"")</f>
        <v>0.0165852665852666</v>
      </c>
      <c r="Y55" s="25" t="n">
        <f aca="false">IF(AND(ISNUMBER(Y51),ISNUMBER(T51)),IFERROR(Y51/T51-1,""),"")</f>
        <v>0.162539396668167</v>
      </c>
      <c r="Z55" s="25" t="n">
        <f aca="false">IF(AND(ISNUMBER(Z51),ISNUMBER(U51)),IFERROR(Z51/U51-1,""),"")</f>
        <v>0.0761538461538462</v>
      </c>
      <c r="AA55" s="25" t="n">
        <f aca="false">IF(AND(ISNUMBER(AA51),ISNUMBER(V51)),IFERROR(AA51/V51-1,""),"")</f>
        <v>0.0332532051282051</v>
      </c>
      <c r="AB55" s="25" t="n">
        <f aca="false">IF(AND(ISNUMBER(AB51),ISNUMBER(W51)),IFERROR(AB51/W51-1,""),"")</f>
        <v>-0.0418848167539266</v>
      </c>
      <c r="AC55" s="25" t="n">
        <f aca="false">IF(AND(ISNUMBER(AC51),ISNUMBER(X51)),IFERROR(AC51/X51-1,""),"")</f>
        <v>0.0530477429686718</v>
      </c>
      <c r="AD55" s="25" t="n">
        <f aca="false">IF(AND(ISNUMBER(AD51),ISNUMBER(Y51)),IFERROR(AD51/Y51-1,""),"")</f>
        <v>-0.162664601084431</v>
      </c>
      <c r="AE55" s="25" t="n">
        <f aca="false">IF(AND(ISNUMBER(AE51),ISNUMBER(Z51)),IFERROR(AE51/Z51-1,""),"")</f>
        <v>-0.118298784846319</v>
      </c>
      <c r="AF55" s="25" t="n">
        <f aca="false">IF(AND(ISNUMBER(AF51),ISNUMBER(AA51)),IFERROR(AF51/AA51-1,""),"")</f>
        <v>-0.0562233423807677</v>
      </c>
      <c r="AG55" s="25" t="n">
        <f aca="false">IF(AND(ISNUMBER(AG51),ISNUMBER(AB51)),IFERROR(AG51/AB51-1,""),"")</f>
        <v>0.174863387978142</v>
      </c>
      <c r="AH55" s="25" t="n">
        <f aca="false">IF(AND(ISNUMBER(AH51),ISNUMBER(AC51)),IFERROR(AH51/AC51-1,""),"")</f>
        <v>-0.0428666476570667</v>
      </c>
      <c r="AI55" s="25" t="n">
        <f aca="false">IF(AND(ISNUMBER(AI51),ISNUMBER(AD51)),IFERROR(AI51/AD51-1,""),"")</f>
        <v>0.295097132284921</v>
      </c>
      <c r="AJ55" s="25" t="n">
        <f aca="false">IF(AND(ISNUMBER(AJ51),ISNUMBER(AE51)),IFERROR(AJ51/AE51-1,""),"")</f>
        <v>0.366031617349007</v>
      </c>
      <c r="AK55" s="25" t="n">
        <f aca="false">IF(AND(ISNUMBER(AK51),ISNUMBER(AF51)),IFERROR(AK51/AF51-1,""),"")</f>
        <v>0.228430566967954</v>
      </c>
      <c r="AL55" s="25" t="n">
        <f aca="false">IF(AND(ISNUMBER(AL51),ISNUMBER(AG51)),IFERROR(AL51/AG51-1,""),"")</f>
        <v>0.136212624584718</v>
      </c>
      <c r="AM55" s="25" t="n">
        <f aca="false">IF(AND(ISNUMBER(AM51),ISNUMBER(AH51)),IFERROR(AM51/AH51-1,""),"")</f>
        <v>0.249255213505462</v>
      </c>
      <c r="AN55" s="25" t="n">
        <f aca="false">IF(AND(ISNUMBER(AN51),ISNUMBER(AI51)),IFERROR(AN51/AI51-1,""),"")</f>
        <v>0.0178571428571428</v>
      </c>
      <c r="AO55" s="25" t="n">
        <f aca="false">IF(AND(ISNUMBER(AO51),ISNUMBER(AJ51)),IFERROR(AO51/AJ51-1,""),"")</f>
        <v>0.0237388724035608</v>
      </c>
      <c r="AP55" s="25" t="n">
        <f aca="false">IF(AND(ISNUMBER(AP51),ISNUMBER(AK51)),IFERROR(AP51/AK51-1,""),"")</f>
        <v>0.0133779264214047</v>
      </c>
      <c r="AQ55" s="25" t="n">
        <f aca="false">IF(AND(ISNUMBER(AQ51),ISNUMBER(AL51)),IFERROR(AQ51/AL51-1,""),"")</f>
        <v>0.14327485380117</v>
      </c>
      <c r="AR55" s="25" t="n">
        <f aca="false">IF(AND(ISNUMBER(AR51),ISNUMBER(AM51)),IFERROR(AR51/AM51-1,""),"")</f>
        <v>0.0524642289348172</v>
      </c>
      <c r="AS55" s="25" t="n">
        <f aca="false">IF(AND(ISNUMBER(AS51),ISNUMBER(AN51)),IFERROR(AS51/AN51-1,""),"")</f>
        <v>0.0350877192982457</v>
      </c>
      <c r="AT55" s="25" t="n">
        <f aca="false">IF(AND(ISNUMBER(AT51),ISNUMBER(AO51)),IFERROR(AT51/AO51-1,""),"")</f>
        <v>-0.185507246376812</v>
      </c>
      <c r="AU55" s="25" t="n">
        <f aca="false">IF(AND(ISNUMBER(AU51),ISNUMBER(AP51)),IFERROR(AU51/AP51-1,""),"")</f>
        <v>0.171617161716172</v>
      </c>
      <c r="AV55" s="25" t="n">
        <f aca="false">IF(AND(ISNUMBER(AV51),ISNUMBER(AQ51)),IFERROR(AV51/AQ51-1,""),"")</f>
        <v>-0.130434782608696</v>
      </c>
      <c r="AW55" s="25" t="n">
        <f aca="false">IF(AND(ISNUMBER(AW51),ISNUMBER(AR51)),IFERROR(AW51/AR51-1,""),"")</f>
        <v>-0.0400302114803626</v>
      </c>
      <c r="AX55" s="25" t="n">
        <f aca="false">IF(AND(ISNUMBER(AX51),ISNUMBER(AS51)),IFERROR(AX51/AS51-1,""),"")</f>
        <v>0.8</v>
      </c>
      <c r="AY55" s="25" t="n">
        <f aca="false">IF(AND(ISNUMBER(AY51),ISNUMBER(AT51)),IFERROR(AY51/AT51-1,""),"")</f>
        <v>0.587188612099644</v>
      </c>
      <c r="AZ55" s="25" t="n">
        <f aca="false">IF(AND(ISNUMBER(AZ51),ISNUMBER(AU51)),IFERROR(AZ51/AU51-1,""),"")</f>
        <v>0.0788732394366196</v>
      </c>
      <c r="BA55" s="25" t="n">
        <f aca="false">IF(AND(ISNUMBER(BA51),ISNUMBER(AV51)),IFERROR(BA51/AV51-1,""),"")</f>
        <v>0.423529411764706</v>
      </c>
      <c r="BB55" s="25" t="n">
        <f aca="false">IF(AND(ISNUMBER(BB51),ISNUMBER(AW51)),IFERROR(BB51/AW51-1,""),"")</f>
        <v>0.450826121164438</v>
      </c>
      <c r="BC55" s="25" t="n">
        <f aca="false">IF(AND(ISNUMBER(BC51),ISNUMBER(AX51)),IFERROR(BC51/AX51-1,""),"")</f>
        <v>0.167608286252354</v>
      </c>
      <c r="BD55" s="25" t="n">
        <f aca="false">IF(AND(ISNUMBER(BD51),ISNUMBER(AY51)),IFERROR(BD51/AY51-1,""),"")</f>
        <v>0.54932735426009</v>
      </c>
      <c r="BE55" s="25" t="n">
        <f aca="false">IF(AND(ISNUMBER(BE51),ISNUMBER(AZ51)),IFERROR(BE51/AZ51-1,""),"")</f>
        <v>0.892950391644909</v>
      </c>
      <c r="BF55" s="25" t="n">
        <f aca="false">IF(AND(ISNUMBER(BF51),ISNUMBER(BA51)),IFERROR(BF51/BA51-1,""),"")</f>
        <v>0.727272727272727</v>
      </c>
      <c r="BG55" s="25" t="n">
        <f aca="false">IF(AND(ISNUMBER(BG51),ISNUMBER(BB51)),IFERROR(BG51/BB51-1,""),"")</f>
        <v>0.557483731019523</v>
      </c>
      <c r="BH55" s="25" t="n">
        <f aca="false">IF(AND(ISNUMBER(BH51),ISNUMBER(BC51)),IFERROR(BH51/BC51-1,""),"")</f>
        <v>0.279032258064516</v>
      </c>
      <c r="BI55" s="25" t="n">
        <f aca="false">IF(AND(ISNUMBER(BI51),ISNUMBER(BD51)),IFERROR(BI51/BD51-1,""),"")</f>
        <v>0.192474674384949</v>
      </c>
      <c r="BJ55" s="25" t="n">
        <f aca="false">IF(AND(ISNUMBER(BJ51),ISNUMBER(BE51)),IFERROR(BJ51/BE51-1,""),"")</f>
        <v>0.292413793103448</v>
      </c>
      <c r="BK55" s="25" t="n">
        <f aca="false">IF(AND(ISNUMBER(BK51),ISNUMBER(BF51)),IFERROR(BK51/BF51-1,""),"")</f>
        <v>-0.0382775119617225</v>
      </c>
      <c r="BL55" s="25" t="n">
        <f aca="false">IF(AND(ISNUMBER(BL51),ISNUMBER(BG51)),IFERROR(BL51/BG51-1,""),"")</f>
        <v>0.169220055710307</v>
      </c>
      <c r="BM55" s="25" t="n">
        <f aca="false">IF(AND(ISNUMBER(BM51),ISNUMBER(BH51)),IFERROR(BM51/BH51-1,""),"")</f>
        <v>-0.0617906683480454</v>
      </c>
      <c r="BN55" s="25" t="n">
        <f aca="false">IF(AND(ISNUMBER(BN51),ISNUMBER(BI51)),IFERROR(BN51/BI51-1,""),"")</f>
        <v>-0.095873786407767</v>
      </c>
      <c r="BO55" s="25" t="n">
        <f aca="false">IF(AND(ISNUMBER(BO51),ISNUMBER(BJ51)),IFERROR(BO51/BJ51-1,""),"")</f>
        <v>-0.175026680896478</v>
      </c>
      <c r="BP55" s="25" t="n">
        <f aca="false">IF(AND(ISNUMBER(BP51),ISNUMBER(BK51)),IFERROR(BP51/BK51-1,""),"")</f>
        <v>0.0298507462686568</v>
      </c>
      <c r="BQ55" s="25" t="n">
        <f aca="false">IF(AND(ISNUMBER(BQ51),ISNUMBER(BL51)),IFERROR(BQ51/BL51-1,""),"")</f>
        <v>-0.0798094103633115</v>
      </c>
      <c r="BR55" s="25" t="n">
        <f aca="false">IF(AND(ISNUMBER(BR51),ISNUMBER(BM51)),IFERROR(BR51/BM51-1,""),"")</f>
        <v>-0.0174731182795699</v>
      </c>
      <c r="BS55" s="25" t="n">
        <f aca="false">IF(AND(ISNUMBER(BS51),ISNUMBER(BN51)),IFERROR(BS51/BN51-1,""),"")</f>
        <v>0.107382550335571</v>
      </c>
      <c r="BT55" s="25" t="n">
        <f aca="false">IF(AND(ISNUMBER(BT51),ISNUMBER(BO51)),IFERROR(BT51/BO51-1,""),"")</f>
        <v>0.122897800776197</v>
      </c>
      <c r="BU55" s="25" t="n">
        <f aca="false">IF(AND(ISNUMBER(BU51),ISNUMBER(BP51)),IFERROR(BU51/BP51-1,""),"")</f>
        <v>0.117149758454106</v>
      </c>
      <c r="BV55" s="25" t="n">
        <f aca="false">IF(AND(ISNUMBER(BV51),ISNUMBER(BQ51)),IFERROR(BV51/BQ51-1,""),"")</f>
        <v>0.0841423948220066</v>
      </c>
      <c r="BW55" s="25" t="n">
        <f aca="false">IF(AND(ISNUMBER(BW51),ISNUMBER(BR51)),IFERROR(BW51/BR51-1,""),"")</f>
        <v>0.0642954856361149</v>
      </c>
      <c r="BX55" s="25" t="n">
        <f aca="false">IF(AND(ISNUMBER(BX51),ISNUMBER(BS51)),IFERROR(BX51/BS51-1,""),"")</f>
        <v>0.134545454545455</v>
      </c>
      <c r="BY55" s="26" t="n">
        <f aca="false">IFERROR(BY51/BT51-1,"")</f>
        <v>0.179833728004255</v>
      </c>
      <c r="BZ55" s="26" t="n">
        <f aca="false">IFERROR(BZ51/BU51-1,"")</f>
        <v>0.17320629015732</v>
      </c>
      <c r="CA55" s="26" t="n">
        <f aca="false">IFERROR(CA51/BV51-1,"")</f>
        <v>0.14128701322484</v>
      </c>
      <c r="CB55" s="26" t="n">
        <f aca="false">IFERROR(CB51/CA51-1,"")</f>
        <v>0.0997815108632849</v>
      </c>
      <c r="CC55" s="26" t="n">
        <f aca="false">IFERROR(CC51/CB51-1,"")</f>
        <v>0.0882666666666667</v>
      </c>
      <c r="CD55" s="26" t="n">
        <f aca="false">IFERROR(CD51/CC51-1,"")</f>
        <v>0.0875324675324676</v>
      </c>
      <c r="CE55" s="26" t="n">
        <f aca="false">IFERROR(CE51/CD51-1,"")</f>
        <v>0.0868354430379748</v>
      </c>
      <c r="CF55" s="21"/>
      <c r="CN55" s="23" t="s">
        <v>142</v>
      </c>
      <c r="CO55" s="36" t="n">
        <f aca="false">CP55+$CO$54</f>
        <v>0.265</v>
      </c>
      <c r="CP55" s="32" t="n">
        <v>0.25</v>
      </c>
      <c r="CQ55" s="36" t="n">
        <f aca="false">CP55+$CQ$54</f>
        <v>0.235</v>
      </c>
    </row>
    <row r="56" customFormat="false" ht="15" hidden="false" customHeight="false" outlineLevel="0" collapsed="false">
      <c r="CN56" s="23" t="s">
        <v>143</v>
      </c>
      <c r="CO56" s="36" t="n">
        <f aca="false">CP56+$CO$54</f>
        <v>0.27</v>
      </c>
      <c r="CP56" s="32" t="n">
        <v>0.255</v>
      </c>
      <c r="CQ56" s="36" t="n">
        <f aca="false">CP56+$CQ$54</f>
        <v>0.24</v>
      </c>
    </row>
    <row r="57" customFormat="false" ht="15" hidden="false" customHeight="false" outlineLevel="0" collapsed="false">
      <c r="B57" s="12" t="s">
        <v>166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3" t="s">
        <v>167</v>
      </c>
      <c r="CN57" s="23" t="s">
        <v>144</v>
      </c>
      <c r="CO57" s="36" t="n">
        <f aca="false">CP57+$CO$54</f>
        <v>0.275</v>
      </c>
      <c r="CP57" s="32" t="n">
        <v>0.26</v>
      </c>
      <c r="CQ57" s="36" t="n">
        <f aca="false">CP57+$CQ$54</f>
        <v>0.245</v>
      </c>
    </row>
    <row r="58" customFormat="false" ht="15" hidden="false" customHeight="false" outlineLevel="1" collapsed="false">
      <c r="B58" s="23" t="s">
        <v>168</v>
      </c>
      <c r="C58" s="37" t="n">
        <v>2425.821</v>
      </c>
      <c r="D58" s="37" t="n">
        <v>4256</v>
      </c>
      <c r="E58" s="37" t="n">
        <v>4471.2</v>
      </c>
      <c r="F58" s="37" t="n">
        <v>4153.9</v>
      </c>
      <c r="G58" s="37" t="n">
        <v>4611.8</v>
      </c>
      <c r="H58" s="37" t="n">
        <v>3845.4</v>
      </c>
      <c r="I58" s="37" t="n">
        <v>4123.7</v>
      </c>
      <c r="J58" s="37" t="n">
        <v>977.8</v>
      </c>
      <c r="K58" s="37" t="n">
        <v>1006.5</v>
      </c>
      <c r="L58" s="37" t="n">
        <v>996.6</v>
      </c>
      <c r="M58" s="37" t="n">
        <v>1144.2</v>
      </c>
      <c r="N58" s="37" t="n">
        <v>4125.1</v>
      </c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9"/>
      <c r="BZ58" s="39"/>
      <c r="CA58" s="39"/>
      <c r="CB58" s="39"/>
      <c r="CC58" s="39"/>
      <c r="CD58" s="39"/>
      <c r="CE58" s="39"/>
      <c r="CF58" s="21"/>
      <c r="CN58" s="23" t="s">
        <v>147</v>
      </c>
      <c r="CO58" s="36" t="n">
        <f aca="false">CP58+$CO$54</f>
        <v>0.28</v>
      </c>
      <c r="CP58" s="32" t="n">
        <v>0.265</v>
      </c>
      <c r="CQ58" s="36" t="n">
        <f aca="false">CP58+$CQ$54</f>
        <v>0.25</v>
      </c>
    </row>
    <row r="59" customFormat="false" ht="15" hidden="false" customHeight="false" outlineLevel="1" collapsed="false">
      <c r="B59" s="23" t="s">
        <v>169</v>
      </c>
      <c r="C59" s="38"/>
      <c r="D59" s="38"/>
      <c r="E59" s="38"/>
      <c r="F59" s="38"/>
      <c r="G59" s="38"/>
      <c r="H59" s="37" t="n">
        <v>2465.8</v>
      </c>
      <c r="I59" s="37" t="n">
        <v>2962.3</v>
      </c>
      <c r="J59" s="37" t="n">
        <v>805.6</v>
      </c>
      <c r="K59" s="37" t="n">
        <v>793.6</v>
      </c>
      <c r="L59" s="37" t="n">
        <v>759.2</v>
      </c>
      <c r="M59" s="37" t="n">
        <v>833.3</v>
      </c>
      <c r="N59" s="37" t="n">
        <v>3191.7</v>
      </c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9"/>
      <c r="BZ59" s="39"/>
      <c r="CA59" s="39"/>
      <c r="CB59" s="39"/>
      <c r="CC59" s="39"/>
      <c r="CD59" s="39"/>
      <c r="CE59" s="39"/>
      <c r="CF59" s="21"/>
      <c r="CN59" s="13" t="s">
        <v>170</v>
      </c>
      <c r="CO59" s="35" t="n">
        <v>0.01</v>
      </c>
      <c r="CP59" s="13" t="s">
        <v>140</v>
      </c>
      <c r="CQ59" s="35" t="n">
        <v>-0.01</v>
      </c>
      <c r="CR59" s="16" t="s">
        <v>171</v>
      </c>
    </row>
    <row r="60" customFormat="false" ht="15" hidden="false" customHeight="false" outlineLevel="1" collapsed="false">
      <c r="B60" s="23" t="s">
        <v>172</v>
      </c>
      <c r="C60" s="37" t="n">
        <v>1406.637</v>
      </c>
      <c r="D60" s="37" t="n">
        <v>5842.2</v>
      </c>
      <c r="E60" s="37" t="n">
        <v>6453.3</v>
      </c>
      <c r="F60" s="37" t="n">
        <v>6426.6</v>
      </c>
      <c r="G60" s="37" t="n">
        <v>6693</v>
      </c>
      <c r="H60" s="37" t="n">
        <v>5935.4</v>
      </c>
      <c r="I60" s="37" t="n">
        <v>5990</v>
      </c>
      <c r="J60" s="37" t="n">
        <v>1544.3</v>
      </c>
      <c r="K60" s="37" t="n">
        <v>1583.2</v>
      </c>
      <c r="L60" s="37" t="n">
        <v>1582.1</v>
      </c>
      <c r="M60" s="37" t="n">
        <v>1640.9</v>
      </c>
      <c r="N60" s="37" t="n">
        <v>6350.5</v>
      </c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9"/>
      <c r="BZ60" s="39"/>
      <c r="CA60" s="39"/>
      <c r="CB60" s="39"/>
      <c r="CC60" s="39"/>
      <c r="CD60" s="39"/>
      <c r="CE60" s="39"/>
      <c r="CF60" s="21"/>
      <c r="CN60" s="23" t="s">
        <v>142</v>
      </c>
      <c r="CO60" s="36" t="n">
        <f aca="false">CP60+$CO$59</f>
        <v>0.296</v>
      </c>
      <c r="CP60" s="32" t="n">
        <v>0.286</v>
      </c>
      <c r="CQ60" s="36" t="n">
        <f aca="false">CP60+$CQ$59</f>
        <v>0.276</v>
      </c>
    </row>
    <row r="61" customFormat="false" ht="15" hidden="false" customHeight="false" outlineLevel="1" collapsed="false">
      <c r="B61" s="23" t="s">
        <v>173</v>
      </c>
      <c r="C61" s="37" t="n">
        <v>383.64</v>
      </c>
      <c r="D61" s="37" t="n">
        <v>843.1</v>
      </c>
      <c r="E61" s="37" t="n">
        <v>957.1</v>
      </c>
      <c r="F61" s="37" t="n">
        <v>837.3</v>
      </c>
      <c r="G61" s="37" t="n">
        <v>984.2</v>
      </c>
      <c r="H61" s="37" t="n">
        <v>720</v>
      </c>
      <c r="I61" s="37" t="n">
        <v>772.7</v>
      </c>
      <c r="J61" s="37" t="n">
        <v>176.1</v>
      </c>
      <c r="K61" s="37" t="n">
        <v>177.9</v>
      </c>
      <c r="L61" s="37" t="n">
        <v>180.4</v>
      </c>
      <c r="M61" s="37" t="n">
        <v>233.4</v>
      </c>
      <c r="N61" s="37" t="n">
        <v>767.8</v>
      </c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9"/>
      <c r="BZ61" s="39"/>
      <c r="CA61" s="39"/>
      <c r="CB61" s="39"/>
      <c r="CC61" s="39"/>
      <c r="CD61" s="39"/>
      <c r="CE61" s="39"/>
      <c r="CF61" s="21"/>
      <c r="CN61" s="23" t="s">
        <v>143</v>
      </c>
      <c r="CO61" s="36" t="n">
        <f aca="false">CP61+$CO$59</f>
        <v>0.3</v>
      </c>
      <c r="CP61" s="32" t="n">
        <v>0.29</v>
      </c>
      <c r="CQ61" s="36" t="n">
        <f aca="false">CP61+$CQ$59</f>
        <v>0.28</v>
      </c>
    </row>
    <row r="62" customFormat="false" ht="15" hidden="false" customHeight="false" outlineLevel="1" collapsed="false">
      <c r="B62" s="23" t="s">
        <v>174</v>
      </c>
      <c r="C62" s="38"/>
      <c r="D62" s="38"/>
      <c r="E62" s="38"/>
      <c r="F62" s="38"/>
      <c r="G62" s="38"/>
      <c r="H62" s="37" t="n">
        <v>597</v>
      </c>
      <c r="I62" s="37" t="n">
        <v>761.2</v>
      </c>
      <c r="J62" s="37" t="n">
        <v>221.7</v>
      </c>
      <c r="K62" s="37" t="n">
        <v>216.9</v>
      </c>
      <c r="L62" s="37" t="n">
        <v>203.7</v>
      </c>
      <c r="M62" s="37" t="n">
        <v>224.4</v>
      </c>
      <c r="N62" s="37" t="n">
        <v>866.7</v>
      </c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9"/>
      <c r="BZ62" s="39"/>
      <c r="CA62" s="39"/>
      <c r="CB62" s="39"/>
      <c r="CC62" s="39"/>
      <c r="CD62" s="39"/>
      <c r="CE62" s="39"/>
      <c r="CF62" s="21"/>
      <c r="CN62" s="23" t="s">
        <v>144</v>
      </c>
      <c r="CO62" s="36" t="n">
        <f aca="false">CP62+$CO$59</f>
        <v>0.304</v>
      </c>
      <c r="CP62" s="32" t="n">
        <v>0.294</v>
      </c>
      <c r="CQ62" s="36" t="n">
        <f aca="false">CP62+$CQ$59</f>
        <v>0.284</v>
      </c>
    </row>
    <row r="63" customFormat="false" ht="15" hidden="false" customHeight="false" outlineLevel="1" collapsed="false">
      <c r="B63" s="23" t="s">
        <v>175</v>
      </c>
      <c r="C63" s="37" t="n">
        <v>189.229</v>
      </c>
      <c r="D63" s="37" t="n">
        <v>793.8</v>
      </c>
      <c r="E63" s="37" t="n">
        <v>912</v>
      </c>
      <c r="F63" s="37" t="n">
        <v>877.6</v>
      </c>
      <c r="G63" s="37" t="n">
        <v>931.8</v>
      </c>
      <c r="H63" s="37" t="n">
        <v>810.8</v>
      </c>
      <c r="I63" s="37" t="n">
        <v>846</v>
      </c>
      <c r="J63" s="37" t="n">
        <v>217.3</v>
      </c>
      <c r="K63" s="37" t="n">
        <v>229</v>
      </c>
      <c r="L63" s="37" t="n">
        <v>235.3</v>
      </c>
      <c r="M63" s="37" t="n">
        <v>236.4</v>
      </c>
      <c r="N63" s="37" t="n">
        <v>918</v>
      </c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9"/>
      <c r="BZ63" s="39"/>
      <c r="CA63" s="39"/>
      <c r="CB63" s="39"/>
      <c r="CC63" s="39"/>
      <c r="CD63" s="39"/>
      <c r="CE63" s="39"/>
      <c r="CF63" s="21"/>
      <c r="CN63" s="23" t="s">
        <v>147</v>
      </c>
      <c r="CO63" s="36" t="n">
        <f aca="false">CP63+$CO$59</f>
        <v>0.308</v>
      </c>
      <c r="CP63" s="32" t="n">
        <v>0.298</v>
      </c>
      <c r="CQ63" s="36" t="n">
        <f aca="false">CP63+$CQ$59</f>
        <v>0.288</v>
      </c>
    </row>
    <row r="64" customFormat="false" ht="15" hidden="false" customHeight="false" outlineLevel="1" collapsed="false">
      <c r="B64" s="23" t="s">
        <v>176</v>
      </c>
      <c r="C64" s="37" t="n">
        <v>0</v>
      </c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9"/>
      <c r="BZ64" s="39"/>
      <c r="CA64" s="39"/>
      <c r="CB64" s="39"/>
      <c r="CC64" s="39"/>
      <c r="CD64" s="39"/>
      <c r="CE64" s="39"/>
      <c r="CF64" s="21"/>
      <c r="CN64" s="13" t="s">
        <v>177</v>
      </c>
      <c r="CO64" s="35" t="n">
        <v>0.01</v>
      </c>
      <c r="CP64" s="13" t="s">
        <v>140</v>
      </c>
      <c r="CQ64" s="35" t="n">
        <v>-0.01</v>
      </c>
      <c r="CR64" s="16" t="s">
        <v>178</v>
      </c>
    </row>
    <row r="65" customFormat="false" ht="15" hidden="false" customHeight="false" outlineLevel="0" collapsed="false">
      <c r="CN65" s="23" t="s">
        <v>142</v>
      </c>
      <c r="CO65" s="36" t="n">
        <f aca="false">CP65+$CO$64</f>
        <v>0.16</v>
      </c>
      <c r="CP65" s="32" t="n">
        <v>0.15</v>
      </c>
      <c r="CQ65" s="36" t="n">
        <f aca="false">CP65+$CQ$64</f>
        <v>0.14</v>
      </c>
    </row>
    <row r="66" customFormat="false" ht="15" hidden="false" customHeight="false" outlineLevel="0" collapsed="false">
      <c r="B66" s="12" t="s">
        <v>179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3" t="s">
        <v>180</v>
      </c>
      <c r="CN66" s="23" t="s">
        <v>143</v>
      </c>
      <c r="CO66" s="36" t="n">
        <f aca="false">CP66+$CO$64</f>
        <v>0.164</v>
      </c>
      <c r="CP66" s="32" t="n">
        <v>0.154</v>
      </c>
      <c r="CQ66" s="36" t="n">
        <f aca="false">CP66+$CQ$64</f>
        <v>0.144</v>
      </c>
    </row>
    <row r="67" customFormat="false" ht="15" hidden="false" customHeight="false" outlineLevel="0" collapsed="false">
      <c r="B67" s="17" t="s">
        <v>181</v>
      </c>
      <c r="C67" s="19" t="n">
        <v>-40.841</v>
      </c>
      <c r="D67" s="19" t="n">
        <v>-351.8</v>
      </c>
      <c r="E67" s="19" t="n">
        <v>-426.5</v>
      </c>
      <c r="F67" s="19" t="n">
        <v>-470.8</v>
      </c>
      <c r="G67" s="19" t="n">
        <v>-516.1</v>
      </c>
      <c r="H67" s="19" t="n">
        <v>-520.7</v>
      </c>
      <c r="I67" s="19" t="n">
        <v>-566.1</v>
      </c>
      <c r="J67" s="19" t="n">
        <v>-136.2</v>
      </c>
      <c r="K67" s="19" t="n">
        <v>-143.2</v>
      </c>
      <c r="L67" s="19" t="n">
        <v>-146.1</v>
      </c>
      <c r="M67" s="19" t="n">
        <v>-151.5</v>
      </c>
      <c r="N67" s="19" t="n">
        <v>-577</v>
      </c>
      <c r="O67" s="19" t="n">
        <v>-106.1</v>
      </c>
      <c r="P67" s="19" t="n">
        <v>-129.1</v>
      </c>
      <c r="Q67" s="19" t="n">
        <v>-127.5</v>
      </c>
      <c r="R67" s="19" t="n">
        <v>-140.7</v>
      </c>
      <c r="S67" s="19" t="n">
        <v>-503.4</v>
      </c>
      <c r="T67" s="19" t="n">
        <v>-127.1</v>
      </c>
      <c r="U67" s="19" t="n">
        <v>-145.8</v>
      </c>
      <c r="V67" s="19" t="n">
        <v>-150.8</v>
      </c>
      <c r="W67" s="19" t="n">
        <v>-163.9</v>
      </c>
      <c r="X67" s="19" t="n">
        <v>-587.6</v>
      </c>
      <c r="Y67" s="19" t="n">
        <v>-176.7</v>
      </c>
      <c r="Z67" s="19" t="n">
        <v>-189.8</v>
      </c>
      <c r="AA67" s="19" t="n">
        <v>-183.7</v>
      </c>
      <c r="AB67" s="19" t="n">
        <v>-191.2</v>
      </c>
      <c r="AC67" s="19" t="n">
        <v>-741.4</v>
      </c>
      <c r="AD67" s="19" t="n">
        <v>-215.9</v>
      </c>
      <c r="AE67" s="19" t="n">
        <v>-234.7</v>
      </c>
      <c r="AF67" s="19" t="n">
        <v>-232.1</v>
      </c>
      <c r="AG67" s="19" t="n">
        <v>-260</v>
      </c>
      <c r="AH67" s="19" t="n">
        <v>-942</v>
      </c>
      <c r="AI67" s="19" t="n">
        <v>-263</v>
      </c>
      <c r="AJ67" s="19" t="n">
        <v>-284</v>
      </c>
      <c r="AK67" s="19" t="n">
        <v>-281</v>
      </c>
      <c r="AL67" s="19" t="n">
        <v>-311</v>
      </c>
      <c r="AM67" s="19" t="n">
        <v>-1139</v>
      </c>
      <c r="AN67" s="19" t="n">
        <v>-274</v>
      </c>
      <c r="AO67" s="19" t="n">
        <v>-294</v>
      </c>
      <c r="AP67" s="19" t="n">
        <v>-285</v>
      </c>
      <c r="AQ67" s="19" t="n">
        <v>-300</v>
      </c>
      <c r="AR67" s="19" t="n">
        <v>-1153</v>
      </c>
      <c r="AS67" s="19" t="n">
        <v>-333</v>
      </c>
      <c r="AT67" s="19" t="n">
        <v>-511</v>
      </c>
      <c r="AU67" s="19" t="n">
        <v>-781</v>
      </c>
      <c r="AV67" s="19" t="n">
        <v>-1037</v>
      </c>
      <c r="AW67" s="19" t="n">
        <v>-2662</v>
      </c>
      <c r="AX67" s="19" t="n">
        <v>-896</v>
      </c>
      <c r="AY67" s="19" t="n">
        <v>-583</v>
      </c>
      <c r="AZ67" s="19" t="n">
        <v>-716</v>
      </c>
      <c r="BA67" s="19" t="n">
        <v>-815</v>
      </c>
      <c r="BB67" s="19" t="n">
        <v>-3010</v>
      </c>
      <c r="BC67" s="19" t="n">
        <v>-855</v>
      </c>
      <c r="BD67" s="19" t="n">
        <v>-567</v>
      </c>
      <c r="BE67" s="19" t="n">
        <v>-556</v>
      </c>
      <c r="BF67" s="19" t="n">
        <v>-536</v>
      </c>
      <c r="BG67" s="19" t="n">
        <v>-2515</v>
      </c>
      <c r="BH67" s="19" t="n">
        <v>-496</v>
      </c>
      <c r="BI67" s="19" t="n">
        <v>-465</v>
      </c>
      <c r="BJ67" s="19" t="n">
        <v>-424</v>
      </c>
      <c r="BK67" s="19" t="n">
        <v>-444</v>
      </c>
      <c r="BL67" s="19" t="n">
        <v>-1829</v>
      </c>
      <c r="BM67" s="19" t="n">
        <v>-460</v>
      </c>
      <c r="BN67" s="19" t="n">
        <v>-470</v>
      </c>
      <c r="BO67" s="19" t="n">
        <v>-467</v>
      </c>
      <c r="BP67" s="19" t="n">
        <v>-487</v>
      </c>
      <c r="BQ67" s="19" t="n">
        <v>-1885</v>
      </c>
      <c r="BR67" s="19" t="n">
        <v>-482</v>
      </c>
      <c r="BS67" s="19" t="n">
        <v>-501</v>
      </c>
      <c r="BT67" s="19" t="n">
        <v>-503</v>
      </c>
      <c r="BU67" s="19" t="n">
        <v>-546</v>
      </c>
      <c r="BV67" s="19" t="n">
        <v>-2033</v>
      </c>
      <c r="BW67" s="19" t="n">
        <v>-524</v>
      </c>
      <c r="BX67" s="19" t="n">
        <v>-565</v>
      </c>
      <c r="BY67" s="20" t="n">
        <f aca="false">-BY68*(BY10+BY22+BY34+BY46)</f>
        <v>-540.49807522914</v>
      </c>
      <c r="BZ67" s="20" t="n">
        <f aca="false">-BZ68*(BZ10+BZ22+BZ34+BZ46)</f>
        <v>-572.100516987582</v>
      </c>
      <c r="CA67" s="20" t="n">
        <f aca="false">SUM(BW67,BX67,BY67,BZ67)</f>
        <v>-2201.59859221672</v>
      </c>
      <c r="CB67" s="20" t="n">
        <f aca="false">-CB68*(CB10+CB22+CB34+CB46)</f>
        <v>-2317.50407646979</v>
      </c>
      <c r="CC67" s="20" t="n">
        <f aca="false">-CC68*(CC10+CC22+CC34+CC46)</f>
        <v>-2455.41785670067</v>
      </c>
      <c r="CD67" s="20" t="n">
        <f aca="false">-CD68*(CD10+CD22+CD34+CD46)</f>
        <v>-2604.36863206564</v>
      </c>
      <c r="CE67" s="20" t="n">
        <f aca="false">-CE68*(CE10+CE22+CE34+CE46)</f>
        <v>-2762.43965237248</v>
      </c>
      <c r="CF67" s="21" t="s">
        <v>182</v>
      </c>
      <c r="CN67" s="23" t="s">
        <v>144</v>
      </c>
      <c r="CO67" s="36" t="n">
        <f aca="false">CP67+$CO$64</f>
        <v>0.168</v>
      </c>
      <c r="CP67" s="32" t="n">
        <v>0.158</v>
      </c>
      <c r="CQ67" s="36" t="n">
        <f aca="false">CP67+$CQ$64</f>
        <v>0.148</v>
      </c>
    </row>
    <row r="68" customFormat="false" ht="15" hidden="false" customHeight="false" outlineLevel="0" collapsed="false">
      <c r="B68" s="23" t="s">
        <v>183</v>
      </c>
      <c r="C68" s="25" t="n">
        <f aca="false">IFERROR(-C67/(N(C10)+N(C22)+N(C34)+N(C46)+N(C58)+N(C59)+N(C60)),"")</f>
        <v>0.0106566073261599</v>
      </c>
      <c r="D68" s="25" t="n">
        <f aca="false">IFERROR(-D67/(N(D10)+N(D22)+N(D34)+N(D46)+N(D58)+N(D59)+N(D60)),"")</f>
        <v>0.034837891901527</v>
      </c>
      <c r="E68" s="25" t="n">
        <f aca="false">IFERROR(-E67/(N(E10)+N(E22)+N(E34)+N(E46)+N(E58)+N(E59)+N(E60)),"")</f>
        <v>0.0390406883610234</v>
      </c>
      <c r="F68" s="25" t="n">
        <f aca="false">IFERROR(-F67/(N(F10)+N(F22)+N(F34)+N(F46)+N(F58)+N(F59)+N(F60)),"")</f>
        <v>0.0444969519398894</v>
      </c>
      <c r="G68" s="25" t="n">
        <f aca="false">IFERROR(-G67/(N(G10)+N(G22)+N(G34)+N(G46)+N(G58)+N(G59)+N(G60)),"")</f>
        <v>0.0456531738730451</v>
      </c>
      <c r="H68" s="25" t="n">
        <f aca="false">IFERROR(-H67/(N(H10)+N(H22)+N(H34)+N(H46)+N(H58)+N(H59)+N(H60)),"")</f>
        <v>0.0425179233419888</v>
      </c>
      <c r="I68" s="25" t="n">
        <f aca="false">IFERROR(-I67/(N(I10)+N(I22)+N(I34)+N(I46)+N(I58)+N(I59)+N(I60)),"")</f>
        <v>0.0432930559804222</v>
      </c>
      <c r="J68" s="25" t="n">
        <f aca="false">IFERROR(-J67/(N(J10)+N(J22)+N(J34)+N(J46)+N(J58)+N(J59)+N(J60)),"")</f>
        <v>0.0409291702978033</v>
      </c>
      <c r="K68" s="25" t="n">
        <f aca="false">IFERROR(-K67/(N(K10)+N(K22)+N(K34)+N(K46)+N(K58)+N(K59)+N(K60)),"")</f>
        <v>0.042325540153105</v>
      </c>
      <c r="L68" s="25" t="n">
        <f aca="false">IFERROR(-L67/(N(L10)+N(L22)+N(L34)+N(L46)+N(L58)+N(L59)+N(L60)),"")</f>
        <v>0.0437700350519788</v>
      </c>
      <c r="M68" s="25" t="n">
        <f aca="false">IFERROR(-M67/(N(M10)+N(M22)+N(M34)+N(M46)+N(M58)+N(M59)+N(M60)),"")</f>
        <v>0.0418693345124917</v>
      </c>
      <c r="N68" s="25" t="n">
        <f aca="false">IFERROR(-N67/(N(N10)+N(N22)+N(N34)+N(N46)+N(N58)+N(N59)+N(N60)),"")</f>
        <v>0.0422175557718057</v>
      </c>
      <c r="O68" s="25" t="n">
        <f aca="false">IFERROR(-O67/(N(O10)+N(O22)+N(O34)+N(O46)+N(O58)+N(O59)+N(O60)),"")</f>
        <v>0.0264614924181963</v>
      </c>
      <c r="P68" s="25" t="n">
        <f aca="false">IFERROR(-P67/(N(P10)+N(P22)+N(P34)+N(P46)+N(P58)+N(P59)+N(P60)),"")</f>
        <v>0.0290047180408897</v>
      </c>
      <c r="Q68" s="25" t="n">
        <f aca="false">IFERROR(-Q67/(N(Q10)+N(Q22)+N(Q34)+N(Q46)+N(Q58)+N(Q59)+N(Q60)),"")</f>
        <v>0.0296587499127684</v>
      </c>
      <c r="R68" s="25" t="n">
        <f aca="false">IFERROR(-R67/(N(R10)+N(R22)+N(R34)+N(R46)+N(R58)+N(R59)+N(R60)),"")</f>
        <v>0.0303658141793461</v>
      </c>
      <c r="S68" s="25" t="n">
        <f aca="false">IFERROR(-S67/(N(S10)+N(S22)+N(S34)+N(S46)+N(S58)+N(S59)+N(S60)),"")</f>
        <v>0.0289426780888863</v>
      </c>
      <c r="T68" s="25" t="n">
        <f aca="false">IFERROR(-T67/(N(T10)+N(T22)+N(T34)+N(T46)+N(T58)+N(T59)+N(T60)),"")</f>
        <v>0.0314145184013446</v>
      </c>
      <c r="U68" s="25" t="n">
        <f aca="false">IFERROR(-U67/(N(U10)+N(U22)+N(U34)+N(U46)+N(U58)+N(U59)+N(U60)),"")</f>
        <v>0.0330110716145539</v>
      </c>
      <c r="V68" s="25" t="n">
        <f aca="false">IFERROR(-V67/(N(V10)+N(V22)+N(V34)+N(V46)+N(V58)+N(V59)+N(V60)),"")</f>
        <v>0.0352831071595695</v>
      </c>
      <c r="W68" s="25" t="n">
        <f aca="false">IFERROR(-W67/(N(W10)+N(W22)+N(W34)+N(W46)+N(W58)+N(W59)+N(W60)),"")</f>
        <v>0.0340295656506935</v>
      </c>
      <c r="X68" s="25" t="n">
        <f aca="false">IFERROR(-X67/(N(X10)+N(X22)+N(X34)+N(X46)+N(X58)+N(X59)+N(X60)),"")</f>
        <v>0.0334757591294935</v>
      </c>
      <c r="Y68" s="25" t="n">
        <f aca="false">IFERROR(-Y67/(N(Y10)+N(Y22)+N(Y34)+N(Y46)+N(Y58)+N(Y59)+N(Y60)),"")</f>
        <v>0.0395169406239517</v>
      </c>
      <c r="Z68" s="25" t="n">
        <f aca="false">IFERROR(-Z67/(N(Z10)+N(Z22)+N(Z34)+N(Z46)+N(Z58)+N(Z59)+N(Z60)),"")</f>
        <v>0.0401693121693122</v>
      </c>
      <c r="AA68" s="25" t="n">
        <f aca="false">IFERROR(-AA67/(N(AA10)+N(AA22)+N(AA34)+N(AA46)+N(AA58)+N(AA59)+N(AA60)),"")</f>
        <v>0.0392974799982886</v>
      </c>
      <c r="AB68" s="25" t="n">
        <f aca="false">IFERROR(-AB67/(N(AB10)+N(AB22)+N(AB34)+N(AB46)+N(AB58)+N(AB59)+N(AB60)),"")</f>
        <v>0.0371666277894409</v>
      </c>
      <c r="AC68" s="25" t="n">
        <f aca="false">IFERROR(-AC67/(N(AC10)+N(AC22)+N(AC34)+N(AC46)+N(AC58)+N(AC59)+N(AC60)),"")</f>
        <v>0.038989245615419</v>
      </c>
      <c r="AD68" s="25" t="n">
        <f aca="false">IFERROR(-AD67/(N(AD10)+N(AD22)+N(AD34)+N(AD46)+N(AD58)+N(AD59)+N(AD60)),"")</f>
        <v>0.0433455801160433</v>
      </c>
      <c r="AE68" s="25" t="n">
        <f aca="false">IFERROR(-AE67/(N(AE10)+N(AE22)+N(AE34)+N(AE46)+N(AE58)+N(AE59)+N(AE60)),"")</f>
        <v>0.0449212394970046</v>
      </c>
      <c r="AF68" s="25" t="n">
        <f aca="false">IFERROR(-AF67/(N(AF10)+N(AF22)+N(AF34)+N(AF46)+N(AF58)+N(AF59)+N(AF60)),"")</f>
        <v>0.0433969672606249</v>
      </c>
      <c r="AG68" s="25" t="n">
        <f aca="false">IFERROR(-AG67/(N(AG10)+N(AG22)+N(AG34)+N(AG46)+N(AG58)+N(AG59)+N(AG60)),"")</f>
        <v>0.0412240367845251</v>
      </c>
      <c r="AH68" s="25" t="n">
        <f aca="false">IFERROR(-AH67/(N(AH10)+N(AH22)+N(AH34)+N(AH46)+N(AH58)+N(AH59)+N(AH60)),"")</f>
        <v>0.043092406221409</v>
      </c>
      <c r="AI68" s="25" t="n">
        <f aca="false">IFERROR(-AI67/(N(AI10)+N(AI22)+N(AI34)+N(AI46)+N(AI58)+N(AI59)+N(AI60)),"")</f>
        <v>0.0430019620667103</v>
      </c>
      <c r="AJ68" s="25" t="n">
        <f aca="false">IFERROR(-AJ67/(N(AJ10)+N(AJ22)+N(AJ34)+N(AJ46)+N(AJ58)+N(AJ59)+N(AJ60)),"")</f>
        <v>0.0446400502986482</v>
      </c>
      <c r="AK68" s="25" t="n">
        <f aca="false">IFERROR(-AK67/(N(AK10)+N(AK22)+N(AK34)+N(AK46)+N(AK58)+N(AK59)+N(AK60)),"")</f>
        <v>0.0453152717303661</v>
      </c>
      <c r="AL68" s="25" t="n">
        <f aca="false">IFERROR(-AL67/(N(AL10)+N(AL22)+N(AL34)+N(AL46)+N(AL58)+N(AL59)+N(AL60)),"")</f>
        <v>0.0456145497213259</v>
      </c>
      <c r="AM68" s="25" t="n">
        <f aca="false">IFERROR(-AM67/(N(AM10)+N(AM22)+N(AM34)+N(AM46)+N(AM58)+N(AM59)+N(AM60)),"")</f>
        <v>0.044671922186924</v>
      </c>
      <c r="AN68" s="25" t="n">
        <f aca="false">IFERROR(-AN67/(N(AN10)+N(AN22)+N(AN34)+N(AN46)+N(AN58)+N(AN59)+N(AN60)),"")</f>
        <v>0.0428191904985154</v>
      </c>
      <c r="AO68" s="25" t="n">
        <f aca="false">IFERROR(-AO67/(N(AO10)+N(AO22)+N(AO34)+N(AO46)+N(AO58)+N(AO59)+N(AO60)),"")</f>
        <v>0.0444780635400908</v>
      </c>
      <c r="AP68" s="25" t="n">
        <f aca="false">IFERROR(-AP67/(N(AP10)+N(AP22)+N(AP34)+N(AP46)+N(AP58)+N(AP59)+N(AP60)),"")</f>
        <v>0.0434649992374562</v>
      </c>
      <c r="AQ68" s="25" t="n">
        <f aca="false">IFERROR(-AQ67/(N(AQ10)+N(AQ22)+N(AQ34)+N(AQ46)+N(AQ58)+N(AQ59)+N(AQ60)),"")</f>
        <v>0.0420816383784542</v>
      </c>
      <c r="AR68" s="25" t="n">
        <f aca="false">IFERROR(-AR67/(N(AR10)+N(AR22)+N(AR34)+N(AR46)+N(AR58)+N(AR59)+N(AR60)),"")</f>
        <v>0.0431916089155273</v>
      </c>
      <c r="AS68" s="25" t="n">
        <f aca="false">IFERROR(-AS67/(N(AS10)+N(AS22)+N(AS34)+N(AS46)+N(AS58)+N(AS59)+N(AS60)),"")</f>
        <v>0.0507389913149474</v>
      </c>
      <c r="AT68" s="25" t="n">
        <f aca="false">IFERROR(-AT67/(N(AT10)+N(AT22)+N(AT34)+N(AT46)+N(AT58)+N(AT59)+N(AT60)),"")</f>
        <v>0.0687937533656435</v>
      </c>
      <c r="AU68" s="25" t="n">
        <f aca="false">IFERROR(-AU67/(N(AU10)+N(AU22)+N(AU34)+N(AU46)+N(AU58)+N(AU59)+N(AU60)),"")</f>
        <v>0.0839604386153515</v>
      </c>
      <c r="AV68" s="25" t="n">
        <f aca="false">IFERROR(-AV67/(N(AV10)+N(AV22)+N(AV34)+N(AV46)+N(AV58)+N(AV59)+N(AV60)),"")</f>
        <v>0.0894968499180116</v>
      </c>
      <c r="AW68" s="25" t="n">
        <f aca="false">IFERROR(-AW67/(N(AW10)+N(AW22)+N(AW34)+N(AW46)+N(AW58)+N(AW59)+N(AW60)),"")</f>
        <v>0.0763188073394495</v>
      </c>
      <c r="AX68" s="25" t="n">
        <f aca="false">IFERROR(-AX67/(N(AX10)+N(AX22)+N(AX34)+N(AX46)+N(AX58)+N(AX59)+N(AX60)),"")</f>
        <v>0.0829476022958711</v>
      </c>
      <c r="AY68" s="25" t="n">
        <f aca="false">IFERROR(-AY67/(N(AY10)+N(AY22)+N(AY34)+N(AY46)+N(AY58)+N(AY59)+N(AY60)),"")</f>
        <v>0.0591517857142857</v>
      </c>
      <c r="AZ68" s="25" t="n">
        <f aca="false">IFERROR(-AZ67/(N(AZ10)+N(AZ22)+N(AZ34)+N(AZ46)+N(AZ58)+N(AZ59)+N(AZ60)),"")</f>
        <v>0.0712721481186542</v>
      </c>
      <c r="BA68" s="25" t="n">
        <f aca="false">IFERROR(-BA67/(N(BA10)+N(BA22)+N(BA34)+N(BA46)+N(BA58)+N(BA59)+N(BA60)),"")</f>
        <v>0.0707649561517756</v>
      </c>
      <c r="BB68" s="25" t="n">
        <f aca="false">IFERROR(-BB67/(N(BB10)+N(BB22)+N(BB34)+N(BB46)+N(BB58)+N(BB59)+N(BB60)),"")</f>
        <v>0.0712915373866086</v>
      </c>
      <c r="BC68" s="25" t="n">
        <f aca="false">IFERROR(-BC67/(N(BC10)+N(BC22)+N(BC34)+N(BC46)+N(BC58)+N(BC59)+N(BC60)),"")</f>
        <v>0.0674662668665667</v>
      </c>
      <c r="BD68" s="25" t="n">
        <f aca="false">IFERROR(-BD67/(N(BD10)+N(BD22)+N(BD34)+N(BD46)+N(BD58)+N(BD59)+N(BD60)),"")</f>
        <v>0.0491462251885239</v>
      </c>
      <c r="BE68" s="25" t="n">
        <f aca="false">IFERROR(-BE67/(N(BE10)+N(BE22)+N(BE34)+N(BE46)+N(BE58)+N(BE59)+N(BE60)),"")</f>
        <v>0.0494970177156592</v>
      </c>
      <c r="BF68" s="25" t="n">
        <f aca="false">IFERROR(-BF67/(N(BF10)+N(BF22)+N(BF34)+N(BF46)+N(BF58)+N(BF59)+N(BF60)),"")</f>
        <v>0.0447188386450859</v>
      </c>
      <c r="BG68" s="25" t="n">
        <f aca="false">IFERROR(-BG67/(N(BG10)+N(BG22)+N(BG34)+N(BG46)+N(BG58)+N(BG59)+N(BG60)),"")</f>
        <v>0.0530255112797807</v>
      </c>
      <c r="BH68" s="25" t="n">
        <f aca="false">IFERROR(-BH67/(N(BH10)+N(BH22)+N(BH34)+N(BH46)+N(BH58)+N(BH59)+N(BH60)),"")</f>
        <v>0.0442620024986614</v>
      </c>
      <c r="BI68" s="25" t="n">
        <f aca="false">IFERROR(-BI67/(N(BI10)+N(BI22)+N(BI34)+N(BI46)+N(BI58)+N(BI59)+N(BI60)),"")</f>
        <v>0.0416965566714491</v>
      </c>
      <c r="BJ68" s="25" t="n">
        <f aca="false">IFERROR(-BJ67/(N(BJ10)+N(BJ22)+N(BJ34)+N(BJ46)+N(BJ58)+N(BJ59)+N(BJ60)),"")</f>
        <v>0.038552464084379</v>
      </c>
      <c r="BK68" s="25" t="n">
        <f aca="false">IFERROR(-BK67/(N(BK10)+N(BK22)+N(BK34)+N(BK46)+N(BK58)+N(BK59)+N(BK60)),"")</f>
        <v>0.0391879964695499</v>
      </c>
      <c r="BL68" s="25" t="n">
        <f aca="false">IFERROR(-BL67/(N(BL10)+N(BL22)+N(BL34)+N(BL46)+N(BL58)+N(BL59)+N(BL60)),"")</f>
        <v>0.0409300452043146</v>
      </c>
      <c r="BM68" s="25" t="n">
        <f aca="false">IFERROR(-BM67/(N(BM10)+N(BM22)+N(BM34)+N(BM46)+N(BM58)+N(BM59)+N(BM60)),"")</f>
        <v>0.0425768233987412</v>
      </c>
      <c r="BN68" s="25" t="n">
        <f aca="false">IFERROR(-BN67/(N(BN10)+N(BN22)+N(BN34)+N(BN46)+N(BN58)+N(BN59)+N(BN60)),"")</f>
        <v>0.0426807119505993</v>
      </c>
      <c r="BO68" s="25" t="n">
        <f aca="false">IFERROR(-BO67/(N(BO10)+N(BO22)+N(BO34)+N(BO46)+N(BO58)+N(BO59)+N(BO60)),"")</f>
        <v>0.0422089660159075</v>
      </c>
      <c r="BP68" s="25" t="n">
        <f aca="false">IFERROR(-BP67/(N(BP10)+N(BP22)+N(BP34)+N(BP46)+N(BP58)+N(BP59)+N(BP60)),"")</f>
        <v>0.040982916771859</v>
      </c>
      <c r="BQ68" s="25" t="n">
        <f aca="false">IFERROR(-BQ67/(N(BQ10)+N(BQ22)+N(BQ34)+N(BQ46)+N(BQ58)+N(BQ59)+N(BQ60)),"")</f>
        <v>0.0421106717601591</v>
      </c>
      <c r="BR68" s="25" t="n">
        <f aca="false">IFERROR(-BR67/(N(BR10)+N(BR22)+N(BR34)+N(BR46)+N(BR58)+N(BR59)+N(BR60)),"")</f>
        <v>0.0444362496542823</v>
      </c>
      <c r="BS68" s="25" t="n">
        <f aca="false">IFERROR(-BS67/(N(BS10)+N(BS22)+N(BS34)+N(BS46)+N(BS58)+N(BS59)+N(BS60)),"")</f>
        <v>0.0441176470588235</v>
      </c>
      <c r="BT68" s="25" t="n">
        <f aca="false">IFERROR(-BT67/(N(BT10)+N(BT22)+N(BT34)+N(BT46)+N(BT58)+N(BT59)+N(BT60)),"")</f>
        <v>0.0432688172043011</v>
      </c>
      <c r="BU68" s="25" t="n">
        <f aca="false">IFERROR(-BU67/(N(BU10)+N(BU22)+N(BU34)+N(BU46)+N(BU58)+N(BU59)+N(BU60)),"")</f>
        <v>0.0427899686520376</v>
      </c>
      <c r="BV68" s="25" t="n">
        <f aca="false">IFERROR(-BV67/(N(BV10)+N(BV22)+N(BV34)+N(BV46)+N(BV58)+N(BV59)+N(BV60)),"")</f>
        <v>0.0436378466557912</v>
      </c>
      <c r="BW68" s="25" t="n">
        <f aca="false">IFERROR(-BW67/(N(BW10)+N(BW22)+N(BW34)+N(BW46)+N(BW58)+N(BW59)+N(BW60)),"")</f>
        <v>0.0454466608846487</v>
      </c>
      <c r="BX68" s="25" t="n">
        <f aca="false">IFERROR(-BX67/(N(BX10)+N(BX22)+N(BX34)+N(BX46)+N(BX58)+N(BX59)+N(BX60)),"")</f>
        <v>0.044984076433121</v>
      </c>
      <c r="BY68" s="26" t="n">
        <f aca="false">BT68</f>
        <v>0.0432688172043011</v>
      </c>
      <c r="BZ68" s="26" t="n">
        <f aca="false">BU68</f>
        <v>0.0427899686520376</v>
      </c>
      <c r="CA68" s="26" t="n">
        <f aca="false">IFERROR(-CA67/(N(CA10)+N(CA22)+N(CA34)+N(CA46)+N(CA58)+N(CA59)+N(CA60)),"")</f>
        <v>0.0440746373342247</v>
      </c>
      <c r="CB68" s="26" t="n">
        <f aca="false">$CA$68</f>
        <v>0.0440746373342247</v>
      </c>
      <c r="CC68" s="26" t="n">
        <f aca="false">$CA$68</f>
        <v>0.0440746373342247</v>
      </c>
      <c r="CD68" s="26" t="n">
        <f aca="false">$CA$68</f>
        <v>0.0440746373342247</v>
      </c>
      <c r="CE68" s="26" t="n">
        <f aca="false">$CA$68</f>
        <v>0.0440746373342247</v>
      </c>
      <c r="CF68" s="21" t="s">
        <v>184</v>
      </c>
      <c r="CN68" s="23" t="s">
        <v>147</v>
      </c>
      <c r="CO68" s="36" t="n">
        <f aca="false">CP68+$CO$64</f>
        <v>0.172</v>
      </c>
      <c r="CP68" s="32" t="n">
        <v>0.162</v>
      </c>
      <c r="CQ68" s="36" t="n">
        <f aca="false">CP68+$CQ$64</f>
        <v>0.152</v>
      </c>
    </row>
    <row r="69" customFormat="false" ht="15" hidden="false" customHeight="false" outlineLevel="0" collapsed="false">
      <c r="CN69" s="13" t="s">
        <v>185</v>
      </c>
      <c r="CO69" s="40" t="n">
        <v>3000</v>
      </c>
      <c r="CP69" s="13" t="s">
        <v>140</v>
      </c>
      <c r="CQ69" s="40" t="n">
        <v>-3000</v>
      </c>
      <c r="CR69" s="16" t="s">
        <v>186</v>
      </c>
    </row>
    <row r="70" customFormat="false" ht="15" hidden="false" customHeight="false" outlineLevel="0" collapsed="false">
      <c r="B70" s="12" t="s">
        <v>187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3" t="s">
        <v>188</v>
      </c>
      <c r="CN70" s="23" t="s">
        <v>142</v>
      </c>
      <c r="CO70" s="41" t="n">
        <f aca="false">CP70+$CO$69</f>
        <v>7000</v>
      </c>
      <c r="CP70" s="30" t="n">
        <v>4000</v>
      </c>
      <c r="CQ70" s="41" t="n">
        <f aca="false">CP70+$CQ$69</f>
        <v>1000</v>
      </c>
    </row>
    <row r="71" customFormat="false" ht="15" hidden="false" customHeight="false" outlineLevel="1" collapsed="false">
      <c r="B71" s="23" t="s">
        <v>189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9"/>
      <c r="BZ71" s="39"/>
      <c r="CA71" s="42" t="n">
        <v>70</v>
      </c>
      <c r="CB71" s="39"/>
      <c r="CC71" s="39"/>
      <c r="CD71" s="39"/>
      <c r="CE71" s="39"/>
      <c r="CF71" s="21" t="s">
        <v>190</v>
      </c>
      <c r="CN71" s="23" t="s">
        <v>143</v>
      </c>
      <c r="CO71" s="41" t="n">
        <f aca="false">CP71+$CO$69</f>
        <v>7000</v>
      </c>
      <c r="CP71" s="30" t="n">
        <v>4000</v>
      </c>
      <c r="CQ71" s="41" t="n">
        <f aca="false">CP71+$CQ$69</f>
        <v>1000</v>
      </c>
    </row>
    <row r="72" customFormat="false" ht="15" hidden="false" customHeight="false" outlineLevel="1" collapsed="false">
      <c r="B72" s="23" t="s">
        <v>191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9"/>
      <c r="BZ72" s="39"/>
      <c r="CA72" s="42" t="n">
        <v>1440</v>
      </c>
      <c r="CB72" s="39"/>
      <c r="CC72" s="39"/>
      <c r="CD72" s="39"/>
      <c r="CE72" s="39"/>
      <c r="CF72" s="21" t="s">
        <v>192</v>
      </c>
      <c r="CN72" s="23" t="s">
        <v>144</v>
      </c>
      <c r="CO72" s="41" t="n">
        <f aca="false">CP72+$CO$69</f>
        <v>7000</v>
      </c>
      <c r="CP72" s="30" t="n">
        <v>4000</v>
      </c>
      <c r="CQ72" s="41" t="n">
        <f aca="false">CP72+$CQ$69</f>
        <v>1000</v>
      </c>
    </row>
    <row r="73" customFormat="false" ht="15" hidden="false" customHeight="false" outlineLevel="1" collapsed="false">
      <c r="B73" s="23" t="s">
        <v>193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9"/>
      <c r="BZ73" s="29"/>
      <c r="CA73" s="31" t="n">
        <v>0.08</v>
      </c>
      <c r="CB73" s="29"/>
      <c r="CC73" s="29"/>
      <c r="CD73" s="29"/>
      <c r="CE73" s="29"/>
      <c r="CF73" s="21"/>
      <c r="CN73" s="23" t="s">
        <v>147</v>
      </c>
      <c r="CO73" s="41" t="n">
        <f aca="false">CP73+$CO$69</f>
        <v>7000</v>
      </c>
      <c r="CP73" s="30" t="n">
        <v>4000</v>
      </c>
      <c r="CQ73" s="41" t="n">
        <f aca="false">CP73+$CQ$69</f>
        <v>1000</v>
      </c>
    </row>
    <row r="74" customFormat="false" ht="15" hidden="false" customHeight="false" outlineLevel="1" collapsed="false">
      <c r="B74" s="23" t="s">
        <v>194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9"/>
      <c r="BZ74" s="29"/>
      <c r="CA74" s="31" t="n">
        <v>0.3</v>
      </c>
      <c r="CB74" s="29"/>
      <c r="CC74" s="29"/>
      <c r="CD74" s="29"/>
      <c r="CE74" s="29"/>
      <c r="CF74" s="21"/>
    </row>
    <row r="75" customFormat="false" ht="15" hidden="false" customHeight="false" outlineLevel="1" collapsed="false">
      <c r="B75" s="43" t="s">
        <v>195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9"/>
      <c r="BZ75" s="39"/>
      <c r="CA75" s="42" t="n">
        <v>9098</v>
      </c>
      <c r="CB75" s="39"/>
      <c r="CC75" s="39"/>
      <c r="CD75" s="39"/>
      <c r="CE75" s="39"/>
      <c r="CF75" s="21"/>
    </row>
    <row r="76" customFormat="false" ht="15" hidden="false" customHeight="false" outlineLevel="1" collapsed="false">
      <c r="B76" s="43" t="s">
        <v>196</v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9"/>
      <c r="BZ76" s="39"/>
      <c r="CA76" s="44" t="n">
        <f aca="false">2510+844+19+423</f>
        <v>3796</v>
      </c>
      <c r="CB76" s="39"/>
      <c r="CC76" s="39"/>
      <c r="CD76" s="39"/>
      <c r="CE76" s="39"/>
      <c r="CF76" s="21"/>
    </row>
    <row r="77" customFormat="false" ht="15" hidden="false" customHeight="false" outlineLevel="1" collapsed="false">
      <c r="B77" s="23" t="s">
        <v>197</v>
      </c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9"/>
      <c r="BZ77" s="39"/>
      <c r="CA77" s="44" t="n">
        <f aca="false">2510/20+844/7+19/3+423/6</f>
        <v>322.904761904762</v>
      </c>
      <c r="CB77" s="39"/>
      <c r="CC77" s="39"/>
      <c r="CD77" s="39"/>
      <c r="CE77" s="39"/>
      <c r="CF77" s="21" t="s">
        <v>198</v>
      </c>
    </row>
    <row r="78" customFormat="false" ht="15" hidden="false" customHeight="false" outlineLevel="1" collapsed="false">
      <c r="B78" s="23" t="s">
        <v>199</v>
      </c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7" t="n">
        <v>618</v>
      </c>
      <c r="BM78" s="38"/>
      <c r="BN78" s="38"/>
      <c r="BO78" s="38"/>
      <c r="BP78" s="38"/>
      <c r="BQ78" s="37" t="n">
        <v>633</v>
      </c>
      <c r="BR78" s="37" t="n">
        <v>152</v>
      </c>
      <c r="BS78" s="37" t="n">
        <v>159</v>
      </c>
      <c r="BT78" s="37" t="n">
        <v>162</v>
      </c>
      <c r="BU78" s="37" t="n">
        <v>172</v>
      </c>
      <c r="BV78" s="37" t="n">
        <v>645</v>
      </c>
      <c r="BW78" s="37" t="n">
        <v>160</v>
      </c>
      <c r="BX78" s="37" t="n">
        <v>166</v>
      </c>
      <c r="BY78" s="44" t="n">
        <f aca="false">BT78*BY79/91</f>
        <v>115.714285714286</v>
      </c>
      <c r="BZ78" s="44" t="n">
        <f aca="false">BU78*BZ79/91</f>
        <v>0</v>
      </c>
      <c r="CA78" s="44" t="n">
        <f aca="false">SUM(BW78,BX78,BY78,BZ78)</f>
        <v>441.714285714286</v>
      </c>
      <c r="CB78" s="39"/>
      <c r="CC78" s="39"/>
      <c r="CD78" s="39"/>
      <c r="CE78" s="39"/>
      <c r="CF78" s="21"/>
    </row>
    <row r="79" customFormat="false" ht="15" hidden="false" customHeight="false" outlineLevel="1" collapsed="false">
      <c r="B79" s="23" t="s">
        <v>200</v>
      </c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6" t="n">
        <v>65</v>
      </c>
      <c r="BZ79" s="46" t="n">
        <v>0</v>
      </c>
      <c r="CA79" s="47"/>
      <c r="CB79" s="47"/>
      <c r="CC79" s="47"/>
      <c r="CD79" s="47"/>
      <c r="CE79" s="47"/>
      <c r="CF79" s="21" t="s">
        <v>201</v>
      </c>
    </row>
    <row r="80" customFormat="false" ht="15" hidden="false" customHeight="false" outlineLevel="1" collapsed="false">
      <c r="B80" s="23" t="s">
        <v>202</v>
      </c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44" t="n">
        <f aca="false">BY78-BT78</f>
        <v>-46.2857142857143</v>
      </c>
      <c r="BZ80" s="44" t="n">
        <f aca="false">BZ78-BU78</f>
        <v>-172</v>
      </c>
      <c r="CA80" s="39"/>
      <c r="CB80" s="39"/>
      <c r="CC80" s="39"/>
      <c r="CD80" s="39"/>
      <c r="CE80" s="39"/>
      <c r="CF80" s="21"/>
    </row>
    <row r="81" customFormat="false" ht="15" hidden="false" customHeight="false" outlineLevel="1" collapsed="false">
      <c r="B81" s="23" t="s">
        <v>203</v>
      </c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9"/>
      <c r="BZ81" s="39"/>
      <c r="CA81" s="42" t="n">
        <v>1025</v>
      </c>
      <c r="CB81" s="39"/>
      <c r="CC81" s="39"/>
      <c r="CD81" s="39"/>
      <c r="CE81" s="39"/>
      <c r="CF81" s="21"/>
    </row>
    <row r="82" customFormat="false" ht="15" hidden="false" customHeight="false" outlineLevel="1" collapsed="false">
      <c r="B82" s="23" t="s">
        <v>204</v>
      </c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9"/>
      <c r="BZ82" s="39"/>
      <c r="CA82" s="42" t="n">
        <v>50</v>
      </c>
      <c r="CB82" s="39"/>
      <c r="CC82" s="39"/>
      <c r="CD82" s="39"/>
      <c r="CE82" s="39"/>
      <c r="CF82" s="21"/>
    </row>
    <row r="83" customFormat="false" ht="15" hidden="false" customHeight="false" outlineLevel="1" collapsed="false">
      <c r="B83" s="23" t="s">
        <v>205</v>
      </c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9"/>
      <c r="BZ83" s="39"/>
      <c r="CA83" s="44" t="n">
        <f aca="false">228+760</f>
        <v>988</v>
      </c>
      <c r="CB83" s="39"/>
      <c r="CC83" s="39"/>
      <c r="CD83" s="39"/>
      <c r="CE83" s="39"/>
      <c r="CF83" s="21"/>
    </row>
    <row r="84" customFormat="false" ht="15" hidden="false" customHeight="false" outlineLevel="1" collapsed="false">
      <c r="B84" s="23" t="s">
        <v>206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9"/>
      <c r="BZ84" s="39"/>
      <c r="CA84" s="44" t="n">
        <f aca="false">71+45</f>
        <v>116</v>
      </c>
      <c r="CB84" s="39"/>
      <c r="CC84" s="39"/>
      <c r="CD84" s="39"/>
      <c r="CE84" s="39"/>
      <c r="CF84" s="21"/>
    </row>
    <row r="85" customFormat="false" ht="15" hidden="false" customHeight="false" outlineLevel="1" collapsed="false">
      <c r="B85" s="23" t="s">
        <v>207</v>
      </c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44" t="n">
        <f aca="false">$CA$81+$CA$82-$CA$83+$CA$84</f>
        <v>203</v>
      </c>
      <c r="BZ85" s="42" t="n">
        <v>0</v>
      </c>
      <c r="CA85" s="44" t="n">
        <f aca="false">SUM(BW85,BX85,BY85,BZ85)</f>
        <v>203</v>
      </c>
      <c r="CB85" s="39"/>
      <c r="CC85" s="39"/>
      <c r="CD85" s="39"/>
      <c r="CE85" s="39"/>
      <c r="CF85" s="21" t="s">
        <v>208</v>
      </c>
    </row>
    <row r="87" customFormat="false" ht="15" hidden="false" customHeight="false" outlineLevel="0" collapsed="false">
      <c r="B87" s="12" t="s">
        <v>209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3" t="s">
        <v>210</v>
      </c>
    </row>
    <row r="88" customFormat="false" ht="15" hidden="false" customHeight="false" outlineLevel="0" collapsed="false">
      <c r="B88" s="23" t="s">
        <v>211</v>
      </c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9"/>
      <c r="BZ88" s="39"/>
      <c r="CA88" s="42" t="n">
        <v>0</v>
      </c>
      <c r="CB88" s="44" t="n">
        <f aca="false">MAX(0,CHOOSE(MATCH($CF$2,{"Bull","Base","Bear"},0),$CO$70,$CP$70,$CQ$70))</f>
        <v>4000</v>
      </c>
      <c r="CC88" s="44" t="n">
        <f aca="false">MAX(0,CHOOSE(MATCH($CF$2,{"Bull","Base","Bear"},0),$CO$71,$CP$71,$CQ$71))</f>
        <v>4000</v>
      </c>
      <c r="CD88" s="44" t="n">
        <f aca="false">MAX(0,CHOOSE(MATCH($CF$2,{"Bull","Base","Bear"},0),$CO$72,$CP$72,$CQ$72))</f>
        <v>4000</v>
      </c>
      <c r="CE88" s="44" t="n">
        <f aca="false">MAX(0,CHOOSE(MATCH($CF$2,{"Bull","Base","Bear"},0),$CO$73,$CP$73,$CQ$73))</f>
        <v>4000</v>
      </c>
      <c r="CF88" s="21" t="s">
        <v>212</v>
      </c>
    </row>
    <row r="89" customFormat="false" ht="15" hidden="false" customHeight="false" outlineLevel="0" collapsed="false">
      <c r="B89" s="23" t="s">
        <v>213</v>
      </c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9"/>
      <c r="BZ89" s="49"/>
      <c r="CA89" s="50" t="n">
        <v>0</v>
      </c>
      <c r="CB89" s="50" t="n">
        <v>5</v>
      </c>
      <c r="CC89" s="51" t="n">
        <f aca="false">CB89</f>
        <v>5</v>
      </c>
      <c r="CD89" s="51" t="n">
        <f aca="false">CC89</f>
        <v>5</v>
      </c>
      <c r="CE89" s="51" t="n">
        <f aca="false">CD89</f>
        <v>5</v>
      </c>
      <c r="CF89" s="21" t="s">
        <v>214</v>
      </c>
    </row>
    <row r="90" customFormat="false" ht="15" hidden="false" customHeight="false" outlineLevel="0" collapsed="false">
      <c r="B90" s="23" t="s">
        <v>215</v>
      </c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9"/>
      <c r="BZ90" s="39"/>
      <c r="CA90" s="42" t="n">
        <v>0</v>
      </c>
      <c r="CB90" s="44" t="n">
        <f aca="false">IFERROR(CB88/CB89,0)</f>
        <v>800</v>
      </c>
      <c r="CC90" s="44" t="n">
        <f aca="false">IFERROR(CC88/CC89,0)</f>
        <v>800</v>
      </c>
      <c r="CD90" s="44" t="n">
        <f aca="false">IFERROR(CD88/CD89,0)</f>
        <v>800</v>
      </c>
      <c r="CE90" s="44" t="n">
        <f aca="false">IFERROR(CE88/CE89,0)</f>
        <v>800</v>
      </c>
      <c r="CF90" s="21"/>
    </row>
    <row r="91" customFormat="false" ht="15" hidden="false" customHeight="false" outlineLevel="0" collapsed="false">
      <c r="B91" s="23" t="s">
        <v>216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9"/>
      <c r="BZ91" s="29"/>
      <c r="CA91" s="31" t="n">
        <v>0</v>
      </c>
      <c r="CB91" s="31" t="n">
        <v>0.06</v>
      </c>
      <c r="CC91" s="26" t="n">
        <f aca="false">CB91</f>
        <v>0.06</v>
      </c>
      <c r="CD91" s="26" t="n">
        <f aca="false">CC91</f>
        <v>0.06</v>
      </c>
      <c r="CE91" s="26" t="n">
        <f aca="false">CD91</f>
        <v>0.06</v>
      </c>
      <c r="CF91" s="21"/>
    </row>
    <row r="92" customFormat="false" ht="15" hidden="false" customHeight="false" outlineLevel="0" collapsed="false">
      <c r="B92" s="23" t="s">
        <v>217</v>
      </c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9"/>
      <c r="BZ92" s="39"/>
      <c r="CA92" s="42" t="n">
        <v>0</v>
      </c>
      <c r="CB92" s="44" t="n">
        <f aca="false">CA92*(1+CB91)+CB90</f>
        <v>800</v>
      </c>
      <c r="CC92" s="44" t="n">
        <f aca="false">CB92*(1+CC91)+CC90</f>
        <v>1648</v>
      </c>
      <c r="CD92" s="44" t="n">
        <f aca="false">CC92*(1+CD91)+CD90</f>
        <v>2546.88</v>
      </c>
      <c r="CE92" s="44" t="n">
        <f aca="false">CD92*(1+CE91)+CE90</f>
        <v>3499.6928</v>
      </c>
      <c r="CF92" s="21"/>
    </row>
    <row r="93" customFormat="false" ht="15" hidden="false" customHeight="false" outlineLevel="0" collapsed="false">
      <c r="B93" s="17" t="s">
        <v>218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52"/>
      <c r="BZ93" s="52"/>
      <c r="CA93" s="53" t="n">
        <v>0</v>
      </c>
      <c r="CB93" s="20" t="n">
        <f aca="false">CA92*(1+CB91)+0.5*CB90</f>
        <v>400</v>
      </c>
      <c r="CC93" s="20" t="n">
        <f aca="false">CB92*(1+CC91)+0.5*CC90</f>
        <v>1248</v>
      </c>
      <c r="CD93" s="20" t="n">
        <f aca="false">CC92*(1+CD91)+0.5*CD90</f>
        <v>2146.88</v>
      </c>
      <c r="CE93" s="20" t="n">
        <f aca="false">CD92*(1+CE91)+0.5*CE90</f>
        <v>3099.6928</v>
      </c>
      <c r="CF93" s="21" t="s">
        <v>219</v>
      </c>
    </row>
    <row r="94" customFormat="false" ht="15" hidden="false" customHeight="false" outlineLevel="0" collapsed="false">
      <c r="B94" s="23" t="s">
        <v>220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9"/>
      <c r="BZ94" s="29"/>
      <c r="CA94" s="31" t="n">
        <v>0</v>
      </c>
      <c r="CB94" s="31" t="n">
        <v>0.22</v>
      </c>
      <c r="CC94" s="26" t="n">
        <f aca="false">CB94</f>
        <v>0.22</v>
      </c>
      <c r="CD94" s="26" t="n">
        <f aca="false">CC94</f>
        <v>0.22</v>
      </c>
      <c r="CE94" s="26" t="n">
        <f aca="false">CD94</f>
        <v>0.22</v>
      </c>
      <c r="CF94" s="21"/>
    </row>
    <row r="95" customFormat="false" ht="15" hidden="false" customHeight="false" outlineLevel="0" collapsed="false">
      <c r="B95" s="23" t="s">
        <v>221</v>
      </c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9"/>
      <c r="BZ95" s="39"/>
      <c r="CA95" s="42" t="n">
        <v>0</v>
      </c>
      <c r="CB95" s="44" t="n">
        <f aca="false">CB93*CB94</f>
        <v>88</v>
      </c>
      <c r="CC95" s="44" t="n">
        <f aca="false">CC93*CC94</f>
        <v>274.56</v>
      </c>
      <c r="CD95" s="44" t="n">
        <f aca="false">CD93*CD94</f>
        <v>472.3136</v>
      </c>
      <c r="CE95" s="44" t="n">
        <f aca="false">CE93*CE94</f>
        <v>681.932416</v>
      </c>
      <c r="CF95" s="21"/>
    </row>
    <row r="96" customFormat="false" ht="15" hidden="false" customHeight="false" outlineLevel="0" collapsed="false">
      <c r="B96" s="23" t="s">
        <v>222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9"/>
      <c r="BZ96" s="29"/>
      <c r="CA96" s="31" t="n">
        <v>0</v>
      </c>
      <c r="CB96" s="31" t="n">
        <v>0.05</v>
      </c>
      <c r="CC96" s="26" t="n">
        <f aca="false">CB96</f>
        <v>0.05</v>
      </c>
      <c r="CD96" s="26" t="n">
        <f aca="false">CC96</f>
        <v>0.05</v>
      </c>
      <c r="CE96" s="26" t="n">
        <f aca="false">CD96</f>
        <v>0.05</v>
      </c>
      <c r="CF96" s="21"/>
    </row>
    <row r="97" customFormat="false" ht="15" hidden="false" customHeight="false" outlineLevel="0" collapsed="false">
      <c r="B97" s="23" t="s">
        <v>223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9"/>
      <c r="BZ97" s="29"/>
      <c r="CA97" s="31" t="n">
        <v>0</v>
      </c>
      <c r="CB97" s="31" t="n">
        <v>0.4</v>
      </c>
      <c r="CC97" s="26" t="n">
        <f aca="false">CB97</f>
        <v>0.4</v>
      </c>
      <c r="CD97" s="26" t="n">
        <f aca="false">CC97</f>
        <v>0.4</v>
      </c>
      <c r="CE97" s="26" t="n">
        <f aca="false">CD97</f>
        <v>0.4</v>
      </c>
      <c r="CF97" s="21" t="s">
        <v>224</v>
      </c>
    </row>
    <row r="98" customFormat="false" ht="15" hidden="false" customHeight="false" outlineLevel="0" collapsed="false">
      <c r="B98" s="23" t="s">
        <v>225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5"/>
      <c r="BZ98" s="55"/>
      <c r="CA98" s="56" t="n">
        <v>0</v>
      </c>
      <c r="CB98" s="56" t="n">
        <v>14</v>
      </c>
      <c r="CC98" s="57" t="n">
        <f aca="false">CB98</f>
        <v>14</v>
      </c>
      <c r="CD98" s="57" t="n">
        <f aca="false">CC98</f>
        <v>14</v>
      </c>
      <c r="CE98" s="57" t="n">
        <f aca="false">CD98</f>
        <v>14</v>
      </c>
      <c r="CF98" s="21"/>
    </row>
    <row r="99" customFormat="false" ht="15" hidden="false" customHeight="false" outlineLevel="0" collapsed="false">
      <c r="B99" s="23" t="s">
        <v>226</v>
      </c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9"/>
      <c r="BZ99" s="39"/>
      <c r="CA99" s="42" t="n">
        <v>0</v>
      </c>
      <c r="CB99" s="44" t="n">
        <f aca="false">CA99+CB88*CB97</f>
        <v>1600</v>
      </c>
      <c r="CC99" s="44" t="n">
        <f aca="false">CB99+CC88*CC97</f>
        <v>3200</v>
      </c>
      <c r="CD99" s="44" t="n">
        <f aca="false">CC99+CD88*CD97</f>
        <v>4800</v>
      </c>
      <c r="CE99" s="44" t="n">
        <f aca="false">CD99+CE88*CE97</f>
        <v>6400</v>
      </c>
      <c r="CF99" s="21"/>
    </row>
    <row r="100" customFormat="false" ht="15" hidden="false" customHeight="false" outlineLevel="0" collapsed="false">
      <c r="B100" s="23" t="s">
        <v>227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9"/>
      <c r="BZ100" s="39"/>
      <c r="CA100" s="42" t="n">
        <v>0</v>
      </c>
      <c r="CB100" s="44" t="n">
        <f aca="false">(CA99+0.5*CB88*CB97)/CB98</f>
        <v>57.1428571428571</v>
      </c>
      <c r="CC100" s="44" t="n">
        <f aca="false">(CB99+0.5*CC88*CC97)/CC98</f>
        <v>171.428571428571</v>
      </c>
      <c r="CD100" s="44" t="n">
        <f aca="false">(CC99+0.5*CD88*CD97)/CD98</f>
        <v>285.714285714286</v>
      </c>
      <c r="CE100" s="44" t="n">
        <f aca="false">(CD99+0.5*CE88*CE97)/CE98</f>
        <v>400</v>
      </c>
      <c r="CF100" s="21"/>
    </row>
    <row r="102" customFormat="false" ht="15" hidden="false" customHeight="false" outlineLevel="0" collapsed="false">
      <c r="B102" s="12" t="s">
        <v>228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3" t="s">
        <v>229</v>
      </c>
    </row>
    <row r="103" customFormat="false" ht="15" hidden="false" customHeight="false" outlineLevel="0" collapsed="false">
      <c r="B103" s="58" t="s">
        <v>230</v>
      </c>
      <c r="C103" s="59" t="n">
        <f aca="false">N(C10)+N(C22)+N(C34)+N(C46)+N(C58)+N(C59)+N(C60)+N(C67)+N(C93)</f>
        <v>3791.617</v>
      </c>
      <c r="D103" s="59" t="n">
        <f aca="false">N(D10)+N(D22)+N(D34)+N(D46)+N(D58)+N(D59)+N(D60)+N(D67)+N(D93)</f>
        <v>9746.4</v>
      </c>
      <c r="E103" s="59" t="n">
        <f aca="false">N(E10)+N(E22)+N(E34)+N(E46)+N(E58)+N(E59)+N(E60)+N(E67)+N(E93)</f>
        <v>10498</v>
      </c>
      <c r="F103" s="59" t="n">
        <f aca="false">N(F10)+N(F22)+N(F34)+N(F46)+N(F58)+N(F59)+N(F60)+N(F67)+N(F93)</f>
        <v>10109.7</v>
      </c>
      <c r="G103" s="59" t="n">
        <f aca="false">N(G10)+N(G22)+N(G34)+N(G46)+N(G58)+N(G59)+N(G60)+N(G67)+N(G93)</f>
        <v>10788.7</v>
      </c>
      <c r="H103" s="59" t="n">
        <f aca="false">N(H10)+N(H22)+N(H34)+N(H46)+N(H58)+N(H59)+N(H60)+N(H67)+N(H93)</f>
        <v>11725.9</v>
      </c>
      <c r="I103" s="59" t="n">
        <f aca="false">N(I10)+N(I22)+N(I34)+N(I46)+N(I58)+N(I59)+N(I60)+N(I67)+N(I93)</f>
        <v>12509.9</v>
      </c>
      <c r="J103" s="59" t="n">
        <f aca="false">N(J10)+N(J22)+N(J34)+N(J46)+N(J58)+N(J59)+N(J60)+N(J67)+N(J93)</f>
        <v>3191.5</v>
      </c>
      <c r="K103" s="59" t="n">
        <f aca="false">N(K10)+N(K22)+N(K34)+N(K46)+N(K58)+N(K59)+N(K60)+N(K67)+N(K93)</f>
        <v>3240.1</v>
      </c>
      <c r="L103" s="59" t="n">
        <f aca="false">N(L10)+N(L22)+N(L34)+N(L46)+N(L58)+N(L59)+N(L60)+N(L67)+N(L93)</f>
        <v>3191.8</v>
      </c>
      <c r="M103" s="59" t="n">
        <f aca="false">N(M10)+N(M22)+N(M34)+N(M46)+N(M58)+N(M59)+N(M60)+N(M67)+N(M93)</f>
        <v>3466.9</v>
      </c>
      <c r="N103" s="59" t="n">
        <f aca="false">N(N10)+N(N22)+N(N34)+N(N46)+N(N58)+N(N59)+N(N60)+N(N67)+N(N93)</f>
        <v>13090.3</v>
      </c>
      <c r="O103" s="59" t="n">
        <f aca="false">N(O10)+N(O22)+N(O34)+N(O46)+N(O58)+N(O59)+N(O60)+N(O67)+N(O93)</f>
        <v>3903.5</v>
      </c>
      <c r="P103" s="59" t="n">
        <f aca="false">N(P10)+N(P22)+N(P34)+N(P46)+N(P58)+N(P59)+N(P60)+N(P67)+N(P93)</f>
        <v>4321.9</v>
      </c>
      <c r="Q103" s="59" t="n">
        <f aca="false">N(Q10)+N(Q22)+N(Q34)+N(Q46)+N(Q58)+N(Q59)+N(Q60)+N(Q67)+N(Q93)</f>
        <v>4171.4</v>
      </c>
      <c r="R103" s="59" t="n">
        <f aca="false">N(R10)+N(R22)+N(R34)+N(R46)+N(R58)+N(R59)+N(R60)+N(R67)+N(R93)</f>
        <v>4492.8</v>
      </c>
      <c r="S103" s="59" t="n">
        <f aca="false">N(S10)+N(S22)+N(S34)+N(S46)+N(S58)+N(S59)+N(S60)+N(S67)+N(S93)</f>
        <v>16889.6</v>
      </c>
      <c r="T103" s="59" t="n">
        <f aca="false">N(T10)+N(T22)+N(T34)+N(T46)+N(T58)+N(T59)+N(T60)+N(T67)+N(T93)</f>
        <v>3918.8</v>
      </c>
      <c r="U103" s="59" t="n">
        <f aca="false">N(U10)+N(U22)+N(U34)+N(U46)+N(U58)+N(U59)+N(U60)+N(U67)+N(U93)</f>
        <v>4270.9</v>
      </c>
      <c r="V103" s="59" t="n">
        <f aca="false">N(V10)+N(V22)+N(V34)+N(V46)+N(V58)+N(V59)+N(V60)+N(V67)+N(V93)</f>
        <v>4123.2</v>
      </c>
      <c r="W103" s="59" t="n">
        <f aca="false">N(W10)+N(W22)+N(W34)+N(W46)+N(W58)+N(W59)+N(W60)+N(W67)+N(W93)</f>
        <v>4652.5</v>
      </c>
      <c r="X103" s="59" t="n">
        <f aca="false">N(X10)+N(X22)+N(X34)+N(X46)+N(X58)+N(X59)+N(X60)+N(X67)+N(X93)</f>
        <v>16965.4</v>
      </c>
      <c r="Y103" s="59" t="n">
        <f aca="false">N(Y10)+N(Y22)+N(Y34)+N(Y46)+N(Y58)+N(Y59)+N(Y60)+N(Y67)+N(Y93)</f>
        <v>4294.8</v>
      </c>
      <c r="Z103" s="59" t="n">
        <f aca="false">N(Z10)+N(Z22)+N(Z34)+N(Z46)+N(Z58)+N(Z59)+N(Z60)+N(Z67)+N(Z93)</f>
        <v>4535.2</v>
      </c>
      <c r="AA103" s="59" t="n">
        <f aca="false">N(AA10)+N(AA22)+N(AA34)+N(AA46)+N(AA58)+N(AA59)+N(AA60)+N(AA67)+N(AA93)</f>
        <v>4490.9</v>
      </c>
      <c r="AB103" s="59" t="n">
        <f aca="false">N(AB10)+N(AB22)+N(AB34)+N(AB46)+N(AB58)+N(AB59)+N(AB60)+N(AB67)+N(AB93)</f>
        <v>4953.2</v>
      </c>
      <c r="AC103" s="59" t="n">
        <f aca="false">N(AC10)+N(AC22)+N(AC34)+N(AC46)+N(AC58)+N(AC59)+N(AC60)+N(AC67)+N(AC93)</f>
        <v>18274.1</v>
      </c>
      <c r="AD103" s="59" t="n">
        <f aca="false">N(AD10)+N(AD22)+N(AD34)+N(AD46)+N(AD58)+N(AD59)+N(AD60)+N(AD67)+N(AD93)</f>
        <v>4765</v>
      </c>
      <c r="AE103" s="59" t="n">
        <f aca="false">N(AE10)+N(AE22)+N(AE34)+N(AE46)+N(AE58)+N(AE59)+N(AE60)+N(AE67)+N(AE93)</f>
        <v>4990</v>
      </c>
      <c r="AF103" s="59" t="n">
        <f aca="false">N(AF10)+N(AF22)+N(AF34)+N(AF46)+N(AF58)+N(AF59)+N(AF60)+N(AF67)+N(AF93)</f>
        <v>5116.2</v>
      </c>
      <c r="AG103" s="59" t="n">
        <f aca="false">N(AG10)+N(AG22)+N(AG34)+N(AG46)+N(AG58)+N(AG59)+N(AG60)+N(AG67)+N(AG93)</f>
        <v>6047</v>
      </c>
      <c r="AH103" s="59" t="n">
        <f aca="false">N(AH10)+N(AH22)+N(AH34)+N(AH46)+N(AH58)+N(AH59)+N(AH60)+N(AH67)+N(AH93)</f>
        <v>20918</v>
      </c>
      <c r="AI103" s="59" t="n">
        <f aca="false">N(AI10)+N(AI22)+N(AI34)+N(AI46)+N(AI58)+N(AI59)+N(AI60)+N(AI67)+N(AI93)</f>
        <v>5853</v>
      </c>
      <c r="AJ103" s="59" t="n">
        <f aca="false">N(AJ10)+N(AJ22)+N(AJ34)+N(AJ46)+N(AJ58)+N(AJ59)+N(AJ60)+N(AJ67)+N(AJ93)</f>
        <v>6078</v>
      </c>
      <c r="AK103" s="59" t="n">
        <f aca="false">N(AK10)+N(AK22)+N(AK34)+N(AK46)+N(AK58)+N(AK59)+N(AK60)+N(AK67)+N(AK93)</f>
        <v>5920</v>
      </c>
      <c r="AL103" s="59" t="n">
        <f aca="false">N(AL10)+N(AL22)+N(AL34)+N(AL46)+N(AL58)+N(AL59)+N(AL60)+N(AL67)+N(AL93)</f>
        <v>6507</v>
      </c>
      <c r="AM103" s="59" t="n">
        <f aca="false">N(AM10)+N(AM22)+N(AM34)+N(AM46)+N(AM58)+N(AM59)+N(AM60)+N(AM67)+N(AM93)</f>
        <v>24358</v>
      </c>
      <c r="AN103" s="59" t="n">
        <f aca="false">N(AN10)+N(AN22)+N(AN34)+N(AN46)+N(AN58)+N(AN59)+N(AN60)+N(AN67)+N(AN93)</f>
        <v>6125</v>
      </c>
      <c r="AO103" s="59" t="n">
        <f aca="false">N(AO10)+N(AO22)+N(AO34)+N(AO46)+N(AO58)+N(AO59)+N(AO60)+N(AO67)+N(AO93)</f>
        <v>6316</v>
      </c>
      <c r="AP103" s="59" t="n">
        <f aca="false">N(AP10)+N(AP22)+N(AP34)+N(AP46)+N(AP58)+N(AP59)+N(AP60)+N(AP67)+N(AP93)</f>
        <v>6272</v>
      </c>
      <c r="AQ103" s="59" t="n">
        <f aca="false">N(AQ10)+N(AQ22)+N(AQ34)+N(AQ46)+N(AQ58)+N(AQ59)+N(AQ60)+N(AQ67)+N(AQ93)</f>
        <v>6829</v>
      </c>
      <c r="AR103" s="59" t="n">
        <f aca="false">N(AR10)+N(AR22)+N(AR34)+N(AR46)+N(AR58)+N(AR59)+N(AR60)+N(AR67)+N(AR93)</f>
        <v>25542</v>
      </c>
      <c r="AS103" s="59" t="n">
        <f aca="false">N(AS10)+N(AS22)+N(AS34)+N(AS46)+N(AS58)+N(AS59)+N(AS60)+N(AS67)+N(AS93)</f>
        <v>6230</v>
      </c>
      <c r="AT103" s="59" t="n">
        <f aca="false">N(AT10)+N(AT22)+N(AT34)+N(AT46)+N(AT58)+N(AT59)+N(AT60)+N(AT67)+N(AT93)</f>
        <v>6917</v>
      </c>
      <c r="AU103" s="59" t="n">
        <f aca="false">N(AU10)+N(AU22)+N(AU34)+N(AU46)+N(AU58)+N(AU59)+N(AU60)+N(AU67)+N(AU93)</f>
        <v>8521</v>
      </c>
      <c r="AV103" s="59" t="n">
        <f aca="false">N(AV10)+N(AV22)+N(AV34)+N(AV46)+N(AV58)+N(AV59)+N(AV60)+N(AV67)+N(AV93)</f>
        <v>10550</v>
      </c>
      <c r="AW103" s="59" t="n">
        <f aca="false">N(AW10)+N(AW22)+N(AW34)+N(AW46)+N(AW58)+N(AW59)+N(AW60)+N(AW67)+N(AW93)</f>
        <v>32218</v>
      </c>
      <c r="AX103" s="59" t="n">
        <f aca="false">N(AX10)+N(AX22)+N(AX34)+N(AX46)+N(AX58)+N(AX59)+N(AX60)+N(AX67)+N(AX93)</f>
        <v>9906</v>
      </c>
      <c r="AY103" s="59" t="n">
        <f aca="false">N(AY10)+N(AY22)+N(AY34)+N(AY46)+N(AY58)+N(AY59)+N(AY60)+N(AY67)+N(AY93)</f>
        <v>9273</v>
      </c>
      <c r="AZ103" s="59" t="n">
        <f aca="false">N(AZ10)+N(AZ22)+N(AZ34)+N(AZ46)+N(AZ58)+N(AZ59)+N(AZ60)+N(AZ67)+N(AZ93)</f>
        <v>9330</v>
      </c>
      <c r="BA103" s="59" t="n">
        <f aca="false">N(BA10)+N(BA22)+N(BA34)+N(BA46)+N(BA58)+N(BA59)+N(BA60)+N(BA67)+N(BA93)</f>
        <v>10702</v>
      </c>
      <c r="BB103" s="59" t="n">
        <f aca="false">N(BB10)+N(BB22)+N(BB34)+N(BB46)+N(BB58)+N(BB59)+N(BB60)+N(BB67)+N(BB93)</f>
        <v>39211</v>
      </c>
      <c r="BC103" s="59" t="n">
        <f aca="false">N(BC10)+N(BC22)+N(BC34)+N(BC46)+N(BC58)+N(BC59)+N(BC60)+N(BC67)+N(BC93)</f>
        <v>11818</v>
      </c>
      <c r="BD103" s="59" t="n">
        <f aca="false">N(BD10)+N(BD22)+N(BD34)+N(BD46)+N(BD58)+N(BD59)+N(BD60)+N(BD67)+N(BD93)</f>
        <v>10970</v>
      </c>
      <c r="BE103" s="59" t="n">
        <f aca="false">N(BE10)+N(BE22)+N(BE34)+N(BE46)+N(BE58)+N(BE59)+N(BE60)+N(BE67)+N(BE93)</f>
        <v>10677</v>
      </c>
      <c r="BF103" s="59" t="n">
        <f aca="false">N(BF10)+N(BF22)+N(BF34)+N(BF46)+N(BF58)+N(BF59)+N(BF60)+N(BF67)+N(BF93)</f>
        <v>11450</v>
      </c>
      <c r="BG103" s="59" t="n">
        <f aca="false">N(BG10)+N(BG22)+N(BG34)+N(BG46)+N(BG58)+N(BG59)+N(BG60)+N(BG67)+N(BG93)</f>
        <v>44915</v>
      </c>
      <c r="BH103" s="59" t="n">
        <f aca="false">N(BH10)+N(BH22)+N(BH34)+N(BH46)+N(BH58)+N(BH59)+N(BH60)+N(BH67)+N(BH93)</f>
        <v>10710</v>
      </c>
      <c r="BI103" s="59" t="n">
        <f aca="false">N(BI10)+N(BI22)+N(BI34)+N(BI46)+N(BI58)+N(BI59)+N(BI60)+N(BI67)+N(BI93)</f>
        <v>10687</v>
      </c>
      <c r="BJ103" s="59" t="n">
        <f aca="false">N(BJ10)+N(BJ22)+N(BJ34)+N(BJ46)+N(BJ58)+N(BJ59)+N(BJ60)+N(BJ67)+N(BJ93)</f>
        <v>10574</v>
      </c>
      <c r="BK103" s="59" t="n">
        <f aca="false">N(BK10)+N(BK22)+N(BK34)+N(BK46)+N(BK58)+N(BK59)+N(BK60)+N(BK67)+N(BK93)</f>
        <v>10886</v>
      </c>
      <c r="BL103" s="59" t="n">
        <f aca="false">N(BL10)+N(BL22)+N(BL34)+N(BL46)+N(BL58)+N(BL59)+N(BL60)+N(BL67)+N(BL93)</f>
        <v>42857</v>
      </c>
      <c r="BM103" s="59" t="n">
        <f aca="false">N(BM10)+N(BM22)+N(BM34)+N(BM46)+N(BM58)+N(BM59)+N(BM60)+N(BM67)+N(BM93)</f>
        <v>10344</v>
      </c>
      <c r="BN103" s="59" t="n">
        <f aca="false">N(BN10)+N(BN22)+N(BN34)+N(BN46)+N(BN58)+N(BN59)+N(BN60)+N(BN67)+N(BN93)</f>
        <v>10542</v>
      </c>
      <c r="BO103" s="59" t="n">
        <f aca="false">N(BO10)+N(BO22)+N(BO34)+N(BO46)+N(BO58)+N(BO59)+N(BO60)+N(BO67)+N(BO93)</f>
        <v>10597</v>
      </c>
      <c r="BP103" s="59" t="n">
        <f aca="false">N(BP10)+N(BP22)+N(BP34)+N(BP46)+N(BP58)+N(BP59)+N(BP60)+N(BP67)+N(BP93)</f>
        <v>11396</v>
      </c>
      <c r="BQ103" s="59" t="n">
        <f aca="false">N(BQ10)+N(BQ22)+N(BQ34)+N(BQ46)+N(BQ58)+N(BQ59)+N(BQ60)+N(BQ67)+N(BQ93)</f>
        <v>42878</v>
      </c>
      <c r="BR103" s="59" t="n">
        <f aca="false">N(BR10)+N(BR22)+N(BR34)+N(BR46)+N(BR58)+N(BR59)+N(BR60)+N(BR67)+N(BR93)</f>
        <v>10365</v>
      </c>
      <c r="BS103" s="59" t="n">
        <f aca="false">N(BS10)+N(BS22)+N(BS34)+N(BS46)+N(BS58)+N(BS59)+N(BS60)+N(BS67)+N(BS93)</f>
        <v>10855</v>
      </c>
      <c r="BT103" s="59" t="n">
        <f aca="false">N(BT10)+N(BT22)+N(BT34)+N(BT46)+N(BT58)+N(BT59)+N(BT60)+N(BT67)+N(BT93)</f>
        <v>11122</v>
      </c>
      <c r="BU103" s="59" t="n">
        <f aca="false">N(BU10)+N(BU22)+N(BU34)+N(BU46)+N(BU58)+N(BU59)+N(BU60)+N(BU67)+N(BU93)</f>
        <v>12214</v>
      </c>
      <c r="BV103" s="59" t="n">
        <f aca="false">N(BV10)+N(BV22)+N(BV34)+N(BV46)+N(BV58)+N(BV59)+N(BV60)+N(BV67)+N(BV93)</f>
        <v>44555</v>
      </c>
      <c r="BW103" s="59" t="n">
        <f aca="false">N(BW10)+N(BW22)+N(BW34)+N(BW46)+N(BW58)+N(BW59)+N(BW60)+N(BW67)+N(BW93)</f>
        <v>11006</v>
      </c>
      <c r="BX103" s="59" t="n">
        <f aca="false">N(BX10)+N(BX22)+N(BX34)+N(BX46)+N(BX58)+N(BX59)+N(BX60)+N(BX67)+N(BX93)</f>
        <v>11995</v>
      </c>
      <c r="BY103" s="59" t="n">
        <f aca="false">N(BY10)+N(BY22)+N(BY34)+N(BY46)+N(BY58)+N(BY59)+N(BY60)+N(BY67)+N(BY93)</f>
        <v>11951.1323910507</v>
      </c>
      <c r="BZ103" s="59" t="n">
        <f aca="false">N(BZ10)+N(BZ22)+N(BZ34)+N(BZ46)+N(BZ58)+N(BZ59)+N(BZ60)+N(BZ67)+N(BZ93)</f>
        <v>12797.8676089493</v>
      </c>
      <c r="CA103" s="59" t="n">
        <f aca="false">N(CA10)+N(CA22)+N(CA34)+N(CA46)+N(CA58)+N(CA59)+N(CA60)+N(CA67)+N(CA93)</f>
        <v>47750</v>
      </c>
      <c r="CB103" s="59" t="n">
        <f aca="false">N(CB10)+N(CB22)+N(CB34)+N(CB46)+N(CB58)+N(CB59)+N(CB60)+N(CB67)+N(CB93)</f>
        <v>50663.8492060496</v>
      </c>
      <c r="CC103" s="59" t="n">
        <f aca="false">N(CC10)+N(CC22)+N(CC34)+N(CC46)+N(CC58)+N(CC59)+N(CC60)+N(CC67)+N(CC93)</f>
        <v>54503.0316265443</v>
      </c>
      <c r="CD103" s="59" t="n">
        <f aca="false">N(CD10)+N(CD22)+N(CD34)+N(CD46)+N(CD58)+N(CD59)+N(CD60)+N(CD67)+N(CD93)</f>
        <v>58632.4730689533</v>
      </c>
      <c r="CE103" s="59" t="n">
        <f aca="false">N(CE10)+N(CE22)+N(CE34)+N(CE46)+N(CE58)+N(CE59)+N(CE60)+N(CE67)+N(CE93)</f>
        <v>63013.654349173</v>
      </c>
      <c r="CF103" s="21" t="s">
        <v>231</v>
      </c>
      <c r="CH103" s="22" t="n">
        <f aca="false">IFERROR((CE103/BV103)^(1/5)-1,"n/m")</f>
        <v>0.0717849235565589</v>
      </c>
      <c r="CI103" s="22" t="n">
        <f aca="false">IFERROR((BV103/AW103)^(1/5)-1,"n/m")</f>
        <v>0.0669880959509073</v>
      </c>
      <c r="CJ103" s="22" t="n">
        <f aca="false">IFERROR((BV103/X103)^(1/10)-1,"n/m")</f>
        <v>0.101369979184715</v>
      </c>
      <c r="CK103" s="22" t="n">
        <f aca="false">IFERROR((BV103/C103)^(1/19)-1,"n/m")</f>
        <v>0.138464723822691</v>
      </c>
    </row>
    <row r="104" customFormat="false" ht="15" hidden="false" customHeight="false" outlineLevel="0" collapsed="false">
      <c r="B104" s="58" t="s">
        <v>232</v>
      </c>
      <c r="C104" s="59" t="n">
        <f aca="false">N(C15)+N(C27)+N(C39)+N(C51)+N(C61)+N(C62)+N(C63)+N(C64)+N(C95)</f>
        <v>572.869</v>
      </c>
      <c r="D104" s="59" t="n">
        <f aca="false">N(D15)+N(D27)+N(D39)+N(D51)+N(D61)+N(D62)+N(D63)+N(D64)+N(D95)</f>
        <v>1636.9</v>
      </c>
      <c r="E104" s="59" t="n">
        <f aca="false">N(E15)+N(E27)+N(E39)+N(E51)+N(E61)+N(E62)+N(E63)+N(E64)+N(E95)</f>
        <v>1869.1</v>
      </c>
      <c r="F104" s="59" t="n">
        <f aca="false">N(F15)+N(F27)+N(F39)+N(F51)+N(F61)+N(F62)+N(F63)+N(F64)+N(F95)</f>
        <v>1714.9</v>
      </c>
      <c r="G104" s="59" t="n">
        <f aca="false">N(G15)+N(G27)+N(G39)+N(G51)+N(G61)+N(G62)+N(G63)+N(G64)+N(G95)</f>
        <v>1916</v>
      </c>
      <c r="H104" s="59" t="n">
        <f aca="false">N(H15)+N(H27)+N(H39)+N(H51)+N(H61)+N(H62)+N(H63)+N(H64)+N(H95)</f>
        <v>2127.8</v>
      </c>
      <c r="I104" s="59" t="n">
        <f aca="false">N(I15)+N(I27)+N(I39)+N(I51)+N(I61)+N(I62)+N(I63)+N(I64)+N(I95)</f>
        <v>2379.9</v>
      </c>
      <c r="J104" s="59" t="n">
        <f aca="false">N(J15)+N(J27)+N(J39)+N(J51)+N(J61)+N(J62)+N(J63)+N(J64)+N(J95)</f>
        <v>615.1</v>
      </c>
      <c r="K104" s="59" t="n">
        <f aca="false">N(K15)+N(K27)+N(K39)+N(K51)+N(K61)+N(K62)+N(K63)+N(K64)+N(K95)</f>
        <v>623.8</v>
      </c>
      <c r="L104" s="59" t="n">
        <f aca="false">N(L15)+N(L27)+N(L39)+N(L51)+N(L61)+N(L62)+N(L63)+N(L64)+N(L95)</f>
        <v>619.4</v>
      </c>
      <c r="M104" s="59" t="n">
        <f aca="false">N(M15)+N(M27)+N(M39)+N(M51)+N(M61)+N(M62)+N(M63)+N(M64)+N(M95)</f>
        <v>694.2</v>
      </c>
      <c r="N104" s="59" t="n">
        <f aca="false">N(N15)+N(N27)+N(N39)+N(N51)+N(N61)+N(N62)+N(N63)+N(N64)+N(N95)</f>
        <v>2552.5</v>
      </c>
      <c r="O104" s="59" t="n">
        <f aca="false">N(O15)+N(O27)+N(O39)+N(O51)+N(O61)+N(O62)+N(O63)+N(O64)+N(O95)</f>
        <v>830.5</v>
      </c>
      <c r="P104" s="59" t="n">
        <f aca="false">N(P15)+N(P27)+N(P39)+N(P51)+N(P61)+N(P62)+N(P63)+N(P64)+N(P95)</f>
        <v>923.6</v>
      </c>
      <c r="Q104" s="59" t="n">
        <f aca="false">N(Q15)+N(Q27)+N(Q39)+N(Q51)+N(Q61)+N(Q62)+N(Q63)+N(Q64)+N(Q95)</f>
        <v>915</v>
      </c>
      <c r="R104" s="59" t="n">
        <f aca="false">N(R15)+N(R27)+N(R39)+N(R51)+N(R61)+N(R62)+N(R63)+N(R64)+N(R95)</f>
        <v>1025.7</v>
      </c>
      <c r="S104" s="59" t="n">
        <f aca="false">N(S15)+N(S27)+N(S39)+N(S51)+N(S61)+N(S62)+N(S63)+N(S64)+N(S95)</f>
        <v>3694.8</v>
      </c>
      <c r="T104" s="59" t="n">
        <f aca="false">N(T15)+N(T27)+N(T39)+N(T51)+N(T61)+N(T62)+N(T63)+N(T64)+N(T95)</f>
        <v>856.6</v>
      </c>
      <c r="U104" s="59" t="n">
        <f aca="false">N(U15)+N(U27)+N(U39)+N(U51)+N(U61)+N(U62)+N(U63)+N(U64)+N(U95)</f>
        <v>950.3</v>
      </c>
      <c r="V104" s="59" t="n">
        <f aca="false">N(V15)+N(V27)+N(V39)+N(V51)+N(V61)+N(V62)+N(V63)+N(V64)+N(V95)</f>
        <v>933.7</v>
      </c>
      <c r="W104" s="59" t="n">
        <f aca="false">N(W15)+N(W27)+N(W39)+N(W51)+N(W61)+N(W62)+N(W63)+N(W64)+N(W95)</f>
        <v>1081.1</v>
      </c>
      <c r="X104" s="59" t="n">
        <f aca="false">N(X15)+N(X27)+N(X39)+N(X51)+N(X61)+N(X62)+N(X63)+N(X64)+N(X95)</f>
        <v>3821.7</v>
      </c>
      <c r="Y104" s="59" t="n">
        <f aca="false">N(Y15)+N(Y27)+N(Y39)+N(Y51)+N(Y61)+N(Y62)+N(Y63)+N(Y64)+N(Y95)</f>
        <v>930</v>
      </c>
      <c r="Z104" s="59" t="n">
        <f aca="false">N(Z15)+N(Z27)+N(Z39)+N(Z51)+N(Z61)+N(Z62)+N(Z63)+N(Z64)+N(Z95)</f>
        <v>1032.2</v>
      </c>
      <c r="AA104" s="59" t="n">
        <f aca="false">N(AA15)+N(AA27)+N(AA39)+N(AA51)+N(AA61)+N(AA62)+N(AA63)+N(AA64)+N(AA95)</f>
        <v>1032.5</v>
      </c>
      <c r="AB104" s="59" t="n">
        <f aca="false">N(AB15)+N(AB27)+N(AB39)+N(AB51)+N(AB61)+N(AB62)+N(AB63)+N(AB64)+N(AB95)</f>
        <v>1227.1</v>
      </c>
      <c r="AC104" s="59" t="n">
        <f aca="false">N(AC15)+N(AC27)+N(AC39)+N(AC51)+N(AC61)+N(AC62)+N(AC63)+N(AC64)+N(AC95)</f>
        <v>4221.8</v>
      </c>
      <c r="AD104" s="59" t="n">
        <f aca="false">N(AD15)+N(AD27)+N(AD39)+N(AD51)+N(AD61)+N(AD62)+N(AD63)+N(AD64)+N(AD95)</f>
        <v>1075.8</v>
      </c>
      <c r="AE104" s="59" t="n">
        <f aca="false">N(AE15)+N(AE27)+N(AE39)+N(AE51)+N(AE61)+N(AE62)+N(AE63)+N(AE64)+N(AE95)</f>
        <v>1162.4</v>
      </c>
      <c r="AF104" s="59" t="n">
        <f aca="false">N(AF15)+N(AF27)+N(AF39)+N(AF51)+N(AF61)+N(AF62)+N(AF63)+N(AF64)+N(AF95)</f>
        <v>1171.8</v>
      </c>
      <c r="AG104" s="59" t="n">
        <f aca="false">N(AG15)+N(AG27)+N(AG39)+N(AG51)+N(AG61)+N(AG62)+N(AG63)+N(AG64)+N(AG95)</f>
        <v>1450</v>
      </c>
      <c r="AH104" s="59" t="n">
        <f aca="false">N(AH15)+N(AH27)+N(AH39)+N(AH51)+N(AH61)+N(AH62)+N(AH63)+N(AH64)+N(AH95)</f>
        <v>4860</v>
      </c>
      <c r="AI104" s="59" t="n">
        <f aca="false">N(AI15)+N(AI27)+N(AI39)+N(AI51)+N(AI61)+N(AI62)+N(AI63)+N(AI64)+N(AI95)</f>
        <v>1286</v>
      </c>
      <c r="AJ104" s="59" t="n">
        <f aca="false">N(AJ15)+N(AJ27)+N(AJ39)+N(AJ51)+N(AJ61)+N(AJ62)+N(AJ63)+N(AJ64)+N(AJ95)</f>
        <v>1403</v>
      </c>
      <c r="AK104" s="59" t="n">
        <f aca="false">N(AK15)+N(AK27)+N(AK39)+N(AK51)+N(AK61)+N(AK62)+N(AK63)+N(AK64)+N(AK95)</f>
        <v>1311</v>
      </c>
      <c r="AL104" s="59" t="n">
        <f aca="false">N(AL15)+N(AL27)+N(AL39)+N(AL51)+N(AL61)+N(AL62)+N(AL63)+N(AL64)+N(AL95)</f>
        <v>1615</v>
      </c>
      <c r="AM104" s="59" t="n">
        <f aca="false">N(AM15)+N(AM27)+N(AM39)+N(AM51)+N(AM61)+N(AM62)+N(AM63)+N(AM64)+N(AM95)</f>
        <v>5615</v>
      </c>
      <c r="AN104" s="59" t="n">
        <f aca="false">N(AN15)+N(AN27)+N(AN39)+N(AN51)+N(AN61)+N(AN62)+N(AN63)+N(AN64)+N(AN95)</f>
        <v>1370</v>
      </c>
      <c r="AO104" s="59" t="n">
        <f aca="false">N(AO15)+N(AO27)+N(AO39)+N(AO51)+N(AO61)+N(AO62)+N(AO63)+N(AO64)+N(AO95)</f>
        <v>1482</v>
      </c>
      <c r="AP104" s="59" t="n">
        <f aca="false">N(AP15)+N(AP27)+N(AP39)+N(AP51)+N(AP61)+N(AP62)+N(AP63)+N(AP64)+N(AP95)</f>
        <v>1423</v>
      </c>
      <c r="AQ104" s="59" t="n">
        <f aca="false">N(AQ15)+N(AQ27)+N(AQ39)+N(AQ51)+N(AQ61)+N(AQ62)+N(AQ63)+N(AQ64)+N(AQ95)</f>
        <v>1698</v>
      </c>
      <c r="AR104" s="59" t="n">
        <f aca="false">N(AR15)+N(AR27)+N(AR39)+N(AR51)+N(AR61)+N(AR62)+N(AR63)+N(AR64)+N(AR95)</f>
        <v>5973</v>
      </c>
      <c r="AS104" s="59" t="n">
        <f aca="false">N(AS15)+N(AS27)+N(AS39)+N(AS51)+N(AS61)+N(AS62)+N(AS63)+N(AS64)+N(AS95)</f>
        <v>1377</v>
      </c>
      <c r="AT104" s="59" t="n">
        <f aca="false">N(AT15)+N(AT27)+N(AT39)+N(AT51)+N(AT61)+N(AT62)+N(AT63)+N(AT64)+N(AT95)</f>
        <v>1864</v>
      </c>
      <c r="AU104" s="59" t="n">
        <f aca="false">N(AU15)+N(AU27)+N(AU39)+N(AU51)+N(AU61)+N(AU62)+N(AU63)+N(AU64)+N(AU95)</f>
        <v>2803</v>
      </c>
      <c r="AV104" s="59" t="n">
        <f aca="false">N(AV15)+N(AV27)+N(AV39)+N(AV51)+N(AV61)+N(AV62)+N(AV63)+N(AV64)+N(AV95)</f>
        <v>3512</v>
      </c>
      <c r="AW104" s="59" t="n">
        <f aca="false">N(AW15)+N(AW27)+N(AW39)+N(AW51)+N(AW61)+N(AW62)+N(AW63)+N(AW64)+N(AW95)</f>
        <v>9556</v>
      </c>
      <c r="AX104" s="59" t="n">
        <f aca="false">N(AX15)+N(AX27)+N(AX39)+N(AX51)+N(AX61)+N(AX62)+N(AX63)+N(AX64)+N(AX95)</f>
        <v>3510</v>
      </c>
      <c r="AY104" s="59" t="n">
        <f aca="false">N(AY15)+N(AY27)+N(AY39)+N(AY51)+N(AY61)+N(AY62)+N(AY63)+N(AY64)+N(AY95)</f>
        <v>2689</v>
      </c>
      <c r="AZ104" s="59" t="n">
        <f aca="false">N(AZ15)+N(AZ27)+N(AZ39)+N(AZ51)+N(AZ61)+N(AZ62)+N(AZ63)+N(AZ64)+N(AZ95)</f>
        <v>2778</v>
      </c>
      <c r="BA104" s="59" t="n">
        <f aca="false">N(BA15)+N(BA27)+N(BA39)+N(BA51)+N(BA61)+N(BA62)+N(BA63)+N(BA64)+N(BA95)</f>
        <v>3161</v>
      </c>
      <c r="BB104" s="59" t="n">
        <f aca="false">N(BB15)+N(BB27)+N(BB39)+N(BB51)+N(BB61)+N(BB62)+N(BB63)+N(BB64)+N(BB95)</f>
        <v>12138</v>
      </c>
      <c r="BC104" s="59" t="n">
        <f aca="false">N(BC15)+N(BC27)+N(BC39)+N(BC51)+N(BC61)+N(BC62)+N(BC63)+N(BC64)+N(BC95)</f>
        <v>3450</v>
      </c>
      <c r="BD104" s="59" t="n">
        <f aca="false">N(BD15)+N(BD27)+N(BD39)+N(BD51)+N(BD61)+N(BD62)+N(BD63)+N(BD64)+N(BD95)</f>
        <v>2605</v>
      </c>
      <c r="BE104" s="59" t="n">
        <f aca="false">N(BE15)+N(BE27)+N(BE39)+N(BE51)+N(BE61)+N(BE62)+N(BE63)+N(BE64)+N(BE95)</f>
        <v>2370</v>
      </c>
      <c r="BF104" s="59" t="n">
        <f aca="false">N(BF15)+N(BF27)+N(BF39)+N(BF51)+N(BF61)+N(BF62)+N(BF63)+N(BF64)+N(BF95)</f>
        <v>2560</v>
      </c>
      <c r="BG104" s="59" t="n">
        <f aca="false">N(BG15)+N(BG27)+N(BG39)+N(BG51)+N(BG61)+N(BG62)+N(BG63)+N(BG64)+N(BG95)</f>
        <v>10985</v>
      </c>
      <c r="BH104" s="59" t="n">
        <f aca="false">N(BH15)+N(BH27)+N(BH39)+N(BH51)+N(BH61)+N(BH62)+N(BH63)+N(BH64)+N(BH95)</f>
        <v>2330</v>
      </c>
      <c r="BI104" s="59" t="n">
        <f aca="false">N(BI15)+N(BI27)+N(BI39)+N(BI51)+N(BI61)+N(BI62)+N(BI63)+N(BI64)+N(BI95)</f>
        <v>2370</v>
      </c>
      <c r="BJ104" s="59" t="n">
        <f aca="false">N(BJ15)+N(BJ27)+N(BJ39)+N(BJ51)+N(BJ61)+N(BJ62)+N(BJ63)+N(BJ64)+N(BJ95)</f>
        <v>2560</v>
      </c>
      <c r="BK104" s="59" t="n">
        <f aca="false">N(BK15)+N(BK27)+N(BK39)+N(BK51)+N(BK61)+N(BK62)+N(BK63)+N(BK64)+N(BK95)</f>
        <v>2550</v>
      </c>
      <c r="BL104" s="59" t="n">
        <f aca="false">N(BL15)+N(BL27)+N(BL39)+N(BL51)+N(BL61)+N(BL62)+N(BL63)+N(BL64)+N(BL95)</f>
        <v>9810</v>
      </c>
      <c r="BM104" s="59" t="n">
        <f aca="false">N(BM15)+N(BM27)+N(BM39)+N(BM51)+N(BM61)+N(BM62)+N(BM63)+N(BM64)+N(BM95)</f>
        <v>2278</v>
      </c>
      <c r="BN104" s="59" t="n">
        <f aca="false">N(BN15)+N(BN27)+N(BN39)+N(BN51)+N(BN61)+N(BN62)+N(BN63)+N(BN64)+N(BN95)</f>
        <v>2348</v>
      </c>
      <c r="BO104" s="59" t="n">
        <f aca="false">N(BO15)+N(BO27)+N(BO39)+N(BO51)+N(BO61)+N(BO62)+N(BO63)+N(BO64)+N(BO95)</f>
        <v>2362</v>
      </c>
      <c r="BP104" s="59" t="n">
        <f aca="false">N(BP15)+N(BP27)+N(BP39)+N(BP51)+N(BP61)+N(BP62)+N(BP63)+N(BP64)+N(BP95)</f>
        <v>2719</v>
      </c>
      <c r="BQ104" s="59" t="n">
        <f aca="false">N(BQ15)+N(BQ27)+N(BQ39)+N(BQ51)+N(BQ61)+N(BQ62)+N(BQ63)+N(BQ64)+N(BQ95)</f>
        <v>9707</v>
      </c>
      <c r="BR104" s="59" t="n">
        <f aca="false">N(BR15)+N(BR27)+N(BR39)+N(BR51)+N(BR61)+N(BR62)+N(BR63)+N(BR64)+N(BR95)</f>
        <v>2268</v>
      </c>
      <c r="BS104" s="59" t="n">
        <f aca="false">N(BS15)+N(BS27)+N(BS39)+N(BS51)+N(BS61)+N(BS62)+N(BS63)+N(BS64)+N(BS95)</f>
        <v>2375</v>
      </c>
      <c r="BT104" s="59" t="n">
        <f aca="false">N(BT15)+N(BT27)+N(BT39)+N(BT51)+N(BT61)+N(BT62)+N(BT63)+N(BT64)+N(BT95)</f>
        <v>2586</v>
      </c>
      <c r="BU104" s="59" t="n">
        <f aca="false">N(BU15)+N(BU27)+N(BU39)+N(BU51)+N(BU61)+N(BU62)+N(BU63)+N(BU64)+N(BU95)</f>
        <v>2878</v>
      </c>
      <c r="BV104" s="59" t="n">
        <f aca="false">N(BV15)+N(BV27)+N(BV39)+N(BV51)+N(BV61)+N(BV62)+N(BV63)+N(BV64)+N(BV95)</f>
        <v>10110</v>
      </c>
      <c r="BW104" s="59" t="n">
        <f aca="false">N(BW15)+N(BW27)+N(BW39)+N(BW51)+N(BW61)+N(BW62)+N(BW63)+N(BW64)+N(BW95)</f>
        <v>2400</v>
      </c>
      <c r="BX104" s="59" t="n">
        <f aca="false">N(BX15)+N(BX27)+N(BX39)+N(BX51)+N(BX61)+N(BX62)+N(BX63)+N(BX64)+N(BX95)</f>
        <v>2735</v>
      </c>
      <c r="BY104" s="59" t="n">
        <f aca="false">N(BY15)+N(BY27)+N(BY39)+N(BY51)+N(BY61)+N(BY62)+N(BY63)+N(BY64)+N(BY95)</f>
        <v>2931.2599807075</v>
      </c>
      <c r="BZ104" s="59" t="n">
        <f aca="false">N(BZ15)+N(BZ27)+N(BZ39)+N(BZ51)+N(BZ61)+N(BZ62)+N(BZ63)+N(BZ64)+N(BZ95)</f>
        <v>3154.9900192925</v>
      </c>
      <c r="CA104" s="59" t="n">
        <f aca="false">N(CA15)+N(CA27)+N(CA39)+N(CA51)+N(CA61)+N(CA62)+N(CA63)+N(CA64)+N(CA95)</f>
        <v>11221.25</v>
      </c>
      <c r="CB104" s="59" t="n">
        <f aca="false">N(CB15)+N(CB27)+N(CB39)+N(CB51)+N(CB61)+N(CB62)+N(CB63)+N(CB64)+N(CB95)</f>
        <v>12084.794198135</v>
      </c>
      <c r="CC104" s="59" t="n">
        <f aca="false">N(CC15)+N(CC27)+N(CC39)+N(CC51)+N(CC61)+N(CC62)+N(CC63)+N(CC64)+N(CC95)</f>
        <v>13222.2186888485</v>
      </c>
      <c r="CD104" s="59" t="n">
        <f aca="false">N(CD15)+N(CD27)+N(CD39)+N(CD51)+N(CD61)+N(CD62)+N(CD63)+N(CD64)+N(CD95)</f>
        <v>14466.0398850873</v>
      </c>
      <c r="CE104" s="59" t="n">
        <f aca="false">N(CE15)+N(CE27)+N(CE39)+N(CE51)+N(CE61)+N(CE62)+N(CE63)+N(CE64)+N(CE95)</f>
        <v>15801.5487010655</v>
      </c>
      <c r="CF104" s="21"/>
      <c r="CH104" s="22" t="n">
        <f aca="false">IFERROR((CE104/BV104)^(1/5)-1,"n/m")</f>
        <v>0.0934267632295949</v>
      </c>
      <c r="CI104" s="22" t="n">
        <f aca="false">IFERROR((BV104/AW104)^(1/5)-1,"n/m")</f>
        <v>0.0113349195659394</v>
      </c>
      <c r="CJ104" s="22" t="n">
        <f aca="false">IFERROR((BV104/X104)^(1/10)-1,"n/m")</f>
        <v>0.102172209320919</v>
      </c>
      <c r="CK104" s="22" t="n">
        <f aca="false">IFERROR((BV104/C104)^(1/19)-1,"n/m")</f>
        <v>0.163096021582533</v>
      </c>
    </row>
    <row r="105" customFormat="false" ht="15" hidden="false" customHeight="false" outlineLevel="0" collapsed="false">
      <c r="B105" s="23" t="s">
        <v>233</v>
      </c>
      <c r="C105" s="25" t="n">
        <f aca="false">IF(AND(ISNUMBER(C104),ISNUMBER(C103)),C104/C103,"")</f>
        <v>0.151088308761143</v>
      </c>
      <c r="D105" s="25" t="n">
        <f aca="false">IF(AND(ISNUMBER(D104),ISNUMBER(D103)),D104/D103,"")</f>
        <v>0.167949191496347</v>
      </c>
      <c r="E105" s="25" t="n">
        <f aca="false">IF(AND(ISNUMBER(E104),ISNUMBER(E103)),E104/E103,"")</f>
        <v>0.178043436845113</v>
      </c>
      <c r="F105" s="25" t="n">
        <f aca="false">IF(AND(ISNUMBER(F104),ISNUMBER(F103)),F104/F103,"")</f>
        <v>0.169629168026747</v>
      </c>
      <c r="G105" s="25" t="n">
        <f aca="false">IF(AND(ISNUMBER(G104),ISNUMBER(G103)),G104/G103,"")</f>
        <v>0.177593222538397</v>
      </c>
      <c r="H105" s="25" t="n">
        <f aca="false">IF(AND(ISNUMBER(H104),ISNUMBER(H103)),H104/H103,"")</f>
        <v>0.181461550925729</v>
      </c>
      <c r="I105" s="25" t="n">
        <f aca="false">IF(AND(ISNUMBER(I104),ISNUMBER(I103)),I104/I103,"")</f>
        <v>0.190241328867537</v>
      </c>
      <c r="J105" s="25" t="n">
        <f aca="false">IF(AND(ISNUMBER(J104),ISNUMBER(J103)),J104/J103,"")</f>
        <v>0.192730690897697</v>
      </c>
      <c r="K105" s="25" t="n">
        <f aca="false">IF(AND(ISNUMBER(K104),ISNUMBER(K103)),K104/K103,"")</f>
        <v>0.192524922070306</v>
      </c>
      <c r="L105" s="25" t="n">
        <f aca="false">IF(AND(ISNUMBER(L104),ISNUMBER(L103)),L104/L103,"")</f>
        <v>0.19405977818159</v>
      </c>
      <c r="M105" s="25" t="n">
        <f aca="false">IF(AND(ISNUMBER(M104),ISNUMBER(M103)),M104/M103,"")</f>
        <v>0.200236522541752</v>
      </c>
      <c r="N105" s="25" t="n">
        <f aca="false">IF(AND(ISNUMBER(N104),ISNUMBER(N103)),N104/N103,"")</f>
        <v>0.194991711419906</v>
      </c>
      <c r="O105" s="25" t="n">
        <f aca="false">IF(AND(ISNUMBER(O104),ISNUMBER(O103)),O104/O103,"")</f>
        <v>0.212757781478161</v>
      </c>
      <c r="P105" s="25" t="n">
        <f aca="false">IF(AND(ISNUMBER(P104),ISNUMBER(P103)),P104/P103,"")</f>
        <v>0.213702306855781</v>
      </c>
      <c r="Q105" s="25" t="n">
        <f aca="false">IF(AND(ISNUMBER(Q104),ISNUMBER(Q103)),Q104/Q103,"")</f>
        <v>0.219350817471353</v>
      </c>
      <c r="R105" s="25" t="n">
        <f aca="false">IF(AND(ISNUMBER(R104),ISNUMBER(R103)),R104/R103,"")</f>
        <v>0.228298611111111</v>
      </c>
      <c r="S105" s="25" t="n">
        <f aca="false">IF(AND(ISNUMBER(S104),ISNUMBER(S103)),S104/S103,"")</f>
        <v>0.218761841606669</v>
      </c>
      <c r="T105" s="25" t="n">
        <f aca="false">IF(AND(ISNUMBER(T104),ISNUMBER(T103)),T104/T103,"")</f>
        <v>0.218587322649791</v>
      </c>
      <c r="U105" s="25" t="n">
        <f aca="false">IF(AND(ISNUMBER(U104),ISNUMBER(U103)),U104/U103,"")</f>
        <v>0.222505795031492</v>
      </c>
      <c r="V105" s="25" t="n">
        <f aca="false">IF(AND(ISNUMBER(V104),ISNUMBER(V103)),V104/V103,"")</f>
        <v>0.2264503298409</v>
      </c>
      <c r="W105" s="25" t="n">
        <f aca="false">IF(AND(ISNUMBER(W104),ISNUMBER(W103)),W104/W103,"")</f>
        <v>0.232369693713058</v>
      </c>
      <c r="X105" s="25" t="n">
        <f aca="false">IF(AND(ISNUMBER(X104),ISNUMBER(X103)),X104/X103,"")</f>
        <v>0.225264361582987</v>
      </c>
      <c r="Y105" s="25" t="n">
        <f aca="false">IF(AND(ISNUMBER(Y104),ISNUMBER(Y103)),Y104/Y103,"")</f>
        <v>0.21654093322157</v>
      </c>
      <c r="Z105" s="25" t="n">
        <f aca="false">IF(AND(ISNUMBER(Z104),ISNUMBER(Z103)),Z104/Z103,"")</f>
        <v>0.227597459869466</v>
      </c>
      <c r="AA105" s="25" t="n">
        <f aca="false">IF(AND(ISNUMBER(AA104),ISNUMBER(AA103)),AA104/AA103,"")</f>
        <v>0.229909372286179</v>
      </c>
      <c r="AB105" s="25" t="n">
        <f aca="false">IF(AND(ISNUMBER(AB104),ISNUMBER(AB103)),AB104/AB103,"")</f>
        <v>0.247738835500283</v>
      </c>
      <c r="AC105" s="25" t="n">
        <f aca="false">IF(AND(ISNUMBER(AC104),ISNUMBER(AC103)),AC104/AC103,"")</f>
        <v>0.231026425377994</v>
      </c>
      <c r="AD105" s="25" t="n">
        <f aca="false">IF(AND(ISNUMBER(AD104),ISNUMBER(AD103)),AD104/AD103,"")</f>
        <v>0.225771248688353</v>
      </c>
      <c r="AE105" s="25" t="n">
        <f aca="false">IF(AND(ISNUMBER(AE104),ISNUMBER(AE103)),AE104/AE103,"")</f>
        <v>0.232945891783567</v>
      </c>
      <c r="AF105" s="25" t="n">
        <f aca="false">IF(AND(ISNUMBER(AF104),ISNUMBER(AF103)),AF104/AF103,"")</f>
        <v>0.229037176029084</v>
      </c>
      <c r="AG105" s="25" t="n">
        <f aca="false">IF(AND(ISNUMBER(AG104),ISNUMBER(AG103)),AG104/AG103,"")</f>
        <v>0.239788324789152</v>
      </c>
      <c r="AH105" s="25" t="n">
        <f aca="false">IF(AND(ISNUMBER(AH104),ISNUMBER(AH103)),AH104/AH103,"")</f>
        <v>0.232335787360168</v>
      </c>
      <c r="AI105" s="25" t="n">
        <f aca="false">IF(AND(ISNUMBER(AI104),ISNUMBER(AI103)),AI104/AI103,"")</f>
        <v>0.219716384759952</v>
      </c>
      <c r="AJ105" s="25" t="n">
        <f aca="false">IF(AND(ISNUMBER(AJ104),ISNUMBER(AJ103)),AJ104/AJ103,"")</f>
        <v>0.230832510694307</v>
      </c>
      <c r="AK105" s="25" t="n">
        <f aca="false">IF(AND(ISNUMBER(AK104),ISNUMBER(AK103)),AK104/AK103,"")</f>
        <v>0.221452702702703</v>
      </c>
      <c r="AL105" s="25" t="n">
        <f aca="false">IF(AND(ISNUMBER(AL104),ISNUMBER(AL103)),AL104/AL103,"")</f>
        <v>0.24819425234363</v>
      </c>
      <c r="AM105" s="25" t="n">
        <f aca="false">IF(AND(ISNUMBER(AM104),ISNUMBER(AM103)),AM104/AM103,"")</f>
        <v>0.230519747105674</v>
      </c>
      <c r="AN105" s="25" t="n">
        <f aca="false">IF(AND(ISNUMBER(AN104),ISNUMBER(AN103)),AN104/AN103,"")</f>
        <v>0.223673469387755</v>
      </c>
      <c r="AO105" s="25" t="n">
        <f aca="false">IF(AND(ISNUMBER(AO104),ISNUMBER(AO103)),AO104/AO103,"")</f>
        <v>0.234642178594047</v>
      </c>
      <c r="AP105" s="25" t="n">
        <f aca="false">IF(AND(ISNUMBER(AP104),ISNUMBER(AP103)),AP104/AP103,"")</f>
        <v>0.22688137755102</v>
      </c>
      <c r="AQ105" s="25" t="n">
        <f aca="false">IF(AND(ISNUMBER(AQ104),ISNUMBER(AQ103)),AQ104/AQ103,"")</f>
        <v>0.248645482501098</v>
      </c>
      <c r="AR105" s="25" t="n">
        <f aca="false">IF(AND(ISNUMBER(AR104),ISNUMBER(AR103)),AR104/AR103,"")</f>
        <v>0.233850129198966</v>
      </c>
      <c r="AS105" s="25" t="n">
        <f aca="false">IF(AND(ISNUMBER(AS104),ISNUMBER(AS103)),AS104/AS103,"")</f>
        <v>0.221027287319422</v>
      </c>
      <c r="AT105" s="25" t="n">
        <f aca="false">IF(AND(ISNUMBER(AT104),ISNUMBER(AT103)),AT104/AT103,"")</f>
        <v>0.269480988868006</v>
      </c>
      <c r="AU105" s="25" t="n">
        <f aca="false">IF(AND(ISNUMBER(AU104),ISNUMBER(AU103)),AU104/AU103,"")</f>
        <v>0.328952000938857</v>
      </c>
      <c r="AV105" s="25" t="n">
        <f aca="false">IF(AND(ISNUMBER(AV104),ISNUMBER(AV103)),AV104/AV103,"")</f>
        <v>0.332890995260664</v>
      </c>
      <c r="AW105" s="25" t="n">
        <f aca="false">IF(AND(ISNUMBER(AW104),ISNUMBER(AW103)),AW104/AW103,"")</f>
        <v>0.296604382643243</v>
      </c>
      <c r="AX105" s="25" t="n">
        <f aca="false">IF(AND(ISNUMBER(AX104),ISNUMBER(AX103)),AX104/AX103,"")</f>
        <v>0.354330708661417</v>
      </c>
      <c r="AY105" s="25" t="n">
        <f aca="false">IF(AND(ISNUMBER(AY104),ISNUMBER(AY103)),AY104/AY103,"")</f>
        <v>0.289981667205867</v>
      </c>
      <c r="AZ105" s="25" t="n">
        <f aca="false">IF(AND(ISNUMBER(AZ104),ISNUMBER(AZ103)),AZ104/AZ103,"")</f>
        <v>0.297749196141479</v>
      </c>
      <c r="BA105" s="25" t="n">
        <f aca="false">IF(AND(ISNUMBER(BA104),ISNUMBER(BA103)),BA104/BA103,"")</f>
        <v>0.295365352270604</v>
      </c>
      <c r="BB105" s="25" t="n">
        <f aca="false">IF(AND(ISNUMBER(BB104),ISNUMBER(BB103)),BB104/BB103,"")</f>
        <v>0.309555991941037</v>
      </c>
      <c r="BC105" s="25" t="n">
        <f aca="false">IF(AND(ISNUMBER(BC104),ISNUMBER(BC103)),BC104/BC103,"")</f>
        <v>0.291927568116433</v>
      </c>
      <c r="BD105" s="25" t="n">
        <f aca="false">IF(AND(ISNUMBER(BD104),ISNUMBER(BD103)),BD104/BD103,"")</f>
        <v>0.23746581586144</v>
      </c>
      <c r="BE105" s="25" t="n">
        <f aca="false">IF(AND(ISNUMBER(BE104),ISNUMBER(BE103)),BE104/BE103,"")</f>
        <v>0.22197246417533</v>
      </c>
      <c r="BF105" s="25" t="n">
        <f aca="false">IF(AND(ISNUMBER(BF104),ISNUMBER(BF103)),BF104/BF103,"")</f>
        <v>0.223580786026201</v>
      </c>
      <c r="BG105" s="25" t="n">
        <f aca="false">IF(AND(ISNUMBER(BG104),ISNUMBER(BG103)),BG104/BG103,"")</f>
        <v>0.244573082489146</v>
      </c>
      <c r="BH105" s="25" t="n">
        <f aca="false">IF(AND(ISNUMBER(BH104),ISNUMBER(BH103)),BH104/BH103,"")</f>
        <v>0.217553688141923</v>
      </c>
      <c r="BI105" s="25" t="n">
        <f aca="false">IF(AND(ISNUMBER(BI104),ISNUMBER(BI103)),BI104/BI103,"")</f>
        <v>0.221764760924488</v>
      </c>
      <c r="BJ105" s="25" t="n">
        <f aca="false">IF(AND(ISNUMBER(BJ104),ISNUMBER(BJ103)),BJ104/BJ103,"")</f>
        <v>0.242103272177038</v>
      </c>
      <c r="BK105" s="25" t="n">
        <f aca="false">IF(AND(ISNUMBER(BK104),ISNUMBER(BK103)),BK104/BK103,"")</f>
        <v>0.234245820319677</v>
      </c>
      <c r="BL105" s="25" t="n">
        <f aca="false">IF(AND(ISNUMBER(BL104),ISNUMBER(BL103)),BL104/BL103,"")</f>
        <v>0.228900763002543</v>
      </c>
      <c r="BM105" s="25" t="n">
        <f aca="false">IF(AND(ISNUMBER(BM104),ISNUMBER(BM103)),BM104/BM103,"")</f>
        <v>0.220224284609435</v>
      </c>
      <c r="BN105" s="25" t="n">
        <f aca="false">IF(AND(ISNUMBER(BN104),ISNUMBER(BN103)),BN104/BN103,"")</f>
        <v>0.222728135078733</v>
      </c>
      <c r="BO105" s="25" t="n">
        <f aca="false">IF(AND(ISNUMBER(BO104),ISNUMBER(BO103)),BO104/BO103,"")</f>
        <v>0.222893271680664</v>
      </c>
      <c r="BP105" s="25" t="n">
        <f aca="false">IF(AND(ISNUMBER(BP104),ISNUMBER(BP103)),BP104/BP103,"")</f>
        <v>0.238592488592489</v>
      </c>
      <c r="BQ105" s="25" t="n">
        <f aca="false">IF(AND(ISNUMBER(BQ104),ISNUMBER(BQ103)),BQ104/BQ103,"")</f>
        <v>0.226386491907272</v>
      </c>
      <c r="BR105" s="25" t="n">
        <f aca="false">IF(AND(ISNUMBER(BR104),ISNUMBER(BR103)),BR104/BR103,"")</f>
        <v>0.218813314037627</v>
      </c>
      <c r="BS105" s="25" t="n">
        <f aca="false">IF(AND(ISNUMBER(BS104),ISNUMBER(BS103)),BS104/BS103,"")</f>
        <v>0.218793182865039</v>
      </c>
      <c r="BT105" s="25" t="n">
        <f aca="false">IF(AND(ISNUMBER(BT104),ISNUMBER(BT103)),BT104/BT103,"")</f>
        <v>0.232512138104657</v>
      </c>
      <c r="BU105" s="25" t="n">
        <f aca="false">IF(AND(ISNUMBER(BU104),ISNUMBER(BU103)),BU104/BU103,"")</f>
        <v>0.23563124283609</v>
      </c>
      <c r="BV105" s="25" t="n">
        <f aca="false">IF(AND(ISNUMBER(BV104),ISNUMBER(BV103)),BV104/BV103,"")</f>
        <v>0.226910559982045</v>
      </c>
      <c r="BW105" s="25" t="n">
        <f aca="false">IF(AND(ISNUMBER(BW104),ISNUMBER(BW103)),BW104/BW103,"")</f>
        <v>0.218062874795566</v>
      </c>
      <c r="BX105" s="25" t="n">
        <f aca="false">IF(AND(ISNUMBER(BX104),ISNUMBER(BX103)),BX104/BX103,"")</f>
        <v>0.228011671529804</v>
      </c>
      <c r="BY105" s="26" t="n">
        <f aca="false">IFERROR(BY104/BY103,"")</f>
        <v>0.245270480218468</v>
      </c>
      <c r="BZ105" s="26" t="n">
        <f aca="false">IFERROR(BZ104/BZ103,"")</f>
        <v>0.246524664553201</v>
      </c>
      <c r="CA105" s="26" t="n">
        <f aca="false">IFERROR(CA104/CA103,"")</f>
        <v>0.235</v>
      </c>
      <c r="CB105" s="26" t="n">
        <f aca="false">IFERROR(CB104/CB103,"")</f>
        <v>0.238528939026843</v>
      </c>
      <c r="CC105" s="26" t="n">
        <f aca="false">IFERROR(CC104/CC103,"")</f>
        <v>0.242596022537744</v>
      </c>
      <c r="CD105" s="26" t="n">
        <f aca="false">IFERROR(CD104/CD103,"")</f>
        <v>0.246724027282201</v>
      </c>
      <c r="CE105" s="26" t="n">
        <f aca="false">IFERROR(CE104/CE103,"")</f>
        <v>0.250763883864051</v>
      </c>
      <c r="CF105" s="21"/>
    </row>
    <row r="106" customFormat="false" ht="15" hidden="false" customHeight="false" outlineLevel="0" collapsed="false">
      <c r="B106" s="23" t="s">
        <v>234</v>
      </c>
      <c r="C106" s="24"/>
      <c r="D106" s="25" t="n">
        <f aca="false">IF(AND(ISNUMBER(D103),ISNUMBER(C103)),IFERROR(D103/C103-1,""),"")</f>
        <v>1.57051279177195</v>
      </c>
      <c r="E106" s="25" t="n">
        <f aca="false">IF(AND(ISNUMBER(E103),ISNUMBER(D103)),IFERROR(E103/D103-1,""),"")</f>
        <v>0.0771156529590411</v>
      </c>
      <c r="F106" s="25" t="n">
        <f aca="false">IF(AND(ISNUMBER(F103),ISNUMBER(E103)),IFERROR(F103/E103-1,""),"")</f>
        <v>-0.0369879977138502</v>
      </c>
      <c r="G106" s="25" t="n">
        <f aca="false">IF(AND(ISNUMBER(G103),ISNUMBER(F103)),IFERROR(G103/F103-1,""),"")</f>
        <v>0.0671632194822791</v>
      </c>
      <c r="H106" s="25" t="n">
        <f aca="false">IF(AND(ISNUMBER(H103),ISNUMBER(G103)),IFERROR(H103/G103-1,""),"")</f>
        <v>0.0868686681435207</v>
      </c>
      <c r="I106" s="25" t="n">
        <f aca="false">IF(AND(ISNUMBER(I103),ISNUMBER(H103)),IFERROR(I103/H103-1,""),"")</f>
        <v>0.0668605394895061</v>
      </c>
      <c r="J106" s="24"/>
      <c r="K106" s="24"/>
      <c r="L106" s="24"/>
      <c r="M106" s="24"/>
      <c r="N106" s="25" t="n">
        <f aca="false">IF(AND(ISNUMBER(N103),ISNUMBER(I103)),IFERROR(N103/I103-1,""),"")</f>
        <v>0.0463952549580733</v>
      </c>
      <c r="O106" s="25" t="n">
        <f aca="false">IF(AND(ISNUMBER(O103),ISNUMBER(J103)),IFERROR(O103/J103-1,""),"")</f>
        <v>0.223092589691368</v>
      </c>
      <c r="P106" s="25" t="n">
        <f aca="false">IF(AND(ISNUMBER(P103),ISNUMBER(K103)),IFERROR(P103/K103-1,""),"")</f>
        <v>0.333878583994321</v>
      </c>
      <c r="Q106" s="25" t="n">
        <f aca="false">IF(AND(ISNUMBER(Q103),ISNUMBER(L103)),IFERROR(Q103/L103-1,""),"")</f>
        <v>0.306911460617833</v>
      </c>
      <c r="R106" s="25" t="n">
        <f aca="false">IF(AND(ISNUMBER(R103),ISNUMBER(M103)),IFERROR(R103/M103-1,""),"")</f>
        <v>0.295912775101676</v>
      </c>
      <c r="S106" s="25" t="n">
        <f aca="false">IF(AND(ISNUMBER(S103),ISNUMBER(N103)),IFERROR(S103/N103-1,""),"")</f>
        <v>0.290237809675867</v>
      </c>
      <c r="T106" s="25" t="n">
        <f aca="false">IF(AND(ISNUMBER(T103),ISNUMBER(O103)),IFERROR(T103/O103-1,""),"")</f>
        <v>0.00391955936979627</v>
      </c>
      <c r="U106" s="25" t="n">
        <f aca="false">IF(AND(ISNUMBER(U103),ISNUMBER(P103)),IFERROR(U103/P103-1,""),"")</f>
        <v>-0.0118003655799532</v>
      </c>
      <c r="V106" s="25" t="n">
        <f aca="false">IF(AND(ISNUMBER(V103),ISNUMBER(Q103)),IFERROR(V103/Q103-1,""),"")</f>
        <v>-0.0115548736635182</v>
      </c>
      <c r="W106" s="25" t="n">
        <f aca="false">IF(AND(ISNUMBER(W103),ISNUMBER(R103)),IFERROR(W103/R103-1,""),"")</f>
        <v>0.035545762108262</v>
      </c>
      <c r="X106" s="25" t="n">
        <f aca="false">IF(AND(ISNUMBER(X103),ISNUMBER(S103)),IFERROR(X103/S103-1,""),"")</f>
        <v>0.00448796892762426</v>
      </c>
      <c r="Y106" s="25" t="n">
        <f aca="false">IF(AND(ISNUMBER(Y103),ISNUMBER(T103)),IFERROR(Y103/T103-1,""),"")</f>
        <v>0.0959477391038073</v>
      </c>
      <c r="Z106" s="25" t="n">
        <f aca="false">IF(AND(ISNUMBER(Z103),ISNUMBER(U103)),IFERROR(Z103/U103-1,""),"")</f>
        <v>0.0618839120560071</v>
      </c>
      <c r="AA106" s="25" t="n">
        <f aca="false">IF(AND(ISNUMBER(AA103),ISNUMBER(V103)),IFERROR(AA103/V103-1,""),"")</f>
        <v>0.0891783081102058</v>
      </c>
      <c r="AB106" s="25" t="n">
        <f aca="false">IF(AND(ISNUMBER(AB103),ISNUMBER(W103)),IFERROR(AB103/W103-1,""),"")</f>
        <v>0.064631918323482</v>
      </c>
      <c r="AC106" s="25" t="n">
        <f aca="false">IF(AND(ISNUMBER(AC103),ISNUMBER(X103)),IFERROR(AC103/X103-1,""),"")</f>
        <v>0.0771393542150494</v>
      </c>
      <c r="AD106" s="25" t="n">
        <f aca="false">IF(AND(ISNUMBER(AD103),ISNUMBER(Y103)),IFERROR(AD103/Y103-1,""),"")</f>
        <v>0.109481233119121</v>
      </c>
      <c r="AE106" s="25" t="n">
        <f aca="false">IF(AND(ISNUMBER(AE103),ISNUMBER(Z103)),IFERROR(AE103/Z103-1,""),"")</f>
        <v>0.100282236726054</v>
      </c>
      <c r="AF106" s="25" t="n">
        <f aca="false">IF(AND(ISNUMBER(AF103),ISNUMBER(AA103)),IFERROR(AF103/AA103-1,""),"")</f>
        <v>0.139237123961789</v>
      </c>
      <c r="AG106" s="25" t="n">
        <f aca="false">IF(AND(ISNUMBER(AG103),ISNUMBER(AB103)),IFERROR(AG103/AB103-1,""),"")</f>
        <v>0.220826940159897</v>
      </c>
      <c r="AH106" s="25" t="n">
        <f aca="false">IF(AND(ISNUMBER(AH103),ISNUMBER(AC103)),IFERROR(AH103/AC103-1,""),"")</f>
        <v>0.14468017576789</v>
      </c>
      <c r="AI106" s="25" t="n">
        <f aca="false">IF(AND(ISNUMBER(AI103),ISNUMBER(AD103)),IFERROR(AI103/AD103-1,""),"")</f>
        <v>0.228331584470094</v>
      </c>
      <c r="AJ106" s="25" t="n">
        <f aca="false">IF(AND(ISNUMBER(AJ103),ISNUMBER(AE103)),IFERROR(AJ103/AE103-1,""),"")</f>
        <v>0.218036072144289</v>
      </c>
      <c r="AK106" s="25" t="n">
        <f aca="false">IF(AND(ISNUMBER(AK103),ISNUMBER(AF103)),IFERROR(AK103/AF103-1,""),"")</f>
        <v>0.157108791681326</v>
      </c>
      <c r="AL106" s="25" t="n">
        <f aca="false">IF(AND(ISNUMBER(AL103),ISNUMBER(AG103)),IFERROR(AL103/AG103-1,""),"")</f>
        <v>0.0760707788986275</v>
      </c>
      <c r="AM106" s="25" t="n">
        <f aca="false">IF(AND(ISNUMBER(AM103),ISNUMBER(AH103)),IFERROR(AM103/AH103-1,""),"")</f>
        <v>0.164451668419543</v>
      </c>
      <c r="AN106" s="25" t="n">
        <f aca="false">IF(AND(ISNUMBER(AN103),ISNUMBER(AI103)),IFERROR(AN103/AI103-1,""),"")</f>
        <v>0.0464718947548266</v>
      </c>
      <c r="AO106" s="25" t="n">
        <f aca="false">IF(AND(ISNUMBER(AO103),ISNUMBER(AJ103)),IFERROR(AO103/AJ103-1,""),"")</f>
        <v>0.0391576176373807</v>
      </c>
      <c r="AP106" s="25" t="n">
        <f aca="false">IF(AND(ISNUMBER(AP103),ISNUMBER(AK103)),IFERROR(AP103/AK103-1,""),"")</f>
        <v>0.0594594594594595</v>
      </c>
      <c r="AQ106" s="25" t="n">
        <f aca="false">IF(AND(ISNUMBER(AQ103),ISNUMBER(AL103)),IFERROR(AQ103/AL103-1,""),"")</f>
        <v>0.0494851698171199</v>
      </c>
      <c r="AR106" s="25" t="n">
        <f aca="false">IF(AND(ISNUMBER(AR103),ISNUMBER(AM103)),IFERROR(AR103/AM103-1,""),"")</f>
        <v>0.0486082601198785</v>
      </c>
      <c r="AS106" s="25" t="n">
        <f aca="false">IF(AND(ISNUMBER(AS103),ISNUMBER(AN103)),IFERROR(AS103/AN103-1,""),"")</f>
        <v>0.0171428571428571</v>
      </c>
      <c r="AT106" s="25" t="n">
        <f aca="false">IF(AND(ISNUMBER(AT103),ISNUMBER(AO103)),IFERROR(AT103/AO103-1,""),"")</f>
        <v>0.0951551614946169</v>
      </c>
      <c r="AU106" s="25" t="n">
        <f aca="false">IF(AND(ISNUMBER(AU103),ISNUMBER(AP103)),IFERROR(AU103/AP103-1,""),"")</f>
        <v>0.358577806122449</v>
      </c>
      <c r="AV106" s="25" t="n">
        <f aca="false">IF(AND(ISNUMBER(AV103),ISNUMBER(AQ103)),IFERROR(AV103/AQ103-1,""),"")</f>
        <v>0.544882120369014</v>
      </c>
      <c r="AW106" s="25" t="n">
        <f aca="false">IF(AND(ISNUMBER(AW103),ISNUMBER(AR103)),IFERROR(AW103/AR103-1,""),"")</f>
        <v>0.261373424164122</v>
      </c>
      <c r="AX106" s="25" t="n">
        <f aca="false">IF(AND(ISNUMBER(AX103),ISNUMBER(AS103)),IFERROR(AX103/AS103-1,""),"")</f>
        <v>0.590048154093098</v>
      </c>
      <c r="AY106" s="25" t="n">
        <f aca="false">IF(AND(ISNUMBER(AY103),ISNUMBER(AT103)),IFERROR(AY103/AT103-1,""),"")</f>
        <v>0.340610091079948</v>
      </c>
      <c r="AZ106" s="25" t="n">
        <f aca="false">IF(AND(ISNUMBER(AZ103),ISNUMBER(AU103)),IFERROR(AZ103/AU103-1,""),"")</f>
        <v>0.094941908226734</v>
      </c>
      <c r="BA106" s="25" t="n">
        <f aca="false">IF(AND(ISNUMBER(BA103),ISNUMBER(AV103)),IFERROR(BA103/AV103-1,""),"")</f>
        <v>0.0144075829383887</v>
      </c>
      <c r="BB106" s="25" t="n">
        <f aca="false">IF(AND(ISNUMBER(BB103),ISNUMBER(AW103)),IFERROR(BB103/AW103-1,""),"")</f>
        <v>0.217052579303495</v>
      </c>
      <c r="BC106" s="25" t="n">
        <f aca="false">IF(AND(ISNUMBER(BC103),ISNUMBER(AX103)),IFERROR(BC103/AX103-1,""),"")</f>
        <v>0.193014334746618</v>
      </c>
      <c r="BD106" s="25" t="n">
        <f aca="false">IF(AND(ISNUMBER(BD103),ISNUMBER(AY103)),IFERROR(BD103/AY103-1,""),"")</f>
        <v>0.183004421438585</v>
      </c>
      <c r="BE106" s="25" t="n">
        <f aca="false">IF(AND(ISNUMBER(BE103),ISNUMBER(AZ103)),IFERROR(BE103/AZ103-1,""),"")</f>
        <v>0.144372990353698</v>
      </c>
      <c r="BF106" s="25" t="n">
        <f aca="false">IF(AND(ISNUMBER(BF103),ISNUMBER(BA103)),IFERROR(BF103/BA103-1,""),"")</f>
        <v>0.0698934778546065</v>
      </c>
      <c r="BG106" s="25" t="n">
        <f aca="false">IF(AND(ISNUMBER(BG103),ISNUMBER(BB103)),IFERROR(BG103/BB103-1,""),"")</f>
        <v>0.145469383591339</v>
      </c>
      <c r="BH106" s="25" t="n">
        <f aca="false">IF(AND(ISNUMBER(BH103),ISNUMBER(BC103)),IFERROR(BH103/BC103-1,""),"")</f>
        <v>-0.0937552885429006</v>
      </c>
      <c r="BI106" s="25" t="n">
        <f aca="false">IF(AND(ISNUMBER(BI103),ISNUMBER(BD103)),IFERROR(BI103/BD103-1,""),"")</f>
        <v>-0.0257976298997266</v>
      </c>
      <c r="BJ106" s="25" t="n">
        <f aca="false">IF(AND(ISNUMBER(BJ103),ISNUMBER(BE103)),IFERROR(BJ103/BE103-1,""),"")</f>
        <v>-0.00964690456120632</v>
      </c>
      <c r="BK106" s="25" t="n">
        <f aca="false">IF(AND(ISNUMBER(BK103),ISNUMBER(BF103)),IFERROR(BK103/BF103-1,""),"")</f>
        <v>-0.0492576419213974</v>
      </c>
      <c r="BL106" s="25" t="n">
        <f aca="false">IF(AND(ISNUMBER(BL103),ISNUMBER(BG103)),IFERROR(BL103/BG103-1,""),"")</f>
        <v>-0.0458198819993321</v>
      </c>
      <c r="BM106" s="25" t="n">
        <f aca="false">IF(AND(ISNUMBER(BM103),ISNUMBER(BH103)),IFERROR(BM103/BH103-1,""),"")</f>
        <v>-0.0341736694677871</v>
      </c>
      <c r="BN106" s="25" t="n">
        <f aca="false">IF(AND(ISNUMBER(BN103),ISNUMBER(BI103)),IFERROR(BN103/BI103-1,""),"")</f>
        <v>-0.0135678862168991</v>
      </c>
      <c r="BO106" s="25" t="n">
        <f aca="false">IF(AND(ISNUMBER(BO103),ISNUMBER(BJ103)),IFERROR(BO103/BJ103-1,""),"")</f>
        <v>0.00217514658596563</v>
      </c>
      <c r="BP106" s="25" t="n">
        <f aca="false">IF(AND(ISNUMBER(BP103),ISNUMBER(BK103)),IFERROR(BP103/BK103-1,""),"")</f>
        <v>0.0468491640639352</v>
      </c>
      <c r="BQ106" s="25" t="n">
        <f aca="false">IF(AND(ISNUMBER(BQ103),ISNUMBER(BL103)),IFERROR(BQ103/BL103-1,""),"")</f>
        <v>0.000490001633338677</v>
      </c>
      <c r="BR106" s="25" t="n">
        <f aca="false">IF(AND(ISNUMBER(BR103),ISNUMBER(BM103)),IFERROR(BR103/BM103-1,""),"")</f>
        <v>0.00203016241299303</v>
      </c>
      <c r="BS106" s="25" t="n">
        <f aca="false">IF(AND(ISNUMBER(BS103),ISNUMBER(BN103)),IFERROR(BS103/BN103-1,""),"")</f>
        <v>0.029690760766458</v>
      </c>
      <c r="BT106" s="25" t="n">
        <f aca="false">IF(AND(ISNUMBER(BT103),ISNUMBER(BO103)),IFERROR(BT103/BO103-1,""),"")</f>
        <v>0.0495423232990468</v>
      </c>
      <c r="BU106" s="25" t="n">
        <f aca="false">IF(AND(ISNUMBER(BU103),ISNUMBER(BP103)),IFERROR(BU103/BP103-1,""),"")</f>
        <v>0.0717795717795717</v>
      </c>
      <c r="BV106" s="25" t="n">
        <f aca="false">IF(AND(ISNUMBER(BV103),ISNUMBER(BQ103)),IFERROR(BV103/BQ103-1,""),"")</f>
        <v>0.0391109659965483</v>
      </c>
      <c r="BW106" s="25" t="n">
        <f aca="false">IF(AND(ISNUMBER(BW103),ISNUMBER(BR103)),IFERROR(BW103/BR103-1,""),"")</f>
        <v>0.0618427399903521</v>
      </c>
      <c r="BX106" s="25" t="n">
        <f aca="false">IF(AND(ISNUMBER(BX103),ISNUMBER(BS103)),IFERROR(BX103/BS103-1,""),"")</f>
        <v>0.105020727775219</v>
      </c>
      <c r="BY106" s="26" t="n">
        <f aca="false">IFERROR(BY103/BT103-1,"")</f>
        <v>0.074548857314394</v>
      </c>
      <c r="BZ106" s="26" t="n">
        <f aca="false">IFERROR(BZ103/BU103-1,"")</f>
        <v>0.0478031446659006</v>
      </c>
      <c r="CA106" s="26" t="n">
        <f aca="false">IFERROR(CA103/BV103-1,"")</f>
        <v>0.0717091235551564</v>
      </c>
      <c r="CB106" s="26" t="n">
        <f aca="false">IFERROR(CB103/CA103-1,"")</f>
        <v>0.0610230200219808</v>
      </c>
      <c r="CC106" s="26" t="n">
        <f aca="false">IFERROR(CC103/CB103-1,"")</f>
        <v>0.0757775510676426</v>
      </c>
      <c r="CD106" s="26" t="n">
        <f aca="false">IFERROR(CD103/CC103-1,"")</f>
        <v>0.0757653532138163</v>
      </c>
      <c r="CE106" s="26" t="n">
        <f aca="false">IFERROR(CE103/CD103-1,"")</f>
        <v>0.0747227781960915</v>
      </c>
      <c r="CF106" s="21"/>
    </row>
    <row r="107" customFormat="false" ht="15" hidden="false" customHeight="false" outlineLevel="0" collapsed="false">
      <c r="B107" s="60" t="s">
        <v>235</v>
      </c>
      <c r="C107" s="61" t="n">
        <f aca="false">IF(ISNUMBER(C103),IF(ABS(C103-C136)&lt;=2.001,0,ROUND(C103-C136,1)),"")</f>
        <v>0</v>
      </c>
      <c r="D107" s="61" t="n">
        <f aca="false">IF(ISNUMBER(D103),IF(ABS(D103-D136)&lt;=2.001,0,ROUND(D103-D136,1)),"")</f>
        <v>0</v>
      </c>
      <c r="E107" s="61" t="n">
        <f aca="false">IF(ISNUMBER(E103),IF(ABS(E103-E136)&lt;=2.001,0,ROUND(E103-E136,1)),"")</f>
        <v>0</v>
      </c>
      <c r="F107" s="61" t="n">
        <f aca="false">IF(ISNUMBER(F103),IF(ABS(F103-F136)&lt;=2.001,0,ROUND(F103-F136,1)),"")</f>
        <v>0</v>
      </c>
      <c r="G107" s="61" t="n">
        <f aca="false">IF(ISNUMBER(G103),IF(ABS(G103-G136)&lt;=2.001,0,ROUND(G103-G136,1)),"")</f>
        <v>0</v>
      </c>
      <c r="H107" s="61" t="n">
        <f aca="false">IF(ISNUMBER(H103),IF(ABS(H103-H136)&lt;=2.001,0,ROUND(H103-H136,1)),"")</f>
        <v>0</v>
      </c>
      <c r="I107" s="61" t="n">
        <f aca="false">IF(ISNUMBER(I103),IF(ABS(I103-I136)&lt;=2.001,0,ROUND(I103-I136,1)),"")</f>
        <v>0</v>
      </c>
      <c r="J107" s="61" t="n">
        <f aca="false">IF(ISNUMBER(J103),IF(ABS(J103-J136)&lt;=2.001,0,ROUND(J103-J136,1)),"")</f>
        <v>0</v>
      </c>
      <c r="K107" s="61" t="n">
        <f aca="false">IF(ISNUMBER(K103),IF(ABS(K103-K136)&lt;=2.001,0,ROUND(K103-K136,1)),"")</f>
        <v>0</v>
      </c>
      <c r="L107" s="61" t="n">
        <f aca="false">IF(ISNUMBER(L103),IF(ABS(L103-L136)&lt;=2.001,0,ROUND(L103-L136,1)),"")</f>
        <v>0</v>
      </c>
      <c r="M107" s="61" t="n">
        <f aca="false">IF(ISNUMBER(M103),IF(ABS(M103-M136)&lt;=2.001,0,ROUND(M103-M136,1)),"")</f>
        <v>0</v>
      </c>
      <c r="N107" s="61" t="n">
        <f aca="false">IF(ISNUMBER(N103),IF(ABS(N103-N136)&lt;=2.001,0,ROUND(N103-N136,1)),"")</f>
        <v>0</v>
      </c>
      <c r="O107" s="61" t="n">
        <f aca="false">IF(ISNUMBER(O103),IF(ABS(O103-O136)&lt;=2.001,0,ROUND(O103-O136,1)),"")</f>
        <v>0</v>
      </c>
      <c r="P107" s="61" t="n">
        <f aca="false">IF(ISNUMBER(P103),IF(ABS(P103-P136)&lt;=2.001,0,ROUND(P103-P136,1)),"")</f>
        <v>0</v>
      </c>
      <c r="Q107" s="61" t="n">
        <f aca="false">IF(ISNUMBER(Q103),IF(ABS(Q103-Q136)&lt;=2.001,0,ROUND(Q103-Q136,1)),"")</f>
        <v>0</v>
      </c>
      <c r="R107" s="61" t="n">
        <f aca="false">IF(ISNUMBER(R103),IF(ABS(R103-R136)&lt;=2.001,0,ROUND(R103-R136,1)),"")</f>
        <v>0</v>
      </c>
      <c r="S107" s="61" t="n">
        <f aca="false">IF(ISNUMBER(S103),IF(ABS(S103-S136)&lt;=2.001,0,ROUND(S103-S136,1)),"")</f>
        <v>0</v>
      </c>
      <c r="T107" s="61" t="n">
        <f aca="false">IF(ISNUMBER(T103),IF(ABS(T103-T136)&lt;=2.001,0,ROUND(T103-T136,1)),"")</f>
        <v>0</v>
      </c>
      <c r="U107" s="61" t="n">
        <f aca="false">IF(ISNUMBER(U103),IF(ABS(U103-U136)&lt;=2.001,0,ROUND(U103-U136,1)),"")</f>
        <v>0</v>
      </c>
      <c r="V107" s="61" t="n">
        <f aca="false">IF(ISNUMBER(V103),IF(ABS(V103-V136)&lt;=2.001,0,ROUND(V103-V136,1)),"")</f>
        <v>0</v>
      </c>
      <c r="W107" s="61" t="n">
        <f aca="false">IF(ISNUMBER(W103),IF(ABS(W103-W136)&lt;=2.001,0,ROUND(W103-W136,1)),"")</f>
        <v>0</v>
      </c>
      <c r="X107" s="61" t="n">
        <f aca="false">IF(ISNUMBER(X103),IF(ABS(X103-X136)&lt;=2.001,0,ROUND(X103-X136,1)),"")</f>
        <v>0</v>
      </c>
      <c r="Y107" s="61" t="n">
        <f aca="false">IF(ISNUMBER(Y103),IF(ABS(Y103-Y136)&lt;=2.001,0,ROUND(Y103-Y136,1)),"")</f>
        <v>0</v>
      </c>
      <c r="Z107" s="61" t="n">
        <f aca="false">IF(ISNUMBER(Z103),IF(ABS(Z103-Z136)&lt;=2.001,0,ROUND(Z103-Z136,1)),"")</f>
        <v>0</v>
      </c>
      <c r="AA107" s="61" t="n">
        <f aca="false">IF(ISNUMBER(AA103),IF(ABS(AA103-AA136)&lt;=2.001,0,ROUND(AA103-AA136,1)),"")</f>
        <v>0</v>
      </c>
      <c r="AB107" s="61" t="n">
        <f aca="false">IF(ISNUMBER(AB103),IF(ABS(AB103-AB136)&lt;=2.001,0,ROUND(AB103-AB136,1)),"")</f>
        <v>0</v>
      </c>
      <c r="AC107" s="61" t="n">
        <f aca="false">IF(ISNUMBER(AC103),IF(ABS(AC103-AC136)&lt;=2.001,0,ROUND(AC103-AC136,1)),"")</f>
        <v>0</v>
      </c>
      <c r="AD107" s="61" t="n">
        <f aca="false">IF(ISNUMBER(AD103),IF(ABS(AD103-AD136)&lt;=2.001,0,ROUND(AD103-AD136,1)),"")</f>
        <v>0</v>
      </c>
      <c r="AE107" s="61" t="n">
        <f aca="false">IF(ISNUMBER(AE103),IF(ABS(AE103-AE136)&lt;=2.001,0,ROUND(AE103-AE136,1)),"")</f>
        <v>0</v>
      </c>
      <c r="AF107" s="61" t="n">
        <f aca="false">IF(ISNUMBER(AF103),IF(ABS(AF103-AF136)&lt;=2.001,0,ROUND(AF103-AF136,1)),"")</f>
        <v>0</v>
      </c>
      <c r="AG107" s="61" t="n">
        <f aca="false">IF(ISNUMBER(AG103),IF(ABS(AG103-AG136)&lt;=2.001,0,ROUND(AG103-AG136,1)),"")</f>
        <v>0</v>
      </c>
      <c r="AH107" s="61" t="n">
        <f aca="false">IF(ISNUMBER(AH103),IF(ABS(AH103-AH136)&lt;=2.001,0,ROUND(AH103-AH136,1)),"")</f>
        <v>0</v>
      </c>
      <c r="AI107" s="61" t="n">
        <f aca="false">IF(ISNUMBER(AI103),IF(ABS(AI103-AI136)&lt;=2.001,0,ROUND(AI103-AI136,1)),"")</f>
        <v>0</v>
      </c>
      <c r="AJ107" s="61" t="n">
        <f aca="false">IF(ISNUMBER(AJ103),IF(ABS(AJ103-AJ136)&lt;=2.001,0,ROUND(AJ103-AJ136,1)),"")</f>
        <v>0</v>
      </c>
      <c r="AK107" s="61" t="n">
        <f aca="false">IF(ISNUMBER(AK103),IF(ABS(AK103-AK136)&lt;=2.001,0,ROUND(AK103-AK136,1)),"")</f>
        <v>0</v>
      </c>
      <c r="AL107" s="61" t="n">
        <f aca="false">IF(ISNUMBER(AL103),IF(ABS(AL103-AL136)&lt;=2.001,0,ROUND(AL103-AL136,1)),"")</f>
        <v>0</v>
      </c>
      <c r="AM107" s="61" t="n">
        <f aca="false">IF(ISNUMBER(AM103),IF(ABS(AM103-AM136)&lt;=2.001,0,ROUND(AM103-AM136,1)),"")</f>
        <v>0</v>
      </c>
      <c r="AN107" s="61" t="n">
        <f aca="false">IF(ISNUMBER(AN103),IF(ABS(AN103-AN136)&lt;=2.001,0,ROUND(AN103-AN136,1)),"")</f>
        <v>0</v>
      </c>
      <c r="AO107" s="61" t="n">
        <f aca="false">IF(ISNUMBER(AO103),IF(ABS(AO103-AO136)&lt;=2.001,0,ROUND(AO103-AO136,1)),"")</f>
        <v>0</v>
      </c>
      <c r="AP107" s="61" t="n">
        <f aca="false">IF(ISNUMBER(AP103),IF(ABS(AP103-AP136)&lt;=2.001,0,ROUND(AP103-AP136,1)),"")</f>
        <v>0</v>
      </c>
      <c r="AQ107" s="61" t="n">
        <f aca="false">IF(ISNUMBER(AQ103),IF(ABS(AQ103-AQ136)&lt;=2.001,0,ROUND(AQ103-AQ136,1)),"")</f>
        <v>0</v>
      </c>
      <c r="AR107" s="61" t="n">
        <f aca="false">IF(ISNUMBER(AR103),IF(ABS(AR103-AR136)&lt;=2.001,0,ROUND(AR103-AR136,1)),"")</f>
        <v>0</v>
      </c>
      <c r="AS107" s="61" t="n">
        <f aca="false">IF(ISNUMBER(AS103),IF(ABS(AS103-AS136)&lt;=2.001,0,ROUND(AS103-AS136,1)),"")</f>
        <v>0</v>
      </c>
      <c r="AT107" s="61" t="n">
        <f aca="false">IF(ISNUMBER(AT103),IF(ABS(AT103-AT136)&lt;=2.001,0,ROUND(AT103-AT136,1)),"")</f>
        <v>0</v>
      </c>
      <c r="AU107" s="61" t="n">
        <f aca="false">IF(ISNUMBER(AU103),IF(ABS(AU103-AU136)&lt;=2.001,0,ROUND(AU103-AU136,1)),"")</f>
        <v>0</v>
      </c>
      <c r="AV107" s="61" t="n">
        <f aca="false">IF(ISNUMBER(AV103),IF(ABS(AV103-AV136)&lt;=2.001,0,ROUND(AV103-AV136,1)),"")</f>
        <v>0</v>
      </c>
      <c r="AW107" s="61" t="n">
        <f aca="false">IF(ISNUMBER(AW103),IF(ABS(AW103-AW136)&lt;=2.001,0,ROUND(AW103-AW136,1)),"")</f>
        <v>0</v>
      </c>
      <c r="AX107" s="61" t="n">
        <f aca="false">IF(ISNUMBER(AX103),IF(ABS(AX103-AX136)&lt;=2.001,0,ROUND(AX103-AX136,1)),"")</f>
        <v>0</v>
      </c>
      <c r="AY107" s="61" t="n">
        <f aca="false">IF(ISNUMBER(AY103),IF(ABS(AY103-AY136)&lt;=2.001,0,ROUND(AY103-AY136,1)),"")</f>
        <v>0</v>
      </c>
      <c r="AZ107" s="61" t="n">
        <f aca="false">IF(ISNUMBER(AZ103),IF(ABS(AZ103-AZ136)&lt;=2.001,0,ROUND(AZ103-AZ136,1)),"")</f>
        <v>0</v>
      </c>
      <c r="BA107" s="61" t="n">
        <f aca="false">IF(ISNUMBER(BA103),IF(ABS(BA103-BA136)&lt;=2.001,0,ROUND(BA103-BA136,1)),"")</f>
        <v>0</v>
      </c>
      <c r="BB107" s="61" t="n">
        <f aca="false">IF(ISNUMBER(BB103),IF(ABS(BB103-BB136)&lt;=2.001,0,ROUND(BB103-BB136,1)),"")</f>
        <v>0</v>
      </c>
      <c r="BC107" s="61" t="n">
        <f aca="false">IF(ISNUMBER(BC103),IF(ABS(BC103-BC136)&lt;=2.001,0,ROUND(BC103-BC136,1)),"")</f>
        <v>0</v>
      </c>
      <c r="BD107" s="61" t="n">
        <f aca="false">IF(ISNUMBER(BD103),IF(ABS(BD103-BD136)&lt;=2.001,0,ROUND(BD103-BD136,1)),"")</f>
        <v>0</v>
      </c>
      <c r="BE107" s="61" t="n">
        <f aca="false">IF(ISNUMBER(BE103),IF(ABS(BE103-BE136)&lt;=2.001,0,ROUND(BE103-BE136,1)),"")</f>
        <v>0</v>
      </c>
      <c r="BF107" s="61" t="n">
        <f aca="false">IF(ISNUMBER(BF103),IF(ABS(BF103-BF136)&lt;=2.001,0,ROUND(BF103-BF136,1)),"")</f>
        <v>0</v>
      </c>
      <c r="BG107" s="61" t="n">
        <f aca="false">IF(ISNUMBER(BG103),IF(ABS(BG103-BG136)&lt;=2.001,0,ROUND(BG103-BG136,1)),"")</f>
        <v>0</v>
      </c>
      <c r="BH107" s="61" t="n">
        <f aca="false">IF(ISNUMBER(BH103),IF(ABS(BH103-BH136)&lt;=2.001,0,ROUND(BH103-BH136,1)),"")</f>
        <v>0</v>
      </c>
      <c r="BI107" s="61" t="n">
        <f aca="false">IF(ISNUMBER(BI103),IF(ABS(BI103-BI136)&lt;=2.001,0,ROUND(BI103-BI136,1)),"")</f>
        <v>0</v>
      </c>
      <c r="BJ107" s="61" t="n">
        <f aca="false">IF(ISNUMBER(BJ103),IF(ABS(BJ103-BJ136)&lt;=2.001,0,ROUND(BJ103-BJ136,1)),"")</f>
        <v>0</v>
      </c>
      <c r="BK107" s="61" t="n">
        <f aca="false">IF(ISNUMBER(BK103),IF(ABS(BK103-BK136)&lt;=2.001,0,ROUND(BK103-BK136,1)),"")</f>
        <v>0</v>
      </c>
      <c r="BL107" s="61" t="n">
        <f aca="false">IF(ISNUMBER(BL103),IF(ABS(BL103-BL136)&lt;=2.001,0,ROUND(BL103-BL136,1)),"")</f>
        <v>0</v>
      </c>
      <c r="BM107" s="61" t="n">
        <f aca="false">IF(ISNUMBER(BM103),IF(ABS(BM103-BM136)&lt;=2.001,0,ROUND(BM103-BM136,1)),"")</f>
        <v>0</v>
      </c>
      <c r="BN107" s="61" t="n">
        <f aca="false">IF(ISNUMBER(BN103),IF(ABS(BN103-BN136)&lt;=2.001,0,ROUND(BN103-BN136,1)),"")</f>
        <v>0</v>
      </c>
      <c r="BO107" s="61" t="n">
        <f aca="false">IF(ISNUMBER(BO103),IF(ABS(BO103-BO136)&lt;=2.001,0,ROUND(BO103-BO136,1)),"")</f>
        <v>0</v>
      </c>
      <c r="BP107" s="61" t="n">
        <f aca="false">IF(ISNUMBER(BP103),IF(ABS(BP103-BP136)&lt;=2.001,0,ROUND(BP103-BP136,1)),"")</f>
        <v>0</v>
      </c>
      <c r="BQ107" s="61" t="n">
        <f aca="false">IF(ISNUMBER(BQ103),IF(ABS(BQ103-BQ136)&lt;=2.001,0,ROUND(BQ103-BQ136,1)),"")</f>
        <v>0</v>
      </c>
      <c r="BR107" s="61" t="n">
        <f aca="false">IF(ISNUMBER(BR103),IF(ABS(BR103-BR136)&lt;=2.001,0,ROUND(BR103-BR136,1)),"")</f>
        <v>0</v>
      </c>
      <c r="BS107" s="61" t="n">
        <f aca="false">IF(ISNUMBER(BS103),IF(ABS(BS103-BS136)&lt;=2.001,0,ROUND(BS103-BS136,1)),"")</f>
        <v>0</v>
      </c>
      <c r="BT107" s="61" t="n">
        <f aca="false">IF(ISNUMBER(BT103),IF(ABS(BT103-BT136)&lt;=2.001,0,ROUND(BT103-BT136,1)),"")</f>
        <v>0</v>
      </c>
      <c r="BU107" s="61" t="n">
        <f aca="false">IF(ISNUMBER(BU103),IF(ABS(BU103-BU136)&lt;=2.001,0,ROUND(BU103-BU136,1)),"")</f>
        <v>0</v>
      </c>
      <c r="BV107" s="61" t="n">
        <f aca="false">IF(ISNUMBER(BV103),IF(ABS(BV103-BV136)&lt;=2.001,0,ROUND(BV103-BV136,1)),"")</f>
        <v>0</v>
      </c>
      <c r="BW107" s="61" t="n">
        <f aca="false">IF(ISNUMBER(BW103),IF(ABS(BW103-BW136)&lt;=2.001,0,ROUND(BW103-BW136,1)),"")</f>
        <v>0</v>
      </c>
      <c r="BX107" s="61" t="n">
        <f aca="false">IF(ISNUMBER(BX103),IF(ABS(BX103-BX136)&lt;=2.001,0,ROUND(BX103-BX136,1)),"")</f>
        <v>0</v>
      </c>
      <c r="BY107" s="44" t="n">
        <f aca="false">IF(ISNUMBER(BY103),IF(ABS(BY103-BY136)&lt;=2.001,0,ROUND(BY103-BY136,1)),"")</f>
        <v>0</v>
      </c>
      <c r="BZ107" s="44" t="n">
        <f aca="false">IF(ISNUMBER(BZ103),IF(ABS(BZ103-BZ136)&lt;=2.001,0,ROUND(BZ103-BZ136,1)),"")</f>
        <v>0</v>
      </c>
      <c r="CA107" s="44" t="n">
        <f aca="false">IF(ISNUMBER(CA103),IF(ABS(CA103-CA136)&lt;=2.001,0,ROUND(CA103-CA136,1)),"")</f>
        <v>0</v>
      </c>
      <c r="CB107" s="44" t="n">
        <f aca="false">IF(ISNUMBER(CB103),IF(ABS(CB103-CB136)&lt;=2.001,0,ROUND(CB103-CB136,1)),"")</f>
        <v>0</v>
      </c>
      <c r="CC107" s="44" t="n">
        <f aca="false">IF(ISNUMBER(CC103),IF(ABS(CC103-CC136)&lt;=2.001,0,ROUND(CC103-CC136,1)),"")</f>
        <v>0</v>
      </c>
      <c r="CD107" s="44" t="n">
        <f aca="false">IF(ISNUMBER(CD103),IF(ABS(CD103-CD136)&lt;=2.001,0,ROUND(CD103-CD136,1)),"")</f>
        <v>0</v>
      </c>
      <c r="CE107" s="44" t="n">
        <f aca="false">IF(ISNUMBER(CE103),IF(ABS(CE103-CE136)&lt;=2.001,0,ROUND(CE103-CE136,1)),"")</f>
        <v>0</v>
      </c>
      <c r="CF107" s="21"/>
    </row>
    <row r="108" customFormat="false" ht="15" hidden="false" customHeight="false" outlineLevel="0" collapsed="false">
      <c r="B108" s="60" t="s">
        <v>236</v>
      </c>
      <c r="C108" s="61" t="n">
        <f aca="false">IF(ISNUMBER(C104),IF(ABS(C104-C186)&lt;=2.001,0,ROUND(C104-C186,1)),"")</f>
        <v>0</v>
      </c>
      <c r="D108" s="61" t="n">
        <f aca="false">IF(ISNUMBER(D104),IF(ABS(D104-D186)&lt;=2.001,0,ROUND(D104-D186,1)),"")</f>
        <v>0</v>
      </c>
      <c r="E108" s="61" t="n">
        <f aca="false">IF(ISNUMBER(E104),IF(ABS(E104-E186)&lt;=2.001,0,ROUND(E104-E186,1)),"")</f>
        <v>0</v>
      </c>
      <c r="F108" s="61" t="n">
        <f aca="false">IF(ISNUMBER(F104),IF(ABS(F104-F186)&lt;=2.001,0,ROUND(F104-F186,1)),"")</f>
        <v>0</v>
      </c>
      <c r="G108" s="61" t="n">
        <f aca="false">IF(ISNUMBER(G104),IF(ABS(G104-G186)&lt;=2.001,0,ROUND(G104-G186,1)),"")</f>
        <v>0</v>
      </c>
      <c r="H108" s="61" t="n">
        <f aca="false">IF(ISNUMBER(H104),IF(ABS(H104-H186)&lt;=2.001,0,ROUND(H104-H186,1)),"")</f>
        <v>0</v>
      </c>
      <c r="I108" s="61" t="n">
        <f aca="false">IF(ISNUMBER(I104),IF(ABS(I104-I186)&lt;=2.001,0,ROUND(I104-I186,1)),"")</f>
        <v>0</v>
      </c>
      <c r="J108" s="61" t="n">
        <f aca="false">IF(ISNUMBER(J104),IF(ABS(J104-J186)&lt;=2.001,0,ROUND(J104-J186,1)),"")</f>
        <v>0</v>
      </c>
      <c r="K108" s="61" t="n">
        <f aca="false">IF(ISNUMBER(K104),IF(ABS(K104-K186)&lt;=2.001,0,ROUND(K104-K186,1)),"")</f>
        <v>0</v>
      </c>
      <c r="L108" s="61" t="n">
        <f aca="false">IF(ISNUMBER(L104),IF(ABS(L104-L186)&lt;=2.001,0,ROUND(L104-L186,1)),"")</f>
        <v>0</v>
      </c>
      <c r="M108" s="61" t="n">
        <f aca="false">IF(ISNUMBER(M104),IF(ABS(M104-M186)&lt;=2.001,0,ROUND(M104-M186,1)),"")</f>
        <v>0</v>
      </c>
      <c r="N108" s="61" t="n">
        <f aca="false">IF(ISNUMBER(N104),IF(ABS(N104-N186)&lt;=2.001,0,ROUND(N104-N186,1)),"")</f>
        <v>0</v>
      </c>
      <c r="O108" s="61" t="n">
        <f aca="false">IF(ISNUMBER(O104),IF(ABS(O104-O186)&lt;=2.001,0,ROUND(O104-O186,1)),"")</f>
        <v>0</v>
      </c>
      <c r="P108" s="61" t="n">
        <f aca="false">IF(ISNUMBER(P104),IF(ABS(P104-P186)&lt;=2.001,0,ROUND(P104-P186,1)),"")</f>
        <v>0</v>
      </c>
      <c r="Q108" s="61" t="n">
        <f aca="false">IF(ISNUMBER(Q104),IF(ABS(Q104-Q186)&lt;=2.001,0,ROUND(Q104-Q186,1)),"")</f>
        <v>0</v>
      </c>
      <c r="R108" s="61" t="n">
        <f aca="false">IF(ISNUMBER(R104),IF(ABS(R104-R186)&lt;=2.001,0,ROUND(R104-R186,1)),"")</f>
        <v>0</v>
      </c>
      <c r="S108" s="61" t="n">
        <f aca="false">IF(ISNUMBER(S104),IF(ABS(S104-S186)&lt;=2.001,0,ROUND(S104-S186,1)),"")</f>
        <v>0</v>
      </c>
      <c r="T108" s="61" t="n">
        <f aca="false">IF(ISNUMBER(T104),IF(ABS(T104-T186)&lt;=2.001,0,ROUND(T104-T186,1)),"")</f>
        <v>0</v>
      </c>
      <c r="U108" s="61" t="n">
        <f aca="false">IF(ISNUMBER(U104),IF(ABS(U104-U186)&lt;=2.001,0,ROUND(U104-U186,1)),"")</f>
        <v>0</v>
      </c>
      <c r="V108" s="61" t="n">
        <f aca="false">IF(ISNUMBER(V104),IF(ABS(V104-V186)&lt;=2.001,0,ROUND(V104-V186,1)),"")</f>
        <v>0</v>
      </c>
      <c r="W108" s="61" t="n">
        <f aca="false">IF(ISNUMBER(W104),IF(ABS(W104-W186)&lt;=2.001,0,ROUND(W104-W186,1)),"")</f>
        <v>0</v>
      </c>
      <c r="X108" s="61" t="n">
        <f aca="false">IF(ISNUMBER(X104),IF(ABS(X104-X186)&lt;=2.001,0,ROUND(X104-X186,1)),"")</f>
        <v>0</v>
      </c>
      <c r="Y108" s="61" t="n">
        <f aca="false">IF(ISNUMBER(Y104),IF(ABS(Y104-Y186)&lt;=2.001,0,ROUND(Y104-Y186,1)),"")</f>
        <v>0</v>
      </c>
      <c r="Z108" s="61" t="n">
        <f aca="false">IF(ISNUMBER(Z104),IF(ABS(Z104-Z186)&lt;=2.001,0,ROUND(Z104-Z186,1)),"")</f>
        <v>0</v>
      </c>
      <c r="AA108" s="61" t="n">
        <f aca="false">IF(ISNUMBER(AA104),IF(ABS(AA104-AA186)&lt;=2.001,0,ROUND(AA104-AA186,1)),"")</f>
        <v>0</v>
      </c>
      <c r="AB108" s="61" t="n">
        <f aca="false">IF(ISNUMBER(AB104),IF(ABS(AB104-AB186)&lt;=2.001,0,ROUND(AB104-AB186,1)),"")</f>
        <v>0</v>
      </c>
      <c r="AC108" s="61" t="n">
        <f aca="false">IF(ISNUMBER(AC104),IF(ABS(AC104-AC186)&lt;=2.001,0,ROUND(AC104-AC186,1)),"")</f>
        <v>0</v>
      </c>
      <c r="AD108" s="61" t="n">
        <f aca="false">IF(ISNUMBER(AD104),IF(ABS(AD104-AD186)&lt;=2.001,0,ROUND(AD104-AD186,1)),"")</f>
        <v>0</v>
      </c>
      <c r="AE108" s="61" t="n">
        <f aca="false">IF(ISNUMBER(AE104),IF(ABS(AE104-AE186)&lt;=2.001,0,ROUND(AE104-AE186,1)),"")</f>
        <v>0</v>
      </c>
      <c r="AF108" s="61" t="n">
        <f aca="false">IF(ISNUMBER(AF104),IF(ABS(AF104-AF186)&lt;=2.001,0,ROUND(AF104-AF186,1)),"")</f>
        <v>0</v>
      </c>
      <c r="AG108" s="61" t="n">
        <f aca="false">IF(ISNUMBER(AG104),IF(ABS(AG104-AG186)&lt;=2.001,0,ROUND(AG104-AG186,1)),"")</f>
        <v>0</v>
      </c>
      <c r="AH108" s="61" t="n">
        <f aca="false">IF(ISNUMBER(AH104),IF(ABS(AH104-AH186)&lt;=2.001,0,ROUND(AH104-AH186,1)),"")</f>
        <v>0</v>
      </c>
      <c r="AI108" s="61" t="n">
        <f aca="false">IF(ISNUMBER(AI104),IF(ABS(AI104-AI186)&lt;=2.001,0,ROUND(AI104-AI186,1)),"")</f>
        <v>0</v>
      </c>
      <c r="AJ108" s="61" t="n">
        <f aca="false">IF(ISNUMBER(AJ104),IF(ABS(AJ104-AJ186)&lt;=2.001,0,ROUND(AJ104-AJ186,1)),"")</f>
        <v>0</v>
      </c>
      <c r="AK108" s="61" t="n">
        <f aca="false">IF(ISNUMBER(AK104),IF(ABS(AK104-AK186)&lt;=2.001,0,ROUND(AK104-AK186,1)),"")</f>
        <v>0</v>
      </c>
      <c r="AL108" s="61" t="n">
        <f aca="false">IF(ISNUMBER(AL104),IF(ABS(AL104-AL186)&lt;=2.001,0,ROUND(AL104-AL186,1)),"")</f>
        <v>0</v>
      </c>
      <c r="AM108" s="61" t="n">
        <f aca="false">IF(ISNUMBER(AM104),IF(ABS(AM104-AM186)&lt;=2.001,0,ROUND(AM104-AM186,1)),"")</f>
        <v>0</v>
      </c>
      <c r="AN108" s="61" t="n">
        <f aca="false">IF(ISNUMBER(AN104),IF(ABS(AN104-AN186)&lt;=2.001,0,ROUND(AN104-AN186,1)),"")</f>
        <v>0</v>
      </c>
      <c r="AO108" s="61" t="n">
        <f aca="false">IF(ISNUMBER(AO104),IF(ABS(AO104-AO186)&lt;=2.001,0,ROUND(AO104-AO186,1)),"")</f>
        <v>0</v>
      </c>
      <c r="AP108" s="61" t="n">
        <f aca="false">IF(ISNUMBER(AP104),IF(ABS(AP104-AP186)&lt;=2.001,0,ROUND(AP104-AP186,1)),"")</f>
        <v>0</v>
      </c>
      <c r="AQ108" s="61" t="n">
        <f aca="false">IF(ISNUMBER(AQ104),IF(ABS(AQ104-AQ186)&lt;=2.001,0,ROUND(AQ104-AQ186,1)),"")</f>
        <v>0</v>
      </c>
      <c r="AR108" s="61" t="n">
        <f aca="false">IF(ISNUMBER(AR104),IF(ABS(AR104-AR186)&lt;=2.001,0,ROUND(AR104-AR186,1)),"")</f>
        <v>0</v>
      </c>
      <c r="AS108" s="61" t="n">
        <f aca="false">IF(ISNUMBER(AS104),IF(ABS(AS104-AS186)&lt;=2.001,0,ROUND(AS104-AS186,1)),"")</f>
        <v>0</v>
      </c>
      <c r="AT108" s="61" t="n">
        <f aca="false">IF(ISNUMBER(AT104),IF(ABS(AT104-AT186)&lt;=2.001,0,ROUND(AT104-AT186,1)),"")</f>
        <v>0</v>
      </c>
      <c r="AU108" s="61" t="n">
        <f aca="false">IF(ISNUMBER(AU104),IF(ABS(AU104-AU186)&lt;=2.001,0,ROUND(AU104-AU186,1)),"")</f>
        <v>0</v>
      </c>
      <c r="AV108" s="61" t="n">
        <f aca="false">IF(ISNUMBER(AV104),IF(ABS(AV104-AV186)&lt;=2.001,0,ROUND(AV104-AV186,1)),"")</f>
        <v>0</v>
      </c>
      <c r="AW108" s="61" t="n">
        <f aca="false">IF(ISNUMBER(AW104),IF(ABS(AW104-AW186)&lt;=2.001,0,ROUND(AW104-AW186,1)),"")</f>
        <v>0</v>
      </c>
      <c r="AX108" s="61" t="n">
        <f aca="false">IF(ISNUMBER(AX104),IF(ABS(AX104-AX186)&lt;=2.001,0,ROUND(AX104-AX186,1)),"")</f>
        <v>0</v>
      </c>
      <c r="AY108" s="61" t="n">
        <f aca="false">IF(ISNUMBER(AY104),IF(ABS(AY104-AY186)&lt;=2.001,0,ROUND(AY104-AY186,1)),"")</f>
        <v>0</v>
      </c>
      <c r="AZ108" s="61" t="n">
        <f aca="false">IF(ISNUMBER(AZ104),IF(ABS(AZ104-AZ186)&lt;=2.001,0,ROUND(AZ104-AZ186,1)),"")</f>
        <v>0</v>
      </c>
      <c r="BA108" s="61" t="n">
        <f aca="false">IF(ISNUMBER(BA104),IF(ABS(BA104-BA186)&lt;=2.001,0,ROUND(BA104-BA186,1)),"")</f>
        <v>0</v>
      </c>
      <c r="BB108" s="61" t="n">
        <f aca="false">IF(ISNUMBER(BB104),IF(ABS(BB104-BB186)&lt;=2.001,0,ROUND(BB104-BB186,1)),"")</f>
        <v>0</v>
      </c>
      <c r="BC108" s="61" t="n">
        <f aca="false">IF(ISNUMBER(BC104),IF(ABS(BC104-BC186)&lt;=2.001,0,ROUND(BC104-BC186,1)),"")</f>
        <v>0</v>
      </c>
      <c r="BD108" s="61" t="n">
        <f aca="false">IF(ISNUMBER(BD104),IF(ABS(BD104-BD186)&lt;=2.001,0,ROUND(BD104-BD186,1)),"")</f>
        <v>0</v>
      </c>
      <c r="BE108" s="61" t="n">
        <f aca="false">IF(ISNUMBER(BE104),IF(ABS(BE104-BE186)&lt;=2.001,0,ROUND(BE104-BE186,1)),"")</f>
        <v>0</v>
      </c>
      <c r="BF108" s="61" t="n">
        <f aca="false">IF(ISNUMBER(BF104),IF(ABS(BF104-BF186)&lt;=2.001,0,ROUND(BF104-BF186,1)),"")</f>
        <v>0</v>
      </c>
      <c r="BG108" s="61" t="n">
        <f aca="false">IF(ISNUMBER(BG104),IF(ABS(BG104-BG186)&lt;=2.001,0,ROUND(BG104-BG186,1)),"")</f>
        <v>0</v>
      </c>
      <c r="BH108" s="61" t="n">
        <f aca="false">IF(ISNUMBER(BH104),IF(ABS(BH104-BH186)&lt;=2.001,0,ROUND(BH104-BH186,1)),"")</f>
        <v>0</v>
      </c>
      <c r="BI108" s="61" t="n">
        <f aca="false">IF(ISNUMBER(BI104),IF(ABS(BI104-BI186)&lt;=2.001,0,ROUND(BI104-BI186,1)),"")</f>
        <v>0</v>
      </c>
      <c r="BJ108" s="61" t="n">
        <f aca="false">IF(ISNUMBER(BJ104),IF(ABS(BJ104-BJ186)&lt;=2.001,0,ROUND(BJ104-BJ186,1)),"")</f>
        <v>0</v>
      </c>
      <c r="BK108" s="61" t="n">
        <f aca="false">IF(ISNUMBER(BK104),IF(ABS(BK104-BK186)&lt;=2.001,0,ROUND(BK104-BK186,1)),"")</f>
        <v>0</v>
      </c>
      <c r="BL108" s="61" t="n">
        <f aca="false">IF(ISNUMBER(BL104),IF(ABS(BL104-BL186)&lt;=2.001,0,ROUND(BL104-BL186,1)),"")</f>
        <v>0</v>
      </c>
      <c r="BM108" s="61" t="n">
        <f aca="false">IF(ISNUMBER(BM104),IF(ABS(BM104-BM186)&lt;=2.001,0,ROUND(BM104-BM186,1)),"")</f>
        <v>0</v>
      </c>
      <c r="BN108" s="61" t="n">
        <f aca="false">IF(ISNUMBER(BN104),IF(ABS(BN104-BN186)&lt;=2.001,0,ROUND(BN104-BN186,1)),"")</f>
        <v>0</v>
      </c>
      <c r="BO108" s="61" t="n">
        <f aca="false">IF(ISNUMBER(BO104),IF(ABS(BO104-BO186)&lt;=2.001,0,ROUND(BO104-BO186,1)),"")</f>
        <v>0</v>
      </c>
      <c r="BP108" s="61" t="n">
        <f aca="false">IF(ISNUMBER(BP104),IF(ABS(BP104-BP186)&lt;=2.001,0,ROUND(BP104-BP186,1)),"")</f>
        <v>0</v>
      </c>
      <c r="BQ108" s="61" t="n">
        <f aca="false">IF(ISNUMBER(BQ104),IF(ABS(BQ104-BQ186)&lt;=2.001,0,ROUND(BQ104-BQ186,1)),"")</f>
        <v>0</v>
      </c>
      <c r="BR108" s="61" t="n">
        <f aca="false">IF(ISNUMBER(BR104),IF(ABS(BR104-BR186)&lt;=2.001,0,ROUND(BR104-BR186,1)),"")</f>
        <v>0</v>
      </c>
      <c r="BS108" s="61" t="n">
        <f aca="false">IF(ISNUMBER(BS104),IF(ABS(BS104-BS186)&lt;=2.001,0,ROUND(BS104-BS186,1)),"")</f>
        <v>0</v>
      </c>
      <c r="BT108" s="61" t="n">
        <f aca="false">IF(ISNUMBER(BT104),IF(ABS(BT104-BT186)&lt;=2.001,0,ROUND(BT104-BT186,1)),"")</f>
        <v>0</v>
      </c>
      <c r="BU108" s="61" t="n">
        <f aca="false">IF(ISNUMBER(BU104),IF(ABS(BU104-BU186)&lt;=2.001,0,ROUND(BU104-BU186,1)),"")</f>
        <v>0</v>
      </c>
      <c r="BV108" s="61" t="n">
        <f aca="false">IF(ISNUMBER(BV104),IF(ABS(BV104-BV186)&lt;=2.001,0,ROUND(BV104-BV186,1)),"")</f>
        <v>0</v>
      </c>
      <c r="BW108" s="61" t="n">
        <f aca="false">IF(ISNUMBER(BW104),IF(ABS(BW104-BW186)&lt;=2.001,0,ROUND(BW104-BW186,1)),"")</f>
        <v>0</v>
      </c>
      <c r="BX108" s="61" t="n">
        <f aca="false">IF(ISNUMBER(BX104),IF(ABS(BX104-BX186)&lt;=2.001,0,ROUND(BX104-BX186,1)),"")</f>
        <v>0</v>
      </c>
      <c r="BY108" s="44" t="n">
        <f aca="false">IF(ISNUMBER(BY104),IF(ABS(BY104-BY186)&lt;=2.001,0,ROUND(BY104-BY186,1)),"")</f>
        <v>0</v>
      </c>
      <c r="BZ108" s="44" t="n">
        <f aca="false">IF(ISNUMBER(BZ104),IF(ABS(BZ104-BZ186)&lt;=2.001,0,ROUND(BZ104-BZ186,1)),"")</f>
        <v>0</v>
      </c>
      <c r="CA108" s="44" t="n">
        <f aca="false">IF(ISNUMBER(CA104),IF(ABS(CA104-CA186)&lt;=2.001,0,ROUND(CA104-CA186,1)),"")</f>
        <v>0</v>
      </c>
      <c r="CB108" s="44" t="n">
        <f aca="false">IF(ISNUMBER(CB104),IF(ABS(CB104-CB186)&lt;=2.001,0,ROUND(CB104-CB186,1)),"")</f>
        <v>0</v>
      </c>
      <c r="CC108" s="44" t="n">
        <f aca="false">IF(ISNUMBER(CC104),IF(ABS(CC104-CC186)&lt;=2.001,0,ROUND(CC104-CC186,1)),"")</f>
        <v>0</v>
      </c>
      <c r="CD108" s="44" t="n">
        <f aca="false">IF(ISNUMBER(CD104),IF(ABS(CD104-CD186)&lt;=2.001,0,ROUND(CD104-CD186,1)),"")</f>
        <v>0</v>
      </c>
      <c r="CE108" s="44" t="n">
        <f aca="false">IF(ISNUMBER(CE104),IF(ABS(CE104-CE186)&lt;=2.001,0,ROUND(CE104-CE186,1)),"")</f>
        <v>0</v>
      </c>
      <c r="CF108" s="21"/>
    </row>
    <row r="109" customFormat="false" ht="15" hidden="false" customHeight="false" outlineLevel="0" collapsed="false">
      <c r="B109" s="43" t="s">
        <v>237</v>
      </c>
      <c r="C109" s="24"/>
      <c r="D109" s="24"/>
      <c r="E109" s="24"/>
      <c r="F109" s="24"/>
      <c r="G109" s="24"/>
      <c r="H109" s="24"/>
      <c r="I109" s="28" t="n">
        <v>0.04</v>
      </c>
      <c r="J109" s="28" t="n">
        <v>0.03</v>
      </c>
      <c r="K109" s="28" t="n">
        <v>0.02</v>
      </c>
      <c r="L109" s="28" t="n">
        <v>0.02</v>
      </c>
      <c r="M109" s="24"/>
      <c r="N109" s="28" t="n">
        <v>0.03</v>
      </c>
      <c r="O109" s="28" t="n">
        <v>0.02</v>
      </c>
      <c r="P109" s="28" t="n">
        <v>0.05</v>
      </c>
      <c r="Q109" s="28" t="n">
        <v>0.04</v>
      </c>
      <c r="R109" s="28" t="n">
        <v>0.06</v>
      </c>
      <c r="S109" s="28" t="n">
        <v>0.04</v>
      </c>
      <c r="T109" s="28" t="n">
        <v>0.02</v>
      </c>
      <c r="U109" s="28" t="n">
        <v>0.06</v>
      </c>
      <c r="V109" s="28" t="n">
        <v>0.04</v>
      </c>
      <c r="W109" s="28" t="n">
        <v>0.07</v>
      </c>
      <c r="X109" s="28" t="n">
        <v>0.05</v>
      </c>
      <c r="Y109" s="28" t="n">
        <v>0.1</v>
      </c>
      <c r="Z109" s="28" t="n">
        <v>0.04</v>
      </c>
      <c r="AA109" s="28" t="n">
        <v>0.04</v>
      </c>
      <c r="AB109" s="24"/>
      <c r="AC109" s="28" t="n">
        <v>0.04</v>
      </c>
      <c r="AD109" s="28" t="n">
        <v>0.04</v>
      </c>
      <c r="AE109" s="28" t="n">
        <v>0.04</v>
      </c>
      <c r="AF109" s="28" t="n">
        <v>0.05</v>
      </c>
      <c r="AG109" s="28" t="n">
        <v>0.08</v>
      </c>
      <c r="AH109" s="28" t="n">
        <v>0.05</v>
      </c>
      <c r="AI109" s="28" t="n">
        <v>0.07</v>
      </c>
      <c r="AJ109" s="28" t="n">
        <v>0.08</v>
      </c>
      <c r="AK109" s="28" t="n">
        <v>0.1</v>
      </c>
      <c r="AL109" s="28" t="n">
        <v>0.08</v>
      </c>
      <c r="AM109" s="28" t="n">
        <v>0.08</v>
      </c>
      <c r="AN109" s="28" t="n">
        <v>0.07</v>
      </c>
      <c r="AO109" s="28" t="n">
        <v>0.05</v>
      </c>
      <c r="AP109" s="28" t="n">
        <v>0.07</v>
      </c>
      <c r="AQ109" s="28" t="n">
        <v>0.05</v>
      </c>
      <c r="AR109" s="28" t="n">
        <v>0.06</v>
      </c>
      <c r="AS109" s="28" t="n">
        <v>0.02</v>
      </c>
      <c r="AT109" s="28" t="n">
        <v>0.11</v>
      </c>
      <c r="AU109" s="28" t="n">
        <v>0.34</v>
      </c>
      <c r="AV109" s="28" t="n">
        <v>0.51</v>
      </c>
      <c r="AW109" s="28" t="n">
        <v>0.25</v>
      </c>
      <c r="AX109" s="28" t="n">
        <v>0.53</v>
      </c>
      <c r="AY109" s="28" t="n">
        <v>0.28</v>
      </c>
      <c r="AZ109" s="28" t="n">
        <v>0.07</v>
      </c>
      <c r="BA109" s="28" t="n">
        <v>-0.04</v>
      </c>
      <c r="BB109" s="28" t="n">
        <v>0.17</v>
      </c>
      <c r="BC109" s="28" t="n">
        <v>0.03</v>
      </c>
      <c r="BD109" s="28" t="n">
        <v>0.03</v>
      </c>
      <c r="BE109" s="28" t="n">
        <v>-0.01</v>
      </c>
      <c r="BF109" s="28" t="n">
        <v>-0.03</v>
      </c>
      <c r="BG109" s="28" t="n">
        <v>0</v>
      </c>
      <c r="BH109" s="28" t="n">
        <v>-0.08</v>
      </c>
      <c r="BI109" s="28" t="n">
        <v>-0.03</v>
      </c>
      <c r="BJ109" s="28" t="n">
        <v>-0.03</v>
      </c>
      <c r="BK109" s="28" t="n">
        <v>-0.07</v>
      </c>
      <c r="BL109" s="28" t="n">
        <v>-0.05</v>
      </c>
      <c r="BM109" s="28" t="n">
        <v>-0.04</v>
      </c>
      <c r="BN109" s="28" t="n">
        <v>-0.01</v>
      </c>
      <c r="BO109" s="28" t="n">
        <v>0</v>
      </c>
      <c r="BP109" s="28" t="n">
        <v>0.04</v>
      </c>
      <c r="BQ109" s="28" t="n">
        <v>0</v>
      </c>
      <c r="BR109" s="28" t="n">
        <v>0.01</v>
      </c>
      <c r="BS109" s="28" t="n">
        <v>0.02</v>
      </c>
      <c r="BT109" s="28" t="n">
        <v>0.03</v>
      </c>
      <c r="BU109" s="28" t="n">
        <v>0.03</v>
      </c>
      <c r="BV109" s="28" t="n">
        <v>0.02</v>
      </c>
      <c r="BW109" s="28" t="n">
        <v>0.01</v>
      </c>
      <c r="BX109" s="28" t="n">
        <v>0.05</v>
      </c>
      <c r="BY109" s="26" t="n">
        <f aca="false">IFERROR((BT10*BY12+BT22*BY24+BT34*BY36+BT46*BY48)/(BT10+BT22+BT34+BT46),"")</f>
        <v>0.0405196714464984</v>
      </c>
      <c r="BZ109" s="26" t="n">
        <f aca="false">IFERROR((BU10*BZ12+BU22*BZ24+BU34*BZ36+BU46*BZ48)/(BU10+BU22+BU34+BU46),"")</f>
        <v>0.0405696023461512</v>
      </c>
      <c r="CA109" s="26" t="n">
        <f aca="false">IFERROR((BR10*BW12+BR22*BW24+BR34*BW36+BR46*BW48+BS10*BX12+BS22*BX24+BS34*BX36+BS46*BX48+BT10*BY12+BT22*BY24+BT34*BY36+BT46*BY48+BU10*BZ12+BU22*BZ24+BU34*BZ36+BU46*BZ48)/(BR10+BR22+BR34+BR46+BS10+BS22+BS34+BS46+BT10+BT22+BT34+BT46+BU10+BU22+BU34+BU46),"")</f>
        <v>0.0369472676762779</v>
      </c>
      <c r="CB109" s="26" t="n">
        <f aca="false">IFERROR((CA10*CB12+CA22*CB24+CA34*CB36+CA46*CB48)/(CA10+CA22+CA34+CA46),"")</f>
        <v>0.0544090846626542</v>
      </c>
      <c r="CC109" s="26" t="n">
        <f aca="false">IFERROR((CB10*CC12+CB22*CC24+CB34*CC36+CB46*CC48)/(CB10+CB22+CB34+CB46),"")</f>
        <v>0.0595096171053843</v>
      </c>
      <c r="CD109" s="26" t="n">
        <f aca="false">IFERROR((CC10*CD12+CC22*CD24+CC34*CD36+CC46*CD48)/(CC10+CC22+CC34+CC46),"")</f>
        <v>0.0606620885151947</v>
      </c>
      <c r="CE109" s="26" t="n">
        <f aca="false">IFERROR((CD10*CE12+CD22*CE24+CD34*CE36+CD46*CE48)/(CD10+CD22+CD34+CD46),"")</f>
        <v>0.0606945646482744</v>
      </c>
      <c r="CF109" s="21" t="s">
        <v>238</v>
      </c>
    </row>
    <row r="110" customFormat="false" ht="15" hidden="false" customHeight="false" outlineLevel="0" collapsed="false">
      <c r="B110" s="43" t="s">
        <v>239</v>
      </c>
      <c r="C110" s="24"/>
      <c r="D110" s="24"/>
      <c r="E110" s="24"/>
      <c r="F110" s="24"/>
      <c r="G110" s="24"/>
      <c r="H110" s="24"/>
      <c r="I110" s="28" t="n">
        <v>0</v>
      </c>
      <c r="J110" s="28" t="n">
        <v>0.03</v>
      </c>
      <c r="K110" s="28" t="n">
        <v>0.02</v>
      </c>
      <c r="L110" s="28" t="n">
        <v>0.01</v>
      </c>
      <c r="M110" s="24"/>
      <c r="N110" s="28" t="n">
        <v>0.02</v>
      </c>
      <c r="O110" s="28" t="n">
        <v>0</v>
      </c>
      <c r="P110" s="28" t="n">
        <v>0</v>
      </c>
      <c r="Q110" s="28" t="n">
        <v>0</v>
      </c>
      <c r="R110" s="28" t="n">
        <v>0.26</v>
      </c>
      <c r="S110" s="28" t="n">
        <v>0.25</v>
      </c>
      <c r="T110" s="28" t="n">
        <v>0.05</v>
      </c>
      <c r="U110" s="28" t="n">
        <v>0</v>
      </c>
      <c r="V110" s="28" t="n">
        <v>0</v>
      </c>
      <c r="W110" s="28" t="n">
        <v>0.01</v>
      </c>
      <c r="X110" s="28" t="n">
        <v>0.01</v>
      </c>
      <c r="Y110" s="28" t="n">
        <v>0.01</v>
      </c>
      <c r="Z110" s="28" t="n">
        <v>0.03</v>
      </c>
      <c r="AA110" s="28" t="n">
        <v>0.05</v>
      </c>
      <c r="AB110" s="24"/>
      <c r="AC110" s="28" t="n">
        <v>0.04</v>
      </c>
      <c r="AD110" s="28" t="n">
        <v>0.08</v>
      </c>
      <c r="AE110" s="28" t="n">
        <v>0.08</v>
      </c>
      <c r="AF110" s="28" t="n">
        <v>0.08</v>
      </c>
      <c r="AG110" s="28" t="n">
        <v>0.11</v>
      </c>
      <c r="AH110" s="28" t="n">
        <v>0.09</v>
      </c>
      <c r="AI110" s="28" t="n">
        <v>0.12</v>
      </c>
      <c r="AJ110" s="28" t="n">
        <v>0.12</v>
      </c>
      <c r="AK110" s="28" t="n">
        <v>0.07</v>
      </c>
      <c r="AL110" s="28" t="n">
        <v>0.01</v>
      </c>
      <c r="AM110" s="28" t="n">
        <v>0.07</v>
      </c>
      <c r="AN110" s="28" t="n">
        <v>0.01</v>
      </c>
      <c r="AO110" s="28" t="n">
        <v>0.01</v>
      </c>
      <c r="AP110" s="28" t="n">
        <v>0</v>
      </c>
      <c r="AQ110" s="28" t="n">
        <v>0</v>
      </c>
      <c r="AR110" s="28" t="n">
        <v>0</v>
      </c>
      <c r="AS110" s="28" t="n">
        <v>0</v>
      </c>
      <c r="AT110" s="28" t="n">
        <v>0</v>
      </c>
      <c r="AU110" s="28" t="n">
        <v>0.01</v>
      </c>
      <c r="AV110" s="28" t="n">
        <v>0</v>
      </c>
      <c r="AW110" s="28" t="n">
        <v>0</v>
      </c>
      <c r="AX110" s="28" t="n">
        <v>0.02</v>
      </c>
      <c r="AY110" s="28" t="n">
        <v>0</v>
      </c>
      <c r="AZ110" s="28" t="n">
        <v>0</v>
      </c>
      <c r="BA110" s="28" t="n">
        <v>0.06</v>
      </c>
      <c r="BB110" s="28" t="n">
        <v>0.02</v>
      </c>
      <c r="BC110" s="28" t="n">
        <v>0.18</v>
      </c>
      <c r="BD110" s="28" t="n">
        <v>0.19</v>
      </c>
      <c r="BE110" s="28" t="n">
        <v>0.2</v>
      </c>
      <c r="BF110" s="28" t="n">
        <v>0.14</v>
      </c>
      <c r="BG110" s="28" t="n">
        <v>0.18</v>
      </c>
      <c r="BH110" s="28" t="n">
        <v>0.01</v>
      </c>
      <c r="BI110" s="28" t="n">
        <v>0.01</v>
      </c>
      <c r="BJ110" s="28" t="n">
        <v>0.01</v>
      </c>
      <c r="BK110" s="28" t="n">
        <v>0.01</v>
      </c>
      <c r="BL110" s="28" t="n">
        <v>0.01</v>
      </c>
      <c r="BM110" s="28" t="n">
        <v>0</v>
      </c>
      <c r="BN110" s="28" t="n">
        <v>0</v>
      </c>
      <c r="BO110" s="28" t="n">
        <v>0.01</v>
      </c>
      <c r="BP110" s="28" t="n">
        <v>0.01</v>
      </c>
      <c r="BQ110" s="28" t="n">
        <v>0</v>
      </c>
      <c r="BR110" s="28" t="n">
        <v>0</v>
      </c>
      <c r="BS110" s="28" t="n">
        <v>0</v>
      </c>
      <c r="BT110" s="28" t="n">
        <v>0.01</v>
      </c>
      <c r="BU110" s="28" t="n">
        <v>0.02</v>
      </c>
      <c r="BV110" s="28" t="n">
        <v>0.01</v>
      </c>
      <c r="BW110" s="28" t="n">
        <v>0.03</v>
      </c>
      <c r="BX110" s="28" t="n">
        <v>0.05</v>
      </c>
      <c r="BY110" s="29"/>
      <c r="BZ110" s="29"/>
      <c r="CA110" s="29"/>
      <c r="CB110" s="29"/>
      <c r="CC110" s="29"/>
      <c r="CD110" s="29"/>
      <c r="CE110" s="29"/>
      <c r="CF110" s="21"/>
    </row>
    <row r="111" customFormat="false" ht="15" hidden="false" customHeight="false" outlineLevel="0" collapsed="false">
      <c r="B111" s="43" t="s">
        <v>240</v>
      </c>
      <c r="C111" s="24"/>
      <c r="D111" s="24"/>
      <c r="E111" s="24"/>
      <c r="F111" s="24"/>
      <c r="G111" s="24"/>
      <c r="H111" s="24"/>
      <c r="I111" s="28" t="n">
        <v>-0.02</v>
      </c>
      <c r="J111" s="28" t="n">
        <v>-0.01</v>
      </c>
      <c r="K111" s="28" t="n">
        <v>0</v>
      </c>
      <c r="L111" s="28" t="n">
        <v>0</v>
      </c>
      <c r="M111" s="24"/>
      <c r="N111" s="28" t="n">
        <v>0</v>
      </c>
      <c r="O111" s="28" t="n">
        <v>0</v>
      </c>
      <c r="P111" s="28" t="n">
        <v>0</v>
      </c>
      <c r="Q111" s="28" t="n">
        <v>0</v>
      </c>
      <c r="R111" s="28" t="n">
        <v>-0.03</v>
      </c>
      <c r="S111" s="28" t="n">
        <v>0</v>
      </c>
      <c r="T111" s="28" t="n">
        <v>-0.06</v>
      </c>
      <c r="U111" s="28" t="n">
        <v>-0.06</v>
      </c>
      <c r="V111" s="28" t="n">
        <v>-0.06</v>
      </c>
      <c r="W111" s="28" t="n">
        <v>-0.04</v>
      </c>
      <c r="X111" s="28" t="n">
        <v>-0.06</v>
      </c>
      <c r="Y111" s="28" t="n">
        <v>-0.02</v>
      </c>
      <c r="Z111" s="28" t="n">
        <v>0</v>
      </c>
      <c r="AA111" s="28" t="n">
        <v>0</v>
      </c>
      <c r="AB111" s="24"/>
      <c r="AC111" s="28" t="n">
        <v>-0.01</v>
      </c>
      <c r="AD111" s="28" t="n">
        <v>-0.01</v>
      </c>
      <c r="AE111" s="28" t="n">
        <v>-0.01</v>
      </c>
      <c r="AF111" s="28" t="n">
        <v>0.01</v>
      </c>
      <c r="AG111" s="28" t="n">
        <v>0.03</v>
      </c>
      <c r="AH111" s="28" t="n">
        <v>0</v>
      </c>
      <c r="AI111" s="28" t="n">
        <v>0.04</v>
      </c>
      <c r="AJ111" s="28" t="n">
        <v>0.02</v>
      </c>
      <c r="AK111" s="28" t="n">
        <v>-0.01</v>
      </c>
      <c r="AL111" s="28" t="n">
        <v>-0.02</v>
      </c>
      <c r="AM111" s="28" t="n">
        <v>0.01</v>
      </c>
      <c r="AN111" s="28" t="n">
        <v>-0.03</v>
      </c>
      <c r="AO111" s="28" t="n">
        <v>-0.02</v>
      </c>
      <c r="AP111" s="28" t="n">
        <v>-0.01</v>
      </c>
      <c r="AQ111" s="28" t="n">
        <v>-0.01</v>
      </c>
      <c r="AR111" s="28" t="n">
        <v>-0.02</v>
      </c>
      <c r="AS111" s="28" t="n">
        <v>-0.01</v>
      </c>
      <c r="AT111" s="28" t="n">
        <v>-0.01</v>
      </c>
      <c r="AU111" s="28" t="n">
        <v>0.01</v>
      </c>
      <c r="AV111" s="28" t="n">
        <v>0.03</v>
      </c>
      <c r="AW111" s="28" t="n">
        <v>0.01</v>
      </c>
      <c r="AX111" s="28" t="n">
        <v>0.04</v>
      </c>
      <c r="AY111" s="28" t="n">
        <v>0.05</v>
      </c>
      <c r="AZ111" s="28" t="n">
        <v>0.01</v>
      </c>
      <c r="BA111" s="28" t="n">
        <v>-0.01</v>
      </c>
      <c r="BB111" s="28" t="n">
        <v>0.02</v>
      </c>
      <c r="BC111" s="28" t="n">
        <v>-0.02</v>
      </c>
      <c r="BD111" s="28" t="n">
        <v>-0.04</v>
      </c>
      <c r="BE111" s="28" t="n">
        <v>-0.05</v>
      </c>
      <c r="BF111" s="28" t="n">
        <v>-0.04</v>
      </c>
      <c r="BG111" s="28" t="n">
        <v>-0.03</v>
      </c>
      <c r="BH111" s="28" t="n">
        <v>-0.02</v>
      </c>
      <c r="BI111" s="28" t="n">
        <v>0</v>
      </c>
      <c r="BJ111" s="28" t="n">
        <v>0.01</v>
      </c>
      <c r="BK111" s="28" t="n">
        <v>0.01</v>
      </c>
      <c r="BL111" s="28" t="n">
        <v>0</v>
      </c>
      <c r="BM111" s="28" t="n">
        <v>0</v>
      </c>
      <c r="BN111" s="28" t="n">
        <v>-0.01</v>
      </c>
      <c r="BO111" s="28" t="n">
        <v>0</v>
      </c>
      <c r="BP111" s="28" t="n">
        <v>0</v>
      </c>
      <c r="BQ111" s="28" t="n">
        <v>0</v>
      </c>
      <c r="BR111" s="28" t="n">
        <v>-0.01</v>
      </c>
      <c r="BS111" s="28" t="n">
        <v>0.01</v>
      </c>
      <c r="BT111" s="28" t="n">
        <v>0.01</v>
      </c>
      <c r="BU111" s="28" t="n">
        <v>0.02</v>
      </c>
      <c r="BV111" s="28" t="n">
        <v>0.01</v>
      </c>
      <c r="BW111" s="28" t="n">
        <v>0.02</v>
      </c>
      <c r="BX111" s="28" t="n">
        <v>0.01</v>
      </c>
      <c r="BY111" s="29"/>
      <c r="BZ111" s="29"/>
      <c r="CA111" s="29"/>
      <c r="CB111" s="29"/>
      <c r="CC111" s="29"/>
      <c r="CD111" s="29"/>
      <c r="CE111" s="29"/>
      <c r="CF111" s="21"/>
    </row>
    <row r="112" customFormat="false" ht="15" hidden="false" customHeight="false" outlineLevel="0" collapsed="false">
      <c r="B112" s="43" t="s">
        <v>241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8" t="n">
        <v>0.27</v>
      </c>
      <c r="AZ112" s="28" t="n">
        <v>0.1</v>
      </c>
      <c r="BA112" s="28" t="n">
        <v>0.08</v>
      </c>
      <c r="BB112" s="28" t="n">
        <v>0.14</v>
      </c>
      <c r="BC112" s="28" t="n">
        <v>0.16</v>
      </c>
      <c r="BD112" s="28" t="n">
        <v>0.13</v>
      </c>
      <c r="BE112" s="28" t="n">
        <v>0.14</v>
      </c>
      <c r="BF112" s="28" t="n">
        <v>0.14</v>
      </c>
      <c r="BG112" s="28" t="n">
        <v>0.14</v>
      </c>
      <c r="BH112" s="28" t="n">
        <v>0.06</v>
      </c>
      <c r="BI112" s="28" t="n">
        <v>0.02</v>
      </c>
      <c r="BJ112" s="28" t="n">
        <v>0.01</v>
      </c>
      <c r="BK112" s="28" t="n">
        <v>-0.04</v>
      </c>
      <c r="BL112" s="28" t="n">
        <v>0.01</v>
      </c>
      <c r="BM112" s="28" t="n">
        <v>-0.03</v>
      </c>
      <c r="BN112" s="28" t="n">
        <v>0</v>
      </c>
      <c r="BO112" s="28" t="n">
        <v>0</v>
      </c>
      <c r="BP112" s="28" t="n">
        <v>0.05</v>
      </c>
      <c r="BQ112" s="28" t="n">
        <v>0</v>
      </c>
      <c r="BR112" s="24"/>
      <c r="BS112" s="24"/>
      <c r="BT112" s="24"/>
      <c r="BU112" s="24"/>
      <c r="BV112" s="24"/>
      <c r="BW112" s="24"/>
      <c r="BX112" s="24"/>
      <c r="BY112" s="29"/>
      <c r="BZ112" s="29"/>
      <c r="CA112" s="29"/>
      <c r="CB112" s="29"/>
      <c r="CC112" s="29"/>
      <c r="CD112" s="29"/>
      <c r="CE112" s="29"/>
      <c r="CF112" s="21"/>
    </row>
    <row r="113" customFormat="false" ht="15" hidden="false" customHeight="false" outlineLevel="0" collapsed="false">
      <c r="B113" s="23" t="s">
        <v>242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31" t="n">
        <v>-0.005</v>
      </c>
      <c r="BZ113" s="31" t="n">
        <v>-0.0075</v>
      </c>
      <c r="CA113" s="29"/>
      <c r="CB113" s="31" t="n">
        <v>0</v>
      </c>
      <c r="CC113" s="31" t="n">
        <v>0</v>
      </c>
      <c r="CD113" s="31" t="n">
        <v>0</v>
      </c>
      <c r="CE113" s="31" t="n">
        <v>0</v>
      </c>
      <c r="CF113" s="21" t="s">
        <v>243</v>
      </c>
    </row>
    <row r="114" customFormat="false" ht="15" hidden="false" customHeight="false" outlineLevel="0" collapsed="false">
      <c r="B114" s="43" t="s">
        <v>244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9"/>
      <c r="BZ114" s="39"/>
      <c r="CA114" s="44" t="n">
        <f aca="false">CHOOSE(MATCH($CF$2,{"Bull","Base","Bear"},0),$CO$12,$CP$12,$CQ$12)</f>
        <v>47750</v>
      </c>
      <c r="CB114" s="39"/>
      <c r="CC114" s="39"/>
      <c r="CD114" s="39"/>
      <c r="CE114" s="39"/>
      <c r="CF114" s="21" t="s">
        <v>245</v>
      </c>
    </row>
    <row r="115" customFormat="false" ht="15" hidden="false" customHeight="false" outlineLevel="1" collapsed="false">
      <c r="B115" s="23" t="s">
        <v>246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44" t="n">
        <f aca="false">(1-BY68)*(BT10*(1+$BX12+BY13+BY14)+BT22*(1+$BX24+BY25+BY26)+BT34*(1+$BX36+BY37+BY38)+BT46*(1+$BX48+BY49+BY50))</f>
        <v>12043.2740417819</v>
      </c>
      <c r="BZ115" s="44" t="n">
        <f aca="false">(1-BZ68)*(BU10*(1+$BX12+BZ13+BZ14)+BU22*(1+$BX24+BZ25+BZ26)+BU34*(1+$BX36+BZ37+BZ38)+BU46*(1+$BX48+BZ49+BZ50))</f>
        <v>12899.0560752351</v>
      </c>
      <c r="CA115" s="39"/>
      <c r="CB115" s="39"/>
      <c r="CC115" s="39"/>
      <c r="CD115" s="39"/>
      <c r="CE115" s="39"/>
      <c r="CF115" s="21" t="s">
        <v>247</v>
      </c>
    </row>
    <row r="116" customFormat="false" ht="15" hidden="false" customHeight="false" outlineLevel="1" collapsed="false">
      <c r="B116" s="23" t="s">
        <v>248</v>
      </c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44" t="n">
        <f aca="false">(1-BY68)*(BT10+BT22+BT34+BT46)</f>
        <v>11122</v>
      </c>
      <c r="BZ116" s="44" t="n">
        <f aca="false">(1-BZ68)*(BU10+BU22+BU34+BU46)</f>
        <v>12214</v>
      </c>
      <c r="CA116" s="39"/>
      <c r="CB116" s="39"/>
      <c r="CC116" s="39"/>
      <c r="CD116" s="39"/>
      <c r="CE116" s="39"/>
      <c r="CF116" s="21"/>
    </row>
    <row r="117" customFormat="false" ht="15" hidden="false" customHeight="false" outlineLevel="0" collapsed="false">
      <c r="B117" s="23" t="s">
        <v>249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6" t="n">
        <f aca="false">($CA$114-$BW$103-$BX$103-$BY$115-$BZ$115)/($BY$116+$BZ$116)</f>
        <v>-0.00828462962877044</v>
      </c>
      <c r="BZ117" s="26" t="n">
        <f aca="false">BY117</f>
        <v>-0.00828462962877044</v>
      </c>
      <c r="CA117" s="29"/>
      <c r="CB117" s="29"/>
      <c r="CC117" s="29"/>
      <c r="CD117" s="29"/>
      <c r="CE117" s="29"/>
      <c r="CF117" s="21" t="s">
        <v>250</v>
      </c>
    </row>
    <row r="118" customFormat="false" ht="15" hidden="false" customHeight="false" outlineLevel="0" collapsed="false">
      <c r="B118" s="60" t="s">
        <v>251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9"/>
      <c r="BZ118" s="39"/>
      <c r="CA118" s="44" t="n">
        <f aca="false">ROUND(CA103-CA114,1)</f>
        <v>0</v>
      </c>
      <c r="CB118" s="39"/>
      <c r="CC118" s="39"/>
      <c r="CD118" s="39"/>
      <c r="CE118" s="39"/>
      <c r="CF118" s="21"/>
    </row>
    <row r="119" customFormat="false" ht="15" hidden="false" customHeight="false" outlineLevel="0" collapsed="false">
      <c r="B119" s="43" t="s">
        <v>252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9"/>
      <c r="BZ119" s="29"/>
      <c r="CA119" s="26" t="n">
        <f aca="false">CHOOSE(MATCH($CF$2,{"Bull","Base","Bear"},0),$CO$13,$CP$13,$CQ$13)</f>
        <v>0.235</v>
      </c>
      <c r="CB119" s="29"/>
      <c r="CC119" s="29"/>
      <c r="CD119" s="29"/>
      <c r="CE119" s="29"/>
      <c r="CF119" s="21" t="s">
        <v>253</v>
      </c>
    </row>
    <row r="120" customFormat="false" ht="15" hidden="false" customHeight="false" outlineLevel="1" collapsed="false">
      <c r="B120" s="23" t="s">
        <v>254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44" t="n">
        <f aca="false">BY10+BY22+BY34+BY46</f>
        <v>12491.6304662798</v>
      </c>
      <c r="BZ120" s="44" t="n">
        <f aca="false">BZ10+BZ22+BZ34+BZ46</f>
        <v>13369.9681259369</v>
      </c>
      <c r="CA120" s="39"/>
      <c r="CB120" s="39"/>
      <c r="CC120" s="39"/>
      <c r="CD120" s="39"/>
      <c r="CE120" s="39"/>
      <c r="CF120" s="21"/>
    </row>
    <row r="121" customFormat="false" ht="15" hidden="false" customHeight="false" outlineLevel="1" collapsed="false">
      <c r="B121" s="23" t="s">
        <v>255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44" t="n">
        <f aca="false">BY10*BY16+BY22*BY28+BY34*BY40+BY46*BY52</f>
        <v>2805.62619448358</v>
      </c>
      <c r="BZ121" s="44" t="n">
        <f aca="false">BZ10*BZ16+BZ22*BZ28+BZ34*BZ40+BZ46*BZ52</f>
        <v>3020.52240740719</v>
      </c>
      <c r="CA121" s="39"/>
      <c r="CB121" s="39"/>
      <c r="CC121" s="39"/>
      <c r="CD121" s="39"/>
      <c r="CE121" s="39"/>
      <c r="CF121" s="21"/>
    </row>
    <row r="122" customFormat="false" ht="15" hidden="false" customHeight="false" outlineLevel="0" collapsed="false">
      <c r="B122" s="23" t="s">
        <v>256</v>
      </c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6" t="n">
        <f aca="false">($CA$103*$CA$119-$BW$104-$BX$104-$BY$121-$BZ$121)/($BY$120+$BZ$120)</f>
        <v>0.0100574369825504</v>
      </c>
      <c r="BZ122" s="26" t="n">
        <f aca="false">BY122</f>
        <v>0.0100574369825504</v>
      </c>
      <c r="CA122" s="29"/>
      <c r="CB122" s="29"/>
      <c r="CC122" s="29"/>
      <c r="CD122" s="29"/>
      <c r="CE122" s="29"/>
      <c r="CF122" s="21" t="s">
        <v>257</v>
      </c>
    </row>
    <row r="123" customFormat="false" ht="15" hidden="false" customHeight="false" outlineLevel="0" collapsed="false">
      <c r="B123" s="60" t="s">
        <v>258</v>
      </c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9"/>
      <c r="BZ123" s="29"/>
      <c r="CA123" s="26" t="n">
        <f aca="false">ROUND(CA104/CA103-CA119,5)</f>
        <v>0</v>
      </c>
      <c r="CB123" s="29"/>
      <c r="CC123" s="29"/>
      <c r="CD123" s="29"/>
      <c r="CE123" s="29"/>
      <c r="CF123" s="21"/>
    </row>
    <row r="125" customFormat="false" ht="15" hidden="false" customHeight="false" outlineLevel="0" collapsed="false">
      <c r="B125" s="12" t="s">
        <v>259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3" t="s">
        <v>260</v>
      </c>
    </row>
    <row r="126" customFormat="false" ht="15" hidden="false" customHeight="false" outlineLevel="0" collapsed="false">
      <c r="B126" s="17" t="s">
        <v>261</v>
      </c>
      <c r="C126" s="19" t="n">
        <v>69.947</v>
      </c>
      <c r="D126" s="19" t="n">
        <v>185.7</v>
      </c>
      <c r="E126" s="19" t="n">
        <v>189.9</v>
      </c>
      <c r="F126" s="19" t="n">
        <v>190.3</v>
      </c>
      <c r="G126" s="19" t="n">
        <v>198.3</v>
      </c>
      <c r="H126" s="19" t="n">
        <v>215.6</v>
      </c>
      <c r="I126" s="19" t="n">
        <v>236.1</v>
      </c>
      <c r="J126" s="19" t="n">
        <v>59</v>
      </c>
      <c r="K126" s="19" t="n">
        <v>58</v>
      </c>
      <c r="L126" s="19" t="n">
        <v>59.4</v>
      </c>
      <c r="M126" s="19" t="n">
        <v>60.4</v>
      </c>
      <c r="N126" s="19" t="n">
        <v>236.8</v>
      </c>
      <c r="O126" s="19" t="n">
        <v>79.7</v>
      </c>
      <c r="P126" s="19" t="n">
        <v>91.2</v>
      </c>
      <c r="Q126" s="19" t="n">
        <v>92.8</v>
      </c>
      <c r="R126" s="19" t="n">
        <v>89.4</v>
      </c>
      <c r="S126" s="19" t="n">
        <v>353.1</v>
      </c>
      <c r="T126" s="19" t="n">
        <v>87.2</v>
      </c>
      <c r="U126" s="19" t="n">
        <v>89.9</v>
      </c>
      <c r="V126" s="19" t="n">
        <v>97.8</v>
      </c>
      <c r="W126" s="19" t="n">
        <v>98.5</v>
      </c>
      <c r="X126" s="19" t="n">
        <v>373.4</v>
      </c>
      <c r="Y126" s="19" t="n">
        <v>94.1</v>
      </c>
      <c r="Z126" s="19" t="n">
        <v>97.1</v>
      </c>
      <c r="AA126" s="19" t="n">
        <v>91.4</v>
      </c>
      <c r="AB126" s="19" t="n">
        <v>97.4</v>
      </c>
      <c r="AC126" s="19" t="n">
        <v>380</v>
      </c>
      <c r="AD126" s="19" t="n">
        <v>97</v>
      </c>
      <c r="AE126" s="19" t="n">
        <v>97.3</v>
      </c>
      <c r="AF126" s="19" t="n">
        <v>111.8</v>
      </c>
      <c r="AG126" s="19" t="n">
        <v>133</v>
      </c>
      <c r="AH126" s="19" t="n">
        <v>439</v>
      </c>
      <c r="AI126" s="19" t="n">
        <v>131</v>
      </c>
      <c r="AJ126" s="19" t="n">
        <v>130</v>
      </c>
      <c r="AK126" s="19" t="n">
        <v>132</v>
      </c>
      <c r="AL126" s="19" t="n">
        <v>133</v>
      </c>
      <c r="AM126" s="19" t="n">
        <v>526</v>
      </c>
      <c r="AN126" s="19" t="n">
        <v>133</v>
      </c>
      <c r="AO126" s="19" t="n">
        <v>142</v>
      </c>
      <c r="AP126" s="19" t="n">
        <v>141</v>
      </c>
      <c r="AQ126" s="19" t="n">
        <v>148</v>
      </c>
      <c r="AR126" s="19" t="n">
        <v>564</v>
      </c>
      <c r="AS126" s="19" t="n">
        <v>149</v>
      </c>
      <c r="AT126" s="19" t="n">
        <v>157</v>
      </c>
      <c r="AU126" s="19" t="n">
        <v>161</v>
      </c>
      <c r="AV126" s="19" t="n">
        <v>191</v>
      </c>
      <c r="AW126" s="19" t="n">
        <v>658</v>
      </c>
      <c r="AX126" s="19" t="n">
        <v>198</v>
      </c>
      <c r="AY126" s="19" t="n">
        <v>211</v>
      </c>
      <c r="AZ126" s="19" t="n">
        <v>205</v>
      </c>
      <c r="BA126" s="19" t="n">
        <v>217</v>
      </c>
      <c r="BB126" s="19" t="n">
        <v>831</v>
      </c>
      <c r="BC126" s="19" t="n">
        <v>250</v>
      </c>
      <c r="BD126" s="19" t="n">
        <v>236</v>
      </c>
      <c r="BE126" s="19" t="n">
        <v>244</v>
      </c>
      <c r="BF126" s="19" t="n">
        <v>256</v>
      </c>
      <c r="BG126" s="19" t="n">
        <v>986</v>
      </c>
      <c r="BH126" s="19" t="n">
        <v>253</v>
      </c>
      <c r="BI126" s="19" t="n">
        <v>270</v>
      </c>
      <c r="BJ126" s="19" t="n">
        <v>269</v>
      </c>
      <c r="BK126" s="19" t="n">
        <v>276</v>
      </c>
      <c r="BL126" s="19" t="n">
        <v>1068</v>
      </c>
      <c r="BM126" s="19" t="n">
        <v>285</v>
      </c>
      <c r="BN126" s="19" t="n">
        <v>276</v>
      </c>
      <c r="BO126" s="19" t="n">
        <v>291</v>
      </c>
      <c r="BP126" s="19" t="n">
        <v>304</v>
      </c>
      <c r="BQ126" s="19" t="n">
        <v>1156</v>
      </c>
      <c r="BR126" s="19" t="n">
        <v>276</v>
      </c>
      <c r="BS126" s="19" t="n">
        <v>256</v>
      </c>
      <c r="BT126" s="19" t="n">
        <v>227</v>
      </c>
      <c r="BU126" s="19" t="n">
        <v>291</v>
      </c>
      <c r="BV126" s="19" t="n">
        <v>1050</v>
      </c>
      <c r="BW126" s="19" t="n">
        <v>306</v>
      </c>
      <c r="BX126" s="19" t="n">
        <v>331</v>
      </c>
      <c r="BY126" s="20" t="n">
        <f aca="false">BY136*BY127</f>
        <v>331.008797473772</v>
      </c>
      <c r="BZ126" s="20" t="n">
        <f aca="false">BZ136*BZ127</f>
        <v>354.460701200083</v>
      </c>
      <c r="CA126" s="20" t="n">
        <f aca="false">SUM(BW126,BX126,BY126,BZ126)</f>
        <v>1322.46949867386</v>
      </c>
      <c r="CB126" s="20" t="n">
        <f aca="false">CB136*CB127</f>
        <v>1367.92392856334</v>
      </c>
      <c r="CC126" s="20" t="n">
        <f aca="false">CC136*CC127</f>
        <v>1471.5818539167</v>
      </c>
      <c r="CD126" s="20" t="n">
        <f aca="false">CD136*CD127</f>
        <v>1583.07677286174</v>
      </c>
      <c r="CE126" s="20" t="n">
        <f aca="false">CE136*CE127</f>
        <v>1701.36866742767</v>
      </c>
      <c r="CF126" s="21" t="s">
        <v>262</v>
      </c>
    </row>
    <row r="127" customFormat="false" ht="15" hidden="false" customHeight="false" outlineLevel="0" collapsed="false">
      <c r="B127" s="23" t="s">
        <v>263</v>
      </c>
      <c r="C127" s="25" t="n">
        <f aca="false">IF(AND(ISNUMBER(C126),ISNUMBER(C136)),C126/C136,"")</f>
        <v>0.0184478020854955</v>
      </c>
      <c r="D127" s="25" t="n">
        <f aca="false">IF(AND(ISNUMBER(D126),ISNUMBER(D136)),D126/D136,"")</f>
        <v>0.0190531888697365</v>
      </c>
      <c r="E127" s="25" t="n">
        <f aca="false">IF(AND(ISNUMBER(E126),ISNUMBER(E136)),E126/E136,"")</f>
        <v>0.0180891598399695</v>
      </c>
      <c r="F127" s="25" t="n">
        <f aca="false">IF(AND(ISNUMBER(F126),ISNUMBER(F136)),F126/F136,"")</f>
        <v>0.0188235061376698</v>
      </c>
      <c r="G127" s="25" t="n">
        <f aca="false">IF(AND(ISNUMBER(G126),ISNUMBER(G136)),G126/G136,"")</f>
        <v>0.018380342395284</v>
      </c>
      <c r="H127" s="25" t="n">
        <f aca="false">IF(AND(ISNUMBER(H126),ISNUMBER(H136)),H126/H136,"")</f>
        <v>0.0183866483596142</v>
      </c>
      <c r="I127" s="25" t="n">
        <f aca="false">IF(AND(ISNUMBER(I126),ISNUMBER(I136)),I126/I136,"")</f>
        <v>0.0188730525423864</v>
      </c>
      <c r="J127" s="25" t="n">
        <f aca="false">IF(AND(ISNUMBER(J126),ISNUMBER(J136)),J126/J136,"")</f>
        <v>0.0184866050446499</v>
      </c>
      <c r="K127" s="25" t="n">
        <f aca="false">IF(AND(ISNUMBER(K126),ISNUMBER(K136)),K126/K136,"")</f>
        <v>0.0179006820777137</v>
      </c>
      <c r="L127" s="25" t="n">
        <f aca="false">IF(AND(ISNUMBER(L126),ISNUMBER(L136)),L126/L136,"")</f>
        <v>0.0186101886083088</v>
      </c>
      <c r="M127" s="25" t="n">
        <f aca="false">IF(AND(ISNUMBER(M126),ISNUMBER(M136)),M126/M136,"")</f>
        <v>0.0174219042949032</v>
      </c>
      <c r="N127" s="25" t="n">
        <f aca="false">IF(AND(ISNUMBER(N126),ISNUMBER(N136)),N126/N136,"")</f>
        <v>0.0180897305638526</v>
      </c>
      <c r="O127" s="25" t="n">
        <f aca="false">IF(AND(ISNUMBER(O126),ISNUMBER(O136)),O126/O136,"")</f>
        <v>0.0204175739720763</v>
      </c>
      <c r="P127" s="25" t="n">
        <f aca="false">IF(AND(ISNUMBER(P126),ISNUMBER(P136)),P126/P136,"")</f>
        <v>0.0211018302135635</v>
      </c>
      <c r="Q127" s="25" t="n">
        <f aca="false">IF(AND(ISNUMBER(Q126),ISNUMBER(Q136)),Q126/Q136,"")</f>
        <v>0.0222467277173131</v>
      </c>
      <c r="R127" s="25" t="n">
        <f aca="false">IF(AND(ISNUMBER(R126),ISNUMBER(R136)),R126/R136,"")</f>
        <v>0.0198985042735043</v>
      </c>
      <c r="S127" s="25" t="n">
        <f aca="false">IF(AND(ISNUMBER(S126),ISNUMBER(S136)),S126/S136,"")</f>
        <v>0.02090635657446</v>
      </c>
      <c r="T127" s="25" t="n">
        <f aca="false">IF(AND(ISNUMBER(T126),ISNUMBER(T136)),T126/T136,"")</f>
        <v>0.0222517097070532</v>
      </c>
      <c r="U127" s="25" t="n">
        <f aca="false">IF(AND(ISNUMBER(U126),ISNUMBER(U136)),U126/U136,"")</f>
        <v>0.0210494275211314</v>
      </c>
      <c r="V127" s="25" t="n">
        <f aca="false">IF(AND(ISNUMBER(V126),ISNUMBER(V136)),V126/V136,"")</f>
        <v>0.0237194412107101</v>
      </c>
      <c r="W127" s="25" t="n">
        <f aca="false">IF(AND(ISNUMBER(W126),ISNUMBER(W136)),W126/W136,"")</f>
        <v>0.0211714132186996</v>
      </c>
      <c r="X127" s="25" t="n">
        <f aca="false">IF(AND(ISNUMBER(X126),ISNUMBER(X136)),X126/X136,"")</f>
        <v>0.0220095016916784</v>
      </c>
      <c r="Y127" s="25" t="n">
        <f aca="false">IF(AND(ISNUMBER(Y126),ISNUMBER(Y136)),Y126/Y136,"")</f>
        <v>0.0219102170066126</v>
      </c>
      <c r="Z127" s="25" t="n">
        <f aca="false">IF(AND(ISNUMBER(Z126),ISNUMBER(Z136)),Z126/Z136,"")</f>
        <v>0.021410301640501</v>
      </c>
      <c r="AA127" s="25" t="n">
        <f aca="false">IF(AND(ISNUMBER(AA126),ISNUMBER(AA136)),AA126/AA136,"")</f>
        <v>0.0203522679195707</v>
      </c>
      <c r="AB127" s="25" t="n">
        <f aca="false">IF(AND(ISNUMBER(AB126),ISNUMBER(AB136)),AB126/AB136,"")</f>
        <v>0.019664055560042</v>
      </c>
      <c r="AC127" s="25" t="n">
        <f aca="false">IF(AND(ISNUMBER(AC126),ISNUMBER(AC136)),AC126/AC136,"")</f>
        <v>0.0207944577297924</v>
      </c>
      <c r="AD127" s="25" t="n">
        <f aca="false">IF(AND(ISNUMBER(AD126),ISNUMBER(AD136)),AD126/AD136,"")</f>
        <v>0.0203567681007345</v>
      </c>
      <c r="AE127" s="25" t="n">
        <f aca="false">IF(AND(ISNUMBER(AE126),ISNUMBER(AE136)),AE126/AE136,"")</f>
        <v>0.019498997995992</v>
      </c>
      <c r="AF127" s="25" t="n">
        <f aca="false">IF(AND(ISNUMBER(AF126),ISNUMBER(AF136)),AF126/AF136,"")</f>
        <v>0.0218521558969548</v>
      </c>
      <c r="AG127" s="25" t="n">
        <f aca="false">IF(AND(ISNUMBER(AG126),ISNUMBER(AG136)),AG126/AG136,"")</f>
        <v>0.0219943773772118</v>
      </c>
      <c r="AH127" s="25" t="n">
        <f aca="false">IF(AND(ISNUMBER(AH126),ISNUMBER(AH136)),AH126/AH136,"")</f>
        <v>0.0209867100105173</v>
      </c>
      <c r="AI127" s="25" t="n">
        <f aca="false">IF(AND(ISNUMBER(AI126),ISNUMBER(AI136)),AI126/AI136,"")</f>
        <v>0.0223816846061849</v>
      </c>
      <c r="AJ127" s="25" t="n">
        <f aca="false">IF(AND(ISNUMBER(AJ126),ISNUMBER(AJ136)),AJ126/AJ136,"")</f>
        <v>0.0213886146758802</v>
      </c>
      <c r="AK127" s="25" t="n">
        <f aca="false">IF(AND(ISNUMBER(AK126),ISNUMBER(AK136)),AK126/AK136,"")</f>
        <v>0.0222972972972973</v>
      </c>
      <c r="AL127" s="25" t="n">
        <f aca="false">IF(AND(ISNUMBER(AL126),ISNUMBER(AL136)),AL126/AL136,"")</f>
        <v>0.0204395266635931</v>
      </c>
      <c r="AM127" s="25" t="n">
        <f aca="false">IF(AND(ISNUMBER(AM126),ISNUMBER(AM136)),AM126/AM136,"")</f>
        <v>0.021594547992446</v>
      </c>
      <c r="AN127" s="25" t="n">
        <f aca="false">IF(AND(ISNUMBER(AN126),ISNUMBER(AN136)),AN126/AN136,"")</f>
        <v>0.0217142857142857</v>
      </c>
      <c r="AO127" s="25" t="n">
        <f aca="false">IF(AND(ISNUMBER(AO126),ISNUMBER(AO136)),AO126/AO136,"")</f>
        <v>0.0224825839138695</v>
      </c>
      <c r="AP127" s="25" t="n">
        <f aca="false">IF(AND(ISNUMBER(AP126),ISNUMBER(AP136)),AP126/AP136,"")</f>
        <v>0.0224808673469388</v>
      </c>
      <c r="AQ127" s="25" t="n">
        <f aca="false">IF(AND(ISNUMBER(AQ126),ISNUMBER(AQ136)),AQ126/AQ136,"")</f>
        <v>0.0216722799824279</v>
      </c>
      <c r="AR127" s="25" t="n">
        <f aca="false">IF(AND(ISNUMBER(AR126),ISNUMBER(AR136)),AR126/AR136,"")</f>
        <v>0.0220812778952314</v>
      </c>
      <c r="AS127" s="25" t="n">
        <f aca="false">IF(AND(ISNUMBER(AS126),ISNUMBER(AS136)),AS126/AS136,"")</f>
        <v>0.023916532905297</v>
      </c>
      <c r="AT127" s="25" t="n">
        <f aca="false">IF(AND(ISNUMBER(AT126),ISNUMBER(AT136)),AT126/AT136,"")</f>
        <v>0.0226977013155993</v>
      </c>
      <c r="AU127" s="25" t="n">
        <f aca="false">IF(AND(ISNUMBER(AU126),ISNUMBER(AU136)),AU126/AU136,"")</f>
        <v>0.0188944959511794</v>
      </c>
      <c r="AV127" s="25" t="n">
        <f aca="false">IF(AND(ISNUMBER(AV126),ISNUMBER(AV136)),AV126/AV136,"")</f>
        <v>0.0181042654028436</v>
      </c>
      <c r="AW127" s="25" t="n">
        <f aca="false">IF(AND(ISNUMBER(AW126),ISNUMBER(AW136)),AW126/AW136,"")</f>
        <v>0.0204233658203489</v>
      </c>
      <c r="AX127" s="25" t="n">
        <f aca="false">IF(AND(ISNUMBER(AX126),ISNUMBER(AX136)),AX126/AX136,"")</f>
        <v>0.0199878861296184</v>
      </c>
      <c r="AY127" s="25" t="n">
        <f aca="false">IF(AND(ISNUMBER(AY126),ISNUMBER(AY136)),AY126/AY136,"")</f>
        <v>0.0227542327186455</v>
      </c>
      <c r="AZ127" s="25" t="n">
        <f aca="false">IF(AND(ISNUMBER(AZ126),ISNUMBER(AZ136)),AZ126/AZ136,"")</f>
        <v>0.0219721329046088</v>
      </c>
      <c r="BA127" s="25" t="n">
        <f aca="false">IF(AND(ISNUMBER(BA126),ISNUMBER(BA136)),BA126/BA136,"")</f>
        <v>0.0202765838161091</v>
      </c>
      <c r="BB127" s="25" t="n">
        <f aca="false">IF(AND(ISNUMBER(BB126),ISNUMBER(BB136)),BB126/BB136,"")</f>
        <v>0.0211930325673918</v>
      </c>
      <c r="BC127" s="25" t="n">
        <f aca="false">IF(AND(ISNUMBER(BC126),ISNUMBER(BC136)),BC126/BC136,"")</f>
        <v>0.02115417160264</v>
      </c>
      <c r="BD127" s="25" t="n">
        <f aca="false">IF(AND(ISNUMBER(BD126),ISNUMBER(BD136)),BD126/BD136,"")</f>
        <v>0.0215132178669098</v>
      </c>
      <c r="BE127" s="25" t="n">
        <f aca="false">IF(AND(ISNUMBER(BE126),ISNUMBER(BE136)),BE126/BE136,"")</f>
        <v>0.0228528612906247</v>
      </c>
      <c r="BF127" s="25" t="n">
        <f aca="false">IF(AND(ISNUMBER(BF126),ISNUMBER(BF136)),BF126/BF136,"")</f>
        <v>0.0223580786026201</v>
      </c>
      <c r="BG127" s="25" t="n">
        <f aca="false">IF(AND(ISNUMBER(BG126),ISNUMBER(BG136)),BG126/BG136,"")</f>
        <v>0.021952577090059</v>
      </c>
      <c r="BH127" s="25" t="n">
        <f aca="false">IF(AND(ISNUMBER(BH126),ISNUMBER(BH136)),BH126/BH136,"")</f>
        <v>0.0236227824463119</v>
      </c>
      <c r="BI127" s="25" t="n">
        <f aca="false">IF(AND(ISNUMBER(BI126),ISNUMBER(BI136)),BI126/BI136,"")</f>
        <v>0.0252643398521568</v>
      </c>
      <c r="BJ127" s="25" t="n">
        <f aca="false">IF(AND(ISNUMBER(BJ126),ISNUMBER(BJ136)),BJ126/BJ136,"")</f>
        <v>0.0254397578967278</v>
      </c>
      <c r="BK127" s="25" t="n">
        <f aca="false">IF(AND(ISNUMBER(BK126),ISNUMBER(BK136)),BK126/BK136,"")</f>
        <v>0.0253536652581297</v>
      </c>
      <c r="BL127" s="25" t="n">
        <f aca="false">IF(AND(ISNUMBER(BL126),ISNUMBER(BL136)),BL126/BL136,"")</f>
        <v>0.0249200830669436</v>
      </c>
      <c r="BM127" s="25" t="n">
        <f aca="false">IF(AND(ISNUMBER(BM126),ISNUMBER(BM136)),BM126/BM136,"")</f>
        <v>0.027549540840986</v>
      </c>
      <c r="BN127" s="25" t="n">
        <f aca="false">IF(AND(ISNUMBER(BN126),ISNUMBER(BN136)),BN126/BN136,"")</f>
        <v>0.0261834740536951</v>
      </c>
      <c r="BO127" s="25" t="n">
        <f aca="false">IF(AND(ISNUMBER(BO126),ISNUMBER(BO136)),BO126/BO136,"")</f>
        <v>0.0274580109454614</v>
      </c>
      <c r="BP127" s="25" t="n">
        <f aca="false">IF(AND(ISNUMBER(BP126),ISNUMBER(BP136)),BP126/BP136,"")</f>
        <v>0.0266783677051338</v>
      </c>
      <c r="BQ127" s="25" t="n">
        <f aca="false">IF(AND(ISNUMBER(BQ126),ISNUMBER(BQ136)),BQ126/BQ136,"")</f>
        <v>0.0269595839455211</v>
      </c>
      <c r="BR127" s="25" t="n">
        <f aca="false">IF(AND(ISNUMBER(BR126),ISNUMBER(BR136)),BR126/BR136,"")</f>
        <v>0.0266306445387881</v>
      </c>
      <c r="BS127" s="25" t="n">
        <f aca="false">IF(AND(ISNUMBER(BS126),ISNUMBER(BS136)),BS126/BS136,"")</f>
        <v>0.0235836020267158</v>
      </c>
      <c r="BT127" s="25" t="n">
        <f aca="false">IF(AND(ISNUMBER(BT126),ISNUMBER(BT136)),BT126/BT136,"")</f>
        <v>0.0204099982017623</v>
      </c>
      <c r="BU127" s="25" t="n">
        <f aca="false">IF(AND(ISNUMBER(BU126),ISNUMBER(BU136)),BU126/BU136,"")</f>
        <v>0.0238231682357757</v>
      </c>
      <c r="BV127" s="25" t="n">
        <f aca="false">IF(AND(ISNUMBER(BV126),ISNUMBER(BV136)),BV126/BV136,"")</f>
        <v>0.0235658497172098</v>
      </c>
      <c r="BW127" s="25" t="n">
        <f aca="false">IF(AND(ISNUMBER(BW126),ISNUMBER(BW136)),BW126/BW136,"")</f>
        <v>0.0278055429350295</v>
      </c>
      <c r="BX127" s="25" t="n">
        <f aca="false">IF(AND(ISNUMBER(BX126),ISNUMBER(BX136)),BX126/BX136,"")</f>
        <v>0.027597131899283</v>
      </c>
      <c r="BY127" s="26" t="n">
        <f aca="false">(BW126+BX126)/(BW136+BX136)</f>
        <v>0.0276968563850602</v>
      </c>
      <c r="BZ127" s="26" t="n">
        <f aca="false">(BW126+BX126)/(BW136+BX136)</f>
        <v>0.0276968563850602</v>
      </c>
      <c r="CA127" s="26" t="n">
        <f aca="false">IFERROR(CA126/CA136,"")</f>
        <v>0.0276956963073059</v>
      </c>
      <c r="CB127" s="31" t="n">
        <v>0.027</v>
      </c>
      <c r="CC127" s="31" t="n">
        <v>0.027</v>
      </c>
      <c r="CD127" s="31" t="n">
        <v>0.027</v>
      </c>
      <c r="CE127" s="31" t="n">
        <v>0.027</v>
      </c>
      <c r="CF127" s="21" t="s">
        <v>264</v>
      </c>
    </row>
    <row r="128" customFormat="false" ht="15" hidden="false" customHeight="false" outlineLevel="0" collapsed="false">
      <c r="B128" s="23" t="s">
        <v>265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9"/>
      <c r="BZ128" s="39"/>
      <c r="CA128" s="39"/>
      <c r="CB128" s="44" t="n">
        <f aca="false">1608+$CA$77</f>
        <v>1930.90476190476</v>
      </c>
      <c r="CC128" s="44" t="n">
        <f aca="false">1573+$CA$77</f>
        <v>1895.90476190476</v>
      </c>
      <c r="CD128" s="44" t="n">
        <f aca="false">1457+$CA$77-19/3*0.77</f>
        <v>1775.0280952381</v>
      </c>
      <c r="CE128" s="44" t="n">
        <f aca="false">1160+$CA$77-19/3</f>
        <v>1476.57142857143</v>
      </c>
      <c r="CF128" s="21" t="s">
        <v>266</v>
      </c>
    </row>
    <row r="129" customFormat="false" ht="15" hidden="false" customHeight="false" outlineLevel="0" collapsed="false">
      <c r="B129" s="23" t="s">
        <v>267</v>
      </c>
      <c r="C129" s="25" t="n">
        <f aca="false">IFERROR((C137-N(C180))/C136,"")</f>
        <v>0.562441828908352</v>
      </c>
      <c r="D129" s="25" t="n">
        <f aca="false">IFERROR((D137-N(D180))/D136,"")</f>
        <v>0.592126323565624</v>
      </c>
      <c r="E129" s="25" t="n">
        <f aca="false">IFERROR((E137-N(E180))/E136,"")</f>
        <v>0.587359497047057</v>
      </c>
      <c r="F129" s="25" t="n">
        <f aca="false">IFERROR((F137-N(F180))/F136,"")</f>
        <v>0.588899769528275</v>
      </c>
      <c r="G129" s="25" t="n">
        <f aca="false">IFERROR((G137-N(G180))/G136,"")</f>
        <v>0.574591934153327</v>
      </c>
      <c r="H129" s="25" t="n">
        <f aca="false">IFERROR((H137-N(H180))/H136,"")</f>
        <v>0.568357226310987</v>
      </c>
      <c r="I129" s="25" t="n">
        <f aca="false">IFERROR((I137-N(I180))/I136,"")</f>
        <v>0.554552794187004</v>
      </c>
      <c r="J129" s="25" t="n">
        <f aca="false">IFERROR((J137-N(J180))/J136,"")</f>
        <v>0.559580134732884</v>
      </c>
      <c r="K129" s="25" t="n">
        <f aca="false">IFERROR((K137-N(K180))/K136,"")</f>
        <v>0.557945742415358</v>
      </c>
      <c r="L129" s="25" t="n">
        <f aca="false">IFERROR((L137-N(L180))/L136,"")</f>
        <v>0.559966163293439</v>
      </c>
      <c r="M129" s="25" t="n">
        <f aca="false">IFERROR((M137-N(M180))/M136,"")</f>
        <v>0.556577922639822</v>
      </c>
      <c r="N129" s="25" t="n">
        <f aca="false">IFERROR((N137-N(N180))/N136,"")</f>
        <v>0.558474595692994</v>
      </c>
      <c r="O129" s="25" t="n">
        <f aca="false">IFERROR((O137-N(O180))/O136,"")</f>
        <v>0.518329704111695</v>
      </c>
      <c r="P129" s="25" t="n">
        <f aca="false">IFERROR((P137-N(P180))/P136,"")</f>
        <v>0.510169138573313</v>
      </c>
      <c r="Q129" s="25" t="n">
        <f aca="false">IFERROR((Q137-N(Q180))/Q136,"")</f>
        <v>0.50939732463921</v>
      </c>
      <c r="R129" s="25" t="n">
        <f aca="false">IFERROR((R137-N(R180))/R136,"")</f>
        <v>0.509682158119658</v>
      </c>
      <c r="S129" s="25" t="n">
        <f aca="false">IFERROR((S137-N(S180))/S136,"")</f>
        <v>0.51173503220917</v>
      </c>
      <c r="T129" s="25" t="n">
        <f aca="false">IFERROR((T137-N(T180))/T136,"")</f>
        <v>0.507298152495662</v>
      </c>
      <c r="U129" s="25" t="n">
        <f aca="false">IFERROR((U137-N(U180))/U136,"")</f>
        <v>0.52000749256597</v>
      </c>
      <c r="V129" s="25" t="n">
        <f aca="false">IFERROR((V137-N(V180))/V136,"")</f>
        <v>0.516928599146294</v>
      </c>
      <c r="W129" s="25" t="n">
        <f aca="false">IFERROR((W137-N(W180))/W136,"")</f>
        <v>0.523009134873724</v>
      </c>
      <c r="X129" s="25" t="n">
        <f aca="false">IFERROR((X137-N(X180))/X136,"")</f>
        <v>0.517146663208648</v>
      </c>
      <c r="Y129" s="25" t="n">
        <f aca="false">IFERROR((Y137-N(Y180))/Y136,"")</f>
        <v>0.518138213653721</v>
      </c>
      <c r="Z129" s="25" t="n">
        <f aca="false">IFERROR((Z137-N(Z180))/Z136,"")</f>
        <v>0.514200035279591</v>
      </c>
      <c r="AA129" s="25" t="n">
        <f aca="false">IFERROR((AA137-N(AA180))/AA136,"")</f>
        <v>0.510988888641475</v>
      </c>
      <c r="AB129" s="25" t="n">
        <f aca="false">IFERROR((AB137-N(AB180))/AB136,"")</f>
        <v>0.505834611968021</v>
      </c>
      <c r="AC129" s="25" t="n">
        <f aca="false">IFERROR((AC137-N(AC180))/AC136,"")</f>
        <v>0.512068993821857</v>
      </c>
      <c r="AD129" s="25" t="n">
        <f aca="false">IFERROR((AD137-N(AD180))/AD136,"")</f>
        <v>0.507093389296957</v>
      </c>
      <c r="AE129" s="25" t="n">
        <f aca="false">IFERROR((AE137-N(AE180))/AE136,"")</f>
        <v>0.516553106212425</v>
      </c>
      <c r="AF129" s="25" t="n">
        <f aca="false">IFERROR((AF137-N(AF180))/AF136,"")</f>
        <v>0.516125249208397</v>
      </c>
      <c r="AG129" s="25" t="n">
        <f aca="false">IFERROR((AG137-N(AG180))/AG136,"")</f>
        <v>0.529849512154788</v>
      </c>
      <c r="AH129" s="25" t="n">
        <f aca="false">IFERROR((AH137-N(AH180))/AH136,"")</f>
        <v>0.518118366956688</v>
      </c>
      <c r="AI129" s="25" t="n">
        <f aca="false">IFERROR((AI137-N(AI180))/AI136,"")</f>
        <v>0.5366478728857</v>
      </c>
      <c r="AJ129" s="25" t="n">
        <f aca="false">IFERROR((AJ137-N(AJ180))/AJ136,"")</f>
        <v>0.527476143468246</v>
      </c>
      <c r="AK129" s="25" t="n">
        <f aca="false">IFERROR((AK137-N(AK180))/AK136,"")</f>
        <v>0.5375</v>
      </c>
      <c r="AL129" s="25" t="n">
        <f aca="false">IFERROR((AL137-N(AL180))/AL136,"")</f>
        <v>0.53065928999539</v>
      </c>
      <c r="AM129" s="25" t="n">
        <f aca="false">IFERROR((AM137-N(AM180))/AM136,"")</f>
        <v>0.532966581821168</v>
      </c>
      <c r="AN129" s="25" t="n">
        <f aca="false">IFERROR((AN137-N(AN180))/AN136,"")</f>
        <v>0.53665306122449</v>
      </c>
      <c r="AO129" s="25" t="n">
        <f aca="false">IFERROR((AO137-N(AO180))/AO136,"")</f>
        <v>0.532457251424953</v>
      </c>
      <c r="AP129" s="25" t="n">
        <f aca="false">IFERROR((AP137-N(AP180))/AP136,"")</f>
        <v>0.53874362244898</v>
      </c>
      <c r="AQ129" s="25" t="n">
        <f aca="false">IFERROR((AQ137-N(AQ180))/AQ136,"")</f>
        <v>0.537267535510324</v>
      </c>
      <c r="AR129" s="25" t="n">
        <f aca="false">IFERROR((AR137-N(AR180))/AR136,"")</f>
        <v>0.536293164200141</v>
      </c>
      <c r="AS129" s="25" t="n">
        <f aca="false">IFERROR((AS137-N(AS180))/AS136,"")</f>
        <v>0.539807383627608</v>
      </c>
      <c r="AT129" s="25" t="n">
        <f aca="false">IFERROR((AT137-N(AT180))/AT136,"")</f>
        <v>0.493566575104814</v>
      </c>
      <c r="AU129" s="25" t="n">
        <f aca="false">IFERROR((AU137-N(AU180))/AU136,"")</f>
        <v>0.476939326370144</v>
      </c>
      <c r="AV129" s="25" t="n">
        <f aca="false">IFERROR((AV137-N(AV180))/AV136,"")</f>
        <v>0.461232227488152</v>
      </c>
      <c r="AW129" s="25" t="n">
        <f aca="false">IFERROR((AW137-N(AW180))/AW136,"")</f>
        <v>0.487522502948662</v>
      </c>
      <c r="AX129" s="25" t="n">
        <f aca="false">IFERROR((AX137-N(AX180))/AX136,"")</f>
        <v>0.459216636381991</v>
      </c>
      <c r="AY129" s="25" t="n">
        <f aca="false">IFERROR((AY137-N(AY180))/AY136,"")</f>
        <v>0.494446241777203</v>
      </c>
      <c r="AZ129" s="25" t="n">
        <f aca="false">IFERROR((AZ137-N(AZ180))/AZ136,"")</f>
        <v>0.485852090032154</v>
      </c>
      <c r="BA129" s="25" t="n">
        <f aca="false">IFERROR((BA137-N(BA180))/BA136,"")</f>
        <v>0.495421416557653</v>
      </c>
      <c r="BB129" s="25" t="n">
        <f aca="false">IFERROR((BB137-N(BB180))/BB136,"")</f>
        <v>0.483767310193568</v>
      </c>
      <c r="BC129" s="25" t="n">
        <f aca="false">IFERROR((BC137-N(BC180))/BC136,"")</f>
        <v>0.524877305804705</v>
      </c>
      <c r="BD129" s="25" t="n">
        <f aca="false">IFERROR((BD137-N(BD180))/BD136,"")</f>
        <v>0.568094804010939</v>
      </c>
      <c r="BE129" s="25" t="n">
        <f aca="false">IFERROR((BE137-N(BE180))/BE136,"")</f>
        <v>0.582935281446099</v>
      </c>
      <c r="BF129" s="25" t="n">
        <f aca="false">IFERROR((BF137-N(BF180))/BF136,"")</f>
        <v>0.586026200873362</v>
      </c>
      <c r="BG129" s="25" t="n">
        <f aca="false">IFERROR((BG137-N(BG180))/BG136,"")</f>
        <v>0.564822442391183</v>
      </c>
      <c r="BH129" s="25" t="n">
        <f aca="false">IFERROR((BH137-N(BH180))/BH136,"")</f>
        <v>0.597198879551821</v>
      </c>
      <c r="BI129" s="25" t="n">
        <f aca="false">IFERROR((BI137-N(BI180))/BI136,"")</f>
        <v>0.589969121362403</v>
      </c>
      <c r="BJ129" s="25" t="n">
        <f aca="false">IFERROR((BJ137-N(BJ180))/BJ136,"")</f>
        <v>0.579818422545867</v>
      </c>
      <c r="BK129" s="25" t="n">
        <f aca="false">IFERROR((BK137-N(BK180))/BK136,"")</f>
        <v>0.584971523057138</v>
      </c>
      <c r="BL129" s="25" t="n">
        <f aca="false">IFERROR((BL137-N(BL180))/BL136,"")</f>
        <v>0.588001960006533</v>
      </c>
      <c r="BM129" s="25" t="n">
        <f aca="false">IFERROR((BM137-N(BM180))/BM136,"")</f>
        <v>0.582406959884002</v>
      </c>
      <c r="BN129" s="25" t="n">
        <f aca="false">IFERROR((BN137-N(BN180))/BN136,"")</f>
        <v>0.579167061948582</v>
      </c>
      <c r="BO129" s="25" t="n">
        <f aca="false">IFERROR((BO137-N(BO180))/BO136,"")</f>
        <v>0.582279675410455</v>
      </c>
      <c r="BP129" s="25" t="n">
        <f aca="false">IFERROR((BP137-N(BP180))/BP136,"")</f>
        <v>0.567792891619131</v>
      </c>
      <c r="BQ129" s="25" t="n">
        <f aca="false">IFERROR((BQ137-N(BQ180))/BQ136,"")</f>
        <v>0.577695375358567</v>
      </c>
      <c r="BR129" s="25" t="n">
        <f aca="false">IFERROR((BR137-N(BR180))/BR136,"")</f>
        <v>0.583269008104979</v>
      </c>
      <c r="BS129" s="25" t="n">
        <f aca="false">IFERROR((BS137-N(BS180))/BS136,"")</f>
        <v>0.586642100414556</v>
      </c>
      <c r="BT129" s="25" t="n">
        <f aca="false">IFERROR((BT137-N(BT180))/BT136,"")</f>
        <v>0.580830785829887</v>
      </c>
      <c r="BU129" s="25" t="n">
        <f aca="false">IFERROR((BU137-N(BU180))/BU136,"")</f>
        <v>0.582071223905035</v>
      </c>
      <c r="BV129" s="25" t="n">
        <f aca="false">IFERROR((BV137-N(BV180))/BV136,"")</f>
        <v>0.583176227668552</v>
      </c>
      <c r="BW129" s="25" t="n">
        <f aca="false">IFERROR((BW137-N(BW180))/BW136,"")</f>
        <v>0.592003634711495</v>
      </c>
      <c r="BX129" s="25" t="n">
        <f aca="false">IFERROR((BX137-N(BX180))/BX136,"")</f>
        <v>0.585542771385693</v>
      </c>
      <c r="BY129" s="26" t="n">
        <f aca="false">(BW137+BX137-BW180-BX180)/(BW136+BX136)</f>
        <v>0.588634288447324</v>
      </c>
      <c r="BZ129" s="26" t="n">
        <f aca="false">(BW137+BX137-BW180-BX180)/(BW136+BX136)</f>
        <v>0.588634288447324</v>
      </c>
      <c r="CA129" s="26" t="n">
        <f aca="false">IFERROR((CA137-CA180)/CA136,"")</f>
        <v>0.588609633608017</v>
      </c>
      <c r="CB129" s="31" t="n">
        <v>0.585</v>
      </c>
      <c r="CC129" s="31" t="n">
        <v>0.585</v>
      </c>
      <c r="CD129" s="31" t="n">
        <v>0.585</v>
      </c>
      <c r="CE129" s="31" t="n">
        <v>0.585</v>
      </c>
      <c r="CF129" s="21" t="s">
        <v>268</v>
      </c>
    </row>
    <row r="130" customFormat="false" ht="15" hidden="false" customHeight="false" outlineLevel="0" collapsed="false">
      <c r="B130" s="23" t="s">
        <v>269</v>
      </c>
      <c r="C130" s="25" t="n">
        <f aca="false">IF(AND(ISNUMBER(C142),ISNUMBER(C136)),C142/C136,"")</f>
        <v>0.0448842802424401</v>
      </c>
      <c r="D130" s="25" t="n">
        <f aca="false">IF(AND(ISNUMBER(D142),ISNUMBER(D136)),D142/D136,"")</f>
        <v>0.0244910941475827</v>
      </c>
      <c r="E130" s="25" t="n">
        <f aca="false">IF(AND(ISNUMBER(E142),ISNUMBER(E136)),E142/E136,"")</f>
        <v>0.023728329205563</v>
      </c>
      <c r="F130" s="25" t="n">
        <f aca="false">IF(AND(ISNUMBER(F142),ISNUMBER(F136)),F142/F136,"")</f>
        <v>0.0243429577534447</v>
      </c>
      <c r="G130" s="25" t="n">
        <f aca="false">IF(AND(ISNUMBER(G142),ISNUMBER(G136)),G142/G136,"")</f>
        <v>0.0266204454660895</v>
      </c>
      <c r="H130" s="25" t="n">
        <f aca="false">IF(AND(ISNUMBER(H142),ISNUMBER(H136)),H142/H136,"")</f>
        <v>0.0290468109057727</v>
      </c>
      <c r="I130" s="25" t="n">
        <f aca="false">IF(AND(ISNUMBER(I142),ISNUMBER(I136)),I142/I136,"")</f>
        <v>0.030088170169226</v>
      </c>
      <c r="J130" s="25" t="n">
        <f aca="false">IF(AND(ISNUMBER(J142),ISNUMBER(J136)),J142/J136,"")</f>
        <v>0.0307692307692308</v>
      </c>
      <c r="K130" s="25" t="n">
        <f aca="false">IF(AND(ISNUMBER(K142),ISNUMBER(K136)),K142/K136,"")</f>
        <v>0.0298447578778433</v>
      </c>
      <c r="L130" s="25" t="n">
        <f aca="false">IF(AND(ISNUMBER(L142),ISNUMBER(L136)),L142/L136,"")</f>
        <v>0.0300457422144245</v>
      </c>
      <c r="M130" s="25" t="n">
        <f aca="false">IF(AND(ISNUMBER(M142),ISNUMBER(M136)),M142/M136,"")</f>
        <v>0.0301998903919928</v>
      </c>
      <c r="N130" s="25" t="n">
        <f aca="false">IF(AND(ISNUMBER(N142),ISNUMBER(N136)),N142/N136,"")</f>
        <v>0.0302132113091373</v>
      </c>
      <c r="O130" s="25" t="n">
        <f aca="false">IF(AND(ISNUMBER(O142),ISNUMBER(O136)),O142/O136,"")</f>
        <v>0.038350198539772</v>
      </c>
      <c r="P130" s="25" t="n">
        <f aca="false">IF(AND(ISNUMBER(P142),ISNUMBER(P136)),P142/P136,"")</f>
        <v>0.0425044540595571</v>
      </c>
      <c r="Q130" s="25" t="n">
        <f aca="false">IF(AND(ISNUMBER(Q142),ISNUMBER(Q136)),Q142/Q136,"")</f>
        <v>0.0420002876732032</v>
      </c>
      <c r="R130" s="25" t="n">
        <f aca="false">IF(AND(ISNUMBER(R142),ISNUMBER(R136)),R142/R136,"")</f>
        <v>0.0406205484330484</v>
      </c>
      <c r="S130" s="25" t="n">
        <f aca="false">IF(AND(ISNUMBER(S142),ISNUMBER(S136)),S142/S136,"")</f>
        <v>0.040918671845396</v>
      </c>
      <c r="T130" s="25" t="n">
        <f aca="false">IF(AND(ISNUMBER(T142),ISNUMBER(T136)),T142/T136,"")</f>
        <v>0.042308870062264</v>
      </c>
      <c r="U130" s="25" t="n">
        <f aca="false">IF(AND(ISNUMBER(U142),ISNUMBER(U136)),U142/U136,"")</f>
        <v>0.0408813130721862</v>
      </c>
      <c r="V130" s="25" t="n">
        <f aca="false">IF(AND(ISNUMBER(V142),ISNUMBER(V136)),V142/V136,"")</f>
        <v>0.0416181606519208</v>
      </c>
      <c r="W130" s="25" t="n">
        <f aca="false">IF(AND(ISNUMBER(W142),ISNUMBER(W136)),W142/W136,"")</f>
        <v>0.0387533584094573</v>
      </c>
      <c r="X130" s="25" t="n">
        <f aca="false">IF(AND(ISNUMBER(X142),ISNUMBER(X136)),X142/X136,"")</f>
        <v>0.0408065828097186</v>
      </c>
      <c r="Y130" s="25" t="n">
        <f aca="false">IF(AND(ISNUMBER(Y142),ISNUMBER(Y136)),Y142/Y136,"")</f>
        <v>0.0410962093694701</v>
      </c>
      <c r="Z130" s="25" t="n">
        <f aca="false">IF(AND(ISNUMBER(Z142),ISNUMBER(Z136)),Z142/Z136,"")</f>
        <v>0.0402187334626918</v>
      </c>
      <c r="AA130" s="25" t="n">
        <f aca="false">IF(AND(ISNUMBER(AA142),ISNUMBER(AA136)),AA142/AA136,"")</f>
        <v>0.0408158720969071</v>
      </c>
      <c r="AB130" s="25" t="n">
        <f aca="false">IF(AND(ISNUMBER(AB142),ISNUMBER(AB136)),AB142/AB136,"")</f>
        <v>0.0429217475571348</v>
      </c>
      <c r="AC130" s="25" t="n">
        <f aca="false">IF(AND(ISNUMBER(AC142),ISNUMBER(AC136)),AC142/AC136,"")</f>
        <v>0.0413043597222298</v>
      </c>
      <c r="AD130" s="25" t="n">
        <f aca="false">IF(AND(ISNUMBER(AD142),ISNUMBER(AD136)),AD142/AD136,"")</f>
        <v>0.0452046169989507</v>
      </c>
      <c r="AE130" s="25" t="n">
        <f aca="false">IF(AND(ISNUMBER(AE142),ISNUMBER(AE136)),AE142/AE136,"")</f>
        <v>0.0444088176352705</v>
      </c>
      <c r="AF130" s="25" t="n">
        <f aca="false">IF(AND(ISNUMBER(AF142),ISNUMBER(AF136)),AF142/AF136,"")</f>
        <v>0.0426292951800164</v>
      </c>
      <c r="AG130" s="25" t="n">
        <f aca="false">IF(AND(ISNUMBER(AG142),ISNUMBER(AG136)),AG142/AG136,"")</f>
        <v>0.0385315032247395</v>
      </c>
      <c r="AH130" s="25" t="n">
        <f aca="false">IF(AND(ISNUMBER(AH142),ISNUMBER(AH136)),AH142/AH136,"")</f>
        <v>0.0424514771966727</v>
      </c>
      <c r="AI130" s="25" t="n">
        <f aca="false">IF(AND(ISNUMBER(AI142),ISNUMBER(AI136)),AI142/AI136,"")</f>
        <v>0.0399794976934905</v>
      </c>
      <c r="AJ130" s="25" t="n">
        <f aca="false">IF(AND(ISNUMBER(AJ142),ISNUMBER(AJ136)),AJ142/AJ136,"")</f>
        <v>0.039815728858177</v>
      </c>
      <c r="AK130" s="25" t="n">
        <f aca="false">IF(AND(ISNUMBER(AK142),ISNUMBER(AK136)),AK142/AK136,"")</f>
        <v>0.0405405405405405</v>
      </c>
      <c r="AL130" s="25" t="n">
        <f aca="false">IF(AND(ISNUMBER(AL142),ISNUMBER(AL136)),AL142/AL136,"")</f>
        <v>0.0385738435530967</v>
      </c>
      <c r="AM130" s="25" t="n">
        <f aca="false">IF(AND(ISNUMBER(AM142),ISNUMBER(AM136)),AM142/AM136,"")</f>
        <v>0.0396994827161508</v>
      </c>
      <c r="AN130" s="25" t="n">
        <f aca="false">IF(AND(ISNUMBER(AN142),ISNUMBER(AN136)),AN142/AN136,"")</f>
        <v>0.0404897959183674</v>
      </c>
      <c r="AO130" s="25" t="n">
        <f aca="false">IF(AND(ISNUMBER(AO142),ISNUMBER(AO136)),AO142/AO136,"")</f>
        <v>0.038948701709943</v>
      </c>
      <c r="AP130" s="25" t="n">
        <f aca="false">IF(AND(ISNUMBER(AP142),ISNUMBER(AP136)),AP142/AP136,"")</f>
        <v>0.0393813775510204</v>
      </c>
      <c r="AQ130" s="25" t="n">
        <f aca="false">IF(AND(ISNUMBER(AQ142),ISNUMBER(AQ136)),AQ142/AQ136,"")</f>
        <v>0.0383657929418656</v>
      </c>
      <c r="AR130" s="25" t="n">
        <f aca="false">IF(AND(ISNUMBER(AR142),ISNUMBER(AR136)),AR142/AR136,"")</f>
        <v>0.0392686555477253</v>
      </c>
      <c r="AS130" s="25" t="n">
        <f aca="false">IF(AND(ISNUMBER(AS142),ISNUMBER(AS136)),AS142/AS136,"")</f>
        <v>0.0393258426966292</v>
      </c>
      <c r="AT130" s="25" t="n">
        <f aca="false">IF(AND(ISNUMBER(AT142),ISNUMBER(AT136)),AT142/AT136,"")</f>
        <v>0.038166835333237</v>
      </c>
      <c r="AU130" s="25" t="n">
        <f aca="false">IF(AND(ISNUMBER(AU142),ISNUMBER(AU136)),AU142/AU136,"")</f>
        <v>0.03473770684192</v>
      </c>
      <c r="AV130" s="25" t="n">
        <f aca="false">IF(AND(ISNUMBER(AV142),ISNUMBER(AV136)),AV142/AV136,"")</f>
        <v>0.0356398104265403</v>
      </c>
      <c r="AW130" s="25" t="n">
        <f aca="false">IF(AND(ISNUMBER(AW142),ISNUMBER(AW136)),AW142/AW136,"")</f>
        <v>0.0366565274070395</v>
      </c>
      <c r="AX130" s="25" t="n">
        <f aca="false">IF(AND(ISNUMBER(AX142),ISNUMBER(AX136)),AX142/AX136,"")</f>
        <v>0.0323036543508984</v>
      </c>
      <c r="AY130" s="25" t="n">
        <f aca="false">IF(AND(ISNUMBER(AY142),ISNUMBER(AY136)),AY142/AY136,"")</f>
        <v>0.0369891081634854</v>
      </c>
      <c r="AZ130" s="25" t="n">
        <f aca="false">IF(AND(ISNUMBER(AZ142),ISNUMBER(AZ136)),AZ142/AZ136,"")</f>
        <v>0.0376205787781351</v>
      </c>
      <c r="BA130" s="25" t="n">
        <f aca="false">IF(AND(ISNUMBER(BA142),ISNUMBER(BA136)),BA142/BA136,"")</f>
        <v>0.0366286675387778</v>
      </c>
      <c r="BB130" s="25" t="n">
        <f aca="false">IF(AND(ISNUMBER(BB142),ISNUMBER(BB136)),BB142/BB136,"")</f>
        <v>0.035857284945551</v>
      </c>
      <c r="BC130" s="25" t="n">
        <f aca="false">IF(AND(ISNUMBER(BC142),ISNUMBER(BC136)),BC142/BC136,"")</f>
        <v>0.0308004738534439</v>
      </c>
      <c r="BD130" s="25" t="n">
        <f aca="false">IF(AND(ISNUMBER(BD142),ISNUMBER(BD136)),BD142/BD136,"")</f>
        <v>0.0332725615314494</v>
      </c>
      <c r="BE130" s="25" t="n">
        <f aca="false">IF(AND(ISNUMBER(BE142),ISNUMBER(BE136)),BE142/BE136,"")</f>
        <v>0.0328744029221692</v>
      </c>
      <c r="BF130" s="25" t="n">
        <f aca="false">IF(AND(ISNUMBER(BF142),ISNUMBER(BF136)),BF142/BF136,"")</f>
        <v>0.0341484716157205</v>
      </c>
      <c r="BG130" s="25" t="n">
        <f aca="false">IF(AND(ISNUMBER(BG142),ISNUMBER(BG136)),BG142/BG136,"")</f>
        <v>0.0327507514193477</v>
      </c>
      <c r="BH130" s="25" t="n">
        <f aca="false">IF(AND(ISNUMBER(BH142),ISNUMBER(BH136)),BH142/BH136,"")</f>
        <v>0.0323062558356676</v>
      </c>
      <c r="BI130" s="25" t="n">
        <f aca="false">IF(AND(ISNUMBER(BI142),ISNUMBER(BI136)),BI142/BI136,"")</f>
        <v>0.0322822120333115</v>
      </c>
      <c r="BJ130" s="25" t="n">
        <f aca="false">IF(AND(ISNUMBER(BJ142),ISNUMBER(BJ136)),BJ142/BJ136,"")</f>
        <v>0.0301683374314356</v>
      </c>
      <c r="BK130" s="25" t="n">
        <f aca="false">IF(AND(ISNUMBER(BK142),ISNUMBER(BK136)),BK142/BK136,"")</f>
        <v>0.0300385816645232</v>
      </c>
      <c r="BL130" s="25" t="n">
        <f aca="false">IF(AND(ISNUMBER(BL142),ISNUMBER(BL136)),BL142/BL136,"")</f>
        <v>0.0311967706559022</v>
      </c>
      <c r="BM130" s="25" t="n">
        <f aca="false">IF(AND(ISNUMBER(BM142),ISNUMBER(BM136)),BM142/BM136,"")</f>
        <v>0.0319961333977767</v>
      </c>
      <c r="BN130" s="25" t="n">
        <f aca="false">IF(AND(ISNUMBER(BN142),ISNUMBER(BN136)),BN142/BN136,"")</f>
        <v>0.0321601366094298</v>
      </c>
      <c r="BO130" s="25" t="n">
        <f aca="false">IF(AND(ISNUMBER(BO142),ISNUMBER(BO136)),BO142/BO136,"")</f>
        <v>0.0326476693715795</v>
      </c>
      <c r="BP130" s="25" t="n">
        <f aca="false">IF(AND(ISNUMBER(BP142),ISNUMBER(BP136)),BP142/BP136,"")</f>
        <v>0.0328214129003949</v>
      </c>
      <c r="BQ130" s="25" t="n">
        <f aca="false">IF(AND(ISNUMBER(BQ142),ISNUMBER(BQ136)),BQ142/BQ136,"")</f>
        <v>0.0324168007649432</v>
      </c>
      <c r="BR130" s="25" t="n">
        <f aca="false">IF(AND(ISNUMBER(BR142),ISNUMBER(BR136)),BR142/BR136,"")</f>
        <v>0.0329988421458896</v>
      </c>
      <c r="BS130" s="25" t="n">
        <f aca="false">IF(AND(ISNUMBER(BS142),ISNUMBER(BS136)),BS142/BS136,"")</f>
        <v>0.0324274527867342</v>
      </c>
      <c r="BT130" s="25" t="n">
        <f aca="false">IF(AND(ISNUMBER(BT142),ISNUMBER(BT136)),BT142/BT136,"")</f>
        <v>0.031109512677576</v>
      </c>
      <c r="BU130" s="25" t="n">
        <f aca="false">IF(AND(ISNUMBER(BU142),ISNUMBER(BU136)),BU142/BU136,"")</f>
        <v>0.0292263610315186</v>
      </c>
      <c r="BV130" s="25" t="n">
        <f aca="false">IF(AND(ISNUMBER(BV142),ISNUMBER(BV136)),BV142/BV136,"")</f>
        <v>0.0313538019570877</v>
      </c>
      <c r="BW130" s="25" t="n">
        <f aca="false">IF(AND(ISNUMBER(BW142),ISNUMBER(BW136)),BW142/BW136,"")</f>
        <v>0.0305315765561109</v>
      </c>
      <c r="BX130" s="25" t="n">
        <f aca="false">IF(AND(ISNUMBER(BX142),ISNUMBER(BX136)),BX142/BX136,"")</f>
        <v>0.0303485075871269</v>
      </c>
      <c r="BY130" s="26" t="n">
        <f aca="false">(BW142+BX142)/(BW136+BX136)</f>
        <v>0.0304361059176486</v>
      </c>
      <c r="BZ130" s="26" t="n">
        <f aca="false">(BW142+BX142)/(BW136+BX136)</f>
        <v>0.0304361059176486</v>
      </c>
      <c r="CA130" s="26" t="n">
        <f aca="false">IFERROR(CA142/CA136,"")</f>
        <v>0.0304348311069295</v>
      </c>
      <c r="CB130" s="31" t="n">
        <v>0.031</v>
      </c>
      <c r="CC130" s="31" t="n">
        <v>0.031</v>
      </c>
      <c r="CD130" s="31" t="n">
        <v>0.031</v>
      </c>
      <c r="CE130" s="31" t="n">
        <v>0.031</v>
      </c>
      <c r="CF130" s="21" t="s">
        <v>270</v>
      </c>
    </row>
    <row r="131" customFormat="false" ht="15" hidden="false" customHeight="false" outlineLevel="0" collapsed="false">
      <c r="B131" s="23" t="s">
        <v>271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42" t="n">
        <v>75</v>
      </c>
      <c r="BZ131" s="42" t="n">
        <v>75</v>
      </c>
      <c r="CA131" s="39"/>
      <c r="CB131" s="39"/>
      <c r="CC131" s="39"/>
      <c r="CD131" s="39"/>
      <c r="CE131" s="39"/>
      <c r="CF131" s="21" t="s">
        <v>272</v>
      </c>
    </row>
    <row r="132" customFormat="false" ht="15" hidden="false" customHeight="false" outlineLevel="0" collapsed="false">
      <c r="B132" s="23" t="s">
        <v>273</v>
      </c>
      <c r="C132" s="25" t="n">
        <f aca="false">IF(AND(ISNUMBER(C143),ISNUMBER(C136)),C143/C136,"")</f>
        <v>0.0120560700091808</v>
      </c>
      <c r="D132" s="25" t="n">
        <f aca="false">IF(AND(ISNUMBER(D143),ISNUMBER(D136)),D143/D136,"")</f>
        <v>0.00432980382500205</v>
      </c>
      <c r="E132" s="25" t="n">
        <f aca="false">IF(AND(ISNUMBER(E143),ISNUMBER(E136)),E143/E136,"")</f>
        <v>0.00337207087064203</v>
      </c>
      <c r="F132" s="25" t="n">
        <f aca="false">IF(AND(ISNUMBER(F143),ISNUMBER(F136)),F143/F136,"")</f>
        <v>0.00601402613331751</v>
      </c>
      <c r="G132" s="25" t="n">
        <f aca="false">IF(AND(ISNUMBER(G143),ISNUMBER(G136)),G143/G136,"")</f>
        <v>0.00559845023033359</v>
      </c>
      <c r="H132" s="25" t="n">
        <f aca="false">IF(AND(ISNUMBER(H143),ISNUMBER(H136)),H143/H136,"")</f>
        <v>0.00856224255707451</v>
      </c>
      <c r="I132" s="25" t="n">
        <f aca="false">IF(AND(ISNUMBER(I143),ISNUMBER(I136)),I143/I136,"")</f>
        <v>0.0065628022606096</v>
      </c>
      <c r="J132" s="25" t="n">
        <f aca="false">IF(AND(ISNUMBER(J143),ISNUMBER(J136)),J143/J136,"")</f>
        <v>0.00673664421118596</v>
      </c>
      <c r="K132" s="25" t="n">
        <f aca="false">IF(AND(ISNUMBER(K143),ISNUMBER(K136)),K143/K136,"")</f>
        <v>0.00663559766673868</v>
      </c>
      <c r="L132" s="25" t="n">
        <f aca="false">IF(AND(ISNUMBER(L143),ISNUMBER(L136)),L143/L136,"")</f>
        <v>0.00357165235917037</v>
      </c>
      <c r="M132" s="25" t="n">
        <f aca="false">IF(AND(ISNUMBER(M143),ISNUMBER(M136)),M143/M136,"")</f>
        <v>0.00672070149124578</v>
      </c>
      <c r="N132" s="25" t="n">
        <f aca="false">IF(AND(ISNUMBER(N143),ISNUMBER(N136)),N143/N136,"")</f>
        <v>0.00593569284126414</v>
      </c>
      <c r="O132" s="25" t="n">
        <f aca="false">IF(AND(ISNUMBER(O143),ISNUMBER(O136)),O143/O136,"")</f>
        <v>-0.149148200333034</v>
      </c>
      <c r="P132" s="25" t="n">
        <f aca="false">IF(AND(ISNUMBER(P143),ISNUMBER(P136)),P143/P136,"")</f>
        <v>0.0140910247807677</v>
      </c>
      <c r="Q132" s="25" t="n">
        <f aca="false">IF(AND(ISNUMBER(Q143),ISNUMBER(Q136)),Q143/Q136,"")</f>
        <v>-0.0265138802320564</v>
      </c>
      <c r="R132" s="25" t="n">
        <f aca="false">IF(AND(ISNUMBER(R143),ISNUMBER(R136)),R143/R136,"")</f>
        <v>0.00750089031339031</v>
      </c>
      <c r="S132" s="25" t="n">
        <f aca="false">IF(AND(ISNUMBER(S143),ISNUMBER(S136)),S143/S136,"")</f>
        <v>-0.0354182455475559</v>
      </c>
      <c r="T132" s="25" t="n">
        <f aca="false">IF(AND(ISNUMBER(T143),ISNUMBER(T136)),T143/T136,"")</f>
        <v>0.00816576503011126</v>
      </c>
      <c r="U132" s="25" t="n">
        <f aca="false">IF(AND(ISNUMBER(U143),ISNUMBER(U136)),U143/U136,"")</f>
        <v>0.00477651080568498</v>
      </c>
      <c r="V132" s="25" t="n">
        <f aca="false">IF(AND(ISNUMBER(V143),ISNUMBER(V136)),V143/V136,"")</f>
        <v>0.00375921614280171</v>
      </c>
      <c r="W132" s="25" t="n">
        <f aca="false">IF(AND(ISNUMBER(W143),ISNUMBER(W136)),W143/W136,"")</f>
        <v>0.0101880709296077</v>
      </c>
      <c r="X132" s="25" t="n">
        <f aca="false">IF(AND(ISNUMBER(X143),ISNUMBER(X136)),X143/X136,"")</f>
        <v>0.00679618517688943</v>
      </c>
      <c r="Y132" s="25" t="n">
        <f aca="false">IF(AND(ISNUMBER(Y143),ISNUMBER(Y136)),Y143/Y136,"")</f>
        <v>0.0117816894849586</v>
      </c>
      <c r="Z132" s="25" t="n">
        <f aca="false">IF(AND(ISNUMBER(Z143),ISNUMBER(Z136)),Z143/Z136,"")</f>
        <v>0.00780560945493032</v>
      </c>
      <c r="AA132" s="25" t="n">
        <f aca="false">IF(AND(ISNUMBER(AA143),ISNUMBER(AA136)),AA143/AA136,"")</f>
        <v>0.0122247211026743</v>
      </c>
      <c r="AB132" s="25" t="n">
        <f aca="false">IF(AND(ISNUMBER(AB143),ISNUMBER(AB136)),AB143/AB136,"")</f>
        <v>0.00975127190503109</v>
      </c>
      <c r="AC132" s="25" t="n">
        <f aca="false">IF(AND(ISNUMBER(AC143),ISNUMBER(AC136)),AC143/AC136,"")</f>
        <v>0.0103534510591493</v>
      </c>
      <c r="AD132" s="25" t="n">
        <f aca="false">IF(AND(ISNUMBER(AD143),ISNUMBER(AD136)),AD143/AD136,"")</f>
        <v>0.00493179433368311</v>
      </c>
      <c r="AE132" s="25" t="n">
        <f aca="false">IF(AND(ISNUMBER(AE143),ISNUMBER(AE136)),AE143/AE136,"")</f>
        <v>0.00450901803607214</v>
      </c>
      <c r="AF132" s="25" t="n">
        <f aca="false">IF(AND(ISNUMBER(AF143),ISNUMBER(AF136)),AF143/AF136,"")</f>
        <v>0.00959696649857316</v>
      </c>
      <c r="AG132" s="25" t="n">
        <f aca="false">IF(AND(ISNUMBER(AG143),ISNUMBER(AG136)),AG143/AG136,"")</f>
        <v>0.000330742516950554</v>
      </c>
      <c r="AH132" s="25" t="n">
        <f aca="false">IF(AND(ISNUMBER(AH143),ISNUMBER(AH136)),AH143/AH136,"")</f>
        <v>0.0046371546036906</v>
      </c>
      <c r="AI132" s="25" t="n">
        <f aca="false">IF(AND(ISNUMBER(AI143),ISNUMBER(AI136)),AI143/AI136,"")</f>
        <v>0.00768836494105587</v>
      </c>
      <c r="AJ132" s="25" t="n">
        <f aca="false">IF(AND(ISNUMBER(AJ143),ISNUMBER(AJ136)),AJ143/AJ136,"")</f>
        <v>0.00279697268838434</v>
      </c>
      <c r="AK132" s="25" t="n">
        <f aca="false">IF(AND(ISNUMBER(AK143),ISNUMBER(AK136)),AK143/AK136,"")</f>
        <v>-0.00456081081081081</v>
      </c>
      <c r="AL132" s="25" t="n">
        <f aca="false">IF(AND(ISNUMBER(AL143),ISNUMBER(AL136)),AL143/AL136,"")</f>
        <v>0.00230520977408944</v>
      </c>
      <c r="AM132" s="25" t="n">
        <f aca="false">IF(AND(ISNUMBER(AM143),ISNUMBER(AM136)),AM143/AM136,"")</f>
        <v>0.00205271368749487</v>
      </c>
      <c r="AN132" s="25" t="n">
        <f aca="false">IF(AND(ISNUMBER(AN143),ISNUMBER(AN136)),AN143/AN136,"")</f>
        <v>0.00179591836734694</v>
      </c>
      <c r="AO132" s="25" t="n">
        <f aca="false">IF(AND(ISNUMBER(AO143),ISNUMBER(AO136)),AO143/AO136,"")</f>
        <v>-0.0766307789740342</v>
      </c>
      <c r="AP132" s="25" t="n">
        <f aca="false">IF(AND(ISNUMBER(AP143),ISNUMBER(AP136)),AP143/AP136,"")</f>
        <v>0.00494260204081633</v>
      </c>
      <c r="AQ132" s="25" t="n">
        <f aca="false">IF(AND(ISNUMBER(AQ143),ISNUMBER(AQ136)),AQ143/AQ136,"")</f>
        <v>0.00424659540196222</v>
      </c>
      <c r="AR132" s="25" t="n">
        <f aca="false">IF(AND(ISNUMBER(AR143),ISNUMBER(AR136)),AR143/AR136,"")</f>
        <v>-0.0161694464020045</v>
      </c>
      <c r="AS132" s="25" t="n">
        <f aca="false">IF(AND(ISNUMBER(AS143),ISNUMBER(AS136)),AS143/AS136,"")</f>
        <v>0.00609951845906902</v>
      </c>
      <c r="AT132" s="25" t="n">
        <f aca="false">IF(AND(ISNUMBER(AT143),ISNUMBER(AT136)),AT143/AT136,"")</f>
        <v>0.00173485615151077</v>
      </c>
      <c r="AU132" s="25" t="n">
        <f aca="false">IF(AND(ISNUMBER(AU143),ISNUMBER(AU136)),AU143/AU136,"")</f>
        <v>0.00199507100105621</v>
      </c>
      <c r="AV132" s="25" t="n">
        <f aca="false">IF(AND(ISNUMBER(AV143),ISNUMBER(AV136)),AV143/AV136,"")</f>
        <v>0.00303317535545024</v>
      </c>
      <c r="AW132" s="25" t="n">
        <f aca="false">IF(AND(ISNUMBER(AW143),ISNUMBER(AW136)),AW143/AW136,"")</f>
        <v>0.00307281643801602</v>
      </c>
      <c r="AX132" s="25" t="n">
        <f aca="false">IF(AND(ISNUMBER(AX143),ISNUMBER(AX136)),AX143/AX136,"")</f>
        <v>0.00141328487785181</v>
      </c>
      <c r="AY132" s="25" t="n">
        <f aca="false">IF(AND(ISNUMBER(AY143),ISNUMBER(AY136)),AY143/AY136,"")</f>
        <v>0.0128329558934541</v>
      </c>
      <c r="AZ132" s="25" t="n">
        <f aca="false">IF(AND(ISNUMBER(AZ143),ISNUMBER(AZ136)),AZ143/AZ136,"")</f>
        <v>0.00192926045016077</v>
      </c>
      <c r="BA132" s="25" t="n">
        <f aca="false">IF(AND(ISNUMBER(BA143),ISNUMBER(BA136)),BA143/BA136,"")</f>
        <v>0.00429826200710148</v>
      </c>
      <c r="BB132" s="25" t="n">
        <f aca="false">IF(AND(ISNUMBER(BB143),ISNUMBER(BB136)),BB143/BB136,"")</f>
        <v>0.00502410037999541</v>
      </c>
      <c r="BC132" s="25" t="n">
        <f aca="false">IF(AND(ISNUMBER(BC143),ISNUMBER(BC136)),BC143/BC136,"")</f>
        <v>0.00016923337282112</v>
      </c>
      <c r="BD132" s="25" t="n">
        <f aca="false">IF(AND(ISNUMBER(BD143),ISNUMBER(BD136)),BD143/BD136,"")</f>
        <v>0.00218778486782133</v>
      </c>
      <c r="BE132" s="25" t="n">
        <f aca="false">IF(AND(ISNUMBER(BE143),ISNUMBER(BE136)),BE143/BE136,"")</f>
        <v>0.00309075583028941</v>
      </c>
      <c r="BF132" s="25" t="n">
        <f aca="false">IF(AND(ISNUMBER(BF143),ISNUMBER(BF136)),BF143/BF136,"")</f>
        <v>0.00480349344978166</v>
      </c>
      <c r="BG132" s="25" t="n">
        <f aca="false">IF(AND(ISNUMBER(BG143),ISNUMBER(BG136)),BG143/BG136,"")</f>
        <v>0.00253812757430702</v>
      </c>
      <c r="BH132" s="25" t="n">
        <f aca="false">IF(AND(ISNUMBER(BH143),ISNUMBER(BH136)),BH143/BH136,"")</f>
        <v>0.0104575163398693</v>
      </c>
      <c r="BI132" s="25" t="n">
        <f aca="false">IF(AND(ISNUMBER(BI143),ISNUMBER(BI136)),BI143/BI136,"")</f>
        <v>0.0171236081220174</v>
      </c>
      <c r="BJ132" s="25" t="n">
        <f aca="false">IF(AND(ISNUMBER(BJ143),ISNUMBER(BJ136)),BJ143/BJ136,"")</f>
        <v>0.00794401361830906</v>
      </c>
      <c r="BK132" s="25" t="n">
        <f aca="false">IF(AND(ISNUMBER(BK143),ISNUMBER(BK136)),BK143/BK136,"")</f>
        <v>0.00734888848061731</v>
      </c>
      <c r="BL132" s="25" t="n">
        <f aca="false">IF(AND(ISNUMBER(BL143),ISNUMBER(BL136)),BL143/BL136,"")</f>
        <v>0.010710035700119</v>
      </c>
      <c r="BM132" s="25" t="n">
        <f aca="false">IF(AND(ISNUMBER(BM143),ISNUMBER(BM136)),BM143/BM136,"")</f>
        <v>0.0028032866118898</v>
      </c>
      <c r="BN132" s="25" t="n">
        <f aca="false">IF(AND(ISNUMBER(BN143),ISNUMBER(BN136)),BN143/BN136,"")</f>
        <v>0.00730480979034247</v>
      </c>
      <c r="BO132" s="25" t="n">
        <f aca="false">IF(AND(ISNUMBER(BO143),ISNUMBER(BO136)),BO143/BO136,"")</f>
        <v>0.00424608416682393</v>
      </c>
      <c r="BP132" s="25" t="n">
        <f aca="false">IF(AND(ISNUMBER(BP143),ISNUMBER(BP136)),BP143/BP136,"")</f>
        <v>0.0200087757788504</v>
      </c>
      <c r="BQ132" s="25" t="n">
        <f aca="false">IF(AND(ISNUMBER(BQ143),ISNUMBER(BQ136)),BQ143/BQ136,"")</f>
        <v>0.00883882553231185</v>
      </c>
      <c r="BR132" s="25" t="n">
        <f aca="false">IF(AND(ISNUMBER(BR143),ISNUMBER(BR136)),BR143/BR136,"")</f>
        <v>0.00945580856812042</v>
      </c>
      <c r="BS132" s="25" t="n">
        <f aca="false">IF(AND(ISNUMBER(BS143),ISNUMBER(BS136)),BS143/BS136,"")</f>
        <v>0.0075541225241824</v>
      </c>
      <c r="BT132" s="25" t="n">
        <f aca="false">IF(AND(ISNUMBER(BT143),ISNUMBER(BT136)),BT143/BT136,"")</f>
        <v>0.0121381046574357</v>
      </c>
      <c r="BU132" s="25" t="n">
        <f aca="false">IF(AND(ISNUMBER(BU143),ISNUMBER(BU136)),BU143/BU136,"")</f>
        <v>0.00376586164551781</v>
      </c>
      <c r="BV132" s="25" t="n">
        <f aca="false">IF(AND(ISNUMBER(BV143),ISNUMBER(BV136)),BV143/BV136,"")</f>
        <v>0.00812460723583805</v>
      </c>
      <c r="BW132" s="25" t="n">
        <f aca="false">IF(AND(ISNUMBER(BW143),ISNUMBER(BW136)),BW143/BW136,"")</f>
        <v>0.0044525215810995</v>
      </c>
      <c r="BX132" s="25" t="n">
        <f aca="false">IF(AND(ISNUMBER(BX143),ISNUMBER(BX136)),BX143/BX136,"")</f>
        <v>0.00817075204268801</v>
      </c>
      <c r="BY132" s="29"/>
      <c r="BZ132" s="29"/>
      <c r="CA132" s="26" t="n">
        <f aca="false">IFERROR(CA143/CA136,"")</f>
        <v>0.00196858638743456</v>
      </c>
      <c r="CB132" s="31" t="n">
        <v>0.006</v>
      </c>
      <c r="CC132" s="31" t="n">
        <v>0.006</v>
      </c>
      <c r="CD132" s="31" t="n">
        <v>0.006</v>
      </c>
      <c r="CE132" s="31" t="n">
        <v>0.006</v>
      </c>
      <c r="CF132" s="21" t="s">
        <v>274</v>
      </c>
    </row>
    <row r="133" customFormat="false" ht="15" hidden="false" customHeight="false" outlineLevel="0" collapsed="false">
      <c r="B133" s="23" t="s">
        <v>275</v>
      </c>
      <c r="C133" s="25" t="n">
        <f aca="false">IFERROR(C165/C136,"")</f>
        <v>0.0183035364595105</v>
      </c>
      <c r="D133" s="25" t="n">
        <f aca="false">IFERROR(D165/D136,"")</f>
        <v>0.00524296150373471</v>
      </c>
      <c r="E133" s="25" t="n">
        <f aca="false">IFERROR(E165/E136,"")</f>
        <v>0.00543913126309773</v>
      </c>
      <c r="F133" s="25" t="n">
        <f aca="false">IFERROR(F165/F136,"")</f>
        <v>0.00673610492892964</v>
      </c>
      <c r="G133" s="25" t="n">
        <f aca="false">IFERROR(G165/G136,"")</f>
        <v>0.00770250354537618</v>
      </c>
      <c r="H133" s="25" t="n">
        <f aca="false">IFERROR(H165/H136,"")</f>
        <v>0.0068395602896153</v>
      </c>
      <c r="I133" s="25" t="n">
        <f aca="false">IFERROR(I165/I136,"")</f>
        <v>0.00625104916905811</v>
      </c>
      <c r="J133" s="25" t="n">
        <f aca="false">IFERROR(J165/J136,"")</f>
        <v>0.00639197869340436</v>
      </c>
      <c r="K133" s="25" t="n">
        <f aca="false">IFERROR(K165/K136,"")</f>
        <v>0.00719113607604704</v>
      </c>
      <c r="L133" s="25" t="n">
        <f aca="false">IFERROR(L165/L136,"")</f>
        <v>0.00717463500219312</v>
      </c>
      <c r="M133" s="25" t="n">
        <f aca="false">IFERROR(M165/M136,"")</f>
        <v>0.00700914361533358</v>
      </c>
      <c r="N133" s="25" t="n">
        <f aca="false">IFERROR(N165/N136,"")</f>
        <v>0.00694407309228971</v>
      </c>
      <c r="O133" s="25" t="n">
        <f aca="false">IFERROR(O165/O136,"")</f>
        <v>0.00645574484437044</v>
      </c>
      <c r="P133" s="25" t="n">
        <f aca="false">IFERROR(P165/P136,"")</f>
        <v>0.00712649529142276</v>
      </c>
      <c r="Q133" s="25" t="n">
        <f aca="false">IFERROR(Q165/Q136,"")</f>
        <v>0.00733566668264851</v>
      </c>
      <c r="R133" s="25" t="n">
        <f aca="false">IFERROR(R165/R136,"")</f>
        <v>0.0067886396011396</v>
      </c>
      <c r="S133" s="25" t="n">
        <f aca="false">IFERROR(S165/S136,"")</f>
        <v>0.00693326070481243</v>
      </c>
      <c r="T133" s="25" t="n">
        <f aca="false">IFERROR(T165/T136,"")</f>
        <v>0.00719608043278555</v>
      </c>
      <c r="U133" s="25" t="n">
        <f aca="false">IFERROR(U165/U136,"")</f>
        <v>0.00728183755180407</v>
      </c>
      <c r="V133" s="25" t="n">
        <f aca="false">IFERROR(V165/V136,"")</f>
        <v>0.00788222739619713</v>
      </c>
      <c r="W133" s="25" t="n">
        <f aca="false">IFERROR(W165/W136,"")</f>
        <v>0.00713594841483074</v>
      </c>
      <c r="X133" s="25" t="n">
        <f aca="false">IFERROR(X165/X136,"")</f>
        <v>0.00736793709550025</v>
      </c>
      <c r="Y133" s="25" t="n">
        <f aca="false">IFERROR(Y165/Y136,"")</f>
        <v>0.00777684641892521</v>
      </c>
      <c r="Z133" s="25" t="n">
        <f aca="false">IFERROR(Z165/Z136,"")</f>
        <v>0.00743076380313988</v>
      </c>
      <c r="AA133" s="25" t="n">
        <f aca="false">IFERROR(AA165/AA136,"")</f>
        <v>0.00777127079204614</v>
      </c>
      <c r="AB133" s="25" t="n">
        <f aca="false">IFERROR(AB165/AB136,"")</f>
        <v>0.00635952515545506</v>
      </c>
      <c r="AC133" s="25" t="n">
        <f aca="false">IFERROR(AC165/AC136,"")</f>
        <v>0.00730542133401919</v>
      </c>
      <c r="AD133" s="25" t="n">
        <f aca="false">IFERROR(AD165/AD136,"")</f>
        <v>0.00692549842602309</v>
      </c>
      <c r="AE133" s="25" t="n">
        <f aca="false">IFERROR(AE165/AE136,"")</f>
        <v>0.00765531062124249</v>
      </c>
      <c r="AF133" s="25" t="n">
        <f aca="false">IFERROR(AF165/AF136,"")</f>
        <v>0.00873695320745866</v>
      </c>
      <c r="AG133" s="25" t="n">
        <f aca="false">IFERROR(AG165/AG136,"")</f>
        <v>0.00712750124028444</v>
      </c>
      <c r="AH133" s="25" t="n">
        <f aca="false">IFERROR(AH165/AH136,"")</f>
        <v>0.00760110909264748</v>
      </c>
      <c r="AI133" s="25" t="n">
        <f aca="false">IFERROR(AI165/AI136,"")</f>
        <v>0.0073466598325645</v>
      </c>
      <c r="AJ133" s="25" t="n">
        <f aca="false">IFERROR(AJ165/AJ136,"")</f>
        <v>0.00789733464955577</v>
      </c>
      <c r="AK133" s="25" t="n">
        <f aca="false">IFERROR(AK165/AK136,"")</f>
        <v>0.00777027027027027</v>
      </c>
      <c r="AL133" s="25" t="n">
        <f aca="false">IFERROR(AL165/AL136,"")</f>
        <v>0.00676194867066236</v>
      </c>
      <c r="AM133" s="25" t="n">
        <f aca="false">IFERROR(AM165/AM136,"")</f>
        <v>0.00743082354873142</v>
      </c>
      <c r="AN133" s="25" t="n">
        <f aca="false">IFERROR(AN165/AN136,"")</f>
        <v>0.00718367346938776</v>
      </c>
      <c r="AO133" s="25" t="n">
        <f aca="false">IFERROR(AO165/AO136,"")</f>
        <v>0.00823305889803673</v>
      </c>
      <c r="AP133" s="25" t="n">
        <f aca="false">IFERROR(AP165/AP136,"")</f>
        <v>0.00669642857142857</v>
      </c>
      <c r="AQ133" s="25" t="n">
        <f aca="false">IFERROR(AQ165/AQ136,"")</f>
        <v>0.00629667594084053</v>
      </c>
      <c r="AR133" s="25" t="n">
        <f aca="false">IFERROR(AR165/AR136,"")</f>
        <v>0.00708636755148383</v>
      </c>
      <c r="AS133" s="25" t="n">
        <f aca="false">IFERROR(AS165/AS136,"")</f>
        <v>0.00738362760834671</v>
      </c>
      <c r="AT133" s="25" t="n">
        <f aca="false">IFERROR(AT165/AT136,"")</f>
        <v>0.00679485326008385</v>
      </c>
      <c r="AU133" s="25" t="n">
        <f aca="false">IFERROR(AU165/AU136,"")</f>
        <v>0.00610257012087783</v>
      </c>
      <c r="AV133" s="25" t="n">
        <f aca="false">IFERROR(AV165/AV136,"")</f>
        <v>0.00483412322274882</v>
      </c>
      <c r="AW133" s="25" t="n">
        <f aca="false">IFERROR(AW165/AW136,"")</f>
        <v>0.00608355577627413</v>
      </c>
      <c r="AX133" s="25" t="n">
        <f aca="false">IFERROR(AX165/AX136,"")</f>
        <v>0.00514839491217444</v>
      </c>
      <c r="AY133" s="25" t="n">
        <f aca="false">IFERROR(AY165/AY136,"")</f>
        <v>0.00549983824005176</v>
      </c>
      <c r="AZ133" s="25" t="n">
        <f aca="false">IFERROR(AZ165/AZ136,"")</f>
        <v>0.00546623794212219</v>
      </c>
      <c r="BA133" s="25" t="n">
        <f aca="false">IFERROR(BA165/BA136,"")</f>
        <v>0.00719491683797421</v>
      </c>
      <c r="BB133" s="25" t="n">
        <f aca="false">IFERROR(BB165/BB136,"")</f>
        <v>0.00586570095126368</v>
      </c>
      <c r="BC133" s="25" t="n">
        <f aca="false">IFERROR(BC165/BC136,"")</f>
        <v>0.00660010154002369</v>
      </c>
      <c r="BD133" s="25" t="n">
        <f aca="false">IFERROR(BD165/BD136,"")</f>
        <v>0.00701914311759344</v>
      </c>
      <c r="BE133" s="25" t="n">
        <f aca="false">IFERROR(BE165/BE136,"")</f>
        <v>0.00721176360400862</v>
      </c>
      <c r="BF133" s="25" t="n">
        <f aca="false">IFERROR(BF165/BF136,"")</f>
        <v>0.00655021834061135</v>
      </c>
      <c r="BG133" s="25" t="n">
        <f aca="false">IFERROR(BG165/BG136,"")</f>
        <v>0.00683513302905488</v>
      </c>
      <c r="BH133" s="25" t="n">
        <f aca="false">IFERROR(BH165/BH136,"")</f>
        <v>0.00709617180205416</v>
      </c>
      <c r="BI133" s="25" t="n">
        <f aca="false">IFERROR(BI165/BI136,"")</f>
        <v>0.00692430055207261</v>
      </c>
      <c r="BJ133" s="25" t="n">
        <f aca="false">IFERROR(BJ165/BJ136,"")</f>
        <v>0.00633629657650842</v>
      </c>
      <c r="BK133" s="25" t="n">
        <f aca="false">IFERROR(BK165/BK136,"")</f>
        <v>0.0056035274664707</v>
      </c>
      <c r="BL133" s="25" t="n">
        <f aca="false">IFERROR(BL165/BL136,"")</f>
        <v>0.00648668828896096</v>
      </c>
      <c r="BM133" s="25" t="n">
        <f aca="false">IFERROR(BM165/BM136,"")</f>
        <v>0.00676655389076849</v>
      </c>
      <c r="BN133" s="25" t="n">
        <f aca="false">IFERROR(BN165/BN136,"")</f>
        <v>0.00796888340764633</v>
      </c>
      <c r="BO133" s="25" t="n">
        <f aca="false">IFERROR(BO165/BO136,"")</f>
        <v>0.0064163049632006</v>
      </c>
      <c r="BP133" s="25" t="n">
        <f aca="false">IFERROR(BP165/BP136,"")</f>
        <v>0.00693286529179465</v>
      </c>
      <c r="BQ133" s="25" t="n">
        <f aca="false">IFERROR(BQ165/BQ136,"")</f>
        <v>0.00701975325917116</v>
      </c>
      <c r="BR133" s="25" t="n">
        <f aca="false">IFERROR(BR165/BR136,"")</f>
        <v>0.00723658818988807</v>
      </c>
      <c r="BS133" s="25" t="n">
        <f aca="false">IFERROR(BS165/BS136,"")</f>
        <v>0.00746199907876555</v>
      </c>
      <c r="BT133" s="25" t="n">
        <f aca="false">IFERROR(BT165/BT136,"")</f>
        <v>0.0062938320445963</v>
      </c>
      <c r="BU133" s="25" t="n">
        <f aca="false">IFERROR(BU165/BU136,"")</f>
        <v>0.00687679083094556</v>
      </c>
      <c r="BV133" s="25" t="n">
        <f aca="false">IFERROR(BV165/BV136,"")</f>
        <v>0.00695753658317623</v>
      </c>
      <c r="BW133" s="25" t="n">
        <f aca="false">IFERROR(BW165/BW136,"")</f>
        <v>0.00754202635165834</v>
      </c>
      <c r="BX133" s="25" t="n">
        <f aca="false">IFERROR(BX165/BX136,"")</f>
        <v>0.00683675170918793</v>
      </c>
      <c r="BY133" s="26" t="n">
        <f aca="false">(BW165+BX165)/(BW136+BX136)</f>
        <v>0.00717422496630288</v>
      </c>
      <c r="BZ133" s="26" t="n">
        <f aca="false">(BW165+BX165)/(BW136+BX136)</f>
        <v>0.00717422496630288</v>
      </c>
      <c r="CA133" s="26" t="n">
        <f aca="false">IFERROR(CA165/CA136,"")</f>
        <v>0.00717392447520482</v>
      </c>
      <c r="CB133" s="31" t="n">
        <v>0.007</v>
      </c>
      <c r="CC133" s="31" t="n">
        <v>0.007</v>
      </c>
      <c r="CD133" s="31" t="n">
        <v>0.007</v>
      </c>
      <c r="CE133" s="31" t="n">
        <v>0.007</v>
      </c>
      <c r="CF133" s="21" t="s">
        <v>276</v>
      </c>
    </row>
    <row r="135" customFormat="false" ht="15" hidden="false" customHeight="false" outlineLevel="0" collapsed="false">
      <c r="B135" s="11" t="s">
        <v>277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 t="s">
        <v>278</v>
      </c>
    </row>
    <row r="136" customFormat="false" ht="15" hidden="false" customHeight="false" outlineLevel="0" collapsed="false">
      <c r="B136" s="58" t="s">
        <v>279</v>
      </c>
      <c r="C136" s="62" t="n">
        <v>3791.617</v>
      </c>
      <c r="D136" s="62" t="n">
        <v>9746.4</v>
      </c>
      <c r="E136" s="62" t="n">
        <v>10498</v>
      </c>
      <c r="F136" s="62" t="n">
        <v>10109.7</v>
      </c>
      <c r="G136" s="62" t="n">
        <v>10788.7</v>
      </c>
      <c r="H136" s="62" t="n">
        <v>11725.9</v>
      </c>
      <c r="I136" s="62" t="n">
        <v>12509.9</v>
      </c>
      <c r="J136" s="62" t="n">
        <v>3191.5</v>
      </c>
      <c r="K136" s="62" t="n">
        <v>3240.1</v>
      </c>
      <c r="L136" s="62" t="n">
        <v>3191.8</v>
      </c>
      <c r="M136" s="62" t="n">
        <v>3466.9</v>
      </c>
      <c r="N136" s="62" t="n">
        <v>13090.3</v>
      </c>
      <c r="O136" s="62" t="n">
        <v>3903.5</v>
      </c>
      <c r="P136" s="62" t="n">
        <v>4321.9</v>
      </c>
      <c r="Q136" s="62" t="n">
        <v>4171.4</v>
      </c>
      <c r="R136" s="62" t="n">
        <v>4492.8</v>
      </c>
      <c r="S136" s="62" t="n">
        <v>16889.6</v>
      </c>
      <c r="T136" s="62" t="n">
        <v>3918.8</v>
      </c>
      <c r="U136" s="62" t="n">
        <v>4270.9</v>
      </c>
      <c r="V136" s="62" t="n">
        <v>4123.2</v>
      </c>
      <c r="W136" s="62" t="n">
        <v>4652.5</v>
      </c>
      <c r="X136" s="62" t="n">
        <v>16965.4</v>
      </c>
      <c r="Y136" s="62" t="n">
        <v>4294.8</v>
      </c>
      <c r="Z136" s="62" t="n">
        <v>4535.2</v>
      </c>
      <c r="AA136" s="62" t="n">
        <v>4490.9</v>
      </c>
      <c r="AB136" s="62" t="n">
        <v>4953.2</v>
      </c>
      <c r="AC136" s="62" t="n">
        <v>18274.1</v>
      </c>
      <c r="AD136" s="62" t="n">
        <v>4765</v>
      </c>
      <c r="AE136" s="62" t="n">
        <v>4990</v>
      </c>
      <c r="AF136" s="62" t="n">
        <v>5116.2</v>
      </c>
      <c r="AG136" s="62" t="n">
        <v>6047</v>
      </c>
      <c r="AH136" s="62" t="n">
        <v>20918</v>
      </c>
      <c r="AI136" s="62" t="n">
        <v>5853</v>
      </c>
      <c r="AJ136" s="62" t="n">
        <v>6078</v>
      </c>
      <c r="AK136" s="62" t="n">
        <v>5920</v>
      </c>
      <c r="AL136" s="62" t="n">
        <v>6507</v>
      </c>
      <c r="AM136" s="62" t="n">
        <v>24358</v>
      </c>
      <c r="AN136" s="62" t="n">
        <v>6125</v>
      </c>
      <c r="AO136" s="62" t="n">
        <v>6316</v>
      </c>
      <c r="AP136" s="62" t="n">
        <v>6272</v>
      </c>
      <c r="AQ136" s="62" t="n">
        <v>6829</v>
      </c>
      <c r="AR136" s="62" t="n">
        <v>25542</v>
      </c>
      <c r="AS136" s="62" t="n">
        <v>6230</v>
      </c>
      <c r="AT136" s="62" t="n">
        <v>6917</v>
      </c>
      <c r="AU136" s="62" t="n">
        <v>8521</v>
      </c>
      <c r="AV136" s="62" t="n">
        <v>10550</v>
      </c>
      <c r="AW136" s="62" t="n">
        <v>32218</v>
      </c>
      <c r="AX136" s="62" t="n">
        <v>9906</v>
      </c>
      <c r="AY136" s="62" t="n">
        <v>9273</v>
      </c>
      <c r="AZ136" s="62" t="n">
        <v>9330</v>
      </c>
      <c r="BA136" s="62" t="n">
        <v>10702</v>
      </c>
      <c r="BB136" s="62" t="n">
        <v>39211</v>
      </c>
      <c r="BC136" s="62" t="n">
        <v>11818</v>
      </c>
      <c r="BD136" s="62" t="n">
        <v>10970</v>
      </c>
      <c r="BE136" s="62" t="n">
        <v>10677</v>
      </c>
      <c r="BF136" s="62" t="n">
        <v>11450</v>
      </c>
      <c r="BG136" s="62" t="n">
        <v>44915</v>
      </c>
      <c r="BH136" s="62" t="n">
        <v>10710</v>
      </c>
      <c r="BI136" s="62" t="n">
        <v>10687</v>
      </c>
      <c r="BJ136" s="62" t="n">
        <v>10574</v>
      </c>
      <c r="BK136" s="62" t="n">
        <v>10886</v>
      </c>
      <c r="BL136" s="62" t="n">
        <v>42857</v>
      </c>
      <c r="BM136" s="62" t="n">
        <v>10345</v>
      </c>
      <c r="BN136" s="62" t="n">
        <v>10541</v>
      </c>
      <c r="BO136" s="62" t="n">
        <v>10598</v>
      </c>
      <c r="BP136" s="62" t="n">
        <v>11395</v>
      </c>
      <c r="BQ136" s="62" t="n">
        <v>42879</v>
      </c>
      <c r="BR136" s="62" t="n">
        <v>10364</v>
      </c>
      <c r="BS136" s="62" t="n">
        <v>10855</v>
      </c>
      <c r="BT136" s="62" t="n">
        <v>11122</v>
      </c>
      <c r="BU136" s="62" t="n">
        <v>12215</v>
      </c>
      <c r="BV136" s="62" t="n">
        <v>44556</v>
      </c>
      <c r="BW136" s="62" t="n">
        <v>11005</v>
      </c>
      <c r="BX136" s="62" t="n">
        <v>11994</v>
      </c>
      <c r="BY136" s="59" t="n">
        <f aca="false">BY103</f>
        <v>11951.1323910507</v>
      </c>
      <c r="BZ136" s="59" t="n">
        <f aca="false">BZ103</f>
        <v>12797.8676089493</v>
      </c>
      <c r="CA136" s="59" t="n">
        <f aca="false">CA103</f>
        <v>47750</v>
      </c>
      <c r="CB136" s="59" t="n">
        <f aca="false">CB103</f>
        <v>50663.8492060496</v>
      </c>
      <c r="CC136" s="59" t="n">
        <f aca="false">CC103</f>
        <v>54503.0316265443</v>
      </c>
      <c r="CD136" s="59" t="n">
        <f aca="false">CD103</f>
        <v>58632.4730689533</v>
      </c>
      <c r="CE136" s="59" t="n">
        <f aca="false">CE103</f>
        <v>63013.654349173</v>
      </c>
      <c r="CF136" s="21" t="s">
        <v>280</v>
      </c>
      <c r="CH136" s="22" t="n">
        <f aca="false">IFERROR((CE136/BV136)^(1/5)-1,"n/m")</f>
        <v>0.0717801125567132</v>
      </c>
      <c r="CI136" s="22" t="n">
        <f aca="false">IFERROR((BV136/AW136)^(1/5)-1,"n/m")</f>
        <v>0.0669928854403787</v>
      </c>
      <c r="CJ136" s="22" t="n">
        <f aca="false">IFERROR((BV136/X136)^(1/10)-1,"n/m")</f>
        <v>0.101372451093268</v>
      </c>
      <c r="CK136" s="22" t="n">
        <f aca="false">IFERROR((BV136/C136)^(1/19)-1,"n/m")</f>
        <v>0.138466068645023</v>
      </c>
    </row>
    <row r="137" customFormat="false" ht="15" hidden="false" customHeight="false" outlineLevel="0" collapsed="false">
      <c r="B137" s="23" t="s">
        <v>281</v>
      </c>
      <c r="C137" s="37" t="n">
        <v>2210.189</v>
      </c>
      <c r="D137" s="37" t="n">
        <v>5820.3</v>
      </c>
      <c r="E137" s="37" t="n">
        <v>6167.6</v>
      </c>
      <c r="F137" s="37" t="n">
        <v>5960.3</v>
      </c>
      <c r="G137" s="37" t="n">
        <v>6215.1</v>
      </c>
      <c r="H137" s="37" t="n">
        <v>6737.3</v>
      </c>
      <c r="I137" s="37" t="n">
        <v>6993</v>
      </c>
      <c r="J137" s="37" t="n">
        <v>1799.1</v>
      </c>
      <c r="K137" s="37" t="n">
        <v>1820.9</v>
      </c>
      <c r="L137" s="37" t="n">
        <v>1788.2</v>
      </c>
      <c r="M137" s="37" t="n">
        <v>1931</v>
      </c>
      <c r="N137" s="37" t="n">
        <v>7339.2</v>
      </c>
      <c r="O137" s="37" t="n">
        <v>2191.8</v>
      </c>
      <c r="P137" s="37" t="n">
        <v>2361</v>
      </c>
      <c r="Q137" s="37" t="n">
        <v>2127</v>
      </c>
      <c r="R137" s="37" t="n">
        <v>2290.8</v>
      </c>
      <c r="S137" s="37" t="n">
        <v>8970.6</v>
      </c>
      <c r="T137" s="37" t="n">
        <v>1988.6</v>
      </c>
      <c r="U137" s="37" t="n">
        <v>2222</v>
      </c>
      <c r="V137" s="37" t="n">
        <v>2132.2</v>
      </c>
      <c r="W137" s="37" t="n">
        <v>2439.9</v>
      </c>
      <c r="X137" s="37" t="n">
        <v>8782.7</v>
      </c>
      <c r="Y137" s="37" t="n">
        <v>2235.9</v>
      </c>
      <c r="Z137" s="37" t="n">
        <v>2349.4</v>
      </c>
      <c r="AA137" s="37" t="n">
        <v>2327.2</v>
      </c>
      <c r="AB137" s="37" t="n">
        <v>2546.6</v>
      </c>
      <c r="AC137" s="37" t="n">
        <v>9459.1</v>
      </c>
      <c r="AD137" s="37" t="n">
        <v>2447.2</v>
      </c>
      <c r="AE137" s="37" t="n">
        <v>2578.3</v>
      </c>
      <c r="AF137" s="37" t="n">
        <v>2685.7</v>
      </c>
      <c r="AG137" s="37" t="n">
        <v>3250</v>
      </c>
      <c r="AH137" s="37" t="n">
        <v>10961</v>
      </c>
      <c r="AI137" s="37" t="n">
        <v>3144</v>
      </c>
      <c r="AJ137" s="37" t="n">
        <v>3211</v>
      </c>
      <c r="AK137" s="37" t="n">
        <v>3181</v>
      </c>
      <c r="AL137" s="37" t="n">
        <v>3458</v>
      </c>
      <c r="AM137" s="37" t="n">
        <v>12994</v>
      </c>
      <c r="AN137" s="37" t="n">
        <v>3293</v>
      </c>
      <c r="AO137" s="37" t="n">
        <v>3368</v>
      </c>
      <c r="AP137" s="37" t="n">
        <v>3384</v>
      </c>
      <c r="AQ137" s="37" t="n">
        <v>3670</v>
      </c>
      <c r="AR137" s="37" t="n">
        <v>13715</v>
      </c>
      <c r="AS137" s="37" t="n">
        <v>3365</v>
      </c>
      <c r="AT137" s="37" t="n">
        <v>3416</v>
      </c>
      <c r="AU137" s="37" t="n">
        <v>4065</v>
      </c>
      <c r="AV137" s="37" t="n">
        <v>4867</v>
      </c>
      <c r="AW137" s="37" t="n">
        <v>15713</v>
      </c>
      <c r="AX137" s="37" t="n">
        <v>4557</v>
      </c>
      <c r="AY137" s="37" t="n">
        <v>4585</v>
      </c>
      <c r="AZ137" s="37" t="n">
        <v>4533</v>
      </c>
      <c r="BA137" s="37" t="n">
        <v>5302</v>
      </c>
      <c r="BB137" s="37" t="n">
        <v>18977</v>
      </c>
      <c r="BC137" s="37" t="n">
        <v>6214</v>
      </c>
      <c r="BD137" s="37" t="n">
        <v>6240</v>
      </c>
      <c r="BE137" s="37" t="n">
        <v>6246</v>
      </c>
      <c r="BF137" s="37" t="n">
        <v>6715</v>
      </c>
      <c r="BG137" s="37" t="n">
        <v>25415</v>
      </c>
      <c r="BH137" s="37" t="n">
        <v>6437</v>
      </c>
      <c r="BI137" s="37" t="n">
        <v>6323</v>
      </c>
      <c r="BJ137" s="37" t="n">
        <v>6145</v>
      </c>
      <c r="BK137" s="37" t="n">
        <v>6390</v>
      </c>
      <c r="BL137" s="37" t="n">
        <v>25295</v>
      </c>
      <c r="BM137" s="37" t="n">
        <v>6040</v>
      </c>
      <c r="BN137" s="37" t="n">
        <v>6106</v>
      </c>
      <c r="BO137" s="37" t="n">
        <v>6180</v>
      </c>
      <c r="BP137" s="37" t="n">
        <v>6492</v>
      </c>
      <c r="BQ137" s="37" t="n">
        <v>24818</v>
      </c>
      <c r="BR137" s="37" t="n">
        <v>6056</v>
      </c>
      <c r="BS137" s="37" t="n">
        <v>6378</v>
      </c>
      <c r="BT137" s="37" t="n">
        <v>6470</v>
      </c>
      <c r="BU137" s="37" t="n">
        <v>7143</v>
      </c>
      <c r="BV137" s="37" t="n">
        <v>26048</v>
      </c>
      <c r="BW137" s="37" t="n">
        <v>6529</v>
      </c>
      <c r="BX137" s="37" t="n">
        <v>7051</v>
      </c>
      <c r="BY137" s="44" t="n">
        <f aca="false">BY136*BY129+BY180</f>
        <v>7054.84631114589</v>
      </c>
      <c r="BZ137" s="44" t="n">
        <f aca="false">BZ136*BZ129+BZ180</f>
        <v>7553.26369363693</v>
      </c>
      <c r="CA137" s="44" t="n">
        <f aca="false">SUM(BW137,BX137,BY137,BZ137)</f>
        <v>28188.1100047828</v>
      </c>
      <c r="CB137" s="44" t="n">
        <f aca="false">CB136*CB129+CB180</f>
        <v>29688.351785539</v>
      </c>
      <c r="CC137" s="44" t="n">
        <f aca="false">CC136*CC129+CC180</f>
        <v>31934.2735015284</v>
      </c>
      <c r="CD137" s="44" t="n">
        <f aca="false">CD136*CD129+CD180</f>
        <v>34349.9967453377</v>
      </c>
      <c r="CE137" s="44" t="n">
        <f aca="false">CE136*CE129+CE180</f>
        <v>36912.9877942662</v>
      </c>
      <c r="CF137" s="21" t="s">
        <v>282</v>
      </c>
    </row>
    <row r="138" customFormat="false" ht="15" hidden="false" customHeight="false" outlineLevel="0" collapsed="false">
      <c r="B138" s="17" t="s">
        <v>283</v>
      </c>
      <c r="C138" s="63" t="n">
        <f aca="false">C136-C137</f>
        <v>1581.428</v>
      </c>
      <c r="D138" s="63" t="n">
        <f aca="false">D136-D137</f>
        <v>3926.1</v>
      </c>
      <c r="E138" s="63" t="n">
        <f aca="false">E136-E137</f>
        <v>4330.4</v>
      </c>
      <c r="F138" s="63" t="n">
        <f aca="false">F136-F137</f>
        <v>4149.4</v>
      </c>
      <c r="G138" s="63" t="n">
        <f aca="false">G136-G137</f>
        <v>4573.6</v>
      </c>
      <c r="H138" s="63" t="n">
        <f aca="false">H136-H137</f>
        <v>4988.6</v>
      </c>
      <c r="I138" s="63" t="n">
        <f aca="false">I136-I137</f>
        <v>5516.9</v>
      </c>
      <c r="J138" s="63" t="n">
        <f aca="false">J136-J137</f>
        <v>1392.4</v>
      </c>
      <c r="K138" s="63" t="n">
        <f aca="false">K136-K137</f>
        <v>1419.2</v>
      </c>
      <c r="L138" s="63" t="n">
        <f aca="false">L136-L137</f>
        <v>1403.6</v>
      </c>
      <c r="M138" s="63" t="n">
        <f aca="false">M136-M137</f>
        <v>1535.9</v>
      </c>
      <c r="N138" s="63" t="n">
        <f aca="false">N136-N137</f>
        <v>5751.1</v>
      </c>
      <c r="O138" s="63" t="n">
        <f aca="false">O136-O137</f>
        <v>1711.7</v>
      </c>
      <c r="P138" s="63" t="n">
        <f aca="false">P136-P137</f>
        <v>1960.9</v>
      </c>
      <c r="Q138" s="63" t="n">
        <f aca="false">Q136-Q137</f>
        <v>2044.4</v>
      </c>
      <c r="R138" s="63" t="n">
        <f aca="false">R136-R137</f>
        <v>2202</v>
      </c>
      <c r="S138" s="63" t="n">
        <f aca="false">S136-S137</f>
        <v>7919</v>
      </c>
      <c r="T138" s="63" t="n">
        <f aca="false">T136-T137</f>
        <v>1930.2</v>
      </c>
      <c r="U138" s="63" t="n">
        <f aca="false">U136-U137</f>
        <v>2048.9</v>
      </c>
      <c r="V138" s="63" t="n">
        <f aca="false">V136-V137</f>
        <v>1991</v>
      </c>
      <c r="W138" s="63" t="n">
        <f aca="false">W136-W137</f>
        <v>2212.6</v>
      </c>
      <c r="X138" s="63" t="n">
        <f aca="false">X136-X137</f>
        <v>8182.7</v>
      </c>
      <c r="Y138" s="63" t="n">
        <f aca="false">Y136-Y137</f>
        <v>2058.9</v>
      </c>
      <c r="Z138" s="63" t="n">
        <f aca="false">Z136-Z137</f>
        <v>2185.8</v>
      </c>
      <c r="AA138" s="63" t="n">
        <f aca="false">AA136-AA137</f>
        <v>2163.7</v>
      </c>
      <c r="AB138" s="63" t="n">
        <f aca="false">AB136-AB137</f>
        <v>2406.6</v>
      </c>
      <c r="AC138" s="63" t="n">
        <f aca="false">AC136-AC137</f>
        <v>8815</v>
      </c>
      <c r="AD138" s="63" t="n">
        <f aca="false">AD136-AD137</f>
        <v>2317.8</v>
      </c>
      <c r="AE138" s="63" t="n">
        <f aca="false">AE136-AE137</f>
        <v>2411.7</v>
      </c>
      <c r="AF138" s="63" t="n">
        <f aca="false">AF136-AF137</f>
        <v>2430.5</v>
      </c>
      <c r="AG138" s="63" t="n">
        <f aca="false">AG136-AG137</f>
        <v>2797</v>
      </c>
      <c r="AH138" s="63" t="n">
        <f aca="false">AH136-AH137</f>
        <v>9957</v>
      </c>
      <c r="AI138" s="63" t="n">
        <f aca="false">AI136-AI137</f>
        <v>2709</v>
      </c>
      <c r="AJ138" s="63" t="n">
        <f aca="false">AJ136-AJ137</f>
        <v>2867</v>
      </c>
      <c r="AK138" s="63" t="n">
        <f aca="false">AK136-AK137</f>
        <v>2739</v>
      </c>
      <c r="AL138" s="63" t="n">
        <f aca="false">AL136-AL137</f>
        <v>3049</v>
      </c>
      <c r="AM138" s="63" t="n">
        <f aca="false">AM136-AM137</f>
        <v>11364</v>
      </c>
      <c r="AN138" s="63" t="n">
        <f aca="false">AN136-AN137</f>
        <v>2832</v>
      </c>
      <c r="AO138" s="63" t="n">
        <f aca="false">AO136-AO137</f>
        <v>2948</v>
      </c>
      <c r="AP138" s="63" t="n">
        <f aca="false">AP136-AP137</f>
        <v>2888</v>
      </c>
      <c r="AQ138" s="63" t="n">
        <f aca="false">AQ136-AQ137</f>
        <v>3159</v>
      </c>
      <c r="AR138" s="63" t="n">
        <f aca="false">AR136-AR137</f>
        <v>11827</v>
      </c>
      <c r="AS138" s="63" t="n">
        <f aca="false">AS136-AS137</f>
        <v>2865</v>
      </c>
      <c r="AT138" s="63" t="n">
        <f aca="false">AT136-AT137</f>
        <v>3501</v>
      </c>
      <c r="AU138" s="63" t="n">
        <f aca="false">AU136-AU137</f>
        <v>4456</v>
      </c>
      <c r="AV138" s="63" t="n">
        <f aca="false">AV136-AV137</f>
        <v>5683</v>
      </c>
      <c r="AW138" s="63" t="n">
        <f aca="false">AW136-AW137</f>
        <v>16505</v>
      </c>
      <c r="AX138" s="63" t="n">
        <f aca="false">AX136-AX137</f>
        <v>5349</v>
      </c>
      <c r="AY138" s="63" t="n">
        <f aca="false">AY136-AY137</f>
        <v>4688</v>
      </c>
      <c r="AZ138" s="63" t="n">
        <f aca="false">AZ136-AZ137</f>
        <v>4797</v>
      </c>
      <c r="BA138" s="63" t="n">
        <f aca="false">BA136-BA137</f>
        <v>5400</v>
      </c>
      <c r="BB138" s="63" t="n">
        <f aca="false">BB136-BB137</f>
        <v>20234</v>
      </c>
      <c r="BC138" s="63" t="n">
        <f aca="false">BC136-BC137</f>
        <v>5604</v>
      </c>
      <c r="BD138" s="63" t="n">
        <f aca="false">BD136-BD137</f>
        <v>4730</v>
      </c>
      <c r="BE138" s="63" t="n">
        <f aca="false">BE136-BE137</f>
        <v>4431</v>
      </c>
      <c r="BF138" s="63" t="n">
        <f aca="false">BF136-BF137</f>
        <v>4735</v>
      </c>
      <c r="BG138" s="63" t="n">
        <f aca="false">BG136-BG137</f>
        <v>19500</v>
      </c>
      <c r="BH138" s="63" t="n">
        <f aca="false">BH136-BH137</f>
        <v>4273</v>
      </c>
      <c r="BI138" s="63" t="n">
        <f aca="false">BI136-BI137</f>
        <v>4364</v>
      </c>
      <c r="BJ138" s="63" t="n">
        <f aca="false">BJ136-BJ137</f>
        <v>4429</v>
      </c>
      <c r="BK138" s="63" t="n">
        <f aca="false">BK136-BK137</f>
        <v>4496</v>
      </c>
      <c r="BL138" s="63" t="n">
        <f aca="false">BL136-BL137</f>
        <v>17562</v>
      </c>
      <c r="BM138" s="63" t="n">
        <f aca="false">BM136-BM137</f>
        <v>4305</v>
      </c>
      <c r="BN138" s="63" t="n">
        <f aca="false">BN136-BN137</f>
        <v>4435</v>
      </c>
      <c r="BO138" s="63" t="n">
        <f aca="false">BO136-BO137</f>
        <v>4418</v>
      </c>
      <c r="BP138" s="63" t="n">
        <f aca="false">BP136-BP137</f>
        <v>4903</v>
      </c>
      <c r="BQ138" s="63" t="n">
        <f aca="false">BQ136-BQ137</f>
        <v>18061</v>
      </c>
      <c r="BR138" s="63" t="n">
        <f aca="false">BR136-BR137</f>
        <v>4308</v>
      </c>
      <c r="BS138" s="63" t="n">
        <f aca="false">BS136-BS137</f>
        <v>4477</v>
      </c>
      <c r="BT138" s="63" t="n">
        <f aca="false">BT136-BT137</f>
        <v>4652</v>
      </c>
      <c r="BU138" s="63" t="n">
        <f aca="false">BU136-BU137</f>
        <v>5072</v>
      </c>
      <c r="BV138" s="63" t="n">
        <f aca="false">BV136-BV137</f>
        <v>18508</v>
      </c>
      <c r="BW138" s="63" t="n">
        <f aca="false">BW136-BW137</f>
        <v>4476</v>
      </c>
      <c r="BX138" s="63" t="n">
        <f aca="false">BX136-BX137</f>
        <v>4943</v>
      </c>
      <c r="BY138" s="20" t="n">
        <f aca="false">BY136-BY137</f>
        <v>4896.2860799048</v>
      </c>
      <c r="BZ138" s="20" t="n">
        <f aca="false">BZ136-BZ137</f>
        <v>5244.60391531238</v>
      </c>
      <c r="CA138" s="20" t="n">
        <f aca="false">CA136-CA137</f>
        <v>19561.8899952172</v>
      </c>
      <c r="CB138" s="20" t="n">
        <f aca="false">CB136-CB137</f>
        <v>20975.4974205106</v>
      </c>
      <c r="CC138" s="20" t="n">
        <f aca="false">CC136-CC137</f>
        <v>22568.7581250159</v>
      </c>
      <c r="CD138" s="20" t="n">
        <f aca="false">CD136-CD137</f>
        <v>24282.4763236156</v>
      </c>
      <c r="CE138" s="20" t="n">
        <f aca="false">CE136-CE137</f>
        <v>26100.6665549068</v>
      </c>
      <c r="CF138" s="21"/>
      <c r="CH138" s="22" t="n">
        <f aca="false">IFERROR((CE138/BV138)^(1/5)-1,"n/m")</f>
        <v>0.0711700506277271</v>
      </c>
      <c r="CI138" s="22" t="n">
        <f aca="false">IFERROR((BV138/AW138)^(1/5)-1,"n/m")</f>
        <v>0.0231723431400872</v>
      </c>
      <c r="CJ138" s="22" t="n">
        <f aca="false">IFERROR((BV138/X138)^(1/10)-1,"n/m")</f>
        <v>0.0850413427182419</v>
      </c>
      <c r="CK138" s="22" t="n">
        <f aca="false">IFERROR((BV138/C138)^(1/19)-1,"n/m")</f>
        <v>0.138221659443145</v>
      </c>
    </row>
    <row r="139" customFormat="false" ht="15" hidden="false" customHeight="false" outlineLevel="0" collapsed="false">
      <c r="B139" s="23" t="s">
        <v>284</v>
      </c>
      <c r="C139" s="25" t="n">
        <f aca="false">IF(AND(ISNUMBER(C138),ISNUMBER(C136)),C138/C136,"")</f>
        <v>0.417085375447995</v>
      </c>
      <c r="D139" s="25" t="n">
        <f aca="false">IF(AND(ISNUMBER(D138),ISNUMBER(D136)),D138/D136,"")</f>
        <v>0.402825658704753</v>
      </c>
      <c r="E139" s="25" t="n">
        <f aca="false">IF(AND(ISNUMBER(E138),ISNUMBER(E136)),E138/E136,"")</f>
        <v>0.412497618594018</v>
      </c>
      <c r="F139" s="25" t="n">
        <f aca="false">IF(AND(ISNUMBER(F138),ISNUMBER(F136)),F138/F136,"")</f>
        <v>0.410437500618218</v>
      </c>
      <c r="G139" s="25" t="n">
        <f aca="false">IF(AND(ISNUMBER(G138),ISNUMBER(G136)),G138/G136,"")</f>
        <v>0.423925032673075</v>
      </c>
      <c r="H139" s="25" t="n">
        <f aca="false">IF(AND(ISNUMBER(H138),ISNUMBER(H136)),H138/H136,"")</f>
        <v>0.425434295022131</v>
      </c>
      <c r="I139" s="25" t="n">
        <f aca="false">IF(AND(ISNUMBER(I138),ISNUMBER(I136)),I138/I136,"")</f>
        <v>0.441002725841134</v>
      </c>
      <c r="J139" s="25" t="n">
        <f aca="false">IF(AND(ISNUMBER(J138),ISNUMBER(J136)),J138/J136,"")</f>
        <v>0.436283879053737</v>
      </c>
      <c r="K139" s="25" t="n">
        <f aca="false">IF(AND(ISNUMBER(K138),ISNUMBER(K136)),K138/K136,"")</f>
        <v>0.438011172494676</v>
      </c>
      <c r="L139" s="25" t="n">
        <f aca="false">IF(AND(ISNUMBER(L138),ISNUMBER(L136)),L138/L136,"")</f>
        <v>0.439751864151889</v>
      </c>
      <c r="M139" s="25" t="n">
        <f aca="false">IF(AND(ISNUMBER(M138),ISNUMBER(M136)),M138/M136,"")</f>
        <v>0.443018258386455</v>
      </c>
      <c r="N139" s="25" t="n">
        <f aca="false">IF(AND(ISNUMBER(N138),ISNUMBER(N136)),N138/N136,"")</f>
        <v>0.439340580429784</v>
      </c>
      <c r="O139" s="25" t="n">
        <f aca="false">IF(AND(ISNUMBER(O138),ISNUMBER(O136)),O138/O136,"")</f>
        <v>0.438503906750352</v>
      </c>
      <c r="P139" s="25" t="n">
        <f aca="false">IF(AND(ISNUMBER(P138),ISNUMBER(P136)),P138/P136,"")</f>
        <v>0.45371248756334</v>
      </c>
      <c r="Q139" s="25" t="n">
        <f aca="false">IF(AND(ISNUMBER(Q138),ISNUMBER(Q136)),Q138/Q136,"")</f>
        <v>0.490099247255118</v>
      </c>
      <c r="R139" s="25" t="n">
        <f aca="false">IF(AND(ISNUMBER(R138),ISNUMBER(R136)),R138/R136,"")</f>
        <v>0.490117521367521</v>
      </c>
      <c r="S139" s="25" t="n">
        <f aca="false">IF(AND(ISNUMBER(S138),ISNUMBER(S136)),S138/S136,"")</f>
        <v>0.468868416066692</v>
      </c>
      <c r="T139" s="25" t="n">
        <f aca="false">IF(AND(ISNUMBER(T138),ISNUMBER(T136)),T138/T136,"")</f>
        <v>0.492548739410024</v>
      </c>
      <c r="U139" s="25" t="n">
        <f aca="false">IF(AND(ISNUMBER(U138),ISNUMBER(U136)),U138/U136,"")</f>
        <v>0.479734950478822</v>
      </c>
      <c r="V139" s="25" t="n">
        <f aca="false">IF(AND(ISNUMBER(V138),ISNUMBER(V136)),V138/V136,"")</f>
        <v>0.482877376794723</v>
      </c>
      <c r="W139" s="25" t="n">
        <f aca="false">IF(AND(ISNUMBER(W138),ISNUMBER(W136)),W138/W136,"")</f>
        <v>0.475572272971521</v>
      </c>
      <c r="X139" s="25" t="n">
        <f aca="false">IF(AND(ISNUMBER(X138),ISNUMBER(X136)),X138/X136,"")</f>
        <v>0.482316950970799</v>
      </c>
      <c r="Y139" s="25" t="n">
        <f aca="false">IF(AND(ISNUMBER(Y138),ISNUMBER(Y136)),Y138/Y136,"")</f>
        <v>0.47939368538698</v>
      </c>
      <c r="Z139" s="25" t="n">
        <f aca="false">IF(AND(ISNUMBER(Z138),ISNUMBER(Z136)),Z138/Z136,"")</f>
        <v>0.481963309225613</v>
      </c>
      <c r="AA139" s="25" t="n">
        <f aca="false">IF(AND(ISNUMBER(AA138),ISNUMBER(AA136)),AA138/AA136,"")</f>
        <v>0.481796521855307</v>
      </c>
      <c r="AB139" s="25" t="n">
        <f aca="false">IF(AND(ISNUMBER(AB138),ISNUMBER(AB136)),AB138/AB136,"")</f>
        <v>0.485867721876767</v>
      </c>
      <c r="AC139" s="25" t="n">
        <f aca="false">IF(AND(ISNUMBER(AC138),ISNUMBER(AC136)),AC138/AC136,"")</f>
        <v>0.482376697074001</v>
      </c>
      <c r="AD139" s="25" t="n">
        <f aca="false">IF(AND(ISNUMBER(AD138),ISNUMBER(AD136)),AD138/AD136,"")</f>
        <v>0.486421825813221</v>
      </c>
      <c r="AE139" s="25" t="n">
        <f aca="false">IF(AND(ISNUMBER(AE138),ISNUMBER(AE136)),AE138/AE136,"")</f>
        <v>0.483306613226453</v>
      </c>
      <c r="AF139" s="25" t="n">
        <f aca="false">IF(AND(ISNUMBER(AF138),ISNUMBER(AF136)),AF138/AF136,"")</f>
        <v>0.47505961455768</v>
      </c>
      <c r="AG139" s="25" t="n">
        <f aca="false">IF(AND(ISNUMBER(AG138),ISNUMBER(AG136)),AG138/AG136,"")</f>
        <v>0.46254340995535</v>
      </c>
      <c r="AH139" s="25" t="n">
        <f aca="false">IF(AND(ISNUMBER(AH138),ISNUMBER(AH136)),AH138/AH136,"")</f>
        <v>0.476001529782962</v>
      </c>
      <c r="AI139" s="25" t="n">
        <f aca="false">IF(AND(ISNUMBER(AI138),ISNUMBER(AI136)),AI138/AI136,"")</f>
        <v>0.462839569451563</v>
      </c>
      <c r="AJ139" s="25" t="n">
        <f aca="false">IF(AND(ISNUMBER(AJ138),ISNUMBER(AJ136)),AJ138/AJ136,"")</f>
        <v>0.471701217505759</v>
      </c>
      <c r="AK139" s="25" t="n">
        <f aca="false">IF(AND(ISNUMBER(AK138),ISNUMBER(AK136)),AK138/AK136,"")</f>
        <v>0.462668918918919</v>
      </c>
      <c r="AL139" s="25" t="n">
        <f aca="false">IF(AND(ISNUMBER(AL138),ISNUMBER(AL136)),AL138/AL136,"")</f>
        <v>0.468572306746581</v>
      </c>
      <c r="AM139" s="25" t="n">
        <f aca="false">IF(AND(ISNUMBER(AM138),ISNUMBER(AM136)),AM138/AM136,"")</f>
        <v>0.466540766893834</v>
      </c>
      <c r="AN139" s="25" t="n">
        <f aca="false">IF(AND(ISNUMBER(AN138),ISNUMBER(AN136)),AN138/AN136,"")</f>
        <v>0.462367346938776</v>
      </c>
      <c r="AO139" s="25" t="n">
        <f aca="false">IF(AND(ISNUMBER(AO138),ISNUMBER(AO136)),AO138/AO136,"")</f>
        <v>0.46675110829639</v>
      </c>
      <c r="AP139" s="25" t="n">
        <f aca="false">IF(AND(ISNUMBER(AP138),ISNUMBER(AP136)),AP138/AP136,"")</f>
        <v>0.460459183673469</v>
      </c>
      <c r="AQ139" s="25" t="n">
        <f aca="false">IF(AND(ISNUMBER(AQ138),ISNUMBER(AQ136)),AQ138/AQ136,"")</f>
        <v>0.462586030165471</v>
      </c>
      <c r="AR139" s="25" t="n">
        <f aca="false">IF(AND(ISNUMBER(AR138),ISNUMBER(AR136)),AR138/AR136,"")</f>
        <v>0.463041265366847</v>
      </c>
      <c r="AS139" s="25" t="n">
        <f aca="false">IF(AND(ISNUMBER(AS138),ISNUMBER(AS136)),AS138/AS136,"")</f>
        <v>0.459871589085072</v>
      </c>
      <c r="AT139" s="25" t="n">
        <f aca="false">IF(AND(ISNUMBER(AT138),ISNUMBER(AT136)),AT138/AT136,"")</f>
        <v>0.506144282203267</v>
      </c>
      <c r="AU139" s="25" t="n">
        <f aca="false">IF(AND(ISNUMBER(AU138),ISNUMBER(AU136)),AU138/AU136,"")</f>
        <v>0.522943316512146</v>
      </c>
      <c r="AV139" s="25" t="n">
        <f aca="false">IF(AND(ISNUMBER(AV138),ISNUMBER(AV136)),AV138/AV136,"")</f>
        <v>0.538672985781991</v>
      </c>
      <c r="AW139" s="25" t="n">
        <f aca="false">IF(AND(ISNUMBER(AW138),ISNUMBER(AW136)),AW138/AW136,"")</f>
        <v>0.512291265752064</v>
      </c>
      <c r="AX139" s="25" t="n">
        <f aca="false">IF(AND(ISNUMBER(AX138),ISNUMBER(AX136)),AX138/AX136,"")</f>
        <v>0.539975772259237</v>
      </c>
      <c r="AY139" s="25" t="n">
        <f aca="false">IF(AND(ISNUMBER(AY138),ISNUMBER(AY136)),AY138/AY136,"")</f>
        <v>0.505553758222797</v>
      </c>
      <c r="AZ139" s="25" t="n">
        <f aca="false">IF(AND(ISNUMBER(AZ138),ISNUMBER(AZ136)),AZ138/AZ136,"")</f>
        <v>0.514147909967846</v>
      </c>
      <c r="BA139" s="25" t="n">
        <f aca="false">IF(AND(ISNUMBER(BA138),ISNUMBER(BA136)),BA138/BA136,"")</f>
        <v>0.504578583442347</v>
      </c>
      <c r="BB139" s="25" t="n">
        <f aca="false">IF(AND(ISNUMBER(BB138),ISNUMBER(BB136)),BB138/BB136,"")</f>
        <v>0.516028665425518</v>
      </c>
      <c r="BC139" s="25" t="n">
        <f aca="false">IF(AND(ISNUMBER(BC138),ISNUMBER(BC136)),BC138/BC136,"")</f>
        <v>0.474191910644779</v>
      </c>
      <c r="BD139" s="25" t="n">
        <f aca="false">IF(AND(ISNUMBER(BD138),ISNUMBER(BD136)),BD138/BD136,"")</f>
        <v>0.431175934366454</v>
      </c>
      <c r="BE139" s="25" t="n">
        <f aca="false">IF(AND(ISNUMBER(BE138),ISNUMBER(BE136)),BE138/BE136,"")</f>
        <v>0.415004214667041</v>
      </c>
      <c r="BF139" s="25" t="n">
        <f aca="false">IF(AND(ISNUMBER(BF138),ISNUMBER(BF136)),BF138/BF136,"")</f>
        <v>0.41353711790393</v>
      </c>
      <c r="BG139" s="25" t="n">
        <f aca="false">IF(AND(ISNUMBER(BG138),ISNUMBER(BG136)),BG138/BG136,"")</f>
        <v>0.434153400868307</v>
      </c>
      <c r="BH139" s="25" t="n">
        <f aca="false">IF(AND(ISNUMBER(BH138),ISNUMBER(BH136)),BH138/BH136,"")</f>
        <v>0.398972922502334</v>
      </c>
      <c r="BI139" s="25" t="n">
        <f aca="false">IF(AND(ISNUMBER(BI138),ISNUMBER(BI136)),BI138/BI136,"")</f>
        <v>0.40834658931412</v>
      </c>
      <c r="BJ139" s="25" t="n">
        <f aca="false">IF(AND(ISNUMBER(BJ138),ISNUMBER(BJ136)),BJ138/BJ136,"")</f>
        <v>0.418857575184415</v>
      </c>
      <c r="BK139" s="25" t="n">
        <f aca="false">IF(AND(ISNUMBER(BK138),ISNUMBER(BK136)),BK138/BK136,"")</f>
        <v>0.413007532610693</v>
      </c>
      <c r="BL139" s="25" t="n">
        <f aca="false">IF(AND(ISNUMBER(BL138),ISNUMBER(BL136)),BL138/BL136,"")</f>
        <v>0.409781365937886</v>
      </c>
      <c r="BM139" s="25" t="n">
        <f aca="false">IF(AND(ISNUMBER(BM138),ISNUMBER(BM136)),BM138/BM136,"")</f>
        <v>0.416143064282262</v>
      </c>
      <c r="BN139" s="25" t="n">
        <f aca="false">IF(AND(ISNUMBER(BN138),ISNUMBER(BN136)),BN138/BN136,"")</f>
        <v>0.420738070391803</v>
      </c>
      <c r="BO139" s="25" t="n">
        <f aca="false">IF(AND(ISNUMBER(BO138),ISNUMBER(BO136)),BO138/BO136,"")</f>
        <v>0.41687110775618</v>
      </c>
      <c r="BP139" s="25" t="n">
        <f aca="false">IF(AND(ISNUMBER(BP138),ISNUMBER(BP136)),BP138/BP136,"")</f>
        <v>0.430276437033787</v>
      </c>
      <c r="BQ139" s="25" t="n">
        <f aca="false">IF(AND(ISNUMBER(BQ138),ISNUMBER(BQ136)),BQ138/BQ136,"")</f>
        <v>0.421208516989669</v>
      </c>
      <c r="BR139" s="25" t="n">
        <f aca="false">IF(AND(ISNUMBER(BR138),ISNUMBER(BR136)),BR138/BR136,"")</f>
        <v>0.415669625627171</v>
      </c>
      <c r="BS139" s="25" t="n">
        <f aca="false">IF(AND(ISNUMBER(BS138),ISNUMBER(BS136)),BS138/BS136,"")</f>
        <v>0.412436665131276</v>
      </c>
      <c r="BT139" s="25" t="n">
        <f aca="false">IF(AND(ISNUMBER(BT138),ISNUMBER(BT136)),BT138/BT136,"")</f>
        <v>0.4182700953066</v>
      </c>
      <c r="BU139" s="25" t="n">
        <f aca="false">IF(AND(ISNUMBER(BU138),ISNUMBER(BU136)),BU138/BU136,"")</f>
        <v>0.415227179697094</v>
      </c>
      <c r="BV139" s="25" t="n">
        <f aca="false">IF(AND(ISNUMBER(BV138),ISNUMBER(BV136)),BV138/BV136,"")</f>
        <v>0.415387377682018</v>
      </c>
      <c r="BW139" s="25" t="n">
        <f aca="false">IF(AND(ISNUMBER(BW138),ISNUMBER(BW136)),BW138/BW136,"")</f>
        <v>0.406724216265334</v>
      </c>
      <c r="BX139" s="25" t="n">
        <f aca="false">IF(AND(ISNUMBER(BX138),ISNUMBER(BX136)),BX138/BX136,"")</f>
        <v>0.412122728030682</v>
      </c>
      <c r="BY139" s="26" t="n">
        <f aca="false">IFERROR(BY138/BY136,"")</f>
        <v>0.409692229965695</v>
      </c>
      <c r="BZ139" s="26" t="n">
        <f aca="false">IFERROR(BZ138/BZ136,"")</f>
        <v>0.409802951207663</v>
      </c>
      <c r="CA139" s="26" t="n">
        <f aca="false">IFERROR(CA138/CA136,"")</f>
        <v>0.409673088905072</v>
      </c>
      <c r="CB139" s="26" t="n">
        <f aca="false">IFERROR(CB138/CB136,"")</f>
        <v>0.414013103015591</v>
      </c>
      <c r="CC139" s="26" t="n">
        <f aca="false">IFERROR(CC138/CC136,"")</f>
        <v>0.414082619837689</v>
      </c>
      <c r="CD139" s="26" t="n">
        <f aca="false">IFERROR(CD138/CD136,"")</f>
        <v>0.414147230239782</v>
      </c>
      <c r="CE139" s="26" t="n">
        <f aca="false">IFERROR(CE138/CE136,"")</f>
        <v>0.414206521181537</v>
      </c>
      <c r="CF139" s="21"/>
    </row>
    <row r="140" customFormat="false" ht="15" hidden="false" customHeight="false" outlineLevel="0" collapsed="false">
      <c r="B140" s="23" t="s">
        <v>285</v>
      </c>
      <c r="C140" s="37" t="n">
        <v>952.747</v>
      </c>
      <c r="D140" s="37" t="n">
        <v>2099.7</v>
      </c>
      <c r="E140" s="37" t="n">
        <v>2213.7</v>
      </c>
      <c r="F140" s="37" t="n">
        <v>2196.6</v>
      </c>
      <c r="G140" s="37" t="n">
        <v>2389.4</v>
      </c>
      <c r="H140" s="37" t="n">
        <v>2654.5</v>
      </c>
      <c r="I140" s="37" t="n">
        <v>2828.7</v>
      </c>
      <c r="J140" s="37" t="n">
        <v>693.6</v>
      </c>
      <c r="K140" s="37" t="n">
        <v>734.4</v>
      </c>
      <c r="L140" s="37" t="n">
        <v>713.2</v>
      </c>
      <c r="M140" s="37" t="n">
        <v>764</v>
      </c>
      <c r="N140" s="37" t="n">
        <v>2905.2</v>
      </c>
      <c r="O140" s="37" t="n">
        <v>982.8</v>
      </c>
      <c r="P140" s="37" t="n">
        <v>1024.6</v>
      </c>
      <c r="Q140" s="37" t="n">
        <v>976.6</v>
      </c>
      <c r="R140" s="37" t="n">
        <v>1007.4</v>
      </c>
      <c r="S140" s="37" t="n">
        <v>3991.4</v>
      </c>
      <c r="T140" s="37" t="n">
        <v>916</v>
      </c>
      <c r="U140" s="37" t="n">
        <v>928.3</v>
      </c>
      <c r="V140" s="37" t="n">
        <v>911.1</v>
      </c>
      <c r="W140" s="37" t="n">
        <v>968.7</v>
      </c>
      <c r="X140" s="37" t="n">
        <v>3724.1</v>
      </c>
      <c r="Y140" s="37" t="n">
        <v>991.9</v>
      </c>
      <c r="Z140" s="37" t="n">
        <v>992.4</v>
      </c>
      <c r="AA140" s="37" t="n">
        <v>1042.8</v>
      </c>
      <c r="AB140" s="37" t="n">
        <v>1016.7</v>
      </c>
      <c r="AC140" s="37" t="n">
        <v>4043.8</v>
      </c>
      <c r="AD140" s="37" t="n">
        <v>1089</v>
      </c>
      <c r="AE140" s="37" t="n">
        <v>1035.2</v>
      </c>
      <c r="AF140" s="37" t="n">
        <v>1122.1</v>
      </c>
      <c r="AG140" s="37" t="n">
        <v>1163</v>
      </c>
      <c r="AH140" s="37" t="n">
        <v>4410</v>
      </c>
      <c r="AI140" s="37" t="n">
        <v>1200</v>
      </c>
      <c r="AJ140" s="37" t="n">
        <v>1230</v>
      </c>
      <c r="AK140" s="37" t="n">
        <v>1183</v>
      </c>
      <c r="AL140" s="37" t="n">
        <v>1210</v>
      </c>
      <c r="AM140" s="37" t="n">
        <v>4823</v>
      </c>
      <c r="AN140" s="37" t="n">
        <v>1231</v>
      </c>
      <c r="AO140" s="37" t="n">
        <v>1261</v>
      </c>
      <c r="AP140" s="37" t="n">
        <v>1230</v>
      </c>
      <c r="AQ140" s="37" t="n">
        <v>1208</v>
      </c>
      <c r="AR140" s="37" t="n">
        <v>4930</v>
      </c>
      <c r="AS140" s="37" t="n">
        <v>1251</v>
      </c>
      <c r="AT140" s="37" t="n">
        <v>1417</v>
      </c>
      <c r="AU140" s="37" t="n">
        <v>1303</v>
      </c>
      <c r="AV140" s="37" t="n">
        <v>1793</v>
      </c>
      <c r="AW140" s="37" t="n">
        <v>5764</v>
      </c>
      <c r="AX140" s="37" t="n">
        <v>1543</v>
      </c>
      <c r="AY140" s="37" t="n">
        <v>1614</v>
      </c>
      <c r="AZ140" s="37" t="n">
        <v>1727</v>
      </c>
      <c r="BA140" s="37" t="n">
        <v>1958</v>
      </c>
      <c r="BB140" s="37" t="n">
        <v>6842</v>
      </c>
      <c r="BC140" s="37" t="n">
        <v>1808</v>
      </c>
      <c r="BD140" s="37" t="n">
        <v>1740</v>
      </c>
      <c r="BE140" s="37" t="n">
        <v>1743</v>
      </c>
      <c r="BF140" s="37" t="n">
        <v>1836</v>
      </c>
      <c r="BG140" s="37" t="n">
        <v>7127</v>
      </c>
      <c r="BH140" s="37" t="n">
        <v>1646</v>
      </c>
      <c r="BI140" s="37" t="n">
        <v>1673</v>
      </c>
      <c r="BJ140" s="37" t="n">
        <v>1578</v>
      </c>
      <c r="BK140" s="37" t="n">
        <v>1672</v>
      </c>
      <c r="BL140" s="37" t="n">
        <v>6569</v>
      </c>
      <c r="BM140" s="37" t="n">
        <v>1731</v>
      </c>
      <c r="BN140" s="37" t="n">
        <v>1687</v>
      </c>
      <c r="BO140" s="37" t="n">
        <v>1739</v>
      </c>
      <c r="BP140" s="37" t="n">
        <v>1846</v>
      </c>
      <c r="BQ140" s="37" t="n">
        <v>7003</v>
      </c>
      <c r="BR140" s="37" t="n">
        <v>1721</v>
      </c>
      <c r="BS140" s="37" t="n">
        <v>1779</v>
      </c>
      <c r="BT140" s="37" t="n">
        <v>1795</v>
      </c>
      <c r="BU140" s="37" t="n">
        <v>1977</v>
      </c>
      <c r="BV140" s="37" t="n">
        <v>7272</v>
      </c>
      <c r="BW140" s="37" t="n">
        <v>1798</v>
      </c>
      <c r="BX140" s="37" t="n">
        <v>1909</v>
      </c>
      <c r="BY140" s="44" t="n">
        <f aca="false">BY136-BY137-BY141-BY142-BY143-BY145</f>
        <v>1661.28016790745</v>
      </c>
      <c r="BZ140" s="44" t="n">
        <f aca="false">BZ136-BZ137-BZ141-BZ142-BZ143-BZ145</f>
        <v>1760.09664195385</v>
      </c>
      <c r="CA140" s="44" t="n">
        <f aca="false">SUM(BW140,BX140,BY140,BZ140)</f>
        <v>7128.3768098613</v>
      </c>
      <c r="CB140" s="44" t="n">
        <f aca="false">CB136-CB137-CB141-CB142-CB143-CB145</f>
        <v>7490.12389698806</v>
      </c>
      <c r="CC140" s="44" t="n">
        <f aca="false">CC136-CC137-CC141-CC142-CC143-CC145</f>
        <v>7806.94545574453</v>
      </c>
      <c r="CD140" s="44" t="n">
        <f aca="false">CD136-CD137-CD141-CD142-CD143-CD145</f>
        <v>8148.82977339072</v>
      </c>
      <c r="CE140" s="44" t="n">
        <f aca="false">CE136-CE137-CE141-CE142-CE143-CE145</f>
        <v>8495.69456901696</v>
      </c>
      <c r="CF140" s="21" t="s">
        <v>286</v>
      </c>
    </row>
    <row r="141" customFormat="false" ht="15" hidden="false" customHeight="false" outlineLevel="0" collapsed="false">
      <c r="B141" s="23" t="s">
        <v>287</v>
      </c>
      <c r="C141" s="37" t="n">
        <v>170.826</v>
      </c>
      <c r="D141" s="37" t="n">
        <v>571.1</v>
      </c>
      <c r="E141" s="37" t="n">
        <v>602.8</v>
      </c>
      <c r="F141" s="37" t="n">
        <v>597</v>
      </c>
      <c r="G141" s="37" t="n">
        <v>571.7</v>
      </c>
      <c r="H141" s="37" t="n">
        <v>647.9</v>
      </c>
      <c r="I141" s="37" t="n">
        <v>747.6</v>
      </c>
      <c r="J141" s="37" t="n">
        <v>192</v>
      </c>
      <c r="K141" s="37" t="n">
        <v>191.2</v>
      </c>
      <c r="L141" s="37" t="n">
        <v>191</v>
      </c>
      <c r="M141" s="37" t="n">
        <v>188.9</v>
      </c>
      <c r="N141" s="37" t="n">
        <v>763.1</v>
      </c>
      <c r="O141" s="37" t="n">
        <v>285.9</v>
      </c>
      <c r="P141" s="37" t="n">
        <v>343.6</v>
      </c>
      <c r="Q141" s="37" t="n">
        <v>362.9</v>
      </c>
      <c r="R141" s="37" t="n">
        <v>339.3</v>
      </c>
      <c r="S141" s="37" t="n">
        <v>1331.7</v>
      </c>
      <c r="T141" s="37" t="n">
        <v>329.1</v>
      </c>
      <c r="U141" s="37" t="n">
        <v>329.8</v>
      </c>
      <c r="V141" s="37" t="n">
        <v>329.9</v>
      </c>
      <c r="W141" s="37" t="n">
        <v>326</v>
      </c>
      <c r="X141" s="37" t="n">
        <v>1314.8</v>
      </c>
      <c r="Y141" s="37" t="n">
        <v>322</v>
      </c>
      <c r="Z141" s="37" t="n">
        <v>338</v>
      </c>
      <c r="AA141" s="37" t="n">
        <v>341.6</v>
      </c>
      <c r="AB141" s="37" t="n">
        <v>376.4</v>
      </c>
      <c r="AC141" s="37" t="n">
        <v>1378</v>
      </c>
      <c r="AD141" s="37" t="n">
        <v>367.5</v>
      </c>
      <c r="AE141" s="37" t="n">
        <v>380.9</v>
      </c>
      <c r="AF141" s="37" t="n">
        <v>405</v>
      </c>
      <c r="AG141" s="37" t="n">
        <v>441</v>
      </c>
      <c r="AH141" s="37" t="n">
        <v>1594</v>
      </c>
      <c r="AI141" s="37" t="n">
        <v>444</v>
      </c>
      <c r="AJ141" s="37" t="n">
        <v>441</v>
      </c>
      <c r="AK141" s="37" t="n">
        <v>431</v>
      </c>
      <c r="AL141" s="37" t="n">
        <v>425</v>
      </c>
      <c r="AM141" s="37" t="n">
        <v>1741</v>
      </c>
      <c r="AN141" s="37" t="n">
        <v>422</v>
      </c>
      <c r="AO141" s="37" t="n">
        <v>429</v>
      </c>
      <c r="AP141" s="37" t="n">
        <v>434</v>
      </c>
      <c r="AQ141" s="37" t="n">
        <v>428</v>
      </c>
      <c r="AR141" s="37" t="n">
        <v>1713</v>
      </c>
      <c r="AS141" s="37" t="n">
        <v>425</v>
      </c>
      <c r="AT141" s="37" t="n">
        <v>417</v>
      </c>
      <c r="AU141" s="37" t="n">
        <v>414</v>
      </c>
      <c r="AV141" s="37" t="n">
        <v>411</v>
      </c>
      <c r="AW141" s="37" t="n">
        <v>1667</v>
      </c>
      <c r="AX141" s="37" t="n">
        <v>423</v>
      </c>
      <c r="AY141" s="37" t="n">
        <v>449</v>
      </c>
      <c r="AZ141" s="37" t="n">
        <v>423</v>
      </c>
      <c r="BA141" s="37" t="n">
        <v>466</v>
      </c>
      <c r="BB141" s="37" t="n">
        <v>1761</v>
      </c>
      <c r="BC141" s="37" t="n">
        <v>609</v>
      </c>
      <c r="BD141" s="37" t="n">
        <v>600</v>
      </c>
      <c r="BE141" s="37" t="n">
        <v>594</v>
      </c>
      <c r="BF141" s="37" t="n">
        <v>592</v>
      </c>
      <c r="BG141" s="37" t="n">
        <v>2395</v>
      </c>
      <c r="BH141" s="37" t="n">
        <v>606</v>
      </c>
      <c r="BI141" s="37" t="n">
        <v>585</v>
      </c>
      <c r="BJ141" s="37" t="n">
        <v>584</v>
      </c>
      <c r="BK141" s="37" t="n">
        <v>563</v>
      </c>
      <c r="BL141" s="37" t="n">
        <v>2338</v>
      </c>
      <c r="BM141" s="37" t="n">
        <v>551</v>
      </c>
      <c r="BN141" s="37" t="n">
        <v>513</v>
      </c>
      <c r="BO141" s="37" t="n">
        <v>450</v>
      </c>
      <c r="BP141" s="37" t="n">
        <v>438</v>
      </c>
      <c r="BQ141" s="37" t="n">
        <v>1952</v>
      </c>
      <c r="BR141" s="37" t="n">
        <v>429</v>
      </c>
      <c r="BS141" s="37" t="n">
        <v>429</v>
      </c>
      <c r="BT141" s="37" t="n">
        <v>435</v>
      </c>
      <c r="BU141" s="37" t="n">
        <v>436</v>
      </c>
      <c r="BV141" s="37" t="n">
        <v>1730</v>
      </c>
      <c r="BW141" s="37" t="n">
        <v>430</v>
      </c>
      <c r="BX141" s="37" t="n">
        <v>485</v>
      </c>
      <c r="BY141" s="44" t="n">
        <f aca="false">$BX141</f>
        <v>485</v>
      </c>
      <c r="BZ141" s="44" t="n">
        <f aca="false">$BX141</f>
        <v>485</v>
      </c>
      <c r="CA141" s="44" t="n">
        <f aca="false">SUM(BW141,BX141,BY141,BZ141)</f>
        <v>1885</v>
      </c>
      <c r="CB141" s="44" t="n">
        <f aca="false">CB128+N(CB100)</f>
        <v>1988.04761904762</v>
      </c>
      <c r="CC141" s="44" t="n">
        <f aca="false">CC128+N(CC100)</f>
        <v>2067.33333333333</v>
      </c>
      <c r="CD141" s="44" t="n">
        <f aca="false">CD128+N(CD100)</f>
        <v>2060.74238095238</v>
      </c>
      <c r="CE141" s="44" t="n">
        <f aca="false">CE128+N(CE100)</f>
        <v>1876.57142857143</v>
      </c>
      <c r="CF141" s="21" t="s">
        <v>288</v>
      </c>
    </row>
    <row r="142" customFormat="false" ht="15" hidden="false" customHeight="false" outlineLevel="0" collapsed="false">
      <c r="B142" s="23" t="s">
        <v>289</v>
      </c>
      <c r="C142" s="37" t="n">
        <v>170.184</v>
      </c>
      <c r="D142" s="37" t="n">
        <v>238.7</v>
      </c>
      <c r="E142" s="37" t="n">
        <v>249.1</v>
      </c>
      <c r="F142" s="37" t="n">
        <v>246.1</v>
      </c>
      <c r="G142" s="37" t="n">
        <v>287.2</v>
      </c>
      <c r="H142" s="37" t="n">
        <v>340.6</v>
      </c>
      <c r="I142" s="37" t="n">
        <v>376.4</v>
      </c>
      <c r="J142" s="37" t="n">
        <v>98.2</v>
      </c>
      <c r="K142" s="37" t="n">
        <v>96.7</v>
      </c>
      <c r="L142" s="37" t="n">
        <v>95.9</v>
      </c>
      <c r="M142" s="37" t="n">
        <v>104.7</v>
      </c>
      <c r="N142" s="37" t="n">
        <v>395.5</v>
      </c>
      <c r="O142" s="37" t="n">
        <v>149.7</v>
      </c>
      <c r="P142" s="37" t="n">
        <v>183.7</v>
      </c>
      <c r="Q142" s="37" t="n">
        <v>175.2</v>
      </c>
      <c r="R142" s="37" t="n">
        <v>182.5</v>
      </c>
      <c r="S142" s="37" t="n">
        <v>691.1</v>
      </c>
      <c r="T142" s="37" t="n">
        <v>165.8</v>
      </c>
      <c r="U142" s="37" t="n">
        <v>174.6</v>
      </c>
      <c r="V142" s="37" t="n">
        <v>171.6</v>
      </c>
      <c r="W142" s="37" t="n">
        <v>180.3</v>
      </c>
      <c r="X142" s="37" t="n">
        <v>692.3</v>
      </c>
      <c r="Y142" s="37" t="n">
        <v>176.5</v>
      </c>
      <c r="Z142" s="37" t="n">
        <v>182.4</v>
      </c>
      <c r="AA142" s="37" t="n">
        <v>183.3</v>
      </c>
      <c r="AB142" s="37" t="n">
        <v>212.6</v>
      </c>
      <c r="AC142" s="37" t="n">
        <v>754.8</v>
      </c>
      <c r="AD142" s="37" t="n">
        <v>215.4</v>
      </c>
      <c r="AE142" s="37" t="n">
        <v>221.6</v>
      </c>
      <c r="AF142" s="37" t="n">
        <v>218.1</v>
      </c>
      <c r="AG142" s="37" t="n">
        <v>233</v>
      </c>
      <c r="AH142" s="37" t="n">
        <v>888</v>
      </c>
      <c r="AI142" s="37" t="n">
        <v>234</v>
      </c>
      <c r="AJ142" s="37" t="n">
        <v>242</v>
      </c>
      <c r="AK142" s="37" t="n">
        <v>240</v>
      </c>
      <c r="AL142" s="37" t="n">
        <v>251</v>
      </c>
      <c r="AM142" s="37" t="n">
        <v>967</v>
      </c>
      <c r="AN142" s="37" t="n">
        <v>248</v>
      </c>
      <c r="AO142" s="37" t="n">
        <v>246</v>
      </c>
      <c r="AP142" s="37" t="n">
        <v>247</v>
      </c>
      <c r="AQ142" s="37" t="n">
        <v>262</v>
      </c>
      <c r="AR142" s="37" t="n">
        <v>1003</v>
      </c>
      <c r="AS142" s="37" t="n">
        <v>245</v>
      </c>
      <c r="AT142" s="37" t="n">
        <v>264</v>
      </c>
      <c r="AU142" s="37" t="n">
        <v>296</v>
      </c>
      <c r="AV142" s="37" t="n">
        <v>376</v>
      </c>
      <c r="AW142" s="37" t="n">
        <v>1181</v>
      </c>
      <c r="AX142" s="37" t="n">
        <v>320</v>
      </c>
      <c r="AY142" s="37" t="n">
        <v>343</v>
      </c>
      <c r="AZ142" s="37" t="n">
        <v>351</v>
      </c>
      <c r="BA142" s="37" t="n">
        <v>392</v>
      </c>
      <c r="BB142" s="37" t="n">
        <v>1406</v>
      </c>
      <c r="BC142" s="37" t="n">
        <v>364</v>
      </c>
      <c r="BD142" s="37" t="n">
        <v>365</v>
      </c>
      <c r="BE142" s="37" t="n">
        <v>351</v>
      </c>
      <c r="BF142" s="37" t="n">
        <v>391</v>
      </c>
      <c r="BG142" s="37" t="n">
        <v>1471</v>
      </c>
      <c r="BH142" s="37" t="n">
        <v>346</v>
      </c>
      <c r="BI142" s="37" t="n">
        <v>345</v>
      </c>
      <c r="BJ142" s="37" t="n">
        <v>319</v>
      </c>
      <c r="BK142" s="37" t="n">
        <v>327</v>
      </c>
      <c r="BL142" s="37" t="n">
        <v>1337</v>
      </c>
      <c r="BM142" s="37" t="n">
        <v>331</v>
      </c>
      <c r="BN142" s="37" t="n">
        <v>339</v>
      </c>
      <c r="BO142" s="37" t="n">
        <v>346</v>
      </c>
      <c r="BP142" s="37" t="n">
        <v>374</v>
      </c>
      <c r="BQ142" s="37" t="n">
        <v>1390</v>
      </c>
      <c r="BR142" s="37" t="n">
        <v>342</v>
      </c>
      <c r="BS142" s="37" t="n">
        <v>352</v>
      </c>
      <c r="BT142" s="37" t="n">
        <v>346</v>
      </c>
      <c r="BU142" s="37" t="n">
        <v>357</v>
      </c>
      <c r="BV142" s="37" t="n">
        <v>1397</v>
      </c>
      <c r="BW142" s="37" t="n">
        <v>336</v>
      </c>
      <c r="BX142" s="37" t="n">
        <v>364</v>
      </c>
      <c r="BY142" s="44" t="n">
        <f aca="false">BY136*BY130</f>
        <v>363.74593128986</v>
      </c>
      <c r="BZ142" s="44" t="n">
        <f aca="false">BZ136*BZ130</f>
        <v>389.517254066025</v>
      </c>
      <c r="CA142" s="44" t="n">
        <f aca="false">SUM(BW142,BX142,BY142,BZ142)</f>
        <v>1453.26318535589</v>
      </c>
      <c r="CB142" s="44" t="n">
        <f aca="false">CB136*CB130</f>
        <v>1570.57932538754</v>
      </c>
      <c r="CC142" s="44" t="n">
        <f aca="false">CC136*CC130</f>
        <v>1689.59398042287</v>
      </c>
      <c r="CD142" s="44" t="n">
        <f aca="false">CD136*CD130</f>
        <v>1817.60666513755</v>
      </c>
      <c r="CE142" s="44" t="n">
        <f aca="false">CE136*CE130</f>
        <v>1953.42328482436</v>
      </c>
      <c r="CF142" s="21"/>
    </row>
    <row r="143" customFormat="false" ht="15" hidden="false" customHeight="false" outlineLevel="0" collapsed="false">
      <c r="B143" s="23" t="s">
        <v>290</v>
      </c>
      <c r="C143" s="37" t="n">
        <v>45.712</v>
      </c>
      <c r="D143" s="37" t="n">
        <v>42.2</v>
      </c>
      <c r="E143" s="37" t="n">
        <v>35.4</v>
      </c>
      <c r="F143" s="37" t="n">
        <v>60.8</v>
      </c>
      <c r="G143" s="37" t="n">
        <v>60.4</v>
      </c>
      <c r="H143" s="37" t="n">
        <v>100.4</v>
      </c>
      <c r="I143" s="37" t="n">
        <v>82.1</v>
      </c>
      <c r="J143" s="37" t="n">
        <v>21.5</v>
      </c>
      <c r="K143" s="37" t="n">
        <v>21.5</v>
      </c>
      <c r="L143" s="37" t="n">
        <v>11.4</v>
      </c>
      <c r="M143" s="37" t="n">
        <v>23.3</v>
      </c>
      <c r="N143" s="37" t="n">
        <v>77.7</v>
      </c>
      <c r="O143" s="37" t="n">
        <v>-582.2</v>
      </c>
      <c r="P143" s="37" t="n">
        <v>60.9</v>
      </c>
      <c r="Q143" s="37" t="n">
        <v>-110.6</v>
      </c>
      <c r="R143" s="37" t="n">
        <v>33.7</v>
      </c>
      <c r="S143" s="37" t="n">
        <v>-598.2</v>
      </c>
      <c r="T143" s="37" t="n">
        <v>32</v>
      </c>
      <c r="U143" s="37" t="n">
        <v>20.4</v>
      </c>
      <c r="V143" s="37" t="n">
        <v>15.5</v>
      </c>
      <c r="W143" s="37" t="n">
        <v>47.4</v>
      </c>
      <c r="X143" s="37" t="n">
        <v>115.3</v>
      </c>
      <c r="Y143" s="37" t="n">
        <v>50.6</v>
      </c>
      <c r="Z143" s="37" t="n">
        <v>35.4</v>
      </c>
      <c r="AA143" s="37" t="n">
        <v>54.9</v>
      </c>
      <c r="AB143" s="37" t="n">
        <v>48.3</v>
      </c>
      <c r="AC143" s="37" t="n">
        <v>189.2</v>
      </c>
      <c r="AD143" s="37" t="n">
        <v>23.5</v>
      </c>
      <c r="AE143" s="37" t="n">
        <v>22.5</v>
      </c>
      <c r="AF143" s="37" t="n">
        <v>49.1</v>
      </c>
      <c r="AG143" s="37" t="n">
        <v>2</v>
      </c>
      <c r="AH143" s="37" t="n">
        <v>97</v>
      </c>
      <c r="AI143" s="37" t="n">
        <v>45</v>
      </c>
      <c r="AJ143" s="37" t="n">
        <v>17</v>
      </c>
      <c r="AK143" s="37" t="n">
        <v>-27</v>
      </c>
      <c r="AL143" s="37" t="n">
        <v>15</v>
      </c>
      <c r="AM143" s="37" t="n">
        <v>50</v>
      </c>
      <c r="AN143" s="37" t="n">
        <v>11</v>
      </c>
      <c r="AO143" s="37" t="n">
        <v>-484</v>
      </c>
      <c r="AP143" s="37" t="n">
        <v>31</v>
      </c>
      <c r="AQ143" s="37" t="n">
        <v>29</v>
      </c>
      <c r="AR143" s="37" t="n">
        <v>-413</v>
      </c>
      <c r="AS143" s="37" t="n">
        <v>38</v>
      </c>
      <c r="AT143" s="37" t="n">
        <v>12</v>
      </c>
      <c r="AU143" s="37" t="n">
        <v>17</v>
      </c>
      <c r="AV143" s="37" t="n">
        <v>32</v>
      </c>
      <c r="AW143" s="37" t="n">
        <v>99</v>
      </c>
      <c r="AX143" s="37" t="n">
        <v>14</v>
      </c>
      <c r="AY143" s="37" t="n">
        <v>119</v>
      </c>
      <c r="AZ143" s="37" t="n">
        <v>18</v>
      </c>
      <c r="BA143" s="37" t="n">
        <v>46</v>
      </c>
      <c r="BB143" s="37" t="n">
        <v>197</v>
      </c>
      <c r="BC143" s="37" t="n">
        <v>2</v>
      </c>
      <c r="BD143" s="37" t="n">
        <v>24</v>
      </c>
      <c r="BE143" s="37" t="n">
        <v>33</v>
      </c>
      <c r="BF143" s="37" t="n">
        <v>55</v>
      </c>
      <c r="BG143" s="37" t="n">
        <v>114</v>
      </c>
      <c r="BH143" s="37" t="n">
        <v>112</v>
      </c>
      <c r="BI143" s="37" t="n">
        <v>183</v>
      </c>
      <c r="BJ143" s="37" t="n">
        <v>84</v>
      </c>
      <c r="BK143" s="37" t="n">
        <v>80</v>
      </c>
      <c r="BL143" s="37" t="n">
        <v>459</v>
      </c>
      <c r="BM143" s="37" t="n">
        <v>29</v>
      </c>
      <c r="BN143" s="37" t="n">
        <v>77</v>
      </c>
      <c r="BO143" s="37" t="n">
        <v>45</v>
      </c>
      <c r="BP143" s="37" t="n">
        <v>228</v>
      </c>
      <c r="BQ143" s="37" t="n">
        <v>379</v>
      </c>
      <c r="BR143" s="37" t="n">
        <v>98</v>
      </c>
      <c r="BS143" s="37" t="n">
        <v>82</v>
      </c>
      <c r="BT143" s="37" t="n">
        <v>135</v>
      </c>
      <c r="BU143" s="37" t="n">
        <v>46</v>
      </c>
      <c r="BV143" s="37" t="n">
        <v>362</v>
      </c>
      <c r="BW143" s="37" t="n">
        <v>49</v>
      </c>
      <c r="BX143" s="37" t="n">
        <v>98</v>
      </c>
      <c r="BY143" s="44" t="n">
        <f aca="false">BY131-N(BY85)</f>
        <v>-128</v>
      </c>
      <c r="BZ143" s="44" t="n">
        <f aca="false">BZ131-N(BZ85)</f>
        <v>75</v>
      </c>
      <c r="CA143" s="44" t="n">
        <f aca="false">SUM(BW143,BX143,BY143,BZ143)</f>
        <v>94</v>
      </c>
      <c r="CB143" s="44" t="n">
        <f aca="false">CB136*CB132</f>
        <v>303.983095236297</v>
      </c>
      <c r="CC143" s="44" t="n">
        <f aca="false">CC136*CC132</f>
        <v>327.018189759266</v>
      </c>
      <c r="CD143" s="44" t="n">
        <f aca="false">CD136*CD132</f>
        <v>351.79483841372</v>
      </c>
      <c r="CE143" s="44" t="n">
        <f aca="false">CE136*CE132</f>
        <v>378.081926095038</v>
      </c>
      <c r="CF143" s="21" t="s">
        <v>291</v>
      </c>
    </row>
    <row r="144" customFormat="false" ht="15" hidden="false" customHeight="false" outlineLevel="0" collapsed="false">
      <c r="B144" s="23" t="s">
        <v>292</v>
      </c>
      <c r="C144" s="61" t="n">
        <f aca="false">C137+C140+C141+C142+C143</f>
        <v>3549.658</v>
      </c>
      <c r="D144" s="61" t="n">
        <f aca="false">D137+D140+D141+D142+D143</f>
        <v>8772</v>
      </c>
      <c r="E144" s="61" t="n">
        <f aca="false">E137+E140+E141+E142+E143</f>
        <v>9268.6</v>
      </c>
      <c r="F144" s="61" t="n">
        <f aca="false">F137+F140+F141+F142+F143</f>
        <v>9060.8</v>
      </c>
      <c r="G144" s="61" t="n">
        <f aca="false">G137+G140+G141+G142+G143</f>
        <v>9523.8</v>
      </c>
      <c r="H144" s="61" t="n">
        <f aca="false">H137+H140+H141+H142+H143</f>
        <v>10480.7</v>
      </c>
      <c r="I144" s="61" t="n">
        <f aca="false">I137+I140+I141+I142+I143</f>
        <v>11027.8</v>
      </c>
      <c r="J144" s="61" t="n">
        <f aca="false">J137+J140+J141+J142+J143</f>
        <v>2804.4</v>
      </c>
      <c r="K144" s="61" t="n">
        <f aca="false">K137+K140+K141+K142+K143</f>
        <v>2864.7</v>
      </c>
      <c r="L144" s="61" t="n">
        <f aca="false">L137+L140+L141+L142+L143</f>
        <v>2799.7</v>
      </c>
      <c r="M144" s="61" t="n">
        <f aca="false">M137+M140+M141+M142+M143</f>
        <v>3011.9</v>
      </c>
      <c r="N144" s="61" t="n">
        <f aca="false">N137+N140+N141+N142+N143</f>
        <v>11480.7</v>
      </c>
      <c r="O144" s="61" t="n">
        <f aca="false">O137+O140+O141+O142+O143</f>
        <v>3028</v>
      </c>
      <c r="P144" s="61" t="n">
        <f aca="false">P137+P140+P141+P142+P143</f>
        <v>3973.8</v>
      </c>
      <c r="Q144" s="61" t="n">
        <f aca="false">Q137+Q140+Q141+Q142+Q143</f>
        <v>3531.1</v>
      </c>
      <c r="R144" s="61" t="n">
        <f aca="false">R137+R140+R141+R142+R143</f>
        <v>3853.7</v>
      </c>
      <c r="S144" s="61" t="n">
        <f aca="false">S137+S140+S141+S142+S143</f>
        <v>14386.6</v>
      </c>
      <c r="T144" s="61" t="n">
        <f aca="false">T137+T140+T141+T142+T143</f>
        <v>3431.5</v>
      </c>
      <c r="U144" s="61" t="n">
        <f aca="false">U137+U140+U141+U142+U143</f>
        <v>3675.1</v>
      </c>
      <c r="V144" s="61" t="n">
        <f aca="false">V137+V140+V141+V142+V143</f>
        <v>3560.3</v>
      </c>
      <c r="W144" s="61" t="n">
        <f aca="false">W137+W140+W141+W142+W143</f>
        <v>3962.3</v>
      </c>
      <c r="X144" s="61" t="n">
        <f aca="false">X137+X140+X141+X142+X143</f>
        <v>14629.2</v>
      </c>
      <c r="Y144" s="61" t="n">
        <f aca="false">Y137+Y140+Y141+Y142+Y143</f>
        <v>3776.9</v>
      </c>
      <c r="Z144" s="61" t="n">
        <f aca="false">Z137+Z140+Z141+Z142+Z143</f>
        <v>3897.6</v>
      </c>
      <c r="AA144" s="61" t="n">
        <f aca="false">AA137+AA140+AA141+AA142+AA143</f>
        <v>3949.8</v>
      </c>
      <c r="AB144" s="61" t="n">
        <f aca="false">AB137+AB140+AB141+AB142+AB143</f>
        <v>4200.6</v>
      </c>
      <c r="AC144" s="61" t="n">
        <f aca="false">AC137+AC140+AC141+AC142+AC143</f>
        <v>15824.9</v>
      </c>
      <c r="AD144" s="61" t="n">
        <f aca="false">AD137+AD140+AD141+AD142+AD143</f>
        <v>4142.6</v>
      </c>
      <c r="AE144" s="61" t="n">
        <f aca="false">AE137+AE140+AE141+AE142+AE143</f>
        <v>4238.5</v>
      </c>
      <c r="AF144" s="61" t="n">
        <f aca="false">AF137+AF140+AF141+AF142+AF143</f>
        <v>4480</v>
      </c>
      <c r="AG144" s="61" t="n">
        <f aca="false">AG137+AG140+AG141+AG142+AG143</f>
        <v>5089</v>
      </c>
      <c r="AH144" s="61" t="n">
        <f aca="false">AH137+AH140+AH141+AH142+AH143</f>
        <v>17950</v>
      </c>
      <c r="AI144" s="61" t="n">
        <f aca="false">AI137+AI140+AI141+AI142+AI143</f>
        <v>5067</v>
      </c>
      <c r="AJ144" s="61" t="n">
        <f aca="false">AJ137+AJ140+AJ141+AJ142+AJ143</f>
        <v>5141</v>
      </c>
      <c r="AK144" s="61" t="n">
        <f aca="false">AK137+AK140+AK141+AK142+AK143</f>
        <v>5008</v>
      </c>
      <c r="AL144" s="61" t="n">
        <f aca="false">AL137+AL140+AL141+AL142+AL143</f>
        <v>5359</v>
      </c>
      <c r="AM144" s="61" t="n">
        <f aca="false">AM137+AM140+AM141+AM142+AM143</f>
        <v>20575</v>
      </c>
      <c r="AN144" s="61" t="n">
        <f aca="false">AN137+AN140+AN141+AN142+AN143</f>
        <v>5205</v>
      </c>
      <c r="AO144" s="61" t="n">
        <f aca="false">AO137+AO140+AO141+AO142+AO143</f>
        <v>4820</v>
      </c>
      <c r="AP144" s="61" t="n">
        <f aca="false">AP137+AP140+AP141+AP142+AP143</f>
        <v>5326</v>
      </c>
      <c r="AQ144" s="61" t="n">
        <f aca="false">AQ137+AQ140+AQ141+AQ142+AQ143</f>
        <v>5597</v>
      </c>
      <c r="AR144" s="61" t="n">
        <f aca="false">AR137+AR140+AR141+AR142+AR143</f>
        <v>20948</v>
      </c>
      <c r="AS144" s="61" t="n">
        <f aca="false">AS137+AS140+AS141+AS142+AS143</f>
        <v>5324</v>
      </c>
      <c r="AT144" s="61" t="n">
        <f aca="false">AT137+AT140+AT141+AT142+AT143</f>
        <v>5526</v>
      </c>
      <c r="AU144" s="61" t="n">
        <f aca="false">AU137+AU140+AU141+AU142+AU143</f>
        <v>6095</v>
      </c>
      <c r="AV144" s="61" t="n">
        <f aca="false">AV137+AV140+AV141+AV142+AV143</f>
        <v>7479</v>
      </c>
      <c r="AW144" s="61" t="n">
        <f aca="false">AW137+AW140+AW141+AW142+AW143</f>
        <v>24424</v>
      </c>
      <c r="AX144" s="61" t="n">
        <f aca="false">AX137+AX140+AX141+AX142+AX143</f>
        <v>6857</v>
      </c>
      <c r="AY144" s="61" t="n">
        <f aca="false">AY137+AY140+AY141+AY142+AY143</f>
        <v>7110</v>
      </c>
      <c r="AZ144" s="61" t="n">
        <f aca="false">AZ137+AZ140+AZ141+AZ142+AZ143</f>
        <v>7052</v>
      </c>
      <c r="BA144" s="61" t="n">
        <f aca="false">BA137+BA140+BA141+BA142+BA143</f>
        <v>8164</v>
      </c>
      <c r="BB144" s="61" t="n">
        <f aca="false">BB137+BB140+BB141+BB142+BB143</f>
        <v>29183</v>
      </c>
      <c r="BC144" s="61" t="n">
        <f aca="false">BC137+BC140+BC141+BC142+BC143</f>
        <v>8997</v>
      </c>
      <c r="BD144" s="61" t="n">
        <f aca="false">BD137+BD140+BD141+BD142+BD143</f>
        <v>8969</v>
      </c>
      <c r="BE144" s="61" t="n">
        <f aca="false">BE137+BE140+BE141+BE142+BE143</f>
        <v>8967</v>
      </c>
      <c r="BF144" s="61" t="n">
        <f aca="false">BF137+BF140+BF141+BF142+BF143</f>
        <v>9589</v>
      </c>
      <c r="BG144" s="61" t="n">
        <f aca="false">BG137+BG140+BG141+BG142+BG143</f>
        <v>36522</v>
      </c>
      <c r="BH144" s="61" t="n">
        <f aca="false">BH137+BH140+BH141+BH142+BH143</f>
        <v>9147</v>
      </c>
      <c r="BI144" s="61" t="n">
        <f aca="false">BI137+BI140+BI141+BI142+BI143</f>
        <v>9109</v>
      </c>
      <c r="BJ144" s="61" t="n">
        <f aca="false">BJ137+BJ140+BJ141+BJ142+BJ143</f>
        <v>8710</v>
      </c>
      <c r="BK144" s="61" t="n">
        <f aca="false">BK137+BK140+BK141+BK142+BK143</f>
        <v>9032</v>
      </c>
      <c r="BL144" s="61" t="n">
        <f aca="false">BL137+BL140+BL141+BL142+BL143</f>
        <v>35998</v>
      </c>
      <c r="BM144" s="61" t="n">
        <f aca="false">BM137+BM140+BM141+BM142+BM143</f>
        <v>8682</v>
      </c>
      <c r="BN144" s="61" t="n">
        <f aca="false">BN137+BN140+BN141+BN142+BN143</f>
        <v>8722</v>
      </c>
      <c r="BO144" s="61" t="n">
        <f aca="false">BO137+BO140+BO141+BO142+BO143</f>
        <v>8760</v>
      </c>
      <c r="BP144" s="61" t="n">
        <f aca="false">BP137+BP140+BP141+BP142+BP143</f>
        <v>9378</v>
      </c>
      <c r="BQ144" s="61" t="n">
        <f aca="false">BQ137+BQ140+BQ141+BQ142+BQ143</f>
        <v>35542</v>
      </c>
      <c r="BR144" s="61" t="n">
        <f aca="false">BR137+BR140+BR141+BR142+BR143</f>
        <v>8646</v>
      </c>
      <c r="BS144" s="61" t="n">
        <f aca="false">BS137+BS140+BS141+BS142+BS143</f>
        <v>9020</v>
      </c>
      <c r="BT144" s="61" t="n">
        <f aca="false">BT137+BT140+BT141+BT142+BT143</f>
        <v>9181</v>
      </c>
      <c r="BU144" s="61" t="n">
        <f aca="false">BU137+BU140+BU141+BU142+BU143</f>
        <v>9959</v>
      </c>
      <c r="BV144" s="61" t="n">
        <f aca="false">BV137+BV140+BV141+BV142+BV143</f>
        <v>36809</v>
      </c>
      <c r="BW144" s="61" t="n">
        <f aca="false">BW137+BW140+BW141+BW142+BW143</f>
        <v>9142</v>
      </c>
      <c r="BX144" s="61" t="n">
        <f aca="false">BX137+BX140+BX141+BX142+BX143</f>
        <v>9907</v>
      </c>
      <c r="BY144" s="44" t="n">
        <f aca="false">BY137+BY140+BY141+BY142+BY143</f>
        <v>9436.87241034319</v>
      </c>
      <c r="BZ144" s="44" t="n">
        <f aca="false">BZ137+BZ140+BZ141+BZ142+BZ143</f>
        <v>10262.8775896568</v>
      </c>
      <c r="CA144" s="44" t="n">
        <f aca="false">CA137+CA140+CA141+CA142+CA143</f>
        <v>38748.75</v>
      </c>
      <c r="CB144" s="44" t="n">
        <f aca="false">CB137+CB140+CB141+CB142+CB143</f>
        <v>41041.0857221985</v>
      </c>
      <c r="CC144" s="44" t="n">
        <f aca="false">CC137+CC140+CC141+CC142+CC143</f>
        <v>43825.1644607884</v>
      </c>
      <c r="CD144" s="44" t="n">
        <f aca="false">CD137+CD140+CD141+CD142+CD143</f>
        <v>46728.970403232</v>
      </c>
      <c r="CE144" s="44" t="n">
        <f aca="false">CE137+CE140+CE141+CE142+CE143</f>
        <v>49616.759002774</v>
      </c>
      <c r="CF144" s="21"/>
    </row>
    <row r="145" customFormat="false" ht="15" hidden="false" customHeight="false" outlineLevel="0" collapsed="false">
      <c r="B145" s="17" t="s">
        <v>293</v>
      </c>
      <c r="C145" s="59" t="n">
        <f aca="false">C136-C144</f>
        <v>241.959</v>
      </c>
      <c r="D145" s="59" t="n">
        <f aca="false">D136-D144</f>
        <v>974.399999999998</v>
      </c>
      <c r="E145" s="59" t="n">
        <f aca="false">E136-E144</f>
        <v>1229.4</v>
      </c>
      <c r="F145" s="59" t="n">
        <f aca="false">F136-F144</f>
        <v>1048.9</v>
      </c>
      <c r="G145" s="59" t="n">
        <f aca="false">G136-G144</f>
        <v>1264.9</v>
      </c>
      <c r="H145" s="59" t="n">
        <f aca="false">H136-H144</f>
        <v>1245.2</v>
      </c>
      <c r="I145" s="59" t="n">
        <f aca="false">I136-I144</f>
        <v>1482.1</v>
      </c>
      <c r="J145" s="59" t="n">
        <f aca="false">J136-J144</f>
        <v>387.1</v>
      </c>
      <c r="K145" s="59" t="n">
        <f aca="false">K136-K144</f>
        <v>375.4</v>
      </c>
      <c r="L145" s="59" t="n">
        <f aca="false">L136-L144</f>
        <v>392.1</v>
      </c>
      <c r="M145" s="59" t="n">
        <f aca="false">M136-M144</f>
        <v>455</v>
      </c>
      <c r="N145" s="59" t="n">
        <f aca="false">N136-N144</f>
        <v>1609.6</v>
      </c>
      <c r="O145" s="59" t="n">
        <f aca="false">O136-O144</f>
        <v>875.5</v>
      </c>
      <c r="P145" s="59" t="n">
        <f aca="false">P136-P144</f>
        <v>348.1</v>
      </c>
      <c r="Q145" s="59" t="n">
        <f aca="false">Q136-Q144</f>
        <v>640.3</v>
      </c>
      <c r="R145" s="59" t="n">
        <f aca="false">R136-R144</f>
        <v>639.1</v>
      </c>
      <c r="S145" s="59" t="n">
        <f aca="false">S136-S144</f>
        <v>2503</v>
      </c>
      <c r="T145" s="59" t="n">
        <f aca="false">T136-T144</f>
        <v>487.3</v>
      </c>
      <c r="U145" s="59" t="n">
        <f aca="false">U136-U144</f>
        <v>595.799999999999</v>
      </c>
      <c r="V145" s="59" t="n">
        <f aca="false">V136-V144</f>
        <v>562.9</v>
      </c>
      <c r="W145" s="59" t="n">
        <f aca="false">W136-W144</f>
        <v>690.199999999999</v>
      </c>
      <c r="X145" s="59" t="n">
        <f aca="false">X136-X144</f>
        <v>2336.2</v>
      </c>
      <c r="Y145" s="59" t="n">
        <f aca="false">Y136-Y144</f>
        <v>517.9</v>
      </c>
      <c r="Z145" s="59" t="n">
        <f aca="false">Z136-Z144</f>
        <v>637.6</v>
      </c>
      <c r="AA145" s="59" t="n">
        <f aca="false">AA136-AA144</f>
        <v>541.1</v>
      </c>
      <c r="AB145" s="59" t="n">
        <f aca="false">AB136-AB144</f>
        <v>752.6</v>
      </c>
      <c r="AC145" s="59" t="n">
        <f aca="false">AC136-AC144</f>
        <v>2449.2</v>
      </c>
      <c r="AD145" s="59" t="n">
        <f aca="false">AD136-AD144</f>
        <v>622.400000000001</v>
      </c>
      <c r="AE145" s="59" t="n">
        <f aca="false">AE136-AE144</f>
        <v>751.5</v>
      </c>
      <c r="AF145" s="59" t="n">
        <f aca="false">AF136-AF144</f>
        <v>636.2</v>
      </c>
      <c r="AG145" s="59" t="n">
        <f aca="false">AG136-AG144</f>
        <v>958</v>
      </c>
      <c r="AH145" s="59" t="n">
        <f aca="false">AH136-AH144</f>
        <v>2968</v>
      </c>
      <c r="AI145" s="59" t="n">
        <f aca="false">AI136-AI144</f>
        <v>786</v>
      </c>
      <c r="AJ145" s="59" t="n">
        <f aca="false">AJ136-AJ144</f>
        <v>937</v>
      </c>
      <c r="AK145" s="59" t="n">
        <f aca="false">AK136-AK144</f>
        <v>912</v>
      </c>
      <c r="AL145" s="59" t="n">
        <f aca="false">AL136-AL144</f>
        <v>1148</v>
      </c>
      <c r="AM145" s="59" t="n">
        <f aca="false">AM136-AM144</f>
        <v>3783</v>
      </c>
      <c r="AN145" s="59" t="n">
        <f aca="false">AN136-AN144</f>
        <v>920</v>
      </c>
      <c r="AO145" s="59" t="n">
        <f aca="false">AO136-AO144</f>
        <v>1496</v>
      </c>
      <c r="AP145" s="59" t="n">
        <f aca="false">AP136-AP144</f>
        <v>946</v>
      </c>
      <c r="AQ145" s="59" t="n">
        <f aca="false">AQ136-AQ144</f>
        <v>1232</v>
      </c>
      <c r="AR145" s="59" t="n">
        <f aca="false">AR136-AR144</f>
        <v>4594</v>
      </c>
      <c r="AS145" s="59" t="n">
        <f aca="false">AS136-AS144</f>
        <v>906</v>
      </c>
      <c r="AT145" s="59" t="n">
        <f aca="false">AT136-AT144</f>
        <v>1391</v>
      </c>
      <c r="AU145" s="59" t="n">
        <f aca="false">AU136-AU144</f>
        <v>2426</v>
      </c>
      <c r="AV145" s="59" t="n">
        <f aca="false">AV136-AV144</f>
        <v>3071</v>
      </c>
      <c r="AW145" s="59" t="n">
        <f aca="false">AW136-AW144</f>
        <v>7794</v>
      </c>
      <c r="AX145" s="59" t="n">
        <f aca="false">AX136-AX144</f>
        <v>3049</v>
      </c>
      <c r="AY145" s="59" t="n">
        <f aca="false">AY136-AY144</f>
        <v>2163</v>
      </c>
      <c r="AZ145" s="59" t="n">
        <f aca="false">AZ136-AZ144</f>
        <v>2278</v>
      </c>
      <c r="BA145" s="59" t="n">
        <f aca="false">BA136-BA144</f>
        <v>2538</v>
      </c>
      <c r="BB145" s="59" t="n">
        <f aca="false">BB136-BB144</f>
        <v>10028</v>
      </c>
      <c r="BC145" s="59" t="n">
        <f aca="false">BC136-BC144</f>
        <v>2821</v>
      </c>
      <c r="BD145" s="59" t="n">
        <f aca="false">BD136-BD144</f>
        <v>2001</v>
      </c>
      <c r="BE145" s="59" t="n">
        <f aca="false">BE136-BE144</f>
        <v>1710</v>
      </c>
      <c r="BF145" s="59" t="n">
        <f aca="false">BF136-BF144</f>
        <v>1861</v>
      </c>
      <c r="BG145" s="59" t="n">
        <f aca="false">BG136-BG144</f>
        <v>8393</v>
      </c>
      <c r="BH145" s="59" t="n">
        <f aca="false">BH136-BH144</f>
        <v>1563</v>
      </c>
      <c r="BI145" s="59" t="n">
        <f aca="false">BI136-BI144</f>
        <v>1578</v>
      </c>
      <c r="BJ145" s="59" t="n">
        <f aca="false">BJ136-BJ144</f>
        <v>1864</v>
      </c>
      <c r="BK145" s="59" t="n">
        <f aca="false">BK136-BK144</f>
        <v>1854</v>
      </c>
      <c r="BL145" s="59" t="n">
        <f aca="false">BL136-BL144</f>
        <v>6859</v>
      </c>
      <c r="BM145" s="59" t="n">
        <f aca="false">BM136-BM144</f>
        <v>1663</v>
      </c>
      <c r="BN145" s="59" t="n">
        <f aca="false">BN136-BN144</f>
        <v>1819</v>
      </c>
      <c r="BO145" s="59" t="n">
        <f aca="false">BO136-BO144</f>
        <v>1838</v>
      </c>
      <c r="BP145" s="59" t="n">
        <f aca="false">BP136-BP144</f>
        <v>2017</v>
      </c>
      <c r="BQ145" s="59" t="n">
        <f aca="false">BQ136-BQ144</f>
        <v>7337</v>
      </c>
      <c r="BR145" s="59" t="n">
        <f aca="false">BR136-BR144</f>
        <v>1718</v>
      </c>
      <c r="BS145" s="59" t="n">
        <f aca="false">BS136-BS144</f>
        <v>1835</v>
      </c>
      <c r="BT145" s="59" t="n">
        <f aca="false">BT136-BT144</f>
        <v>1941</v>
      </c>
      <c r="BU145" s="59" t="n">
        <f aca="false">BU136-BU144</f>
        <v>2256</v>
      </c>
      <c r="BV145" s="59" t="n">
        <f aca="false">BV136-BV144</f>
        <v>7747</v>
      </c>
      <c r="BW145" s="59" t="n">
        <f aca="false">BW136-BW144</f>
        <v>1863</v>
      </c>
      <c r="BX145" s="59" t="n">
        <f aca="false">BX136-BX144</f>
        <v>2087</v>
      </c>
      <c r="BY145" s="59" t="n">
        <f aca="false">BY104-BY180-BY181-BY143-BY141</f>
        <v>2514.2599807075</v>
      </c>
      <c r="BZ145" s="59" t="n">
        <f aca="false">BZ104-BZ180-BZ181-BZ143-BZ141</f>
        <v>2534.9900192925</v>
      </c>
      <c r="CA145" s="59" t="n">
        <f aca="false">SUM(BW145,BX145,BY145,BZ145)</f>
        <v>8999.25</v>
      </c>
      <c r="CB145" s="59" t="n">
        <f aca="false">CB104-CB180-CB181-CB143-CB141</f>
        <v>9622.76348385106</v>
      </c>
      <c r="CC145" s="59" t="n">
        <f aca="false">CC104-CC180-CC181-CC143-CC141</f>
        <v>10677.8671657559</v>
      </c>
      <c r="CD145" s="59" t="n">
        <f aca="false">CD104-CD180-CD181-CD143-CD141</f>
        <v>11903.5026657212</v>
      </c>
      <c r="CE145" s="59" t="n">
        <f aca="false">CE104-CE180-CE181-CE143-CE141</f>
        <v>13396.895346399</v>
      </c>
      <c r="CF145" s="21" t="s">
        <v>294</v>
      </c>
      <c r="CH145" s="22" t="n">
        <f aca="false">IFERROR((CE145/BV145)^(1/5)-1,"n/m")</f>
        <v>0.115768565176553</v>
      </c>
      <c r="CI145" s="22" t="n">
        <f aca="false">IFERROR((BV145/AW145)^(1/5)-1,"n/m")</f>
        <v>-0.00120897565272948</v>
      </c>
      <c r="CJ145" s="22" t="n">
        <f aca="false">IFERROR((BV145/X145)^(1/10)-1,"n/m")</f>
        <v>0.127359304667446</v>
      </c>
      <c r="CK145" s="22" t="n">
        <f aca="false">IFERROR((BV145/C145)^(1/19)-1,"n/m")</f>
        <v>0.20013788673597</v>
      </c>
    </row>
    <row r="146" customFormat="false" ht="15" hidden="false" customHeight="false" outlineLevel="0" collapsed="false">
      <c r="B146" s="60" t="s">
        <v>295</v>
      </c>
      <c r="C146" s="61" t="n">
        <f aca="false">IF(ISNUMBER(C162),IF(ABS(C145-C162)&lt;=2.001,0,ROUND(C145-C162,1)),"")</f>
        <v>0</v>
      </c>
      <c r="D146" s="61" t="n">
        <f aca="false">IF(ISNUMBER(D162),IF(ABS(D145-D162)&lt;=2.001,0,ROUND(D145-D162,1)),"")</f>
        <v>0</v>
      </c>
      <c r="E146" s="61" t="n">
        <f aca="false">IF(ISNUMBER(E162),IF(ABS(E145-E162)&lt;=2.001,0,ROUND(E145-E162,1)),"")</f>
        <v>0</v>
      </c>
      <c r="F146" s="61" t="n">
        <f aca="false">IF(ISNUMBER(F162),IF(ABS(F145-F162)&lt;=2.001,0,ROUND(F145-F162,1)),"")</f>
        <v>0</v>
      </c>
      <c r="G146" s="61" t="n">
        <f aca="false">IF(ISNUMBER(G162),IF(ABS(G145-G162)&lt;=2.001,0,ROUND(G145-G162,1)),"")</f>
        <v>0</v>
      </c>
      <c r="H146" s="61" t="n">
        <f aca="false">IF(ISNUMBER(H162),IF(ABS(H145-H162)&lt;=2.001,0,ROUND(H145-H162,1)),"")</f>
        <v>0</v>
      </c>
      <c r="I146" s="61" t="n">
        <f aca="false">IF(ISNUMBER(I162),IF(ABS(I145-I162)&lt;=2.001,0,ROUND(I145-I162,1)),"")</f>
        <v>0</v>
      </c>
      <c r="J146" s="61" t="n">
        <f aca="false">IF(ISNUMBER(J162),IF(ABS(J145-J162)&lt;=2.001,0,ROUND(J145-J162,1)),"")</f>
        <v>0</v>
      </c>
      <c r="K146" s="61" t="n">
        <f aca="false">IF(ISNUMBER(K162),IF(ABS(K145-K162)&lt;=2.001,0,ROUND(K145-K162,1)),"")</f>
        <v>0</v>
      </c>
      <c r="L146" s="61" t="n">
        <f aca="false">IF(ISNUMBER(L162),IF(ABS(L145-L162)&lt;=2.001,0,ROUND(L145-L162,1)),"")</f>
        <v>0</v>
      </c>
      <c r="M146" s="61" t="n">
        <f aca="false">IF(ISNUMBER(M162),IF(ABS(M145-M162)&lt;=2.001,0,ROUND(M145-M162,1)),"")</f>
        <v>0</v>
      </c>
      <c r="N146" s="61" t="n">
        <f aca="false">IF(ISNUMBER(N162),IF(ABS(N145-N162)&lt;=2.001,0,ROUND(N145-N162,1)),"")</f>
        <v>0</v>
      </c>
      <c r="O146" s="61" t="n">
        <f aca="false">IF(ISNUMBER(O162),IF(ABS(O145-O162)&lt;=2.001,0,ROUND(O145-O162,1)),"")</f>
        <v>0</v>
      </c>
      <c r="P146" s="61" t="n">
        <f aca="false">IF(ISNUMBER(P162),IF(ABS(P145-P162)&lt;=2.001,0,ROUND(P145-P162,1)),"")</f>
        <v>0</v>
      </c>
      <c r="Q146" s="61" t="n">
        <f aca="false">IF(ISNUMBER(Q162),IF(ABS(Q145-Q162)&lt;=2.001,0,ROUND(Q145-Q162,1)),"")</f>
        <v>0</v>
      </c>
      <c r="R146" s="61" t="n">
        <f aca="false">IF(ISNUMBER(R162),IF(ABS(R145-R162)&lt;=2.001,0,ROUND(R145-R162,1)),"")</f>
        <v>0</v>
      </c>
      <c r="S146" s="61" t="n">
        <f aca="false">IF(ISNUMBER(S162),IF(ABS(S145-S162)&lt;=2.001,0,ROUND(S145-S162,1)),"")</f>
        <v>0</v>
      </c>
      <c r="T146" s="61" t="n">
        <f aca="false">IF(ISNUMBER(T162),IF(ABS(T145-T162)&lt;=2.001,0,ROUND(T145-T162,1)),"")</f>
        <v>0</v>
      </c>
      <c r="U146" s="61" t="n">
        <f aca="false">IF(ISNUMBER(U162),IF(ABS(U145-U162)&lt;=2.001,0,ROUND(U145-U162,1)),"")</f>
        <v>0</v>
      </c>
      <c r="V146" s="61" t="n">
        <f aca="false">IF(ISNUMBER(V162),IF(ABS(V145-V162)&lt;=2.001,0,ROUND(V145-V162,1)),"")</f>
        <v>0</v>
      </c>
      <c r="W146" s="61" t="n">
        <f aca="false">IF(ISNUMBER(W162),IF(ABS(W145-W162)&lt;=2.001,0,ROUND(W145-W162,1)),"")</f>
        <v>0</v>
      </c>
      <c r="X146" s="61" t="n">
        <f aca="false">IF(ISNUMBER(X162),IF(ABS(X145-X162)&lt;=2.001,0,ROUND(X145-X162,1)),"")</f>
        <v>0</v>
      </c>
      <c r="Y146" s="61" t="n">
        <f aca="false">IF(ISNUMBER(Y162),IF(ABS(Y145-Y162)&lt;=2.001,0,ROUND(Y145-Y162,1)),"")</f>
        <v>0</v>
      </c>
      <c r="Z146" s="61" t="n">
        <f aca="false">IF(ISNUMBER(Z162),IF(ABS(Z145-Z162)&lt;=2.001,0,ROUND(Z145-Z162,1)),"")</f>
        <v>0</v>
      </c>
      <c r="AA146" s="61" t="n">
        <f aca="false">IF(ISNUMBER(AA162),IF(ABS(AA145-AA162)&lt;=2.001,0,ROUND(AA145-AA162,1)),"")</f>
        <v>0</v>
      </c>
      <c r="AB146" s="61" t="n">
        <f aca="false">IF(ISNUMBER(AB162),IF(ABS(AB145-AB162)&lt;=2.001,0,ROUND(AB145-AB162,1)),"")</f>
        <v>0</v>
      </c>
      <c r="AC146" s="61" t="n">
        <f aca="false">IF(ISNUMBER(AC162),IF(ABS(AC145-AC162)&lt;=2.001,0,ROUND(AC145-AC162,1)),"")</f>
        <v>0</v>
      </c>
      <c r="AD146" s="61" t="n">
        <f aca="false">IF(ISNUMBER(AD162),IF(ABS(AD145-AD162)&lt;=2.001,0,ROUND(AD145-AD162,1)),"")</f>
        <v>0</v>
      </c>
      <c r="AE146" s="61" t="n">
        <f aca="false">IF(ISNUMBER(AE162),IF(ABS(AE145-AE162)&lt;=2.001,0,ROUND(AE145-AE162,1)),"")</f>
        <v>0</v>
      </c>
      <c r="AF146" s="61" t="n">
        <f aca="false">IF(ISNUMBER(AF162),IF(ABS(AF145-AF162)&lt;=2.001,0,ROUND(AF145-AF162,1)),"")</f>
        <v>0</v>
      </c>
      <c r="AG146" s="61" t="n">
        <f aca="false">IF(ISNUMBER(AG162),IF(ABS(AG145-AG162)&lt;=2.001,0,ROUND(AG145-AG162,1)),"")</f>
        <v>0</v>
      </c>
      <c r="AH146" s="61" t="n">
        <f aca="false">IF(ISNUMBER(AH162),IF(ABS(AH145-AH162)&lt;=2.001,0,ROUND(AH145-AH162,1)),"")</f>
        <v>0</v>
      </c>
      <c r="AI146" s="61" t="n">
        <f aca="false">IF(ISNUMBER(AI162),IF(ABS(AI145-AI162)&lt;=2.001,0,ROUND(AI145-AI162,1)),"")</f>
        <v>0</v>
      </c>
      <c r="AJ146" s="61" t="n">
        <f aca="false">IF(ISNUMBER(AJ162),IF(ABS(AJ145-AJ162)&lt;=2.001,0,ROUND(AJ145-AJ162,1)),"")</f>
        <v>0</v>
      </c>
      <c r="AK146" s="61" t="n">
        <f aca="false">IF(ISNUMBER(AK162),IF(ABS(AK145-AK162)&lt;=2.001,0,ROUND(AK145-AK162,1)),"")</f>
        <v>0</v>
      </c>
      <c r="AL146" s="61" t="n">
        <f aca="false">IF(ISNUMBER(AL162),IF(ABS(AL145-AL162)&lt;=2.001,0,ROUND(AL145-AL162,1)),"")</f>
        <v>0</v>
      </c>
      <c r="AM146" s="61" t="n">
        <f aca="false">IF(ISNUMBER(AM162),IF(ABS(AM145-AM162)&lt;=2.001,0,ROUND(AM145-AM162,1)),"")</f>
        <v>0</v>
      </c>
      <c r="AN146" s="61" t="n">
        <f aca="false">IF(ISNUMBER(AN162),IF(ABS(AN145-AN162)&lt;=2.001,0,ROUND(AN145-AN162,1)),"")</f>
        <v>0</v>
      </c>
      <c r="AO146" s="61" t="n">
        <f aca="false">IF(ISNUMBER(AO162),IF(ABS(AO145-AO162)&lt;=2.001,0,ROUND(AO145-AO162,1)),"")</f>
        <v>0</v>
      </c>
      <c r="AP146" s="61" t="n">
        <f aca="false">IF(ISNUMBER(AP162),IF(ABS(AP145-AP162)&lt;=2.001,0,ROUND(AP145-AP162,1)),"")</f>
        <v>0</v>
      </c>
      <c r="AQ146" s="61" t="n">
        <f aca="false">IF(ISNUMBER(AQ162),IF(ABS(AQ145-AQ162)&lt;=2.001,0,ROUND(AQ145-AQ162,1)),"")</f>
        <v>0</v>
      </c>
      <c r="AR146" s="61" t="n">
        <f aca="false">IF(ISNUMBER(AR162),IF(ABS(AR145-AR162)&lt;=2.001,0,ROUND(AR145-AR162,1)),"")</f>
        <v>0</v>
      </c>
      <c r="AS146" s="61" t="n">
        <f aca="false">IF(ISNUMBER(AS162),IF(ABS(AS145-AS162)&lt;=2.001,0,ROUND(AS145-AS162,1)),"")</f>
        <v>0</v>
      </c>
      <c r="AT146" s="61" t="n">
        <f aca="false">IF(ISNUMBER(AT162),IF(ABS(AT145-AT162)&lt;=2.001,0,ROUND(AT145-AT162,1)),"")</f>
        <v>0</v>
      </c>
      <c r="AU146" s="61" t="n">
        <f aca="false">IF(ISNUMBER(AU162),IF(ABS(AU145-AU162)&lt;=2.001,0,ROUND(AU145-AU162,1)),"")</f>
        <v>0</v>
      </c>
      <c r="AV146" s="61" t="n">
        <f aca="false">IF(ISNUMBER(AV162),IF(ABS(AV145-AV162)&lt;=2.001,0,ROUND(AV145-AV162,1)),"")</f>
        <v>0</v>
      </c>
      <c r="AW146" s="61" t="n">
        <f aca="false">IF(ISNUMBER(AW162),IF(ABS(AW145-AW162)&lt;=2.001,0,ROUND(AW145-AW162,1)),"")</f>
        <v>0</v>
      </c>
      <c r="AX146" s="61" t="n">
        <f aca="false">IF(ISNUMBER(AX162),IF(ABS(AX145-AX162)&lt;=2.001,0,ROUND(AX145-AX162,1)),"")</f>
        <v>0</v>
      </c>
      <c r="AY146" s="61" t="n">
        <f aca="false">IF(ISNUMBER(AY162),IF(ABS(AY145-AY162)&lt;=2.001,0,ROUND(AY145-AY162,1)),"")</f>
        <v>0</v>
      </c>
      <c r="AZ146" s="61" t="n">
        <f aca="false">IF(ISNUMBER(AZ162),IF(ABS(AZ145-AZ162)&lt;=2.001,0,ROUND(AZ145-AZ162,1)),"")</f>
        <v>0</v>
      </c>
      <c r="BA146" s="61" t="n">
        <f aca="false">IF(ISNUMBER(BA162),IF(ABS(BA145-BA162)&lt;=2.001,0,ROUND(BA145-BA162,1)),"")</f>
        <v>0</v>
      </c>
      <c r="BB146" s="61" t="n">
        <f aca="false">IF(ISNUMBER(BB162),IF(ABS(BB145-BB162)&lt;=2.001,0,ROUND(BB145-BB162,1)),"")</f>
        <v>0</v>
      </c>
      <c r="BC146" s="61" t="n">
        <f aca="false">IF(ISNUMBER(BC162),IF(ABS(BC145-BC162)&lt;=2.001,0,ROUND(BC145-BC162,1)),"")</f>
        <v>0</v>
      </c>
      <c r="BD146" s="61" t="n">
        <f aca="false">IF(ISNUMBER(BD162),IF(ABS(BD145-BD162)&lt;=2.001,0,ROUND(BD145-BD162,1)),"")</f>
        <v>0</v>
      </c>
      <c r="BE146" s="61" t="n">
        <f aca="false">IF(ISNUMBER(BE162),IF(ABS(BE145-BE162)&lt;=2.001,0,ROUND(BE145-BE162,1)),"")</f>
        <v>0</v>
      </c>
      <c r="BF146" s="61" t="n">
        <f aca="false">IF(ISNUMBER(BF162),IF(ABS(BF145-BF162)&lt;=2.001,0,ROUND(BF145-BF162,1)),"")</f>
        <v>0</v>
      </c>
      <c r="BG146" s="61" t="n">
        <f aca="false">IF(ISNUMBER(BG162),IF(ABS(BG145-BG162)&lt;=2.001,0,ROUND(BG145-BG162,1)),"")</f>
        <v>0</v>
      </c>
      <c r="BH146" s="61" t="n">
        <f aca="false">IF(ISNUMBER(BH162),IF(ABS(BH145-BH162)&lt;=2.001,0,ROUND(BH145-BH162,1)),"")</f>
        <v>0</v>
      </c>
      <c r="BI146" s="61" t="n">
        <f aca="false">IF(ISNUMBER(BI162),IF(ABS(BI145-BI162)&lt;=2.001,0,ROUND(BI145-BI162,1)),"")</f>
        <v>0</v>
      </c>
      <c r="BJ146" s="61" t="n">
        <f aca="false">IF(ISNUMBER(BJ162),IF(ABS(BJ145-BJ162)&lt;=2.001,0,ROUND(BJ145-BJ162,1)),"")</f>
        <v>0</v>
      </c>
      <c r="BK146" s="61" t="n">
        <f aca="false">IF(ISNUMBER(BK162),IF(ABS(BK145-BK162)&lt;=2.001,0,ROUND(BK145-BK162,1)),"")</f>
        <v>0</v>
      </c>
      <c r="BL146" s="61" t="n">
        <f aca="false">IF(ISNUMBER(BL162),IF(ABS(BL145-BL162)&lt;=2.001,0,ROUND(BL145-BL162,1)),"")</f>
        <v>0</v>
      </c>
      <c r="BM146" s="61" t="n">
        <f aca="false">IF(ISNUMBER(BM162),IF(ABS(BM145-BM162)&lt;=2.001,0,ROUND(BM145-BM162,1)),"")</f>
        <v>0</v>
      </c>
      <c r="BN146" s="61" t="n">
        <f aca="false">IF(ISNUMBER(BN162),IF(ABS(BN145-BN162)&lt;=2.001,0,ROUND(BN145-BN162,1)),"")</f>
        <v>0</v>
      </c>
      <c r="BO146" s="61" t="n">
        <f aca="false">IF(ISNUMBER(BO162),IF(ABS(BO145-BO162)&lt;=2.001,0,ROUND(BO145-BO162,1)),"")</f>
        <v>0</v>
      </c>
      <c r="BP146" s="61" t="n">
        <f aca="false">IF(ISNUMBER(BP162),IF(ABS(BP145-BP162)&lt;=2.001,0,ROUND(BP145-BP162,1)),"")</f>
        <v>0</v>
      </c>
      <c r="BQ146" s="61" t="n">
        <f aca="false">IF(ISNUMBER(BQ162),IF(ABS(BQ145-BQ162)&lt;=2.001,0,ROUND(BQ145-BQ162,1)),"")</f>
        <v>0</v>
      </c>
      <c r="BR146" s="61" t="n">
        <f aca="false">IF(ISNUMBER(BR162),IF(ABS(BR145-BR162)&lt;=2.001,0,ROUND(BR145-BR162,1)),"")</f>
        <v>0</v>
      </c>
      <c r="BS146" s="61" t="n">
        <f aca="false">IF(ISNUMBER(BS162),IF(ABS(BS145-BS162)&lt;=2.001,0,ROUND(BS145-BS162,1)),"")</f>
        <v>0</v>
      </c>
      <c r="BT146" s="61" t="n">
        <f aca="false">IF(ISNUMBER(BT162),IF(ABS(BT145-BT162)&lt;=2.001,0,ROUND(BT145-BT162,1)),"")</f>
        <v>0</v>
      </c>
      <c r="BU146" s="61" t="n">
        <f aca="false">IF(ISNUMBER(BU162),IF(ABS(BU145-BU162)&lt;=2.001,0,ROUND(BU145-BU162,1)),"")</f>
        <v>0</v>
      </c>
      <c r="BV146" s="61" t="n">
        <f aca="false">IF(ISNUMBER(BV162),IF(ABS(BV145-BV162)&lt;=2.001,0,ROUND(BV145-BV162,1)),"")</f>
        <v>0</v>
      </c>
      <c r="BW146" s="61" t="n">
        <f aca="false">IF(ISNUMBER(BW162),IF(ABS(BW145-BW162)&lt;=2.001,0,ROUND(BW145-BW162,1)),"")</f>
        <v>0</v>
      </c>
      <c r="BX146" s="61" t="n">
        <f aca="false">IF(ISNUMBER(BX162),IF(ABS(BX145-BX162)&lt;=2.001,0,ROUND(BX145-BX162,1)),"")</f>
        <v>0</v>
      </c>
      <c r="BY146" s="39"/>
      <c r="BZ146" s="39"/>
      <c r="CA146" s="39"/>
      <c r="CB146" s="39"/>
      <c r="CC146" s="39"/>
      <c r="CD146" s="39"/>
      <c r="CE146" s="39"/>
      <c r="CF146" s="21"/>
    </row>
    <row r="147" customFormat="false" ht="15" hidden="false" customHeight="false" outlineLevel="0" collapsed="false">
      <c r="B147" s="23" t="s">
        <v>296</v>
      </c>
      <c r="C147" s="25" t="n">
        <f aca="false">IF(AND(ISNUMBER(C145),ISNUMBER(C136)),C145/C136,"")</f>
        <v>0.063814198533238</v>
      </c>
      <c r="D147" s="25" t="n">
        <f aca="false">IF(AND(ISNUMBER(D145),ISNUMBER(D136)),D145/D136,"")</f>
        <v>0.0999753755232699</v>
      </c>
      <c r="E147" s="25" t="n">
        <f aca="false">IF(AND(ISNUMBER(E145),ISNUMBER(E136)),E145/E136,"")</f>
        <v>0.117108020575348</v>
      </c>
      <c r="F147" s="25" t="n">
        <f aca="false">IF(AND(ISNUMBER(F145),ISNUMBER(F136)),F145/F136,"")</f>
        <v>0.103751842290078</v>
      </c>
      <c r="G147" s="25" t="n">
        <f aca="false">IF(AND(ISNUMBER(G145),ISNUMBER(G136)),G145/G136,"")</f>
        <v>0.117243041330281</v>
      </c>
      <c r="H147" s="25" t="n">
        <f aca="false">IF(AND(ISNUMBER(H145),ISNUMBER(H136)),H145/H136,"")</f>
        <v>0.106192275219813</v>
      </c>
      <c r="I147" s="25" t="n">
        <f aca="false">IF(AND(ISNUMBER(I145),ISNUMBER(I136)),I145/I136,"")</f>
        <v>0.118474168458581</v>
      </c>
      <c r="J147" s="25" t="n">
        <f aca="false">IF(AND(ISNUMBER(J145),ISNUMBER(J136)),J145/J136,"")</f>
        <v>0.121290929030237</v>
      </c>
      <c r="K147" s="25" t="n">
        <f aca="false">IF(AND(ISNUMBER(K145),ISNUMBER(K136)),K145/K136,"")</f>
        <v>0.115860621585754</v>
      </c>
      <c r="L147" s="25" t="n">
        <f aca="false">IF(AND(ISNUMBER(L145),ISNUMBER(L136)),L145/L136,"")</f>
        <v>0.122846042985149</v>
      </c>
      <c r="M147" s="25" t="n">
        <f aca="false">IF(AND(ISNUMBER(M145),ISNUMBER(M136)),M145/M136,"")</f>
        <v>0.13124116645995</v>
      </c>
      <c r="N147" s="25" t="n">
        <f aca="false">IF(AND(ISNUMBER(N145),ISNUMBER(N136)),N145/N136,"")</f>
        <v>0.122961276670512</v>
      </c>
      <c r="O147" s="25" t="n">
        <f aca="false">IF(AND(ISNUMBER(O145),ISNUMBER(O136)),O145/O136,"")</f>
        <v>0.224285897271679</v>
      </c>
      <c r="P147" s="25" t="n">
        <f aca="false">IF(AND(ISNUMBER(P145),ISNUMBER(P136)),P145/P136,"")</f>
        <v>0.0805432795761124</v>
      </c>
      <c r="Q147" s="25" t="n">
        <f aca="false">IF(AND(ISNUMBER(Q145),ISNUMBER(Q136)),Q145/Q136,"")</f>
        <v>0.153497626696073</v>
      </c>
      <c r="R147" s="25" t="n">
        <f aca="false">IF(AND(ISNUMBER(R145),ISNUMBER(R136)),R145/R136,"")</f>
        <v>0.142249821937322</v>
      </c>
      <c r="S147" s="25" t="n">
        <f aca="false">IF(AND(ISNUMBER(S145),ISNUMBER(S136)),S145/S136,"")</f>
        <v>0.148197707464949</v>
      </c>
      <c r="T147" s="25" t="n">
        <f aca="false">IF(AND(ISNUMBER(T145),ISNUMBER(T136)),T145/T136,"")</f>
        <v>0.124349290599163</v>
      </c>
      <c r="U147" s="25" t="n">
        <f aca="false">IF(AND(ISNUMBER(U145),ISNUMBER(U136)),U145/U136,"")</f>
        <v>0.139502212648388</v>
      </c>
      <c r="V147" s="25" t="n">
        <f aca="false">IF(AND(ISNUMBER(V145),ISNUMBER(V136)),V145/V136,"")</f>
        <v>0.136520178502134</v>
      </c>
      <c r="W147" s="25" t="n">
        <f aca="false">IF(AND(ISNUMBER(W145),ISNUMBER(W136)),W145/W136,"")</f>
        <v>0.148350349274583</v>
      </c>
      <c r="X147" s="25" t="n">
        <f aca="false">IF(AND(ISNUMBER(X145),ISNUMBER(X136)),X145/X136,"")</f>
        <v>0.137703797140062</v>
      </c>
      <c r="Y147" s="25" t="n">
        <f aca="false">IF(AND(ISNUMBER(Y145),ISNUMBER(Y136)),Y145/Y136,"")</f>
        <v>0.120587687435969</v>
      </c>
      <c r="Z147" s="25" t="n">
        <f aca="false">IF(AND(ISNUMBER(Z145),ISNUMBER(Z136)),Z145/Z136,"")</f>
        <v>0.140589169165638</v>
      </c>
      <c r="AA147" s="25" t="n">
        <f aca="false">IF(AND(ISNUMBER(AA145),ISNUMBER(AA136)),AA145/AA136,"")</f>
        <v>0.120488098154045</v>
      </c>
      <c r="AB147" s="25" t="n">
        <f aca="false">IF(AND(ISNUMBER(AB145),ISNUMBER(AB136)),AB145/AB136,"")</f>
        <v>0.151942178793507</v>
      </c>
      <c r="AC147" s="25" t="n">
        <f aca="false">IF(AND(ISNUMBER(AC145),ISNUMBER(AC136)),AC145/AC136,"")</f>
        <v>0.13402575229423</v>
      </c>
      <c r="AD147" s="25" t="n">
        <f aca="false">IF(AND(ISNUMBER(AD145),ISNUMBER(AD136)),AD145/AD136,"")</f>
        <v>0.130619097586569</v>
      </c>
      <c r="AE147" s="25" t="n">
        <f aca="false">IF(AND(ISNUMBER(AE145),ISNUMBER(AE136)),AE145/AE136,"")</f>
        <v>0.15060120240481</v>
      </c>
      <c r="AF147" s="25" t="n">
        <f aca="false">IF(AND(ISNUMBER(AF145),ISNUMBER(AF136)),AF145/AF136,"")</f>
        <v>0.12435010359251</v>
      </c>
      <c r="AG147" s="25" t="n">
        <f aca="false">IF(AND(ISNUMBER(AG145),ISNUMBER(AG136)),AG145/AG136,"")</f>
        <v>0.158425665619315</v>
      </c>
      <c r="AH147" s="25" t="n">
        <f aca="false">IF(AND(ISNUMBER(AH145),ISNUMBER(AH136)),AH145/AH136,"")</f>
        <v>0.14188736972942</v>
      </c>
      <c r="AI147" s="25" t="n">
        <f aca="false">IF(AND(ISNUMBER(AI145),ISNUMBER(AI136)),AI145/AI136,"")</f>
        <v>0.134290107637109</v>
      </c>
      <c r="AJ147" s="25" t="n">
        <f aca="false">IF(AND(ISNUMBER(AJ145),ISNUMBER(AJ136)),AJ145/AJ136,"")</f>
        <v>0.154162553471537</v>
      </c>
      <c r="AK147" s="25" t="n">
        <f aca="false">IF(AND(ISNUMBER(AK145),ISNUMBER(AK136)),AK145/AK136,"")</f>
        <v>0.154054054054054</v>
      </c>
      <c r="AL147" s="25" t="n">
        <f aca="false">IF(AND(ISNUMBER(AL145),ISNUMBER(AL136)),AL145/AL136,"")</f>
        <v>0.176425388043645</v>
      </c>
      <c r="AM147" s="25" t="n">
        <f aca="false">IF(AND(ISNUMBER(AM145),ISNUMBER(AM136)),AM145/AM136,"")</f>
        <v>0.155308317595862</v>
      </c>
      <c r="AN147" s="25" t="n">
        <f aca="false">IF(AND(ISNUMBER(AN145),ISNUMBER(AN136)),AN145/AN136,"")</f>
        <v>0.150204081632653</v>
      </c>
      <c r="AO147" s="25" t="n">
        <f aca="false">IF(AND(ISNUMBER(AO145),ISNUMBER(AO136)),AO145/AO136,"")</f>
        <v>0.236858771374288</v>
      </c>
      <c r="AP147" s="25" t="n">
        <f aca="false">IF(AND(ISNUMBER(AP145),ISNUMBER(AP136)),AP145/AP136,"")</f>
        <v>0.150829081632653</v>
      </c>
      <c r="AQ147" s="25" t="n">
        <f aca="false">IF(AND(ISNUMBER(AQ145),ISNUMBER(AQ136)),AQ145/AQ136,"")</f>
        <v>0.180407087421292</v>
      </c>
      <c r="AR147" s="25" t="n">
        <f aca="false">IF(AND(ISNUMBER(AR145),ISNUMBER(AR136)),AR145/AR136,"")</f>
        <v>0.179860621721087</v>
      </c>
      <c r="AS147" s="25" t="n">
        <f aca="false">IF(AND(ISNUMBER(AS145),ISNUMBER(AS136)),AS145/AS136,"")</f>
        <v>0.145425361155698</v>
      </c>
      <c r="AT147" s="25" t="n">
        <f aca="false">IF(AND(ISNUMBER(AT145),ISNUMBER(AT136)),AT145/AT136,"")</f>
        <v>0.20109874222929</v>
      </c>
      <c r="AU147" s="25" t="n">
        <f aca="false">IF(AND(ISNUMBER(AU145),ISNUMBER(AU136)),AU145/AU136,"")</f>
        <v>0.284708367562493</v>
      </c>
      <c r="AV147" s="25" t="n">
        <f aca="false">IF(AND(ISNUMBER(AV145),ISNUMBER(AV136)),AV145/AV136,"")</f>
        <v>0.291090047393365</v>
      </c>
      <c r="AW147" s="25" t="n">
        <f aca="false">IF(AND(ISNUMBER(AW145),ISNUMBER(AW136)),AW145/AW136,"")</f>
        <v>0.241914457756534</v>
      </c>
      <c r="AX147" s="25" t="n">
        <f aca="false">IF(AND(ISNUMBER(AX145),ISNUMBER(AX136)),AX145/AX136,"")</f>
        <v>0.307793256612154</v>
      </c>
      <c r="AY147" s="25" t="n">
        <f aca="false">IF(AND(ISNUMBER(AY145),ISNUMBER(AY136)),AY145/AY136,"")</f>
        <v>0.233257845357489</v>
      </c>
      <c r="AZ147" s="25" t="n">
        <f aca="false">IF(AND(ISNUMBER(AZ145),ISNUMBER(AZ136)),AZ145/AZ136,"")</f>
        <v>0.244158628081458</v>
      </c>
      <c r="BA147" s="25" t="n">
        <f aca="false">IF(AND(ISNUMBER(BA145),ISNUMBER(BA136)),BA145/BA136,"")</f>
        <v>0.237151934217903</v>
      </c>
      <c r="BB147" s="25" t="n">
        <f aca="false">IF(AND(ISNUMBER(BB145),ISNUMBER(BB136)),BB145/BB136,"")</f>
        <v>0.255744561475096</v>
      </c>
      <c r="BC147" s="25" t="n">
        <f aca="false">IF(AND(ISNUMBER(BC145),ISNUMBER(BC136)),BC145/BC136,"")</f>
        <v>0.23870367236419</v>
      </c>
      <c r="BD147" s="25" t="n">
        <f aca="false">IF(AND(ISNUMBER(BD145),ISNUMBER(BD136)),BD145/BD136,"")</f>
        <v>0.182406563354603</v>
      </c>
      <c r="BE147" s="25" t="n">
        <f aca="false">IF(AND(ISNUMBER(BE145),ISNUMBER(BE136)),BE145/BE136,"")</f>
        <v>0.160157347569542</v>
      </c>
      <c r="BF147" s="25" t="n">
        <f aca="false">IF(AND(ISNUMBER(BF145),ISNUMBER(BF136)),BF145/BF136,"")</f>
        <v>0.162532751091703</v>
      </c>
      <c r="BG147" s="25" t="n">
        <f aca="false">IF(AND(ISNUMBER(BG145),ISNUMBER(BG136)),BG145/BG136,"")</f>
        <v>0.186864076589113</v>
      </c>
      <c r="BH147" s="25" t="n">
        <f aca="false">IF(AND(ISNUMBER(BH145),ISNUMBER(BH136)),BH145/BH136,"")</f>
        <v>0.14593837535014</v>
      </c>
      <c r="BI147" s="25" t="n">
        <f aca="false">IF(AND(ISNUMBER(BI145),ISNUMBER(BI136)),BI145/BI136,"")</f>
        <v>0.147656030691494</v>
      </c>
      <c r="BJ147" s="25" t="n">
        <f aca="false">IF(AND(ISNUMBER(BJ145),ISNUMBER(BJ136)),BJ145/BJ136,"")</f>
        <v>0.176281445053906</v>
      </c>
      <c r="BK147" s="25" t="n">
        <f aca="false">IF(AND(ISNUMBER(BK145),ISNUMBER(BK136)),BK145/BK136,"")</f>
        <v>0.170310490538306</v>
      </c>
      <c r="BL147" s="25" t="n">
        <f aca="false">IF(AND(ISNUMBER(BL145),ISNUMBER(BL136)),BL145/BL136,"")</f>
        <v>0.160043866812889</v>
      </c>
      <c r="BM147" s="25" t="n">
        <f aca="false">IF(AND(ISNUMBER(BM145),ISNUMBER(BM136)),BM145/BM136,"")</f>
        <v>0.160753987433543</v>
      </c>
      <c r="BN147" s="25" t="n">
        <f aca="false">IF(AND(ISNUMBER(BN145),ISNUMBER(BN136)),BN145/BN136,"")</f>
        <v>0.172564272839389</v>
      </c>
      <c r="BO147" s="25" t="n">
        <f aca="false">IF(AND(ISNUMBER(BO145),ISNUMBER(BO136)),BO145/BO136,"")</f>
        <v>0.173428948858275</v>
      </c>
      <c r="BP147" s="25" t="n">
        <f aca="false">IF(AND(ISNUMBER(BP145),ISNUMBER(BP136)),BP145/BP136,"")</f>
        <v>0.177007459412023</v>
      </c>
      <c r="BQ147" s="25" t="n">
        <f aca="false">IF(AND(ISNUMBER(BQ145),ISNUMBER(BQ136)),BQ145/BQ136,"")</f>
        <v>0.171109400872222</v>
      </c>
      <c r="BR147" s="25" t="n">
        <f aca="false">IF(AND(ISNUMBER(BR145),ISNUMBER(BR136)),BR145/BR136,"")</f>
        <v>0.165766113469703</v>
      </c>
      <c r="BS147" s="25" t="n">
        <f aca="false">IF(AND(ISNUMBER(BS145),ISNUMBER(BS136)),BS145/BS136,"")</f>
        <v>0.169046522339936</v>
      </c>
      <c r="BT147" s="25" t="n">
        <f aca="false">IF(AND(ISNUMBER(BT145),ISNUMBER(BT136)),BT145/BT136,"")</f>
        <v>0.17451897140802</v>
      </c>
      <c r="BU147" s="25" t="n">
        <f aca="false">IF(AND(ISNUMBER(BU145),ISNUMBER(BU136)),BU145/BU136,"")</f>
        <v>0.184690953745395</v>
      </c>
      <c r="BV147" s="25" t="n">
        <f aca="false">IF(AND(ISNUMBER(BV145),ISNUMBER(BV136)),BV145/BV136,"")</f>
        <v>0.173871083580214</v>
      </c>
      <c r="BW147" s="25" t="n">
        <f aca="false">IF(AND(ISNUMBER(BW145),ISNUMBER(BW136)),BW145/BW136,"")</f>
        <v>0.16928668786915</v>
      </c>
      <c r="BX147" s="25" t="n">
        <f aca="false">IF(AND(ISNUMBER(BX145),ISNUMBER(BX136)),BX145/BX136,"")</f>
        <v>0.174003668500917</v>
      </c>
      <c r="BY147" s="26" t="n">
        <f aca="false">IFERROR(BY145/BY136,"")</f>
        <v>0.210378389129907</v>
      </c>
      <c r="BZ147" s="26" t="n">
        <f aca="false">IFERROR(BZ145/BZ136,"")</f>
        <v>0.198079093857779</v>
      </c>
      <c r="CA147" s="26" t="n">
        <f aca="false">IFERROR(CA145/CA136,"")</f>
        <v>0.188465968586387</v>
      </c>
      <c r="CB147" s="26" t="n">
        <f aca="false">IFERROR(CB145/CB136,"")</f>
        <v>0.189933525277863</v>
      </c>
      <c r="CC147" s="26" t="n">
        <f aca="false">IFERROR(CC145/CC136,"")</f>
        <v>0.195913270273126</v>
      </c>
      <c r="CD147" s="26" t="n">
        <f aca="false">IFERROR(CD145/CD136,"")</f>
        <v>0.20301894228003</v>
      </c>
      <c r="CE147" s="26" t="n">
        <f aca="false">IFERROR(CE145/CE136,"")</f>
        <v>0.212603053810588</v>
      </c>
      <c r="CF147" s="21"/>
    </row>
    <row r="148" customFormat="false" ht="15" hidden="false" customHeight="false" outlineLevel="0" collapsed="false">
      <c r="B148" s="23" t="s">
        <v>297</v>
      </c>
      <c r="C148" s="37" t="n">
        <v>16.419</v>
      </c>
      <c r="D148" s="37" t="n">
        <v>46.5</v>
      </c>
      <c r="E148" s="37" t="n">
        <v>51.7</v>
      </c>
      <c r="F148" s="37" t="n">
        <v>16.1</v>
      </c>
      <c r="G148" s="37" t="n">
        <v>12.5</v>
      </c>
      <c r="H148" s="37" t="n">
        <v>26.9</v>
      </c>
      <c r="I148" s="37" t="n">
        <v>25.2</v>
      </c>
      <c r="J148" s="37" t="n">
        <v>7.2</v>
      </c>
      <c r="K148" s="37" t="n">
        <v>7.1</v>
      </c>
      <c r="L148" s="37" t="n">
        <v>7.1</v>
      </c>
      <c r="M148" s="37" t="n">
        <v>6.6</v>
      </c>
      <c r="N148" s="37" t="n">
        <v>28</v>
      </c>
      <c r="O148" s="37" t="n">
        <v>11.9</v>
      </c>
      <c r="P148" s="37" t="n">
        <v>16</v>
      </c>
      <c r="Q148" s="37" t="n">
        <v>10.5</v>
      </c>
      <c r="R148" s="37" t="n">
        <v>9.3</v>
      </c>
      <c r="S148" s="37" t="n">
        <v>47.7</v>
      </c>
      <c r="T148" s="37" t="n">
        <v>7</v>
      </c>
      <c r="U148" s="37" t="n">
        <v>7.7</v>
      </c>
      <c r="V148" s="37" t="n">
        <v>7.2</v>
      </c>
      <c r="W148" s="37" t="n">
        <v>8.7</v>
      </c>
      <c r="X148" s="37" t="n">
        <v>30.6</v>
      </c>
      <c r="Y148" s="37" t="n">
        <v>10.8</v>
      </c>
      <c r="Z148" s="37" t="n">
        <v>13.2</v>
      </c>
      <c r="AA148" s="37" t="n">
        <v>10.4</v>
      </c>
      <c r="AB148" s="37" t="n">
        <v>14</v>
      </c>
      <c r="AC148" s="37" t="n">
        <v>48.4</v>
      </c>
      <c r="AD148" s="37" t="n">
        <v>18.5</v>
      </c>
      <c r="AE148" s="37" t="n">
        <v>17.8</v>
      </c>
      <c r="AF148" s="37" t="n">
        <v>24.4</v>
      </c>
      <c r="AG148" s="37" t="n">
        <v>20</v>
      </c>
      <c r="AH148" s="37" t="n">
        <v>81</v>
      </c>
      <c r="AI148" s="37" t="n">
        <v>20</v>
      </c>
      <c r="AJ148" s="37" t="n">
        <v>31</v>
      </c>
      <c r="AK148" s="37" t="n">
        <v>41</v>
      </c>
      <c r="AL148" s="37" t="n">
        <v>45</v>
      </c>
      <c r="AM148" s="37" t="n">
        <v>137</v>
      </c>
      <c r="AN148" s="37" t="n">
        <v>67</v>
      </c>
      <c r="AO148" s="37" t="n">
        <v>60</v>
      </c>
      <c r="AP148" s="37" t="n">
        <v>52</v>
      </c>
      <c r="AQ148" s="37" t="n">
        <v>45</v>
      </c>
      <c r="AR148" s="37" t="n">
        <v>224</v>
      </c>
      <c r="AS148" s="37" t="n">
        <v>36</v>
      </c>
      <c r="AT148" s="37" t="n">
        <v>8</v>
      </c>
      <c r="AU148" s="37" t="n">
        <v>9</v>
      </c>
      <c r="AV148" s="37" t="n">
        <v>12</v>
      </c>
      <c r="AW148" s="37" t="n">
        <v>65</v>
      </c>
      <c r="AX148" s="37" t="n">
        <v>12</v>
      </c>
      <c r="AY148" s="37" t="n">
        <v>11</v>
      </c>
      <c r="AZ148" s="37" t="n">
        <v>9</v>
      </c>
      <c r="BA148" s="37" t="n">
        <v>11</v>
      </c>
      <c r="BB148" s="37" t="n">
        <v>43</v>
      </c>
      <c r="BC148" s="37" t="n">
        <v>18</v>
      </c>
      <c r="BD148" s="37" t="n">
        <v>36</v>
      </c>
      <c r="BE148" s="37" t="n">
        <v>68</v>
      </c>
      <c r="BF148" s="37" t="n">
        <v>150</v>
      </c>
      <c r="BG148" s="37" t="n">
        <v>272</v>
      </c>
      <c r="BH148" s="37" t="n">
        <v>146</v>
      </c>
      <c r="BI148" s="37" t="n">
        <v>178</v>
      </c>
      <c r="BJ148" s="37" t="n">
        <v>246</v>
      </c>
      <c r="BK148" s="37" t="n">
        <v>309</v>
      </c>
      <c r="BL148" s="37" t="n">
        <v>879</v>
      </c>
      <c r="BM148" s="37" t="n">
        <v>279</v>
      </c>
      <c r="BN148" s="37" t="n">
        <v>295</v>
      </c>
      <c r="BO148" s="37" t="n">
        <v>277</v>
      </c>
      <c r="BP148" s="37" t="n">
        <v>227</v>
      </c>
      <c r="BQ148" s="37" t="n">
        <v>1078</v>
      </c>
      <c r="BR148" s="37" t="n">
        <v>203</v>
      </c>
      <c r="BS148" s="37" t="n">
        <v>297</v>
      </c>
      <c r="BT148" s="37" t="n">
        <v>234</v>
      </c>
      <c r="BU148" s="37" t="n">
        <v>258</v>
      </c>
      <c r="BV148" s="37" t="n">
        <v>993</v>
      </c>
      <c r="BW148" s="37" t="n">
        <v>233</v>
      </c>
      <c r="BX148" s="37" t="n">
        <v>207</v>
      </c>
      <c r="BY148" s="44" t="n">
        <f aca="false">BY149-($CP$20-(BW149+BX149-BW148-BX148))/2</f>
        <v>228.5</v>
      </c>
      <c r="BZ148" s="44" t="n">
        <f aca="false">BZ149-($CP$20-(BW149+BX149-BW148-BX148))/2</f>
        <v>228.5</v>
      </c>
      <c r="CA148" s="44" t="n">
        <f aca="false">SUM(BW148,BX148,BY148,BZ148)</f>
        <v>897</v>
      </c>
      <c r="CB148" s="44" t="n">
        <f aca="false">CA292*CB359+CB360</f>
        <v>708.5191</v>
      </c>
      <c r="CC148" s="44" t="n">
        <f aca="false">CB292*CC359+CC360</f>
        <v>692.102163913898</v>
      </c>
      <c r="CD148" s="44" t="n">
        <f aca="false">CC292*CD359+CD360</f>
        <v>583.507452508045</v>
      </c>
      <c r="CE148" s="44" t="n">
        <f aca="false">CD292*CE359+CE360</f>
        <v>518.88</v>
      </c>
      <c r="CF148" s="21" t="s">
        <v>298</v>
      </c>
    </row>
    <row r="149" customFormat="false" ht="15" hidden="false" customHeight="false" outlineLevel="0" collapsed="false">
      <c r="B149" s="23" t="s">
        <v>299</v>
      </c>
      <c r="C149" s="37" t="n">
        <v>51.93</v>
      </c>
      <c r="D149" s="37" t="n">
        <v>139.8</v>
      </c>
      <c r="E149" s="37" t="n">
        <v>129.9</v>
      </c>
      <c r="F149" s="37" t="n">
        <v>118.1</v>
      </c>
      <c r="G149" s="37" t="n">
        <v>84.7</v>
      </c>
      <c r="H149" s="37" t="n">
        <v>175.3</v>
      </c>
      <c r="I149" s="37" t="n">
        <v>241.6</v>
      </c>
      <c r="J149" s="37" t="n">
        <v>64.4</v>
      </c>
      <c r="K149" s="37" t="n">
        <v>64.4</v>
      </c>
      <c r="L149" s="37" t="n">
        <v>64.3</v>
      </c>
      <c r="M149" s="37" t="n">
        <v>69</v>
      </c>
      <c r="N149" s="37" t="n">
        <v>262.1</v>
      </c>
      <c r="O149" s="37" t="n">
        <v>117.8</v>
      </c>
      <c r="P149" s="37" t="n">
        <v>129.1</v>
      </c>
      <c r="Q149" s="37" t="n">
        <v>116.8</v>
      </c>
      <c r="R149" s="37" t="n">
        <v>116.2</v>
      </c>
      <c r="S149" s="37" t="n">
        <v>479.9</v>
      </c>
      <c r="T149" s="37" t="n">
        <v>108.4</v>
      </c>
      <c r="U149" s="37" t="n">
        <v>102.9</v>
      </c>
      <c r="V149" s="37" t="n">
        <v>100.6</v>
      </c>
      <c r="W149" s="37" t="n">
        <v>103</v>
      </c>
      <c r="X149" s="37" t="n">
        <v>414.9</v>
      </c>
      <c r="Y149" s="37" t="n">
        <v>106.2</v>
      </c>
      <c r="Z149" s="37" t="n">
        <v>118.8</v>
      </c>
      <c r="AA149" s="37" t="n">
        <v>113.3</v>
      </c>
      <c r="AB149" s="37" t="n">
        <v>131.3</v>
      </c>
      <c r="AC149" s="37" t="n">
        <v>469.6</v>
      </c>
      <c r="AD149" s="37" t="n">
        <v>135.4</v>
      </c>
      <c r="AE149" s="37" t="n">
        <v>133.6</v>
      </c>
      <c r="AF149" s="37" t="n">
        <v>156.7</v>
      </c>
      <c r="AG149" s="37" t="n">
        <v>166</v>
      </c>
      <c r="AH149" s="37" t="n">
        <v>592</v>
      </c>
      <c r="AI149" s="37" t="n">
        <v>163</v>
      </c>
      <c r="AJ149" s="37" t="n">
        <v>170</v>
      </c>
      <c r="AK149" s="37" t="n">
        <v>162</v>
      </c>
      <c r="AL149" s="37" t="n">
        <v>172</v>
      </c>
      <c r="AM149" s="37" t="n">
        <v>667</v>
      </c>
      <c r="AN149" s="37" t="n">
        <v>189</v>
      </c>
      <c r="AO149" s="37" t="n">
        <v>181</v>
      </c>
      <c r="AP149" s="37" t="n">
        <v>164</v>
      </c>
      <c r="AQ149" s="37" t="n">
        <v>142</v>
      </c>
      <c r="AR149" s="37" t="n">
        <v>676</v>
      </c>
      <c r="AS149" s="37" t="n">
        <v>126</v>
      </c>
      <c r="AT149" s="37" t="n">
        <v>137</v>
      </c>
      <c r="AU149" s="37" t="n">
        <v>144</v>
      </c>
      <c r="AV149" s="37" t="n">
        <v>146</v>
      </c>
      <c r="AW149" s="37" t="n">
        <v>553</v>
      </c>
      <c r="AX149" s="37" t="n">
        <v>125</v>
      </c>
      <c r="AY149" s="37" t="n">
        <v>122</v>
      </c>
      <c r="AZ149" s="37" t="n">
        <v>128</v>
      </c>
      <c r="BA149" s="37" t="n">
        <v>161</v>
      </c>
      <c r="BB149" s="37" t="n">
        <v>536</v>
      </c>
      <c r="BC149" s="37" t="n">
        <v>136</v>
      </c>
      <c r="BD149" s="37" t="n">
        <v>148</v>
      </c>
      <c r="BE149" s="37" t="n">
        <v>173</v>
      </c>
      <c r="BF149" s="37" t="n">
        <v>269</v>
      </c>
      <c r="BG149" s="37" t="n">
        <v>726</v>
      </c>
      <c r="BH149" s="37" t="n">
        <v>300</v>
      </c>
      <c r="BI149" s="37" t="n">
        <v>326</v>
      </c>
      <c r="BJ149" s="37" t="n">
        <v>359</v>
      </c>
      <c r="BK149" s="37" t="n">
        <v>390</v>
      </c>
      <c r="BL149" s="37" t="n">
        <v>1375</v>
      </c>
      <c r="BM149" s="37" t="n">
        <v>363</v>
      </c>
      <c r="BN149" s="37" t="n">
        <v>354</v>
      </c>
      <c r="BO149" s="37" t="n">
        <v>356</v>
      </c>
      <c r="BP149" s="37" t="n">
        <v>316</v>
      </c>
      <c r="BQ149" s="37" t="n">
        <v>1390</v>
      </c>
      <c r="BR149" s="37" t="n">
        <v>303</v>
      </c>
      <c r="BS149" s="37" t="n">
        <v>404</v>
      </c>
      <c r="BT149" s="37" t="n">
        <v>347</v>
      </c>
      <c r="BU149" s="37" t="n">
        <v>365</v>
      </c>
      <c r="BV149" s="37" t="n">
        <v>1419</v>
      </c>
      <c r="BW149" s="37" t="n">
        <v>354</v>
      </c>
      <c r="BX149" s="37" t="n">
        <v>401</v>
      </c>
      <c r="BY149" s="44" t="n">
        <f aca="false">$BX149</f>
        <v>401</v>
      </c>
      <c r="BZ149" s="44" t="n">
        <f aca="false">$BX149</f>
        <v>401</v>
      </c>
      <c r="CA149" s="44" t="n">
        <f aca="false">SUM(BW149,BX149,BY149,BZ149)</f>
        <v>1557</v>
      </c>
      <c r="CB149" s="44" t="n">
        <f aca="false">CA352*CB357+CA355*CB358</f>
        <v>1574.313</v>
      </c>
      <c r="CC149" s="44" t="n">
        <f aca="false">CB352*CC357+CB355*CC358</f>
        <v>1616.862</v>
      </c>
      <c r="CD149" s="44" t="n">
        <f aca="false">CC352*CD357+CC355*CD358</f>
        <v>1659.411</v>
      </c>
      <c r="CE149" s="44" t="n">
        <f aca="false">CD352*CE357+CD355*CE358</f>
        <v>1763.63166579491</v>
      </c>
      <c r="CF149" s="21" t="s">
        <v>300</v>
      </c>
    </row>
    <row r="150" customFormat="false" ht="15" hidden="false" customHeight="false" outlineLevel="0" collapsed="false">
      <c r="B150" s="23" t="s">
        <v>301</v>
      </c>
      <c r="C150" s="37" t="n">
        <v>2.922</v>
      </c>
      <c r="D150" s="37" t="n">
        <v>0.2</v>
      </c>
      <c r="E150" s="37" t="n">
        <v>-1.6</v>
      </c>
      <c r="F150" s="37" t="n">
        <v>-19.8</v>
      </c>
      <c r="G150" s="37" t="n">
        <v>-28.1</v>
      </c>
      <c r="H150" s="37" t="n">
        <v>29.8</v>
      </c>
      <c r="I150" s="37" t="n">
        <v>3.7</v>
      </c>
      <c r="J150" s="37" t="n">
        <v>13</v>
      </c>
      <c r="K150" s="37" t="n">
        <v>-38.1</v>
      </c>
      <c r="L150" s="37" t="n">
        <v>-15.9</v>
      </c>
      <c r="M150" s="37" t="n">
        <v>-15</v>
      </c>
      <c r="N150" s="37" t="n">
        <v>-56</v>
      </c>
      <c r="O150" s="37" t="n">
        <v>4.8</v>
      </c>
      <c r="P150" s="37" t="n">
        <v>1.5</v>
      </c>
      <c r="Q150" s="37" t="n">
        <v>5.2</v>
      </c>
      <c r="R150" s="37" t="n">
        <v>4.9</v>
      </c>
      <c r="S150" s="37" t="n">
        <v>16.4</v>
      </c>
      <c r="T150" s="37" t="n">
        <v>-3.9</v>
      </c>
      <c r="U150" s="37" t="n">
        <v>3</v>
      </c>
      <c r="V150" s="37" t="n">
        <v>-1.4</v>
      </c>
      <c r="W150" s="37" t="n">
        <v>-13.2</v>
      </c>
      <c r="X150" s="37" t="n">
        <v>-15.5</v>
      </c>
      <c r="Y150" s="37" t="n">
        <v>0.5</v>
      </c>
      <c r="Z150" s="37" t="n">
        <v>-10.9</v>
      </c>
      <c r="AA150" s="37" t="n">
        <v>-10.3</v>
      </c>
      <c r="AB150" s="37" t="n">
        <v>16.6</v>
      </c>
      <c r="AC150" s="37" t="n">
        <v>-4.1</v>
      </c>
      <c r="AD150" s="37" t="n">
        <v>-2.6</v>
      </c>
      <c r="AE150" s="37" t="n">
        <v>-10.1</v>
      </c>
      <c r="AF150" s="37" t="n">
        <v>-23.3</v>
      </c>
      <c r="AG150" s="37" t="n">
        <v>8</v>
      </c>
      <c r="AH150" s="37" t="n">
        <v>-28</v>
      </c>
      <c r="AI150" s="37" t="n">
        <v>-9</v>
      </c>
      <c r="AJ150" s="37" t="n">
        <v>8</v>
      </c>
      <c r="AK150" s="37" t="n">
        <v>19</v>
      </c>
      <c r="AL150" s="37" t="n">
        <v>-9</v>
      </c>
      <c r="AM150" s="37" t="n">
        <v>9</v>
      </c>
      <c r="AN150" s="37" t="n">
        <v>19</v>
      </c>
      <c r="AO150" s="37" t="n">
        <v>18</v>
      </c>
      <c r="AP150" s="37" t="n">
        <v>-12</v>
      </c>
      <c r="AQ150" s="37" t="n">
        <v>-97</v>
      </c>
      <c r="AR150" s="37" t="n">
        <v>-72</v>
      </c>
      <c r="AS150" s="37" t="n">
        <v>12</v>
      </c>
      <c r="AT150" s="37" t="n">
        <v>-9</v>
      </c>
      <c r="AU150" s="37" t="n">
        <v>-39</v>
      </c>
      <c r="AV150" s="37" t="n">
        <v>-45</v>
      </c>
      <c r="AW150" s="37" t="n">
        <v>-81</v>
      </c>
      <c r="AX150" s="37" t="n">
        <v>-183</v>
      </c>
      <c r="AY150" s="37" t="n">
        <v>-5</v>
      </c>
      <c r="AZ150" s="37" t="n">
        <v>14</v>
      </c>
      <c r="BA150" s="37" t="n">
        <v>-526</v>
      </c>
      <c r="BB150" s="37" t="n">
        <v>-694</v>
      </c>
      <c r="BC150" s="37" t="n">
        <v>-163</v>
      </c>
      <c r="BD150" s="37" t="n">
        <v>28</v>
      </c>
      <c r="BE150" s="37" t="n">
        <v>-4</v>
      </c>
      <c r="BF150" s="37" t="n">
        <v>35</v>
      </c>
      <c r="BG150" s="37" t="n">
        <v>-104</v>
      </c>
      <c r="BH150" s="37" t="n">
        <v>-46</v>
      </c>
      <c r="BI150" s="37" t="n">
        <v>0</v>
      </c>
      <c r="BJ150" s="37" t="n">
        <v>14</v>
      </c>
      <c r="BK150" s="37" t="n">
        <v>-33</v>
      </c>
      <c r="BL150" s="37" t="n">
        <v>-65</v>
      </c>
      <c r="BM150" s="37" t="n">
        <v>10</v>
      </c>
      <c r="BN150" s="37" t="n">
        <v>5</v>
      </c>
      <c r="BO150" s="37" t="n">
        <v>-16</v>
      </c>
      <c r="BP150" s="37" t="n">
        <v>14</v>
      </c>
      <c r="BQ150" s="37" t="n">
        <v>12</v>
      </c>
      <c r="BR150" s="37" t="n">
        <v>3</v>
      </c>
      <c r="BS150" s="37" t="n">
        <v>-19</v>
      </c>
      <c r="BT150" s="37" t="n">
        <v>-2</v>
      </c>
      <c r="BU150" s="37" t="n">
        <v>5</v>
      </c>
      <c r="BV150" s="37" t="n">
        <v>-12</v>
      </c>
      <c r="BW150" s="37" t="n">
        <v>-9</v>
      </c>
      <c r="BX150" s="37" t="n">
        <v>31</v>
      </c>
      <c r="BY150" s="42" t="n">
        <v>0</v>
      </c>
      <c r="BZ150" s="42" t="n">
        <v>0</v>
      </c>
      <c r="CA150" s="44" t="n">
        <f aca="false">SUM(BW150,BX150,BY150,BZ150)</f>
        <v>22</v>
      </c>
      <c r="CB150" s="42" t="n">
        <v>0</v>
      </c>
      <c r="CC150" s="42" t="n">
        <v>0</v>
      </c>
      <c r="CD150" s="42" t="n">
        <v>0</v>
      </c>
      <c r="CE150" s="42" t="n">
        <v>0</v>
      </c>
      <c r="CF150" s="21" t="s">
        <v>302</v>
      </c>
    </row>
    <row r="151" customFormat="false" ht="15" hidden="false" customHeight="false" outlineLevel="0" collapsed="false">
      <c r="B151" s="17" t="s">
        <v>303</v>
      </c>
      <c r="C151" s="63" t="n">
        <f aca="false">C145+C148-C149+C150</f>
        <v>209.37</v>
      </c>
      <c r="D151" s="63" t="n">
        <f aca="false">D145+D148-D149+D150</f>
        <v>881.299999999998</v>
      </c>
      <c r="E151" s="63" t="n">
        <f aca="false">E145+E148-E149+E150</f>
        <v>1149.6</v>
      </c>
      <c r="F151" s="63" t="n">
        <f aca="false">F145+F148-F149+F150</f>
        <v>927.100000000001</v>
      </c>
      <c r="G151" s="63" t="n">
        <f aca="false">G145+G148-G149+G150</f>
        <v>1164.6</v>
      </c>
      <c r="H151" s="63" t="n">
        <f aca="false">H145+H148-H149+H150</f>
        <v>1126.6</v>
      </c>
      <c r="I151" s="63" t="n">
        <f aca="false">I145+I148-I149+I150</f>
        <v>1269.4</v>
      </c>
      <c r="J151" s="63" t="n">
        <f aca="false">J145+J148-J149+J150</f>
        <v>342.9</v>
      </c>
      <c r="K151" s="63" t="n">
        <f aca="false">K145+K148-K149+K150</f>
        <v>280</v>
      </c>
      <c r="L151" s="63" t="n">
        <f aca="false">L145+L148-L149+L150</f>
        <v>319</v>
      </c>
      <c r="M151" s="63" t="n">
        <f aca="false">M145+M148-M149+M150</f>
        <v>377.6</v>
      </c>
      <c r="N151" s="63" t="n">
        <f aca="false">N145+N148-N149+N150</f>
        <v>1319.5</v>
      </c>
      <c r="O151" s="63" t="n">
        <f aca="false">O145+O148-O149+O150</f>
        <v>774.4</v>
      </c>
      <c r="P151" s="63" t="n">
        <f aca="false">P145+P148-P149+P150</f>
        <v>236.5</v>
      </c>
      <c r="Q151" s="63" t="n">
        <f aca="false">Q145+Q148-Q149+Q150</f>
        <v>539.2</v>
      </c>
      <c r="R151" s="63" t="n">
        <f aca="false">R145+R148-R149+R150</f>
        <v>537.1</v>
      </c>
      <c r="S151" s="63" t="n">
        <f aca="false">S145+S148-S149+S150</f>
        <v>2087.2</v>
      </c>
      <c r="T151" s="63" t="n">
        <f aca="false">T145+T148-T149+T150</f>
        <v>382</v>
      </c>
      <c r="U151" s="63" t="n">
        <f aca="false">U145+U148-U149+U150</f>
        <v>503.599999999999</v>
      </c>
      <c r="V151" s="63" t="n">
        <f aca="false">V145+V148-V149+V150</f>
        <v>468.1</v>
      </c>
      <c r="W151" s="63" t="n">
        <f aca="false">W145+W148-W149+W150</f>
        <v>582.699999999999</v>
      </c>
      <c r="X151" s="63" t="n">
        <f aca="false">X145+X148-X149+X150</f>
        <v>1936.4</v>
      </c>
      <c r="Y151" s="63" t="n">
        <f aca="false">Y145+Y148-Y149+Y150</f>
        <v>423</v>
      </c>
      <c r="Z151" s="63" t="n">
        <f aca="false">Z145+Z148-Z149+Z150</f>
        <v>521.1</v>
      </c>
      <c r="AA151" s="63" t="n">
        <f aca="false">AA145+AA148-AA149+AA150</f>
        <v>427.899999999999</v>
      </c>
      <c r="AB151" s="63" t="n">
        <f aca="false">AB145+AB148-AB149+AB150</f>
        <v>651.9</v>
      </c>
      <c r="AC151" s="63" t="n">
        <f aca="false">AC145+AC148-AC149+AC150</f>
        <v>2023.9</v>
      </c>
      <c r="AD151" s="63" t="n">
        <f aca="false">AD145+AD148-AD149+AD150</f>
        <v>502.900000000001</v>
      </c>
      <c r="AE151" s="63" t="n">
        <f aca="false">AE145+AE148-AE149+AE150</f>
        <v>625.6</v>
      </c>
      <c r="AF151" s="63" t="n">
        <f aca="false">AF145+AF148-AF149+AF150</f>
        <v>480.6</v>
      </c>
      <c r="AG151" s="63" t="n">
        <f aca="false">AG145+AG148-AG149+AG150</f>
        <v>820</v>
      </c>
      <c r="AH151" s="63" t="n">
        <f aca="false">AH145+AH148-AH149+AH150</f>
        <v>2429</v>
      </c>
      <c r="AI151" s="63" t="n">
        <f aca="false">AI145+AI148-AI149+AI150</f>
        <v>634</v>
      </c>
      <c r="AJ151" s="63" t="n">
        <f aca="false">AJ145+AJ148-AJ149+AJ150</f>
        <v>806</v>
      </c>
      <c r="AK151" s="63" t="n">
        <f aca="false">AK145+AK148-AK149+AK150</f>
        <v>810</v>
      </c>
      <c r="AL151" s="63" t="n">
        <f aca="false">AL145+AL148-AL149+AL150</f>
        <v>1012</v>
      </c>
      <c r="AM151" s="63" t="n">
        <f aca="false">AM145+AM148-AM149+AM150</f>
        <v>3262</v>
      </c>
      <c r="AN151" s="63" t="n">
        <f aca="false">AN145+AN148-AN149+AN150</f>
        <v>817</v>
      </c>
      <c r="AO151" s="63" t="n">
        <f aca="false">AO145+AO148-AO149+AO150</f>
        <v>1393</v>
      </c>
      <c r="AP151" s="63" t="n">
        <f aca="false">AP145+AP148-AP149+AP150</f>
        <v>822</v>
      </c>
      <c r="AQ151" s="63" t="n">
        <f aca="false">AQ145+AQ148-AQ149+AQ150</f>
        <v>1038</v>
      </c>
      <c r="AR151" s="63" t="n">
        <f aca="false">AR145+AR148-AR149+AR150</f>
        <v>4070</v>
      </c>
      <c r="AS151" s="63" t="n">
        <f aca="false">AS145+AS148-AS149+AS150</f>
        <v>828</v>
      </c>
      <c r="AT151" s="63" t="n">
        <f aca="false">AT145+AT148-AT149+AT150</f>
        <v>1253</v>
      </c>
      <c r="AU151" s="63" t="n">
        <f aca="false">AU145+AU148-AU149+AU150</f>
        <v>2252</v>
      </c>
      <c r="AV151" s="63" t="n">
        <f aca="false">AV145+AV148-AV149+AV150</f>
        <v>2892</v>
      </c>
      <c r="AW151" s="63" t="n">
        <f aca="false">AW145+AW148-AW149+AW150</f>
        <v>7225</v>
      </c>
      <c r="AX151" s="63" t="n">
        <f aca="false">AX145+AX148-AX149+AX150</f>
        <v>2753</v>
      </c>
      <c r="AY151" s="63" t="n">
        <f aca="false">AY145+AY148-AY149+AY150</f>
        <v>2047</v>
      </c>
      <c r="AZ151" s="63" t="n">
        <f aca="false">AZ145+AZ148-AZ149+AZ150</f>
        <v>2173</v>
      </c>
      <c r="BA151" s="63" t="n">
        <f aca="false">BA145+BA148-BA149+BA150</f>
        <v>1862</v>
      </c>
      <c r="BB151" s="63" t="n">
        <f aca="false">BB145+BB148-BB149+BB150</f>
        <v>8841</v>
      </c>
      <c r="BC151" s="63" t="n">
        <f aca="false">BC145+BC148-BC149+BC150</f>
        <v>2540</v>
      </c>
      <c r="BD151" s="63" t="n">
        <f aca="false">BD145+BD148-BD149+BD150</f>
        <v>1917</v>
      </c>
      <c r="BE151" s="63" t="n">
        <f aca="false">BE145+BE148-BE149+BE150</f>
        <v>1601</v>
      </c>
      <c r="BF151" s="63" t="n">
        <f aca="false">BF145+BF148-BF149+BF150</f>
        <v>1777</v>
      </c>
      <c r="BG151" s="63" t="n">
        <f aca="false">BG145+BG148-BG149+BG150</f>
        <v>7835</v>
      </c>
      <c r="BH151" s="63" t="n">
        <f aca="false">BH145+BH148-BH149+BH150</f>
        <v>1363</v>
      </c>
      <c r="BI151" s="63" t="n">
        <f aca="false">BI145+BI148-BI149+BI150</f>
        <v>1430</v>
      </c>
      <c r="BJ151" s="63" t="n">
        <f aca="false">BJ145+BJ148-BJ149+BJ150</f>
        <v>1765</v>
      </c>
      <c r="BK151" s="63" t="n">
        <f aca="false">BK145+BK148-BK149+BK150</f>
        <v>1740</v>
      </c>
      <c r="BL151" s="63" t="n">
        <f aca="false">BL145+BL148-BL149+BL150</f>
        <v>6298</v>
      </c>
      <c r="BM151" s="63" t="n">
        <f aca="false">BM145+BM148-BM149+BM150</f>
        <v>1589</v>
      </c>
      <c r="BN151" s="63" t="n">
        <f aca="false">BN145+BN148-BN149+BN150</f>
        <v>1765</v>
      </c>
      <c r="BO151" s="63" t="n">
        <f aca="false">BO145+BO148-BO149+BO150</f>
        <v>1743</v>
      </c>
      <c r="BP151" s="63" t="n">
        <f aca="false">BP145+BP148-BP149+BP150</f>
        <v>1942</v>
      </c>
      <c r="BQ151" s="63" t="n">
        <f aca="false">BQ145+BQ148-BQ149+BQ150</f>
        <v>7037</v>
      </c>
      <c r="BR151" s="63" t="n">
        <f aca="false">BR145+BR148-BR149+BR150</f>
        <v>1621</v>
      </c>
      <c r="BS151" s="63" t="n">
        <f aca="false">BS145+BS148-BS149+BS150</f>
        <v>1709</v>
      </c>
      <c r="BT151" s="63" t="n">
        <f aca="false">BT145+BT148-BT149+BT150</f>
        <v>1826</v>
      </c>
      <c r="BU151" s="63" t="n">
        <f aca="false">BU145+BU148-BU149+BU150</f>
        <v>2154</v>
      </c>
      <c r="BV151" s="63" t="n">
        <f aca="false">BV145+BV148-BV149+BV150</f>
        <v>7309</v>
      </c>
      <c r="BW151" s="63" t="n">
        <f aca="false">BW145+BW148-BW149+BW150</f>
        <v>1733</v>
      </c>
      <c r="BX151" s="63" t="n">
        <f aca="false">BX145+BX148-BX149+BX150</f>
        <v>1924</v>
      </c>
      <c r="BY151" s="20" t="n">
        <f aca="false">BY145+BY148-BY149+BY150</f>
        <v>2341.7599807075</v>
      </c>
      <c r="BZ151" s="20" t="n">
        <f aca="false">BZ145+BZ148-BZ149+BZ150</f>
        <v>2362.4900192925</v>
      </c>
      <c r="CA151" s="20" t="n">
        <f aca="false">CA145+CA148-CA149+CA150</f>
        <v>8361.25</v>
      </c>
      <c r="CB151" s="20" t="n">
        <f aca="false">CB145+CB148-CB149+CB150</f>
        <v>8756.96958385106</v>
      </c>
      <c r="CC151" s="20" t="n">
        <f aca="false">CC145+CC148-CC149+CC150</f>
        <v>9753.1073296698</v>
      </c>
      <c r="CD151" s="20" t="n">
        <f aca="false">CD145+CD148-CD149+CD150</f>
        <v>10827.5991182293</v>
      </c>
      <c r="CE151" s="20" t="n">
        <f aca="false">CE145+CE148-CE149+CE150</f>
        <v>12152.1436806041</v>
      </c>
      <c r="CF151" s="21"/>
    </row>
    <row r="152" customFormat="false" ht="15" hidden="false" customHeight="false" outlineLevel="0" collapsed="false">
      <c r="B152" s="23" t="s">
        <v>304</v>
      </c>
      <c r="C152" s="37" t="n">
        <v>43.054</v>
      </c>
      <c r="D152" s="37" t="n">
        <v>101.7</v>
      </c>
      <c r="E152" s="37" t="n">
        <v>160.9</v>
      </c>
      <c r="F152" s="37" t="n">
        <v>75.8</v>
      </c>
      <c r="G152" s="37" t="n">
        <v>131.5</v>
      </c>
      <c r="H152" s="37" t="n">
        <v>107</v>
      </c>
      <c r="I152" s="37" t="n">
        <v>11</v>
      </c>
      <c r="J152" s="37" t="n">
        <v>2.1</v>
      </c>
      <c r="K152" s="37" t="n">
        <v>2.4</v>
      </c>
      <c r="L152" s="37" t="n">
        <v>1.3</v>
      </c>
      <c r="M152" s="37" t="n">
        <v>34.6</v>
      </c>
      <c r="N152" s="37" t="n">
        <v>40.4</v>
      </c>
      <c r="O152" s="37" t="n">
        <v>231.3</v>
      </c>
      <c r="P152" s="37" t="n">
        <v>-42</v>
      </c>
      <c r="Q152" s="37" t="n">
        <v>69.3</v>
      </c>
      <c r="R152" s="37" t="n">
        <v>-66.9</v>
      </c>
      <c r="S152" s="37" t="n">
        <v>191.7</v>
      </c>
      <c r="T152" s="37" t="n">
        <v>-3.1</v>
      </c>
      <c r="U152" s="37" t="n">
        <v>-8</v>
      </c>
      <c r="V152" s="37" t="n">
        <v>-9.2</v>
      </c>
      <c r="W152" s="37" t="n">
        <v>-23.6</v>
      </c>
      <c r="X152" s="37" t="n">
        <v>-43.9</v>
      </c>
      <c r="Y152" s="37" t="n">
        <v>20.7</v>
      </c>
      <c r="Z152" s="37" t="n">
        <v>4.3</v>
      </c>
      <c r="AA152" s="37" t="n">
        <v>-45.6</v>
      </c>
      <c r="AB152" s="37" t="n">
        <v>19.2</v>
      </c>
      <c r="AC152" s="37" t="n">
        <v>-1.4</v>
      </c>
      <c r="AD152" s="37" t="n">
        <v>-48.5</v>
      </c>
      <c r="AE152" s="37" t="n">
        <v>13.4</v>
      </c>
      <c r="AF152" s="37" t="n">
        <v>-53.3</v>
      </c>
      <c r="AG152" s="37" t="n">
        <v>290</v>
      </c>
      <c r="AH152" s="37" t="n">
        <v>201</v>
      </c>
      <c r="AI152" s="37" t="n">
        <v>55</v>
      </c>
      <c r="AJ152" s="37" t="n">
        <v>54</v>
      </c>
      <c r="AK152" s="37" t="n">
        <v>101</v>
      </c>
      <c r="AL152" s="37" t="n">
        <v>114</v>
      </c>
      <c r="AM152" s="37" t="n">
        <v>324</v>
      </c>
      <c r="AN152" s="37" t="n">
        <v>2</v>
      </c>
      <c r="AO152" s="37" t="n">
        <v>274</v>
      </c>
      <c r="AP152" s="37" t="n">
        <v>62</v>
      </c>
      <c r="AQ152" s="37" t="n">
        <v>36</v>
      </c>
      <c r="AR152" s="37" t="n">
        <v>374</v>
      </c>
      <c r="AS152" s="37" t="n">
        <v>40</v>
      </c>
      <c r="AT152" s="37" t="n">
        <v>97</v>
      </c>
      <c r="AU152" s="37" t="n">
        <v>319</v>
      </c>
      <c r="AV152" s="37" t="n">
        <v>394</v>
      </c>
      <c r="AW152" s="37" t="n">
        <v>850</v>
      </c>
      <c r="AX152" s="37" t="n">
        <v>416</v>
      </c>
      <c r="AY152" s="37" t="n">
        <v>219</v>
      </c>
      <c r="AZ152" s="37" t="n">
        <v>271</v>
      </c>
      <c r="BA152" s="37" t="n">
        <v>202</v>
      </c>
      <c r="BB152" s="37" t="n">
        <v>1109</v>
      </c>
      <c r="BC152" s="37" t="n">
        <v>301</v>
      </c>
      <c r="BD152" s="37" t="n">
        <v>198</v>
      </c>
      <c r="BE152" s="37" t="n">
        <v>31</v>
      </c>
      <c r="BF152" s="37" t="n">
        <v>173</v>
      </c>
      <c r="BG152" s="37" t="n">
        <v>703</v>
      </c>
      <c r="BH152" s="37" t="n">
        <v>46</v>
      </c>
      <c r="BI152" s="37" t="n">
        <v>52</v>
      </c>
      <c r="BJ152" s="37" t="n">
        <v>53</v>
      </c>
      <c r="BK152" s="37" t="n">
        <v>133</v>
      </c>
      <c r="BL152" s="37" t="n">
        <v>284</v>
      </c>
      <c r="BM152" s="37" t="n">
        <v>281</v>
      </c>
      <c r="BN152" s="37" t="n">
        <v>128</v>
      </c>
      <c r="BO152" s="37" t="n">
        <v>99</v>
      </c>
      <c r="BP152" s="37" t="n">
        <v>150</v>
      </c>
      <c r="BQ152" s="37" t="n">
        <v>657</v>
      </c>
      <c r="BR152" s="37" t="n">
        <v>95</v>
      </c>
      <c r="BS152" s="37" t="n">
        <v>92</v>
      </c>
      <c r="BT152" s="37" t="n">
        <v>207</v>
      </c>
      <c r="BU152" s="37" t="n">
        <v>153</v>
      </c>
      <c r="BV152" s="37" t="n">
        <v>547</v>
      </c>
      <c r="BW152" s="37" t="n">
        <v>70</v>
      </c>
      <c r="BX152" s="37" t="n">
        <v>167</v>
      </c>
      <c r="BY152" s="44" t="n">
        <f aca="false">BY215*(BY151+BY202+BY203)+BY205</f>
        <v>229.687397781362</v>
      </c>
      <c r="BZ152" s="44" t="n">
        <f aca="false">BZ215*(BZ151+BZ202+BZ203)+BZ205</f>
        <v>212.786352218638</v>
      </c>
      <c r="CA152" s="44" t="n">
        <f aca="false">SUM(BW152,BX152,BY152,BZ152)</f>
        <v>679.47375</v>
      </c>
      <c r="CB152" s="44" t="n">
        <f aca="false">CB215*(CB151+CB202+CB203)+CB205</f>
        <v>829.253585776575</v>
      </c>
      <c r="CC152" s="44" t="n">
        <f aca="false">CC215*(CC151+CC202+CC203)+CC205</f>
        <v>1002.86853674585</v>
      </c>
      <c r="CD152" s="44" t="n">
        <f aca="false">CD215*(CD151+CD202+CD203)+CD205</f>
        <v>1202.58490782052</v>
      </c>
      <c r="CE152" s="44" t="n">
        <f aca="false">CE215*(CE151+CE202+CE203)+CE205</f>
        <v>1387.40641010522</v>
      </c>
      <c r="CF152" s="21" t="s">
        <v>305</v>
      </c>
    </row>
    <row r="153" customFormat="false" ht="15" hidden="false" customHeight="false" outlineLevel="0" collapsed="false">
      <c r="B153" s="23" t="s">
        <v>306</v>
      </c>
      <c r="C153" s="25" t="n">
        <f aca="false">IF(AND(ISNUMBER(C152),ISNUMBER(C151)),C152/C151,"")</f>
        <v>0.205635955485504</v>
      </c>
      <c r="D153" s="25" t="n">
        <f aca="false">IF(AND(ISNUMBER(D152),ISNUMBER(D151)),D152/D151,"")</f>
        <v>0.115397707931465</v>
      </c>
      <c r="E153" s="25" t="n">
        <f aca="false">IF(AND(ISNUMBER(E152),ISNUMBER(E151)),E152/E151,"")</f>
        <v>0.139961725817676</v>
      </c>
      <c r="F153" s="25" t="n">
        <f aca="false">IF(AND(ISNUMBER(F152),ISNUMBER(F151)),F152/F151,"")</f>
        <v>0.0817603279042173</v>
      </c>
      <c r="G153" s="25" t="n">
        <f aca="false">IF(AND(ISNUMBER(G152),ISNUMBER(G151)),G152/G151,"")</f>
        <v>0.11291430534089</v>
      </c>
      <c r="H153" s="25" t="n">
        <f aca="false">IF(AND(ISNUMBER(H152),ISNUMBER(H151)),H152/H151,"")</f>
        <v>0.094976034084857</v>
      </c>
      <c r="I153" s="25" t="n">
        <f aca="false">IF(AND(ISNUMBER(I152),ISNUMBER(I151)),I152/I151,"")</f>
        <v>0.00866551126516465</v>
      </c>
      <c r="J153" s="25" t="n">
        <f aca="false">IF(AND(ISNUMBER(J152),ISNUMBER(J151)),J152/J151,"")</f>
        <v>0.00612423447069116</v>
      </c>
      <c r="K153" s="25" t="n">
        <f aca="false">IF(AND(ISNUMBER(K152),ISNUMBER(K151)),K152/K151,"")</f>
        <v>0.00857142857142857</v>
      </c>
      <c r="L153" s="25" t="n">
        <f aca="false">IF(AND(ISNUMBER(L152),ISNUMBER(L151)),L152/L151,"")</f>
        <v>0.00407523510971787</v>
      </c>
      <c r="M153" s="25" t="n">
        <f aca="false">IF(AND(ISNUMBER(M152),ISNUMBER(M151)),M152/M151,"")</f>
        <v>0.0916313559322034</v>
      </c>
      <c r="N153" s="25" t="n">
        <f aca="false">IF(AND(ISNUMBER(N152),ISNUMBER(N151)),N152/N151,"")</f>
        <v>0.0306176582038651</v>
      </c>
      <c r="O153" s="25" t="n">
        <f aca="false">IF(AND(ISNUMBER(O152),ISNUMBER(O151)),O152/O151,"")</f>
        <v>0.298682851239669</v>
      </c>
      <c r="P153" s="25" t="n">
        <f aca="false">IF(AND(ISNUMBER(P152),ISNUMBER(P151)),P152/P151,"")</f>
        <v>-0.177589852008457</v>
      </c>
      <c r="Q153" s="25" t="n">
        <f aca="false">IF(AND(ISNUMBER(Q152),ISNUMBER(Q151)),Q152/Q151,"")</f>
        <v>0.128523738872404</v>
      </c>
      <c r="R153" s="25" t="n">
        <f aca="false">IF(AND(ISNUMBER(R152),ISNUMBER(R151)),R152/R151,"")</f>
        <v>-0.124557810463601</v>
      </c>
      <c r="S153" s="25" t="n">
        <f aca="false">IF(AND(ISNUMBER(S152),ISNUMBER(S151)),S152/S151,"")</f>
        <v>0.0918455346876199</v>
      </c>
      <c r="T153" s="25" t="n">
        <f aca="false">IF(AND(ISNUMBER(T152),ISNUMBER(T151)),T152/T151,"")</f>
        <v>-0.00811518324607329</v>
      </c>
      <c r="U153" s="25" t="n">
        <f aca="false">IF(AND(ISNUMBER(U152),ISNUMBER(U151)),U152/U151,"")</f>
        <v>-0.0158856235107228</v>
      </c>
      <c r="V153" s="25" t="n">
        <f aca="false">IF(AND(ISNUMBER(V152),ISNUMBER(V151)),V152/V151,"")</f>
        <v>-0.0196539201025422</v>
      </c>
      <c r="W153" s="25" t="n">
        <f aca="false">IF(AND(ISNUMBER(W152),ISNUMBER(W151)),W152/W151,"")</f>
        <v>-0.0405011154968252</v>
      </c>
      <c r="X153" s="25" t="n">
        <f aca="false">IF(AND(ISNUMBER(X152),ISNUMBER(X151)),X152/X151,"")</f>
        <v>-0.022670935757075</v>
      </c>
      <c r="Y153" s="25" t="n">
        <f aca="false">IF(AND(ISNUMBER(Y152),ISNUMBER(Y151)),Y152/Y151,"")</f>
        <v>0.048936170212766</v>
      </c>
      <c r="Z153" s="25" t="n">
        <f aca="false">IF(AND(ISNUMBER(Z152),ISNUMBER(Z151)),Z152/Z151,"")</f>
        <v>0.00825177509115334</v>
      </c>
      <c r="AA153" s="25" t="n">
        <f aca="false">IF(AND(ISNUMBER(AA152),ISNUMBER(AA151)),AA152/AA151,"")</f>
        <v>-0.106566954896004</v>
      </c>
      <c r="AB153" s="25" t="n">
        <f aca="false">IF(AND(ISNUMBER(AB152),ISNUMBER(AB151)),AB152/AB151,"")</f>
        <v>0.0294523699953981</v>
      </c>
      <c r="AC153" s="25" t="n">
        <f aca="false">IF(AND(ISNUMBER(AC152),ISNUMBER(AC151)),AC152/AC151,"")</f>
        <v>-0.000691733781313307</v>
      </c>
      <c r="AD153" s="25" t="n">
        <f aca="false">IF(AND(ISNUMBER(AD152),ISNUMBER(AD151)),AD152/AD151,"")</f>
        <v>-0.0964406442632729</v>
      </c>
      <c r="AE153" s="25" t="n">
        <f aca="false">IF(AND(ISNUMBER(AE152),ISNUMBER(AE151)),AE152/AE151,"")</f>
        <v>0.0214194373401535</v>
      </c>
      <c r="AF153" s="25" t="n">
        <f aca="false">IF(AND(ISNUMBER(AF152),ISNUMBER(AF151)),AF152/AF151,"")</f>
        <v>-0.11090303786933</v>
      </c>
      <c r="AG153" s="25" t="n">
        <f aca="false">IF(AND(ISNUMBER(AG152),ISNUMBER(AG151)),AG152/AG151,"")</f>
        <v>0.353658536585366</v>
      </c>
      <c r="AH153" s="25" t="n">
        <f aca="false">IF(AND(ISNUMBER(AH152),ISNUMBER(AH151)),AH152/AH151,"")</f>
        <v>0.0827501029230136</v>
      </c>
      <c r="AI153" s="25" t="n">
        <f aca="false">IF(AND(ISNUMBER(AI152),ISNUMBER(AI151)),AI152/AI151,"")</f>
        <v>0.0867507886435331</v>
      </c>
      <c r="AJ153" s="25" t="n">
        <f aca="false">IF(AND(ISNUMBER(AJ152),ISNUMBER(AJ151)),AJ152/AJ151,"")</f>
        <v>0.0669975186104218</v>
      </c>
      <c r="AK153" s="25" t="n">
        <f aca="false">IF(AND(ISNUMBER(AK152),ISNUMBER(AK151)),AK152/AK151,"")</f>
        <v>0.124691358024691</v>
      </c>
      <c r="AL153" s="25" t="n">
        <f aca="false">IF(AND(ISNUMBER(AL152),ISNUMBER(AL151)),AL152/AL151,"")</f>
        <v>0.112648221343874</v>
      </c>
      <c r="AM153" s="25" t="n">
        <f aca="false">IF(AND(ISNUMBER(AM152),ISNUMBER(AM151)),AM152/AM151,"")</f>
        <v>0.0993255671367259</v>
      </c>
      <c r="AN153" s="25" t="n">
        <f aca="false">IF(AND(ISNUMBER(AN152),ISNUMBER(AN151)),AN152/AN151,"")</f>
        <v>0.00244798041615667</v>
      </c>
      <c r="AO153" s="25" t="n">
        <f aca="false">IF(AND(ISNUMBER(AO152),ISNUMBER(AO151)),AO152/AO151,"")</f>
        <v>0.196697774587222</v>
      </c>
      <c r="AP153" s="25" t="n">
        <f aca="false">IF(AND(ISNUMBER(AP152),ISNUMBER(AP151)),AP152/AP151,"")</f>
        <v>0.0754257907542579</v>
      </c>
      <c r="AQ153" s="25" t="n">
        <f aca="false">IF(AND(ISNUMBER(AQ152),ISNUMBER(AQ151)),AQ152/AQ151,"")</f>
        <v>0.0346820809248555</v>
      </c>
      <c r="AR153" s="25" t="n">
        <f aca="false">IF(AND(ISNUMBER(AR152),ISNUMBER(AR151)),AR152/AR151,"")</f>
        <v>0.0918918918918919</v>
      </c>
      <c r="AS153" s="25" t="n">
        <f aca="false">IF(AND(ISNUMBER(AS152),ISNUMBER(AS151)),AS152/AS151,"")</f>
        <v>0.0483091787439614</v>
      </c>
      <c r="AT153" s="25" t="n">
        <f aca="false">IF(AND(ISNUMBER(AT152),ISNUMBER(AT151)),AT152/AT151,"")</f>
        <v>0.077414205905826</v>
      </c>
      <c r="AU153" s="25" t="n">
        <f aca="false">IF(AND(ISNUMBER(AU152),ISNUMBER(AU151)),AU152/AU151,"")</f>
        <v>0.141651865008881</v>
      </c>
      <c r="AV153" s="25" t="n">
        <f aca="false">IF(AND(ISNUMBER(AV152),ISNUMBER(AV151)),AV152/AV151,"")</f>
        <v>0.136237897648686</v>
      </c>
      <c r="AW153" s="25" t="n">
        <f aca="false">IF(AND(ISNUMBER(AW152),ISNUMBER(AW151)),AW152/AW151,"")</f>
        <v>0.117647058823529</v>
      </c>
      <c r="AX153" s="25" t="n">
        <f aca="false">IF(AND(ISNUMBER(AX152),ISNUMBER(AX151)),AX152/AX151,"")</f>
        <v>0.151107882310207</v>
      </c>
      <c r="AY153" s="25" t="n">
        <f aca="false">IF(AND(ISNUMBER(AY152),ISNUMBER(AY151)),AY152/AY151,"")</f>
        <v>0.106985832926234</v>
      </c>
      <c r="AZ153" s="25" t="n">
        <f aca="false">IF(AND(ISNUMBER(AZ152),ISNUMBER(AZ151)),AZ152/AZ151,"")</f>
        <v>0.124712379199264</v>
      </c>
      <c r="BA153" s="25" t="n">
        <f aca="false">IF(AND(ISNUMBER(BA152),ISNUMBER(BA151)),BA152/BA151,"")</f>
        <v>0.108485499462943</v>
      </c>
      <c r="BB153" s="25" t="n">
        <f aca="false">IF(AND(ISNUMBER(BB152),ISNUMBER(BB151)),BB152/BB151,"")</f>
        <v>0.125438298834973</v>
      </c>
      <c r="BC153" s="25" t="n">
        <f aca="false">IF(AND(ISNUMBER(BC152),ISNUMBER(BC151)),BC152/BC151,"")</f>
        <v>0.118503937007874</v>
      </c>
      <c r="BD153" s="25" t="n">
        <f aca="false">IF(AND(ISNUMBER(BD152),ISNUMBER(BD151)),BD152/BD151,"")</f>
        <v>0.103286384976526</v>
      </c>
      <c r="BE153" s="25" t="n">
        <f aca="false">IF(AND(ISNUMBER(BE152),ISNUMBER(BE151)),BE152/BE151,"")</f>
        <v>0.0193628981886321</v>
      </c>
      <c r="BF153" s="25" t="n">
        <f aca="false">IF(AND(ISNUMBER(BF152),ISNUMBER(BF151)),BF152/BF151,"")</f>
        <v>0.0973550928531232</v>
      </c>
      <c r="BG153" s="25" t="n">
        <f aca="false">IF(AND(ISNUMBER(BG152),ISNUMBER(BG151)),BG152/BG151,"")</f>
        <v>0.0897255902999362</v>
      </c>
      <c r="BH153" s="25" t="n">
        <f aca="false">IF(AND(ISNUMBER(BH152),ISNUMBER(BH151)),BH152/BH151,"")</f>
        <v>0.0337490829053558</v>
      </c>
      <c r="BI153" s="25" t="n">
        <f aca="false">IF(AND(ISNUMBER(BI152),ISNUMBER(BI151)),BI152/BI151,"")</f>
        <v>0.0363636363636364</v>
      </c>
      <c r="BJ153" s="25" t="n">
        <f aca="false">IF(AND(ISNUMBER(BJ152),ISNUMBER(BJ151)),BJ152/BJ151,"")</f>
        <v>0.030028328611898</v>
      </c>
      <c r="BK153" s="25" t="n">
        <f aca="false">IF(AND(ISNUMBER(BK152),ISNUMBER(BK151)),BK152/BK151,"")</f>
        <v>0.0764367816091954</v>
      </c>
      <c r="BL153" s="25" t="n">
        <f aca="false">IF(AND(ISNUMBER(BL152),ISNUMBER(BL151)),BL152/BL151,"")</f>
        <v>0.0450936805335027</v>
      </c>
      <c r="BM153" s="25" t="n">
        <f aca="false">IF(AND(ISNUMBER(BM152),ISNUMBER(BM151)),BM152/BM151,"")</f>
        <v>0.176840780365009</v>
      </c>
      <c r="BN153" s="25" t="n">
        <f aca="false">IF(AND(ISNUMBER(BN152),ISNUMBER(BN151)),BN152/BN151,"")</f>
        <v>0.0725212464589235</v>
      </c>
      <c r="BO153" s="25" t="n">
        <f aca="false">IF(AND(ISNUMBER(BO152),ISNUMBER(BO151)),BO152/BO151,"")</f>
        <v>0.0567986230636833</v>
      </c>
      <c r="BP153" s="25" t="n">
        <f aca="false">IF(AND(ISNUMBER(BP152),ISNUMBER(BP151)),BP152/BP151,"")</f>
        <v>0.0772399588053553</v>
      </c>
      <c r="BQ153" s="25" t="n">
        <f aca="false">IF(AND(ISNUMBER(BQ152),ISNUMBER(BQ151)),BQ152/BQ151,"")</f>
        <v>0.0933636492823646</v>
      </c>
      <c r="BR153" s="25" t="n">
        <f aca="false">IF(AND(ISNUMBER(BR152),ISNUMBER(BR151)),BR152/BR151,"")</f>
        <v>0.0586057988895743</v>
      </c>
      <c r="BS153" s="25" t="n">
        <f aca="false">IF(AND(ISNUMBER(BS152),ISNUMBER(BS151)),BS152/BS151,"")</f>
        <v>0.0538326506729081</v>
      </c>
      <c r="BT153" s="25" t="n">
        <f aca="false">IF(AND(ISNUMBER(BT152),ISNUMBER(BT151)),BT152/BT151,"")</f>
        <v>0.113362541073384</v>
      </c>
      <c r="BU153" s="25" t="n">
        <f aca="false">IF(AND(ISNUMBER(BU152),ISNUMBER(BU151)),BU152/BU151,"")</f>
        <v>0.0710306406685237</v>
      </c>
      <c r="BV153" s="25" t="n">
        <f aca="false">IF(AND(ISNUMBER(BV152),ISNUMBER(BV151)),BV152/BV151,"")</f>
        <v>0.0748392392940211</v>
      </c>
      <c r="BW153" s="25" t="n">
        <f aca="false">IF(AND(ISNUMBER(BW152),ISNUMBER(BW151)),BW152/BW151,"")</f>
        <v>0.0403923831506059</v>
      </c>
      <c r="BX153" s="25" t="n">
        <f aca="false">IF(AND(ISNUMBER(BX152),ISNUMBER(BX151)),BX152/BX151,"")</f>
        <v>0.0867983367983368</v>
      </c>
      <c r="BY153" s="26" t="n">
        <f aca="false">IFERROR(BY152/BY151,"")</f>
        <v>0.0980832364006701</v>
      </c>
      <c r="BZ153" s="26" t="n">
        <f aca="false">IFERROR(BZ152/BZ151,"")</f>
        <v>0.0900686777429693</v>
      </c>
      <c r="CA153" s="26" t="n">
        <f aca="false">IFERROR(CA152/CA151,"")</f>
        <v>0.0812646135446255</v>
      </c>
      <c r="CB153" s="26" t="n">
        <f aca="false">IFERROR(CB152/CB151,"")</f>
        <v>0.094696410423284</v>
      </c>
      <c r="CC153" s="26" t="n">
        <f aca="false">IFERROR(CC152/CC151,"")</f>
        <v>0.102825540911976</v>
      </c>
      <c r="CD153" s="26" t="n">
        <f aca="false">IFERROR(CD152/CD151,"")</f>
        <v>0.111066626561363</v>
      </c>
      <c r="CE153" s="26" t="n">
        <f aca="false">IFERROR(CE152/CE151,"")</f>
        <v>0.114169684507569</v>
      </c>
      <c r="CF153" s="21"/>
    </row>
    <row r="154" customFormat="false" ht="15" hidden="false" customHeight="false" outlineLevel="0" collapsed="false">
      <c r="B154" s="23" t="s">
        <v>307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7" t="n">
        <v>-1</v>
      </c>
      <c r="BB154" s="37" t="n">
        <v>-4</v>
      </c>
      <c r="BC154" s="37" t="n">
        <v>-19</v>
      </c>
      <c r="BD154" s="37" t="n">
        <v>-51</v>
      </c>
      <c r="BE154" s="37" t="n">
        <v>-72</v>
      </c>
      <c r="BF154" s="37" t="n">
        <v>-30</v>
      </c>
      <c r="BG154" s="37" t="n">
        <v>-172</v>
      </c>
      <c r="BH154" s="37" t="n">
        <v>-25</v>
      </c>
      <c r="BI154" s="37" t="n">
        <v>-16</v>
      </c>
      <c r="BJ154" s="37" t="n">
        <v>-17</v>
      </c>
      <c r="BK154" s="37" t="n">
        <v>-1</v>
      </c>
      <c r="BL154" s="37" t="n">
        <v>-59</v>
      </c>
      <c r="BM154" s="37" t="n">
        <v>23</v>
      </c>
      <c r="BN154" s="37" t="n">
        <v>-84</v>
      </c>
      <c r="BO154" s="37" t="n">
        <v>-14</v>
      </c>
      <c r="BP154" s="37" t="n">
        <v>33</v>
      </c>
      <c r="BQ154" s="37" t="n">
        <v>-42</v>
      </c>
      <c r="BR154" s="37" t="n">
        <v>-14</v>
      </c>
      <c r="BS154" s="37" t="n">
        <v>2</v>
      </c>
      <c r="BT154" s="37" t="n">
        <v>2</v>
      </c>
      <c r="BU154" s="37" t="n">
        <v>-31</v>
      </c>
      <c r="BV154" s="37" t="n">
        <v>-41</v>
      </c>
      <c r="BW154" s="37" t="n">
        <v>-8</v>
      </c>
      <c r="BX154" s="37" t="n">
        <v>-15</v>
      </c>
      <c r="BY154" s="42" t="n">
        <v>-10</v>
      </c>
      <c r="BZ154" s="42" t="n">
        <v>-10</v>
      </c>
      <c r="CA154" s="44" t="n">
        <f aca="false">SUM(BW154,BX154,BY154,BZ154)</f>
        <v>-43</v>
      </c>
      <c r="CB154" s="42" t="n">
        <v>0</v>
      </c>
      <c r="CC154" s="42" t="n">
        <v>0</v>
      </c>
      <c r="CD154" s="42" t="n">
        <v>0</v>
      </c>
      <c r="CE154" s="42" t="n">
        <v>0</v>
      </c>
      <c r="CF154" s="21" t="s">
        <v>308</v>
      </c>
    </row>
    <row r="155" customFormat="false" ht="15" hidden="false" customHeight="false" outlineLevel="0" collapsed="false">
      <c r="B155" s="17" t="s">
        <v>309</v>
      </c>
      <c r="C155" s="63" t="n">
        <f aca="false">C151-C152+N(C154)</f>
        <v>166.316</v>
      </c>
      <c r="D155" s="63" t="n">
        <f aca="false">D151-D152+N(D154)</f>
        <v>779.599999999998</v>
      </c>
      <c r="E155" s="63" t="n">
        <f aca="false">E151-E152+N(E154)</f>
        <v>988.700000000002</v>
      </c>
      <c r="F155" s="63" t="n">
        <f aca="false">F151-F152+N(F154)</f>
        <v>851.300000000001</v>
      </c>
      <c r="G155" s="63" t="n">
        <f aca="false">G151-G152+N(G154)</f>
        <v>1033.1</v>
      </c>
      <c r="H155" s="63" t="n">
        <f aca="false">H151-H152+N(H154)</f>
        <v>1019.6</v>
      </c>
      <c r="I155" s="63" t="n">
        <f aca="false">I151-I152+N(I154)</f>
        <v>1258.4</v>
      </c>
      <c r="J155" s="63" t="n">
        <f aca="false">J151-J152+N(J154)</f>
        <v>340.8</v>
      </c>
      <c r="K155" s="63" t="n">
        <f aca="false">K151-K152+N(K154)</f>
        <v>277.6</v>
      </c>
      <c r="L155" s="63" t="n">
        <f aca="false">L151-L152+N(L154)</f>
        <v>317.7</v>
      </c>
      <c r="M155" s="63" t="n">
        <f aca="false">M151-M152+N(M154)</f>
        <v>343</v>
      </c>
      <c r="N155" s="63" t="n">
        <f aca="false">N151-N152+N(N154)</f>
        <v>1279.1</v>
      </c>
      <c r="O155" s="63" t="n">
        <f aca="false">O151-O152+N(O154)</f>
        <v>543.1</v>
      </c>
      <c r="P155" s="63" t="n">
        <f aca="false">P151-P152+N(P154)</f>
        <v>278.5</v>
      </c>
      <c r="Q155" s="63" t="n">
        <f aca="false">Q151-Q152+N(Q154)</f>
        <v>469.9</v>
      </c>
      <c r="R155" s="63" t="n">
        <f aca="false">R151-R152+N(R154)</f>
        <v>604</v>
      </c>
      <c r="S155" s="63" t="n">
        <f aca="false">S151-S152+N(S154)</f>
        <v>1895.5</v>
      </c>
      <c r="T155" s="63" t="n">
        <f aca="false">T151-T152+N(T154)</f>
        <v>385.1</v>
      </c>
      <c r="U155" s="63" t="n">
        <f aca="false">U151-U152+N(U154)</f>
        <v>511.599999999999</v>
      </c>
      <c r="V155" s="63" t="n">
        <f aca="false">V151-V152+N(V154)</f>
        <v>477.3</v>
      </c>
      <c r="W155" s="63" t="n">
        <f aca="false">W151-W152+N(W154)</f>
        <v>606.299999999999</v>
      </c>
      <c r="X155" s="63" t="n">
        <f aca="false">X151-X152+N(X154)</f>
        <v>1980.3</v>
      </c>
      <c r="Y155" s="63" t="n">
        <f aca="false">Y151-Y152+N(Y154)</f>
        <v>402.3</v>
      </c>
      <c r="Z155" s="63" t="n">
        <f aca="false">Z151-Z152+N(Z154)</f>
        <v>516.8</v>
      </c>
      <c r="AA155" s="63" t="n">
        <f aca="false">AA151-AA152+N(AA154)</f>
        <v>473.499999999999</v>
      </c>
      <c r="AB155" s="63" t="n">
        <f aca="false">AB151-AB152+N(AB154)</f>
        <v>632.7</v>
      </c>
      <c r="AC155" s="63" t="n">
        <f aca="false">AC151-AC152+N(AC154)</f>
        <v>2025.3</v>
      </c>
      <c r="AD155" s="63" t="n">
        <f aca="false">AD151-AD152+N(AD154)</f>
        <v>551.400000000001</v>
      </c>
      <c r="AE155" s="63" t="n">
        <f aca="false">AE151-AE152+N(AE154)</f>
        <v>612.2</v>
      </c>
      <c r="AF155" s="63" t="n">
        <f aca="false">AF151-AF152+N(AF154)</f>
        <v>533.9</v>
      </c>
      <c r="AG155" s="63" t="n">
        <f aca="false">AG151-AG152+N(AG154)</f>
        <v>530</v>
      </c>
      <c r="AH155" s="63" t="n">
        <f aca="false">AH151-AH152+N(AH154)</f>
        <v>2228</v>
      </c>
      <c r="AI155" s="63" t="n">
        <f aca="false">AI151-AI152+N(AI154)</f>
        <v>579</v>
      </c>
      <c r="AJ155" s="63" t="n">
        <f aca="false">AJ151-AJ152+N(AJ154)</f>
        <v>752</v>
      </c>
      <c r="AK155" s="63" t="n">
        <f aca="false">AK151-AK152+N(AK154)</f>
        <v>709</v>
      </c>
      <c r="AL155" s="63" t="n">
        <f aca="false">AL151-AL152+N(AL154)</f>
        <v>898</v>
      </c>
      <c r="AM155" s="63" t="n">
        <f aca="false">AM151-AM152+N(AM154)</f>
        <v>2938</v>
      </c>
      <c r="AN155" s="63" t="n">
        <f aca="false">AN151-AN152+N(AN154)</f>
        <v>815</v>
      </c>
      <c r="AO155" s="63" t="n">
        <f aca="false">AO151-AO152+N(AO154)</f>
        <v>1119</v>
      </c>
      <c r="AP155" s="63" t="n">
        <f aca="false">AP151-AP152+N(AP154)</f>
        <v>760</v>
      </c>
      <c r="AQ155" s="63" t="n">
        <f aca="false">AQ151-AQ152+N(AQ154)</f>
        <v>1002</v>
      </c>
      <c r="AR155" s="63" t="n">
        <f aca="false">AR151-AR152+N(AR154)</f>
        <v>3696</v>
      </c>
      <c r="AS155" s="63" t="n">
        <f aca="false">AS151-AS152+N(AS154)</f>
        <v>788</v>
      </c>
      <c r="AT155" s="63" t="n">
        <f aca="false">AT151-AT152+N(AT154)</f>
        <v>1156</v>
      </c>
      <c r="AU155" s="63" t="n">
        <f aca="false">AU151-AU152+N(AU154)</f>
        <v>1933</v>
      </c>
      <c r="AV155" s="63" t="n">
        <f aca="false">AV151-AV152+N(AV154)</f>
        <v>2498</v>
      </c>
      <c r="AW155" s="63" t="n">
        <f aca="false">AW151-AW152+N(AW154)</f>
        <v>6375</v>
      </c>
      <c r="AX155" s="63" t="n">
        <f aca="false">AX151-AX152+N(AX154)</f>
        <v>2337</v>
      </c>
      <c r="AY155" s="63" t="n">
        <f aca="false">AY151-AY152+N(AY154)</f>
        <v>1828</v>
      </c>
      <c r="AZ155" s="63" t="n">
        <f aca="false">AZ151-AZ152+N(AZ154)</f>
        <v>1902</v>
      </c>
      <c r="BA155" s="63" t="n">
        <f aca="false">BA151-BA152+N(BA154)</f>
        <v>1659</v>
      </c>
      <c r="BB155" s="63" t="n">
        <f aca="false">BB151-BB152+N(BB154)</f>
        <v>7728</v>
      </c>
      <c r="BC155" s="63" t="n">
        <f aca="false">BC151-BC152+N(BC154)</f>
        <v>2220</v>
      </c>
      <c r="BD155" s="63" t="n">
        <f aca="false">BD151-BD152+N(BD154)</f>
        <v>1668</v>
      </c>
      <c r="BE155" s="63" t="n">
        <f aca="false">BE151-BE152+N(BE154)</f>
        <v>1498</v>
      </c>
      <c r="BF155" s="63" t="n">
        <f aca="false">BF151-BF152+N(BF154)</f>
        <v>1574</v>
      </c>
      <c r="BG155" s="63" t="n">
        <f aca="false">BG151-BG152+N(BG154)</f>
        <v>6960</v>
      </c>
      <c r="BH155" s="63" t="n">
        <f aca="false">BH151-BH152+N(BH154)</f>
        <v>1292</v>
      </c>
      <c r="BI155" s="63" t="n">
        <f aca="false">BI151-BI152+N(BI154)</f>
        <v>1362</v>
      </c>
      <c r="BJ155" s="63" t="n">
        <f aca="false">BJ151-BJ152+N(BJ154)</f>
        <v>1695</v>
      </c>
      <c r="BK155" s="63" t="n">
        <f aca="false">BK151-BK152+N(BK154)</f>
        <v>1606</v>
      </c>
      <c r="BL155" s="63" t="n">
        <f aca="false">BL151-BL152+N(BL154)</f>
        <v>5955</v>
      </c>
      <c r="BM155" s="63" t="n">
        <f aca="false">BM151-BM152+N(BM154)</f>
        <v>1331</v>
      </c>
      <c r="BN155" s="63" t="n">
        <f aca="false">BN151-BN152+N(BN154)</f>
        <v>1553</v>
      </c>
      <c r="BO155" s="63" t="n">
        <f aca="false">BO151-BO152+N(BO154)</f>
        <v>1630</v>
      </c>
      <c r="BP155" s="63" t="n">
        <f aca="false">BP151-BP152+N(BP154)</f>
        <v>1825</v>
      </c>
      <c r="BQ155" s="63" t="n">
        <f aca="false">BQ151-BQ152+N(BQ154)</f>
        <v>6338</v>
      </c>
      <c r="BR155" s="63" t="n">
        <f aca="false">BR151-BR152+N(BR154)</f>
        <v>1512</v>
      </c>
      <c r="BS155" s="63" t="n">
        <f aca="false">BS151-BS152+N(BS154)</f>
        <v>1619</v>
      </c>
      <c r="BT155" s="63" t="n">
        <f aca="false">BT151-BT152+N(BT154)</f>
        <v>1621</v>
      </c>
      <c r="BU155" s="63" t="n">
        <f aca="false">BU151-BU152+N(BU154)</f>
        <v>1970</v>
      </c>
      <c r="BV155" s="63" t="n">
        <f aca="false">BV151-BV152+N(BV154)</f>
        <v>6721</v>
      </c>
      <c r="BW155" s="63" t="n">
        <f aca="false">BW151-BW152+N(BW154)</f>
        <v>1655</v>
      </c>
      <c r="BX155" s="63" t="n">
        <f aca="false">BX151-BX152+N(BX154)</f>
        <v>1742</v>
      </c>
      <c r="BY155" s="20" t="n">
        <f aca="false">BY151-BY152+N(BY154)</f>
        <v>2102.07258292613</v>
      </c>
      <c r="BZ155" s="20" t="n">
        <f aca="false">BZ151-BZ152+N(BZ154)</f>
        <v>2139.70366707387</v>
      </c>
      <c r="CA155" s="20" t="n">
        <f aca="false">CA151-CA152+N(CA154)</f>
        <v>7638.77625</v>
      </c>
      <c r="CB155" s="20" t="n">
        <f aca="false">CB151-CB152+N(CB154)</f>
        <v>7927.71599807448</v>
      </c>
      <c r="CC155" s="20" t="n">
        <f aca="false">CC151-CC152+N(CC154)</f>
        <v>8750.23879292395</v>
      </c>
      <c r="CD155" s="20" t="n">
        <f aca="false">CD151-CD152+N(CD154)</f>
        <v>9625.01421040877</v>
      </c>
      <c r="CE155" s="20" t="n">
        <f aca="false">CE151-CE152+N(CE154)</f>
        <v>10764.7372704989</v>
      </c>
      <c r="CF155" s="21"/>
    </row>
    <row r="156" customFormat="false" ht="15" hidden="false" customHeight="false" outlineLevel="0" collapsed="false">
      <c r="B156" s="23" t="s">
        <v>310</v>
      </c>
      <c r="C156" s="37" t="n">
        <v>2.619</v>
      </c>
      <c r="D156" s="37" t="n">
        <v>-18.5</v>
      </c>
      <c r="E156" s="37" t="n">
        <v>5.5</v>
      </c>
      <c r="F156" s="37" t="n">
        <v>-1</v>
      </c>
      <c r="G156" s="37" t="n">
        <v>2.5</v>
      </c>
      <c r="H156" s="37" t="n">
        <v>310.3</v>
      </c>
      <c r="I156" s="37" t="n">
        <v>-80.5</v>
      </c>
      <c r="J156" s="37" t="n">
        <v>-4.6</v>
      </c>
      <c r="K156" s="37" t="n">
        <v>-0.2</v>
      </c>
      <c r="L156" s="37" t="n">
        <v>-0.1</v>
      </c>
      <c r="M156" s="37" t="n">
        <v>-0.9</v>
      </c>
      <c r="N156" s="37" t="n">
        <v>-5.8</v>
      </c>
      <c r="O156" s="37" t="n">
        <v>0</v>
      </c>
      <c r="P156" s="37" t="n">
        <v>0</v>
      </c>
      <c r="Q156" s="37" t="n">
        <v>1.7</v>
      </c>
      <c r="R156" s="37" t="n">
        <v>-2.8</v>
      </c>
      <c r="S156" s="37" t="n">
        <v>-1.1</v>
      </c>
      <c r="T156" s="37" t="n">
        <v>0</v>
      </c>
      <c r="U156" s="37" t="n">
        <v>0</v>
      </c>
      <c r="V156" s="37" t="n">
        <v>-1.2</v>
      </c>
      <c r="W156" s="37" t="n">
        <v>-3.7</v>
      </c>
      <c r="X156" s="37" t="n">
        <v>-4.9</v>
      </c>
      <c r="Y156" s="37" t="n">
        <v>-0.1</v>
      </c>
      <c r="Z156" s="37" t="n">
        <v>-0.2</v>
      </c>
      <c r="AA156" s="37" t="n">
        <v>0</v>
      </c>
      <c r="AB156" s="37" t="n">
        <v>-3.2</v>
      </c>
      <c r="AC156" s="37" t="n">
        <v>-3.5</v>
      </c>
      <c r="AD156" s="37" t="n">
        <v>0</v>
      </c>
      <c r="AE156" s="37" t="n">
        <v>-0.6</v>
      </c>
      <c r="AF156" s="37" t="n">
        <v>0</v>
      </c>
      <c r="AG156" s="37" t="n">
        <v>-2</v>
      </c>
      <c r="AH156" s="37" t="n">
        <v>-3</v>
      </c>
      <c r="AI156" s="37" t="n">
        <v>0</v>
      </c>
      <c r="AJ156" s="37" t="n">
        <v>0</v>
      </c>
      <c r="AK156" s="37" t="n">
        <v>0</v>
      </c>
      <c r="AL156" s="37" t="n">
        <v>0</v>
      </c>
      <c r="AM156" s="37" t="n">
        <v>0</v>
      </c>
      <c r="AN156" s="37" t="n">
        <v>0</v>
      </c>
      <c r="AO156" s="37" t="n">
        <v>0</v>
      </c>
      <c r="AP156" s="37" t="n">
        <v>0</v>
      </c>
      <c r="AQ156" s="37" t="n">
        <v>0</v>
      </c>
      <c r="AR156" s="37" t="n">
        <v>0</v>
      </c>
      <c r="AS156" s="37" t="n">
        <v>0</v>
      </c>
      <c r="AT156" s="37" t="n">
        <v>0</v>
      </c>
      <c r="AU156" s="37" t="n">
        <v>0</v>
      </c>
      <c r="AV156" s="37" t="n">
        <v>0</v>
      </c>
      <c r="AW156" s="37" t="n">
        <v>0</v>
      </c>
      <c r="AX156" s="37" t="n">
        <v>0</v>
      </c>
      <c r="AY156" s="37" t="n">
        <v>0</v>
      </c>
      <c r="AZ156" s="37" t="n">
        <v>0</v>
      </c>
      <c r="BA156" s="37" t="n">
        <v>0</v>
      </c>
      <c r="BB156" s="37" t="n">
        <v>0</v>
      </c>
      <c r="BC156" s="37" t="n">
        <v>0</v>
      </c>
      <c r="BD156" s="37" t="n">
        <v>0</v>
      </c>
      <c r="BE156" s="37" t="n">
        <v>0</v>
      </c>
      <c r="BF156" s="37" t="n">
        <v>0</v>
      </c>
      <c r="BG156" s="37" t="n">
        <v>0</v>
      </c>
      <c r="BH156" s="37" t="n">
        <v>0</v>
      </c>
      <c r="BI156" s="37" t="n">
        <v>0</v>
      </c>
      <c r="BJ156" s="37" t="n">
        <v>0</v>
      </c>
      <c r="BK156" s="37" t="n">
        <v>0</v>
      </c>
      <c r="BL156" s="37" t="n">
        <v>0</v>
      </c>
      <c r="BM156" s="37" t="n">
        <v>0</v>
      </c>
      <c r="BN156" s="37" t="n">
        <v>0</v>
      </c>
      <c r="BO156" s="37" t="n">
        <v>0</v>
      </c>
      <c r="BP156" s="37" t="n">
        <v>0</v>
      </c>
      <c r="BQ156" s="37" t="n">
        <v>0</v>
      </c>
      <c r="BR156" s="37" t="n">
        <v>0</v>
      </c>
      <c r="BS156" s="37" t="n">
        <v>0</v>
      </c>
      <c r="BT156" s="37" t="n">
        <v>0</v>
      </c>
      <c r="BU156" s="37" t="n">
        <v>0</v>
      </c>
      <c r="BV156" s="37" t="n">
        <v>0</v>
      </c>
      <c r="BW156" s="37" t="n">
        <v>0</v>
      </c>
      <c r="BX156" s="37" t="n">
        <v>0</v>
      </c>
      <c r="BY156" s="42" t="n">
        <v>0</v>
      </c>
      <c r="BZ156" s="42" t="n">
        <v>0</v>
      </c>
      <c r="CA156" s="44" t="n">
        <f aca="false">SUM(BW156,BX156,BY156,BZ156)</f>
        <v>0</v>
      </c>
      <c r="CB156" s="42" t="n">
        <v>0</v>
      </c>
      <c r="CC156" s="42" t="n">
        <v>0</v>
      </c>
      <c r="CD156" s="42" t="n">
        <v>0</v>
      </c>
      <c r="CE156" s="42" t="n">
        <v>0</v>
      </c>
      <c r="CF156" s="21"/>
    </row>
    <row r="157" customFormat="false" ht="15" hidden="false" customHeight="false" outlineLevel="0" collapsed="false">
      <c r="B157" s="17" t="s">
        <v>311</v>
      </c>
      <c r="C157" s="63" t="n">
        <f aca="false">C155+C156</f>
        <v>168.935</v>
      </c>
      <c r="D157" s="63" t="n">
        <f aca="false">D155+D156</f>
        <v>761.099999999998</v>
      </c>
      <c r="E157" s="63" t="n">
        <f aca="false">E155+E156</f>
        <v>994.200000000002</v>
      </c>
      <c r="F157" s="63" t="n">
        <f aca="false">F155+F156</f>
        <v>850.300000000001</v>
      </c>
      <c r="G157" s="63" t="n">
        <f aca="false">G155+G156</f>
        <v>1035.6</v>
      </c>
      <c r="H157" s="63" t="n">
        <f aca="false">H155+H156</f>
        <v>1329.9</v>
      </c>
      <c r="I157" s="63" t="n">
        <f aca="false">I155+I156</f>
        <v>1177.9</v>
      </c>
      <c r="J157" s="63" t="n">
        <f aca="false">J155+J156</f>
        <v>336.2</v>
      </c>
      <c r="K157" s="63" t="n">
        <f aca="false">K155+K156</f>
        <v>277.4</v>
      </c>
      <c r="L157" s="63" t="n">
        <f aca="false">L155+L156</f>
        <v>317.6</v>
      </c>
      <c r="M157" s="63" t="n">
        <f aca="false">M155+M156</f>
        <v>342.1</v>
      </c>
      <c r="N157" s="63" t="n">
        <f aca="false">N155+N156</f>
        <v>1273.3</v>
      </c>
      <c r="O157" s="63" t="n">
        <f aca="false">O155+O156</f>
        <v>543.1</v>
      </c>
      <c r="P157" s="63" t="n">
        <f aca="false">P155+P156</f>
        <v>278.5</v>
      </c>
      <c r="Q157" s="63" t="n">
        <f aca="false">Q155+Q156</f>
        <v>471.6</v>
      </c>
      <c r="R157" s="63" t="n">
        <f aca="false">R155+R156</f>
        <v>601.2</v>
      </c>
      <c r="S157" s="63" t="n">
        <f aca="false">S155+S156</f>
        <v>1894.4</v>
      </c>
      <c r="T157" s="63" t="n">
        <f aca="false">T155+T156</f>
        <v>385.1</v>
      </c>
      <c r="U157" s="63" t="n">
        <f aca="false">U155+U156</f>
        <v>511.599999999999</v>
      </c>
      <c r="V157" s="63" t="n">
        <f aca="false">V155+V156</f>
        <v>476.1</v>
      </c>
      <c r="W157" s="63" t="n">
        <f aca="false">W155+W156</f>
        <v>602.599999999999</v>
      </c>
      <c r="X157" s="63" t="n">
        <f aca="false">X155+X156</f>
        <v>1975.4</v>
      </c>
      <c r="Y157" s="63" t="n">
        <f aca="false">Y155+Y156</f>
        <v>402.2</v>
      </c>
      <c r="Z157" s="63" t="n">
        <f aca="false">Z155+Z156</f>
        <v>516.6</v>
      </c>
      <c r="AA157" s="63" t="n">
        <f aca="false">AA155+AA156</f>
        <v>473.499999999999</v>
      </c>
      <c r="AB157" s="63" t="n">
        <f aca="false">AB155+AB156</f>
        <v>629.499999999999</v>
      </c>
      <c r="AC157" s="63" t="n">
        <f aca="false">AC155+AC156</f>
        <v>2021.8</v>
      </c>
      <c r="AD157" s="63" t="n">
        <f aca="false">AD155+AD156</f>
        <v>551.400000000001</v>
      </c>
      <c r="AE157" s="63" t="n">
        <f aca="false">AE155+AE156</f>
        <v>611.6</v>
      </c>
      <c r="AF157" s="63" t="n">
        <f aca="false">AF155+AF156</f>
        <v>533.9</v>
      </c>
      <c r="AG157" s="63" t="n">
        <f aca="false">AG155+AG156</f>
        <v>528</v>
      </c>
      <c r="AH157" s="63" t="n">
        <f aca="false">AH155+AH156</f>
        <v>2225</v>
      </c>
      <c r="AI157" s="63" t="n">
        <f aca="false">AI155+AI156</f>
        <v>579</v>
      </c>
      <c r="AJ157" s="63" t="n">
        <f aca="false">AJ155+AJ156</f>
        <v>752</v>
      </c>
      <c r="AK157" s="63" t="n">
        <f aca="false">AK155+AK156</f>
        <v>709</v>
      </c>
      <c r="AL157" s="63" t="n">
        <f aca="false">AL155+AL156</f>
        <v>898</v>
      </c>
      <c r="AM157" s="63" t="n">
        <f aca="false">AM155+AM156</f>
        <v>2938</v>
      </c>
      <c r="AN157" s="63" t="n">
        <f aca="false">AN155+AN156</f>
        <v>815</v>
      </c>
      <c r="AO157" s="63" t="n">
        <f aca="false">AO155+AO156</f>
        <v>1119</v>
      </c>
      <c r="AP157" s="63" t="n">
        <f aca="false">AP155+AP156</f>
        <v>760</v>
      </c>
      <c r="AQ157" s="63" t="n">
        <f aca="false">AQ155+AQ156</f>
        <v>1002</v>
      </c>
      <c r="AR157" s="63" t="n">
        <f aca="false">AR155+AR156</f>
        <v>3696</v>
      </c>
      <c r="AS157" s="63" t="n">
        <f aca="false">AS155+AS156</f>
        <v>788</v>
      </c>
      <c r="AT157" s="63" t="n">
        <f aca="false">AT155+AT156</f>
        <v>1156</v>
      </c>
      <c r="AU157" s="63" t="n">
        <f aca="false">AU155+AU156</f>
        <v>1933</v>
      </c>
      <c r="AV157" s="63" t="n">
        <f aca="false">AV155+AV156</f>
        <v>2498</v>
      </c>
      <c r="AW157" s="63" t="n">
        <f aca="false">AW155+AW156</f>
        <v>6375</v>
      </c>
      <c r="AX157" s="63" t="n">
        <f aca="false">AX155+AX156</f>
        <v>2337</v>
      </c>
      <c r="AY157" s="63" t="n">
        <f aca="false">AY155+AY156</f>
        <v>1828</v>
      </c>
      <c r="AZ157" s="63" t="n">
        <f aca="false">AZ155+AZ156</f>
        <v>1902</v>
      </c>
      <c r="BA157" s="63" t="n">
        <f aca="false">BA155+BA156</f>
        <v>1659</v>
      </c>
      <c r="BB157" s="63" t="n">
        <f aca="false">BB155+BB156</f>
        <v>7728</v>
      </c>
      <c r="BC157" s="63" t="n">
        <f aca="false">BC155+BC156</f>
        <v>2220</v>
      </c>
      <c r="BD157" s="63" t="n">
        <f aca="false">BD155+BD156</f>
        <v>1668</v>
      </c>
      <c r="BE157" s="63" t="n">
        <f aca="false">BE155+BE156</f>
        <v>1498</v>
      </c>
      <c r="BF157" s="63" t="n">
        <f aca="false">BF155+BF156</f>
        <v>1574</v>
      </c>
      <c r="BG157" s="63" t="n">
        <f aca="false">BG155+BG156</f>
        <v>6960</v>
      </c>
      <c r="BH157" s="63" t="n">
        <f aca="false">BH155+BH156</f>
        <v>1292</v>
      </c>
      <c r="BI157" s="63" t="n">
        <f aca="false">BI155+BI156</f>
        <v>1362</v>
      </c>
      <c r="BJ157" s="63" t="n">
        <f aca="false">BJ155+BJ156</f>
        <v>1695</v>
      </c>
      <c r="BK157" s="63" t="n">
        <f aca="false">BK155+BK156</f>
        <v>1606</v>
      </c>
      <c r="BL157" s="63" t="n">
        <f aca="false">BL155+BL156</f>
        <v>5955</v>
      </c>
      <c r="BM157" s="63" t="n">
        <f aca="false">BM155+BM156</f>
        <v>1331</v>
      </c>
      <c r="BN157" s="63" t="n">
        <f aca="false">BN155+BN156</f>
        <v>1553</v>
      </c>
      <c r="BO157" s="63" t="n">
        <f aca="false">BO155+BO156</f>
        <v>1630</v>
      </c>
      <c r="BP157" s="63" t="n">
        <f aca="false">BP155+BP156</f>
        <v>1825</v>
      </c>
      <c r="BQ157" s="63" t="n">
        <f aca="false">BQ155+BQ156</f>
        <v>6338</v>
      </c>
      <c r="BR157" s="63" t="n">
        <f aca="false">BR155+BR156</f>
        <v>1512</v>
      </c>
      <c r="BS157" s="63" t="n">
        <f aca="false">BS155+BS156</f>
        <v>1619</v>
      </c>
      <c r="BT157" s="63" t="n">
        <f aca="false">BT155+BT156</f>
        <v>1621</v>
      </c>
      <c r="BU157" s="63" t="n">
        <f aca="false">BU155+BU156</f>
        <v>1970</v>
      </c>
      <c r="BV157" s="63" t="n">
        <f aca="false">BV155+BV156</f>
        <v>6721</v>
      </c>
      <c r="BW157" s="63" t="n">
        <f aca="false">BW155+BW156</f>
        <v>1655</v>
      </c>
      <c r="BX157" s="63" t="n">
        <f aca="false">BX155+BX156</f>
        <v>1742</v>
      </c>
      <c r="BY157" s="20" t="n">
        <f aca="false">BY155+BY156</f>
        <v>2102.07258292613</v>
      </c>
      <c r="BZ157" s="20" t="n">
        <f aca="false">BZ155+BZ156</f>
        <v>2139.70366707387</v>
      </c>
      <c r="CA157" s="20" t="n">
        <f aca="false">CA155+CA156</f>
        <v>7638.77625</v>
      </c>
      <c r="CB157" s="20" t="n">
        <f aca="false">CB155+CB156</f>
        <v>7927.71599807448</v>
      </c>
      <c r="CC157" s="20" t="n">
        <f aca="false">CC155+CC156</f>
        <v>8750.23879292395</v>
      </c>
      <c r="CD157" s="20" t="n">
        <f aca="false">CD155+CD156</f>
        <v>9625.01421040877</v>
      </c>
      <c r="CE157" s="20" t="n">
        <f aca="false">CE155+CE156</f>
        <v>10764.7372704989</v>
      </c>
      <c r="CF157" s="21"/>
    </row>
    <row r="158" customFormat="false" ht="15" hidden="false" customHeight="false" outlineLevel="0" collapsed="false">
      <c r="B158" s="23" t="s">
        <v>312</v>
      </c>
      <c r="C158" s="37" t="n">
        <v>0</v>
      </c>
      <c r="D158" s="37" t="n">
        <v>0</v>
      </c>
      <c r="E158" s="37" t="n">
        <v>0</v>
      </c>
      <c r="F158" s="37" t="n">
        <v>0</v>
      </c>
      <c r="G158" s="37" t="n">
        <v>0</v>
      </c>
      <c r="H158" s="37" t="n">
        <v>0</v>
      </c>
      <c r="I158" s="37" t="n">
        <v>0</v>
      </c>
      <c r="J158" s="37" t="n">
        <v>0</v>
      </c>
      <c r="K158" s="37" t="n">
        <v>0</v>
      </c>
      <c r="L158" s="37" t="n">
        <v>0</v>
      </c>
      <c r="M158" s="37" t="n">
        <v>0</v>
      </c>
      <c r="N158" s="37" t="n">
        <v>0</v>
      </c>
      <c r="O158" s="37" t="n">
        <v>0</v>
      </c>
      <c r="P158" s="37" t="n">
        <v>0</v>
      </c>
      <c r="Q158" s="37" t="n">
        <v>0</v>
      </c>
      <c r="R158" s="37" t="n">
        <v>0</v>
      </c>
      <c r="S158" s="37" t="n">
        <v>0</v>
      </c>
      <c r="T158" s="37" t="n">
        <v>0</v>
      </c>
      <c r="U158" s="37" t="n">
        <v>0</v>
      </c>
      <c r="V158" s="37" t="n">
        <v>0</v>
      </c>
      <c r="W158" s="37" t="n">
        <v>0</v>
      </c>
      <c r="X158" s="37" t="n">
        <v>0</v>
      </c>
      <c r="Y158" s="37" t="n">
        <v>0</v>
      </c>
      <c r="Z158" s="37" t="n">
        <v>0</v>
      </c>
      <c r="AA158" s="37" t="n">
        <v>0</v>
      </c>
      <c r="AB158" s="37" t="n">
        <v>0</v>
      </c>
      <c r="AC158" s="37" t="n">
        <v>0</v>
      </c>
      <c r="AD158" s="37" t="n">
        <v>0</v>
      </c>
      <c r="AE158" s="37" t="n">
        <v>0</v>
      </c>
      <c r="AF158" s="37" t="n">
        <v>0</v>
      </c>
      <c r="AG158" s="37" t="n">
        <v>0</v>
      </c>
      <c r="AH158" s="37" t="n">
        <v>0</v>
      </c>
      <c r="AI158" s="37" t="n">
        <v>0</v>
      </c>
      <c r="AJ158" s="37" t="n">
        <v>0</v>
      </c>
      <c r="AK158" s="37" t="n">
        <v>0</v>
      </c>
      <c r="AL158" s="37" t="n">
        <v>0</v>
      </c>
      <c r="AM158" s="37" t="n">
        <v>0</v>
      </c>
      <c r="AN158" s="37" t="n">
        <v>0</v>
      </c>
      <c r="AO158" s="37" t="n">
        <v>0</v>
      </c>
      <c r="AP158" s="37" t="n">
        <v>0</v>
      </c>
      <c r="AQ158" s="37" t="n">
        <v>0</v>
      </c>
      <c r="AR158" s="37" t="n">
        <v>0</v>
      </c>
      <c r="AS158" s="37" t="n">
        <v>0</v>
      </c>
      <c r="AT158" s="37" t="n">
        <v>0</v>
      </c>
      <c r="AU158" s="37" t="n">
        <v>0</v>
      </c>
      <c r="AV158" s="37" t="n">
        <v>0</v>
      </c>
      <c r="AW158" s="37" t="n">
        <v>0</v>
      </c>
      <c r="AX158" s="37" t="n">
        <v>0</v>
      </c>
      <c r="AY158" s="37" t="n">
        <v>0</v>
      </c>
      <c r="AZ158" s="37" t="n">
        <v>0</v>
      </c>
      <c r="BA158" s="37" t="n">
        <v>1</v>
      </c>
      <c r="BB158" s="37" t="n">
        <v>3</v>
      </c>
      <c r="BC158" s="37" t="n">
        <v>5</v>
      </c>
      <c r="BD158" s="37" t="n">
        <v>4</v>
      </c>
      <c r="BE158" s="37" t="n">
        <v>3</v>
      </c>
      <c r="BF158" s="37" t="n">
        <v>-2</v>
      </c>
      <c r="BG158" s="37" t="n">
        <v>10</v>
      </c>
      <c r="BH158" s="37" t="n">
        <v>3</v>
      </c>
      <c r="BI158" s="37" t="n">
        <v>1</v>
      </c>
      <c r="BJ158" s="37" t="n">
        <v>-20</v>
      </c>
      <c r="BK158" s="37" t="n">
        <v>-24</v>
      </c>
      <c r="BL158" s="37" t="n">
        <v>-40</v>
      </c>
      <c r="BM158" s="37" t="n">
        <v>4</v>
      </c>
      <c r="BN158" s="37" t="n">
        <v>6</v>
      </c>
      <c r="BO158" s="37" t="n">
        <v>0</v>
      </c>
      <c r="BP158" s="37" t="n">
        <v>-6</v>
      </c>
      <c r="BQ158" s="37" t="n">
        <v>3</v>
      </c>
      <c r="BR158" s="37" t="n">
        <v>4</v>
      </c>
      <c r="BS158" s="37" t="n">
        <v>2</v>
      </c>
      <c r="BT158" s="37" t="n">
        <v>5</v>
      </c>
      <c r="BU158" s="37" t="n">
        <v>5</v>
      </c>
      <c r="BV158" s="37" t="n">
        <v>17</v>
      </c>
      <c r="BW158" s="37" t="n">
        <v>5</v>
      </c>
      <c r="BX158" s="37" t="n">
        <v>5</v>
      </c>
      <c r="BY158" s="44" t="n">
        <f aca="false">$BX158</f>
        <v>5</v>
      </c>
      <c r="BZ158" s="44" t="n">
        <f aca="false">$BX158</f>
        <v>5</v>
      </c>
      <c r="CA158" s="44" t="n">
        <f aca="false">SUM(BW158,BX158,BY158,BZ158)</f>
        <v>20</v>
      </c>
      <c r="CB158" s="42" t="n">
        <v>20</v>
      </c>
      <c r="CC158" s="42" t="n">
        <v>20</v>
      </c>
      <c r="CD158" s="42" t="n">
        <v>20</v>
      </c>
      <c r="CE158" s="42" t="n">
        <v>20</v>
      </c>
      <c r="CF158" s="21" t="s">
        <v>313</v>
      </c>
    </row>
    <row r="159" customFormat="false" ht="15" hidden="false" customHeight="false" outlineLevel="0" collapsed="false">
      <c r="B159" s="17" t="s">
        <v>314</v>
      </c>
      <c r="C159" s="59" t="n">
        <f aca="false">C157-C158</f>
        <v>168.935</v>
      </c>
      <c r="D159" s="59" t="n">
        <f aca="false">D157-D158</f>
        <v>761.099999999998</v>
      </c>
      <c r="E159" s="59" t="n">
        <f aca="false">E157-E158</f>
        <v>994.200000000002</v>
      </c>
      <c r="F159" s="59" t="n">
        <f aca="false">F157-F158</f>
        <v>850.300000000001</v>
      </c>
      <c r="G159" s="59" t="n">
        <f aca="false">G157-G158</f>
        <v>1035.6</v>
      </c>
      <c r="H159" s="59" t="n">
        <f aca="false">H157-H158</f>
        <v>1329.9</v>
      </c>
      <c r="I159" s="59" t="n">
        <f aca="false">I157-I158</f>
        <v>1177.9</v>
      </c>
      <c r="J159" s="59" t="n">
        <f aca="false">J157-J158</f>
        <v>336.2</v>
      </c>
      <c r="K159" s="59" t="n">
        <f aca="false">K157-K158</f>
        <v>277.4</v>
      </c>
      <c r="L159" s="59" t="n">
        <f aca="false">L157-L158</f>
        <v>317.6</v>
      </c>
      <c r="M159" s="59" t="n">
        <f aca="false">M157-M158</f>
        <v>342.1</v>
      </c>
      <c r="N159" s="59" t="n">
        <f aca="false">N157-N158</f>
        <v>1273.3</v>
      </c>
      <c r="O159" s="59" t="n">
        <f aca="false">O157-O158</f>
        <v>543.1</v>
      </c>
      <c r="P159" s="59" t="n">
        <f aca="false">P157-P158</f>
        <v>278.5</v>
      </c>
      <c r="Q159" s="59" t="n">
        <f aca="false">Q157-Q158</f>
        <v>471.6</v>
      </c>
      <c r="R159" s="59" t="n">
        <f aca="false">R157-R158</f>
        <v>601.2</v>
      </c>
      <c r="S159" s="59" t="n">
        <f aca="false">S157-S158</f>
        <v>1894.4</v>
      </c>
      <c r="T159" s="59" t="n">
        <f aca="false">T157-T158</f>
        <v>385.1</v>
      </c>
      <c r="U159" s="59" t="n">
        <f aca="false">U157-U158</f>
        <v>511.599999999999</v>
      </c>
      <c r="V159" s="59" t="n">
        <f aca="false">V157-V158</f>
        <v>476.1</v>
      </c>
      <c r="W159" s="59" t="n">
        <f aca="false">W157-W158</f>
        <v>602.599999999999</v>
      </c>
      <c r="X159" s="59" t="n">
        <f aca="false">X157-X158</f>
        <v>1975.4</v>
      </c>
      <c r="Y159" s="59" t="n">
        <f aca="false">Y157-Y158</f>
        <v>402.2</v>
      </c>
      <c r="Z159" s="59" t="n">
        <f aca="false">Z157-Z158</f>
        <v>516.6</v>
      </c>
      <c r="AA159" s="59" t="n">
        <f aca="false">AA157-AA158</f>
        <v>473.499999999999</v>
      </c>
      <c r="AB159" s="59" t="n">
        <f aca="false">AB157-AB158</f>
        <v>629.499999999999</v>
      </c>
      <c r="AC159" s="59" t="n">
        <f aca="false">AC157-AC158</f>
        <v>2021.8</v>
      </c>
      <c r="AD159" s="59" t="n">
        <f aca="false">AD157-AD158</f>
        <v>551.400000000001</v>
      </c>
      <c r="AE159" s="59" t="n">
        <f aca="false">AE157-AE158</f>
        <v>611.6</v>
      </c>
      <c r="AF159" s="59" t="n">
        <f aca="false">AF157-AF158</f>
        <v>533.9</v>
      </c>
      <c r="AG159" s="59" t="n">
        <f aca="false">AG157-AG158</f>
        <v>528</v>
      </c>
      <c r="AH159" s="59" t="n">
        <f aca="false">AH157-AH158</f>
        <v>2225</v>
      </c>
      <c r="AI159" s="59" t="n">
        <f aca="false">AI157-AI158</f>
        <v>579</v>
      </c>
      <c r="AJ159" s="59" t="n">
        <f aca="false">AJ157-AJ158</f>
        <v>752</v>
      </c>
      <c r="AK159" s="59" t="n">
        <f aca="false">AK157-AK158</f>
        <v>709</v>
      </c>
      <c r="AL159" s="59" t="n">
        <f aca="false">AL157-AL158</f>
        <v>898</v>
      </c>
      <c r="AM159" s="59" t="n">
        <f aca="false">AM157-AM158</f>
        <v>2938</v>
      </c>
      <c r="AN159" s="59" t="n">
        <f aca="false">AN157-AN158</f>
        <v>815</v>
      </c>
      <c r="AO159" s="59" t="n">
        <f aca="false">AO157-AO158</f>
        <v>1119</v>
      </c>
      <c r="AP159" s="59" t="n">
        <f aca="false">AP157-AP158</f>
        <v>760</v>
      </c>
      <c r="AQ159" s="59" t="n">
        <f aca="false">AQ157-AQ158</f>
        <v>1002</v>
      </c>
      <c r="AR159" s="59" t="n">
        <f aca="false">AR157-AR158</f>
        <v>3696</v>
      </c>
      <c r="AS159" s="59" t="n">
        <f aca="false">AS157-AS158</f>
        <v>788</v>
      </c>
      <c r="AT159" s="59" t="n">
        <f aca="false">AT157-AT158</f>
        <v>1156</v>
      </c>
      <c r="AU159" s="59" t="n">
        <f aca="false">AU157-AU158</f>
        <v>1933</v>
      </c>
      <c r="AV159" s="59" t="n">
        <f aca="false">AV157-AV158</f>
        <v>2498</v>
      </c>
      <c r="AW159" s="59" t="n">
        <f aca="false">AW157-AW158</f>
        <v>6375</v>
      </c>
      <c r="AX159" s="59" t="n">
        <f aca="false">AX157-AX158</f>
        <v>2337</v>
      </c>
      <c r="AY159" s="59" t="n">
        <f aca="false">AY157-AY158</f>
        <v>1828</v>
      </c>
      <c r="AZ159" s="59" t="n">
        <f aca="false">AZ157-AZ158</f>
        <v>1902</v>
      </c>
      <c r="BA159" s="59" t="n">
        <f aca="false">BA157-BA158</f>
        <v>1658</v>
      </c>
      <c r="BB159" s="59" t="n">
        <f aca="false">BB157-BB158</f>
        <v>7725</v>
      </c>
      <c r="BC159" s="59" t="n">
        <f aca="false">BC157-BC158</f>
        <v>2215</v>
      </c>
      <c r="BD159" s="59" t="n">
        <f aca="false">BD157-BD158</f>
        <v>1664</v>
      </c>
      <c r="BE159" s="59" t="n">
        <f aca="false">BE157-BE158</f>
        <v>1495</v>
      </c>
      <c r="BF159" s="59" t="n">
        <f aca="false">BF157-BF158</f>
        <v>1576</v>
      </c>
      <c r="BG159" s="59" t="n">
        <f aca="false">BG157-BG158</f>
        <v>6950</v>
      </c>
      <c r="BH159" s="59" t="n">
        <f aca="false">BH157-BH158</f>
        <v>1289</v>
      </c>
      <c r="BI159" s="59" t="n">
        <f aca="false">BI157-BI158</f>
        <v>1361</v>
      </c>
      <c r="BJ159" s="59" t="n">
        <f aca="false">BJ157-BJ158</f>
        <v>1715</v>
      </c>
      <c r="BK159" s="59" t="n">
        <f aca="false">BK157-BK158</f>
        <v>1630</v>
      </c>
      <c r="BL159" s="59" t="n">
        <f aca="false">BL157-BL158</f>
        <v>5995</v>
      </c>
      <c r="BM159" s="59" t="n">
        <f aca="false">BM157-BM158</f>
        <v>1327</v>
      </c>
      <c r="BN159" s="59" t="n">
        <f aca="false">BN157-BN158</f>
        <v>1547</v>
      </c>
      <c r="BO159" s="59" t="n">
        <f aca="false">BO157-BO158</f>
        <v>1630</v>
      </c>
      <c r="BP159" s="59" t="n">
        <f aca="false">BP157-BP158</f>
        <v>1831</v>
      </c>
      <c r="BQ159" s="59" t="n">
        <f aca="false">BQ157-BQ158</f>
        <v>6335</v>
      </c>
      <c r="BR159" s="59" t="n">
        <f aca="false">BR157-BR158</f>
        <v>1508</v>
      </c>
      <c r="BS159" s="59" t="n">
        <f aca="false">BS157-BS158</f>
        <v>1617</v>
      </c>
      <c r="BT159" s="59" t="n">
        <f aca="false">BT157-BT158</f>
        <v>1616</v>
      </c>
      <c r="BU159" s="59" t="n">
        <f aca="false">BU157-BU158</f>
        <v>1965</v>
      </c>
      <c r="BV159" s="59" t="n">
        <f aca="false">BV157-BV158</f>
        <v>6704</v>
      </c>
      <c r="BW159" s="59" t="n">
        <f aca="false">BW157-BW158</f>
        <v>1650</v>
      </c>
      <c r="BX159" s="59" t="n">
        <f aca="false">BX157-BX158</f>
        <v>1737</v>
      </c>
      <c r="BY159" s="59" t="n">
        <f aca="false">BY157-BY158</f>
        <v>2097.07258292613</v>
      </c>
      <c r="BZ159" s="59" t="n">
        <f aca="false">BZ157-BZ158</f>
        <v>2134.70366707387</v>
      </c>
      <c r="CA159" s="59" t="n">
        <f aca="false">CA157-CA158</f>
        <v>7618.77625</v>
      </c>
      <c r="CB159" s="59" t="n">
        <f aca="false">CB157-CB158</f>
        <v>7907.71599807448</v>
      </c>
      <c r="CC159" s="59" t="n">
        <f aca="false">CC157-CC158</f>
        <v>8730.23879292395</v>
      </c>
      <c r="CD159" s="59" t="n">
        <f aca="false">CD157-CD158</f>
        <v>9605.01421040877</v>
      </c>
      <c r="CE159" s="59" t="n">
        <f aca="false">CE157-CE158</f>
        <v>10744.7372704989</v>
      </c>
      <c r="CF159" s="21"/>
      <c r="CH159" s="22" t="n">
        <f aca="false">IFERROR((CE159/BV159)^(1/5)-1,"n/m")</f>
        <v>0.0989358946021379</v>
      </c>
      <c r="CI159" s="22" t="n">
        <f aca="false">IFERROR((BV159/AW159)^(1/5)-1,"n/m")</f>
        <v>0.0101148673410678</v>
      </c>
      <c r="CJ159" s="22" t="n">
        <f aca="false">IFERROR((BV159/X159)^(1/10)-1,"n/m")</f>
        <v>0.129972555621607</v>
      </c>
      <c r="CK159" s="22" t="n">
        <f aca="false">IFERROR((BV159/C159)^(1/19)-1,"n/m")</f>
        <v>0.213773351801231</v>
      </c>
    </row>
    <row r="160" customFormat="false" ht="15" hidden="false" customHeight="false" outlineLevel="0" collapsed="false">
      <c r="B160" s="60" t="s">
        <v>315</v>
      </c>
      <c r="C160" s="61" t="n">
        <f aca="false">IF(ISNUMBER(C161),IF(ABS(C159-C161)&lt;=1.001,0,ROUND(C159-C161,1)),"")</f>
        <v>0</v>
      </c>
      <c r="D160" s="61" t="n">
        <f aca="false">IF(ISNUMBER(D161),IF(ABS(D159-D161)&lt;=1.001,0,ROUND(D159-D161,1)),"")</f>
        <v>0</v>
      </c>
      <c r="E160" s="61" t="n">
        <f aca="false">IF(ISNUMBER(E161),IF(ABS(E159-E161)&lt;=1.001,0,ROUND(E159-E161,1)),"")</f>
        <v>0</v>
      </c>
      <c r="F160" s="61" t="n">
        <f aca="false">IF(ISNUMBER(F161),IF(ABS(F159-F161)&lt;=1.001,0,ROUND(F159-F161,1)),"")</f>
        <v>0</v>
      </c>
      <c r="G160" s="61" t="n">
        <f aca="false">IF(ISNUMBER(G161),IF(ABS(G159-G161)&lt;=1.001,0,ROUND(G159-G161,1)),"")</f>
        <v>0</v>
      </c>
      <c r="H160" s="61" t="n">
        <f aca="false">IF(ISNUMBER(H161),IF(ABS(H159-H161)&lt;=1.001,0,ROUND(H159-H161,1)),"")</f>
        <v>0</v>
      </c>
      <c r="I160" s="61" t="n">
        <f aca="false">IF(ISNUMBER(I161),IF(ABS(I159-I161)&lt;=1.001,0,ROUND(I159-I161,1)),"")</f>
        <v>0</v>
      </c>
      <c r="J160" s="61" t="n">
        <f aca="false">IF(ISNUMBER(J161),IF(ABS(J159-J161)&lt;=1.001,0,ROUND(J159-J161,1)),"")</f>
        <v>0</v>
      </c>
      <c r="K160" s="61" t="n">
        <f aca="false">IF(ISNUMBER(K161),IF(ABS(K159-K161)&lt;=1.001,0,ROUND(K159-K161,1)),"")</f>
        <v>0</v>
      </c>
      <c r="L160" s="61" t="n">
        <f aca="false">IF(ISNUMBER(L161),IF(ABS(L159-L161)&lt;=1.001,0,ROUND(L159-L161,1)),"")</f>
        <v>0</v>
      </c>
      <c r="M160" s="61" t="n">
        <f aca="false">IF(ISNUMBER(M161),IF(ABS(M159-M161)&lt;=1.001,0,ROUND(M159-M161,1)),"")</f>
        <v>0</v>
      </c>
      <c r="N160" s="61" t="n">
        <f aca="false">IF(ISNUMBER(N161),IF(ABS(N159-N161)&lt;=1.001,0,ROUND(N159-N161,1)),"")</f>
        <v>0</v>
      </c>
      <c r="O160" s="61" t="n">
        <f aca="false">IF(ISNUMBER(O161),IF(ABS(O159-O161)&lt;=1.001,0,ROUND(O159-O161,1)),"")</f>
        <v>0</v>
      </c>
      <c r="P160" s="61" t="n">
        <f aca="false">IF(ISNUMBER(P161),IF(ABS(P159-P161)&lt;=1.001,0,ROUND(P159-P161,1)),"")</f>
        <v>0</v>
      </c>
      <c r="Q160" s="61" t="n">
        <f aca="false">IF(ISNUMBER(Q161),IF(ABS(Q159-Q161)&lt;=1.001,0,ROUND(Q159-Q161,1)),"")</f>
        <v>0</v>
      </c>
      <c r="R160" s="61" t="n">
        <f aca="false">IF(ISNUMBER(R161),IF(ABS(R159-R161)&lt;=1.001,0,ROUND(R159-R161,1)),"")</f>
        <v>0</v>
      </c>
      <c r="S160" s="61" t="n">
        <f aca="false">IF(ISNUMBER(S161),IF(ABS(S159-S161)&lt;=1.001,0,ROUND(S159-S161,1)),"")</f>
        <v>0</v>
      </c>
      <c r="T160" s="61" t="n">
        <f aca="false">IF(ISNUMBER(T161),IF(ABS(T159-T161)&lt;=1.001,0,ROUND(T159-T161,1)),"")</f>
        <v>0</v>
      </c>
      <c r="U160" s="61" t="n">
        <f aca="false">IF(ISNUMBER(U161),IF(ABS(U159-U161)&lt;=1.001,0,ROUND(U159-U161,1)),"")</f>
        <v>0</v>
      </c>
      <c r="V160" s="61" t="n">
        <f aca="false">IF(ISNUMBER(V161),IF(ABS(V159-V161)&lt;=1.001,0,ROUND(V159-V161,1)),"")</f>
        <v>0</v>
      </c>
      <c r="W160" s="61" t="n">
        <f aca="false">IF(ISNUMBER(W161),IF(ABS(W159-W161)&lt;=1.001,0,ROUND(W159-W161,1)),"")</f>
        <v>0</v>
      </c>
      <c r="X160" s="61" t="n">
        <f aca="false">IF(ISNUMBER(X161),IF(ABS(X159-X161)&lt;=1.001,0,ROUND(X159-X161,1)),"")</f>
        <v>0</v>
      </c>
      <c r="Y160" s="61" t="n">
        <f aca="false">IF(ISNUMBER(Y161),IF(ABS(Y159-Y161)&lt;=1.001,0,ROUND(Y159-Y161,1)),"")</f>
        <v>0</v>
      </c>
      <c r="Z160" s="61" t="n">
        <f aca="false">IF(ISNUMBER(Z161),IF(ABS(Z159-Z161)&lt;=1.001,0,ROUND(Z159-Z161,1)),"")</f>
        <v>0</v>
      </c>
      <c r="AA160" s="61" t="n">
        <f aca="false">IF(ISNUMBER(AA161),IF(ABS(AA159-AA161)&lt;=1.001,0,ROUND(AA159-AA161,1)),"")</f>
        <v>0</v>
      </c>
      <c r="AB160" s="61" t="n">
        <f aca="false">IF(ISNUMBER(AB161),IF(ABS(AB159-AB161)&lt;=1.001,0,ROUND(AB159-AB161,1)),"")</f>
        <v>0</v>
      </c>
      <c r="AC160" s="61" t="n">
        <f aca="false">IF(ISNUMBER(AC161),IF(ABS(AC159-AC161)&lt;=1.001,0,ROUND(AC159-AC161,1)),"")</f>
        <v>0</v>
      </c>
      <c r="AD160" s="61" t="n">
        <f aca="false">IF(ISNUMBER(AD161),IF(ABS(AD159-AD161)&lt;=1.001,0,ROUND(AD159-AD161,1)),"")</f>
        <v>0</v>
      </c>
      <c r="AE160" s="61" t="n">
        <f aca="false">IF(ISNUMBER(AE161),IF(ABS(AE159-AE161)&lt;=1.001,0,ROUND(AE159-AE161,1)),"")</f>
        <v>0</v>
      </c>
      <c r="AF160" s="61" t="n">
        <f aca="false">IF(ISNUMBER(AF161),IF(ABS(AF159-AF161)&lt;=1.001,0,ROUND(AF159-AF161,1)),"")</f>
        <v>0</v>
      </c>
      <c r="AG160" s="61" t="n">
        <f aca="false">IF(ISNUMBER(AG161),IF(ABS(AG159-AG161)&lt;=1.001,0,ROUND(AG159-AG161,1)),"")</f>
        <v>0</v>
      </c>
      <c r="AH160" s="61" t="n">
        <f aca="false">IF(ISNUMBER(AH161),IF(ABS(AH159-AH161)&lt;=1.001,0,ROUND(AH159-AH161,1)),"")</f>
        <v>0</v>
      </c>
      <c r="AI160" s="61" t="n">
        <f aca="false">IF(ISNUMBER(AI161),IF(ABS(AI159-AI161)&lt;=1.001,0,ROUND(AI159-AI161,1)),"")</f>
        <v>0</v>
      </c>
      <c r="AJ160" s="61" t="n">
        <f aca="false">IF(ISNUMBER(AJ161),IF(ABS(AJ159-AJ161)&lt;=1.001,0,ROUND(AJ159-AJ161,1)),"")</f>
        <v>0</v>
      </c>
      <c r="AK160" s="61" t="n">
        <f aca="false">IF(ISNUMBER(AK161),IF(ABS(AK159-AK161)&lt;=1.001,0,ROUND(AK159-AK161,1)),"")</f>
        <v>0</v>
      </c>
      <c r="AL160" s="61" t="n">
        <f aca="false">IF(ISNUMBER(AL161),IF(ABS(AL159-AL161)&lt;=1.001,0,ROUND(AL159-AL161,1)),"")</f>
        <v>0</v>
      </c>
      <c r="AM160" s="61" t="n">
        <f aca="false">IF(ISNUMBER(AM161),IF(ABS(AM159-AM161)&lt;=1.001,0,ROUND(AM159-AM161,1)),"")</f>
        <v>0</v>
      </c>
      <c r="AN160" s="61" t="n">
        <f aca="false">IF(ISNUMBER(AN161),IF(ABS(AN159-AN161)&lt;=1.001,0,ROUND(AN159-AN161,1)),"")</f>
        <v>0</v>
      </c>
      <c r="AO160" s="61" t="n">
        <f aca="false">IF(ISNUMBER(AO161),IF(ABS(AO159-AO161)&lt;=1.001,0,ROUND(AO159-AO161,1)),"")</f>
        <v>0</v>
      </c>
      <c r="AP160" s="61" t="n">
        <f aca="false">IF(ISNUMBER(AP161),IF(ABS(AP159-AP161)&lt;=1.001,0,ROUND(AP159-AP161,1)),"")</f>
        <v>0</v>
      </c>
      <c r="AQ160" s="61" t="n">
        <f aca="false">IF(ISNUMBER(AQ161),IF(ABS(AQ159-AQ161)&lt;=1.001,0,ROUND(AQ159-AQ161,1)),"")</f>
        <v>0</v>
      </c>
      <c r="AR160" s="61" t="n">
        <f aca="false">IF(ISNUMBER(AR161),IF(ABS(AR159-AR161)&lt;=1.001,0,ROUND(AR159-AR161,1)),"")</f>
        <v>0</v>
      </c>
      <c r="AS160" s="61" t="n">
        <f aca="false">IF(ISNUMBER(AS161),IF(ABS(AS159-AS161)&lt;=1.001,0,ROUND(AS159-AS161,1)),"")</f>
        <v>0</v>
      </c>
      <c r="AT160" s="61" t="n">
        <f aca="false">IF(ISNUMBER(AT161),IF(ABS(AT159-AT161)&lt;=1.001,0,ROUND(AT159-AT161,1)),"")</f>
        <v>0</v>
      </c>
      <c r="AU160" s="61" t="n">
        <f aca="false">IF(ISNUMBER(AU161),IF(ABS(AU159-AU161)&lt;=1.001,0,ROUND(AU159-AU161,1)),"")</f>
        <v>0</v>
      </c>
      <c r="AV160" s="61" t="n">
        <f aca="false">IF(ISNUMBER(AV161),IF(ABS(AV159-AV161)&lt;=1.001,0,ROUND(AV159-AV161,1)),"")</f>
        <v>0</v>
      </c>
      <c r="AW160" s="61" t="n">
        <f aca="false">IF(ISNUMBER(AW161),IF(ABS(AW159-AW161)&lt;=1.001,0,ROUND(AW159-AW161,1)),"")</f>
        <v>0</v>
      </c>
      <c r="AX160" s="61" t="n">
        <f aca="false">IF(ISNUMBER(AX161),IF(ABS(AX159-AX161)&lt;=1.001,0,ROUND(AX159-AX161,1)),"")</f>
        <v>0</v>
      </c>
      <c r="AY160" s="61" t="n">
        <f aca="false">IF(ISNUMBER(AY161),IF(ABS(AY159-AY161)&lt;=1.001,0,ROUND(AY159-AY161,1)),"")</f>
        <v>0</v>
      </c>
      <c r="AZ160" s="61" t="n">
        <f aca="false">IF(ISNUMBER(AZ161),IF(ABS(AZ159-AZ161)&lt;=1.001,0,ROUND(AZ159-AZ161,1)),"")</f>
        <v>0</v>
      </c>
      <c r="BA160" s="61" t="n">
        <f aca="false">IF(ISNUMBER(BA161),IF(ABS(BA159-BA161)&lt;=1.001,0,ROUND(BA159-BA161,1)),"")</f>
        <v>0</v>
      </c>
      <c r="BB160" s="61" t="n">
        <f aca="false">IF(ISNUMBER(BB161),IF(ABS(BB159-BB161)&lt;=1.001,0,ROUND(BB159-BB161,1)),"")</f>
        <v>0</v>
      </c>
      <c r="BC160" s="61" t="n">
        <f aca="false">IF(ISNUMBER(BC161),IF(ABS(BC159-BC161)&lt;=1.001,0,ROUND(BC159-BC161,1)),"")</f>
        <v>0</v>
      </c>
      <c r="BD160" s="61" t="n">
        <f aca="false">IF(ISNUMBER(BD161),IF(ABS(BD159-BD161)&lt;=1.001,0,ROUND(BD159-BD161,1)),"")</f>
        <v>0</v>
      </c>
      <c r="BE160" s="61" t="n">
        <f aca="false">IF(ISNUMBER(BE161),IF(ABS(BE159-BE161)&lt;=1.001,0,ROUND(BE159-BE161,1)),"")</f>
        <v>0</v>
      </c>
      <c r="BF160" s="61" t="n">
        <f aca="false">IF(ISNUMBER(BF161),IF(ABS(BF159-BF161)&lt;=1.001,0,ROUND(BF159-BF161,1)),"")</f>
        <v>0</v>
      </c>
      <c r="BG160" s="61" t="n">
        <f aca="false">IF(ISNUMBER(BG161),IF(ABS(BG159-BG161)&lt;=1.001,0,ROUND(BG159-BG161,1)),"")</f>
        <v>0</v>
      </c>
      <c r="BH160" s="61" t="n">
        <f aca="false">IF(ISNUMBER(BH161),IF(ABS(BH159-BH161)&lt;=1.001,0,ROUND(BH159-BH161,1)),"")</f>
        <v>0</v>
      </c>
      <c r="BI160" s="61" t="n">
        <f aca="false">IF(ISNUMBER(BI161),IF(ABS(BI159-BI161)&lt;=1.001,0,ROUND(BI159-BI161,1)),"")</f>
        <v>0</v>
      </c>
      <c r="BJ160" s="61" t="n">
        <f aca="false">IF(ISNUMBER(BJ161),IF(ABS(BJ159-BJ161)&lt;=1.001,0,ROUND(BJ159-BJ161,1)),"")</f>
        <v>0</v>
      </c>
      <c r="BK160" s="61" t="n">
        <f aca="false">IF(ISNUMBER(BK161),IF(ABS(BK159-BK161)&lt;=1.001,0,ROUND(BK159-BK161,1)),"")</f>
        <v>0</v>
      </c>
      <c r="BL160" s="61" t="n">
        <f aca="false">IF(ISNUMBER(BL161),IF(ABS(BL159-BL161)&lt;=1.001,0,ROUND(BL159-BL161,1)),"")</f>
        <v>0</v>
      </c>
      <c r="BM160" s="61" t="n">
        <f aca="false">IF(ISNUMBER(BM161),IF(ABS(BM159-BM161)&lt;=1.001,0,ROUND(BM159-BM161,1)),"")</f>
        <v>0</v>
      </c>
      <c r="BN160" s="61" t="n">
        <f aca="false">IF(ISNUMBER(BN161),IF(ABS(BN159-BN161)&lt;=1.001,0,ROUND(BN159-BN161,1)),"")</f>
        <v>0</v>
      </c>
      <c r="BO160" s="61" t="n">
        <f aca="false">IF(ISNUMBER(BO161),IF(ABS(BO159-BO161)&lt;=1.001,0,ROUND(BO159-BO161,1)),"")</f>
        <v>0</v>
      </c>
      <c r="BP160" s="61" t="n">
        <f aca="false">IF(ISNUMBER(BP161),IF(ABS(BP159-BP161)&lt;=1.001,0,ROUND(BP159-BP161,1)),"")</f>
        <v>0</v>
      </c>
      <c r="BQ160" s="61" t="n">
        <f aca="false">IF(ISNUMBER(BQ161),IF(ABS(BQ159-BQ161)&lt;=1.001,0,ROUND(BQ159-BQ161,1)),"")</f>
        <v>0</v>
      </c>
      <c r="BR160" s="61" t="n">
        <f aca="false">IF(ISNUMBER(BR161),IF(ABS(BR159-BR161)&lt;=1.001,0,ROUND(BR159-BR161,1)),"")</f>
        <v>0</v>
      </c>
      <c r="BS160" s="61" t="n">
        <f aca="false">IF(ISNUMBER(BS161),IF(ABS(BS159-BS161)&lt;=1.001,0,ROUND(BS159-BS161,1)),"")</f>
        <v>0</v>
      </c>
      <c r="BT160" s="61" t="n">
        <f aca="false">IF(ISNUMBER(BT161),IF(ABS(BT159-BT161)&lt;=1.001,0,ROUND(BT159-BT161,1)),"")</f>
        <v>0</v>
      </c>
      <c r="BU160" s="61" t="n">
        <f aca="false">IF(ISNUMBER(BU161),IF(ABS(BU159-BU161)&lt;=1.001,0,ROUND(BU159-BU161,1)),"")</f>
        <v>0</v>
      </c>
      <c r="BV160" s="61" t="n">
        <f aca="false">IF(ISNUMBER(BV161),IF(ABS(BV159-BV161)&lt;=1.001,0,ROUND(BV159-BV161,1)),"")</f>
        <v>0</v>
      </c>
      <c r="BW160" s="61" t="n">
        <f aca="false">IF(ISNUMBER(BW161),IF(ABS(BW159-BW161)&lt;=1.001,0,ROUND(BW159-BW161,1)),"")</f>
        <v>0</v>
      </c>
      <c r="BX160" s="61" t="n">
        <f aca="false">IF(ISNUMBER(BX161),IF(ABS(BX159-BX161)&lt;=1.001,0,ROUND(BX159-BX161,1)),"")</f>
        <v>0</v>
      </c>
      <c r="BY160" s="39"/>
      <c r="BZ160" s="39"/>
      <c r="CA160" s="39"/>
      <c r="CB160" s="39"/>
      <c r="CC160" s="39"/>
      <c r="CD160" s="39"/>
      <c r="CE160" s="39"/>
      <c r="CF160" s="21"/>
    </row>
    <row r="161" customFormat="false" ht="15" hidden="false" customHeight="false" outlineLevel="0" collapsed="false">
      <c r="B161" s="43" t="s">
        <v>316</v>
      </c>
      <c r="C161" s="37" t="n">
        <v>168.935</v>
      </c>
      <c r="D161" s="37" t="n">
        <v>761.1</v>
      </c>
      <c r="E161" s="37" t="n">
        <v>994.2</v>
      </c>
      <c r="F161" s="37" t="n">
        <v>850.3</v>
      </c>
      <c r="G161" s="37" t="n">
        <v>1035.6</v>
      </c>
      <c r="H161" s="37" t="n">
        <v>1329.9</v>
      </c>
      <c r="I161" s="37" t="n">
        <v>1177.9</v>
      </c>
      <c r="J161" s="37" t="n">
        <v>336.2</v>
      </c>
      <c r="K161" s="37" t="n">
        <v>277.4</v>
      </c>
      <c r="L161" s="37" t="n">
        <v>317.6</v>
      </c>
      <c r="M161" s="37" t="n">
        <v>342.1</v>
      </c>
      <c r="N161" s="37" t="n">
        <v>1273.3</v>
      </c>
      <c r="O161" s="37" t="n">
        <v>543.1</v>
      </c>
      <c r="P161" s="37" t="n">
        <v>278.5</v>
      </c>
      <c r="Q161" s="37" t="n">
        <v>471.6</v>
      </c>
      <c r="R161" s="37" t="n">
        <v>601.2</v>
      </c>
      <c r="S161" s="37" t="n">
        <v>1894.4</v>
      </c>
      <c r="T161" s="37" t="n">
        <v>385.1</v>
      </c>
      <c r="U161" s="37" t="n">
        <v>511.6</v>
      </c>
      <c r="V161" s="37" t="n">
        <v>476.1</v>
      </c>
      <c r="W161" s="37" t="n">
        <v>602.6</v>
      </c>
      <c r="X161" s="37" t="n">
        <v>1975.4</v>
      </c>
      <c r="Y161" s="37" t="n">
        <v>402.2</v>
      </c>
      <c r="Z161" s="37" t="n">
        <v>516.6</v>
      </c>
      <c r="AA161" s="37" t="n">
        <v>473.5</v>
      </c>
      <c r="AB161" s="37" t="n">
        <v>629.5</v>
      </c>
      <c r="AC161" s="37" t="n">
        <v>2021.8</v>
      </c>
      <c r="AD161" s="37" t="n">
        <v>551.4</v>
      </c>
      <c r="AE161" s="37" t="n">
        <v>611.6</v>
      </c>
      <c r="AF161" s="37" t="n">
        <v>533.9</v>
      </c>
      <c r="AG161" s="37" t="n">
        <v>528</v>
      </c>
      <c r="AH161" s="37" t="n">
        <v>2225</v>
      </c>
      <c r="AI161" s="37" t="n">
        <v>579</v>
      </c>
      <c r="AJ161" s="37" t="n">
        <v>752</v>
      </c>
      <c r="AK161" s="37" t="n">
        <v>709</v>
      </c>
      <c r="AL161" s="37" t="n">
        <v>898</v>
      </c>
      <c r="AM161" s="37" t="n">
        <v>2938</v>
      </c>
      <c r="AN161" s="37" t="n">
        <v>815</v>
      </c>
      <c r="AO161" s="37" t="n">
        <v>1119</v>
      </c>
      <c r="AP161" s="37" t="n">
        <v>760</v>
      </c>
      <c r="AQ161" s="37" t="n">
        <v>1002</v>
      </c>
      <c r="AR161" s="37" t="n">
        <v>3696</v>
      </c>
      <c r="AS161" s="37" t="n">
        <v>788</v>
      </c>
      <c r="AT161" s="37" t="n">
        <v>1156</v>
      </c>
      <c r="AU161" s="37" t="n">
        <v>1933</v>
      </c>
      <c r="AV161" s="37" t="n">
        <v>2498</v>
      </c>
      <c r="AW161" s="37" t="n">
        <v>6375</v>
      </c>
      <c r="AX161" s="37" t="n">
        <v>2337</v>
      </c>
      <c r="AY161" s="37" t="n">
        <v>1828</v>
      </c>
      <c r="AZ161" s="37" t="n">
        <v>1902</v>
      </c>
      <c r="BA161" s="37" t="n">
        <v>1658</v>
      </c>
      <c r="BB161" s="37" t="n">
        <v>7725</v>
      </c>
      <c r="BC161" s="37" t="n">
        <v>2215</v>
      </c>
      <c r="BD161" s="37" t="n">
        <v>1664</v>
      </c>
      <c r="BE161" s="37" t="n">
        <v>1495</v>
      </c>
      <c r="BF161" s="37" t="n">
        <v>1576</v>
      </c>
      <c r="BG161" s="37" t="n">
        <v>6950</v>
      </c>
      <c r="BH161" s="37" t="n">
        <v>1289</v>
      </c>
      <c r="BI161" s="37" t="n">
        <v>1361</v>
      </c>
      <c r="BJ161" s="37" t="n">
        <v>1715</v>
      </c>
      <c r="BK161" s="37" t="n">
        <v>1630</v>
      </c>
      <c r="BL161" s="37" t="n">
        <v>5995</v>
      </c>
      <c r="BM161" s="37" t="n">
        <v>1328</v>
      </c>
      <c r="BN161" s="37" t="n">
        <v>1548</v>
      </c>
      <c r="BO161" s="37" t="n">
        <v>1630</v>
      </c>
      <c r="BP161" s="37" t="n">
        <v>1830</v>
      </c>
      <c r="BQ161" s="37" t="n">
        <v>6335</v>
      </c>
      <c r="BR161" s="37" t="n">
        <v>1507</v>
      </c>
      <c r="BS161" s="37" t="n">
        <v>1617</v>
      </c>
      <c r="BT161" s="37" t="n">
        <v>1616</v>
      </c>
      <c r="BU161" s="37" t="n">
        <v>1964</v>
      </c>
      <c r="BV161" s="37" t="n">
        <v>6704</v>
      </c>
      <c r="BW161" s="37" t="n">
        <v>1651</v>
      </c>
      <c r="BX161" s="37" t="n">
        <v>1736</v>
      </c>
      <c r="BY161" s="39"/>
      <c r="BZ161" s="39"/>
      <c r="CA161" s="39"/>
      <c r="CB161" s="39"/>
      <c r="CC161" s="39"/>
      <c r="CD161" s="39"/>
      <c r="CE161" s="39"/>
      <c r="CF161" s="21"/>
    </row>
    <row r="162" customFormat="false" ht="15" hidden="false" customHeight="false" outlineLevel="0" collapsed="false">
      <c r="B162" s="43" t="s">
        <v>317</v>
      </c>
      <c r="C162" s="37" t="n">
        <v>241.959</v>
      </c>
      <c r="D162" s="37" t="n">
        <v>974.4</v>
      </c>
      <c r="E162" s="37" t="n">
        <v>1229.4</v>
      </c>
      <c r="F162" s="37" t="n">
        <v>1048.9</v>
      </c>
      <c r="G162" s="37" t="n">
        <v>1264.9</v>
      </c>
      <c r="H162" s="37" t="n">
        <v>1245.2</v>
      </c>
      <c r="I162" s="37" t="n">
        <v>1482.1</v>
      </c>
      <c r="J162" s="37" t="n">
        <v>387.1</v>
      </c>
      <c r="K162" s="37" t="n">
        <v>375.4</v>
      </c>
      <c r="L162" s="37" t="n">
        <v>392.1</v>
      </c>
      <c r="M162" s="37" t="n">
        <v>455</v>
      </c>
      <c r="N162" s="37" t="n">
        <v>1609.6</v>
      </c>
      <c r="O162" s="37" t="n">
        <v>875.5</v>
      </c>
      <c r="P162" s="37" t="n">
        <v>348.1</v>
      </c>
      <c r="Q162" s="37" t="n">
        <v>640.3</v>
      </c>
      <c r="R162" s="37" t="n">
        <v>639.1</v>
      </c>
      <c r="S162" s="37" t="n">
        <v>2503</v>
      </c>
      <c r="T162" s="37" t="n">
        <v>487.3</v>
      </c>
      <c r="U162" s="37" t="n">
        <v>595.8</v>
      </c>
      <c r="V162" s="37" t="n">
        <v>562.9</v>
      </c>
      <c r="W162" s="37" t="n">
        <v>690.2</v>
      </c>
      <c r="X162" s="37" t="n">
        <v>2336.2</v>
      </c>
      <c r="Y162" s="37" t="n">
        <v>517.9</v>
      </c>
      <c r="Z162" s="37" t="n">
        <v>637.6</v>
      </c>
      <c r="AA162" s="37" t="n">
        <v>541.1</v>
      </c>
      <c r="AB162" s="37" t="n">
        <v>752.6</v>
      </c>
      <c r="AC162" s="37" t="n">
        <v>2449.2</v>
      </c>
      <c r="AD162" s="37" t="n">
        <v>622.4</v>
      </c>
      <c r="AE162" s="37" t="n">
        <v>751.5</v>
      </c>
      <c r="AF162" s="37" t="n">
        <v>636.2</v>
      </c>
      <c r="AG162" s="37" t="n">
        <v>958</v>
      </c>
      <c r="AH162" s="37" t="n">
        <v>2968</v>
      </c>
      <c r="AI162" s="37" t="n">
        <v>786</v>
      </c>
      <c r="AJ162" s="37" t="n">
        <v>937</v>
      </c>
      <c r="AK162" s="37" t="n">
        <v>912</v>
      </c>
      <c r="AL162" s="37" t="n">
        <v>1148</v>
      </c>
      <c r="AM162" s="37" t="n">
        <v>3783</v>
      </c>
      <c r="AN162" s="37" t="n">
        <v>920</v>
      </c>
      <c r="AO162" s="37" t="n">
        <v>1496</v>
      </c>
      <c r="AP162" s="37" t="n">
        <v>946</v>
      </c>
      <c r="AQ162" s="37" t="n">
        <v>1232</v>
      </c>
      <c r="AR162" s="37" t="n">
        <v>4594</v>
      </c>
      <c r="AS162" s="37" t="n">
        <v>906</v>
      </c>
      <c r="AT162" s="37" t="n">
        <v>1391</v>
      </c>
      <c r="AU162" s="37" t="n">
        <v>2426</v>
      </c>
      <c r="AV162" s="37" t="n">
        <v>3071</v>
      </c>
      <c r="AW162" s="37" t="n">
        <v>7794</v>
      </c>
      <c r="AX162" s="37" t="n">
        <v>3049</v>
      </c>
      <c r="AY162" s="37" t="n">
        <v>2163</v>
      </c>
      <c r="AZ162" s="37" t="n">
        <v>2278</v>
      </c>
      <c r="BA162" s="37" t="n">
        <v>2538</v>
      </c>
      <c r="BB162" s="37" t="n">
        <v>10028</v>
      </c>
      <c r="BC162" s="37" t="n">
        <v>2821</v>
      </c>
      <c r="BD162" s="37" t="n">
        <v>2001</v>
      </c>
      <c r="BE162" s="37" t="n">
        <v>1710</v>
      </c>
      <c r="BF162" s="37" t="n">
        <v>1861</v>
      </c>
      <c r="BG162" s="37" t="n">
        <v>8393</v>
      </c>
      <c r="BH162" s="37" t="n">
        <v>1563</v>
      </c>
      <c r="BI162" s="37" t="n">
        <v>1578</v>
      </c>
      <c r="BJ162" s="37" t="n">
        <v>1864</v>
      </c>
      <c r="BK162" s="37" t="n">
        <v>1854</v>
      </c>
      <c r="BL162" s="37" t="n">
        <v>6859</v>
      </c>
      <c r="BM162" s="37" t="n">
        <v>1663</v>
      </c>
      <c r="BN162" s="37" t="n">
        <v>1820</v>
      </c>
      <c r="BO162" s="37" t="n">
        <v>1838</v>
      </c>
      <c r="BP162" s="37" t="n">
        <v>2016</v>
      </c>
      <c r="BQ162" s="37" t="n">
        <v>7337</v>
      </c>
      <c r="BR162" s="37" t="n">
        <v>1716</v>
      </c>
      <c r="BS162" s="37" t="n">
        <v>1834</v>
      </c>
      <c r="BT162" s="37" t="n">
        <v>1941</v>
      </c>
      <c r="BU162" s="37" t="n">
        <v>2255</v>
      </c>
      <c r="BV162" s="37" t="n">
        <v>7746</v>
      </c>
      <c r="BW162" s="37" t="n">
        <v>1863</v>
      </c>
      <c r="BX162" s="37" t="n">
        <v>2087</v>
      </c>
      <c r="BY162" s="39"/>
      <c r="BZ162" s="39"/>
      <c r="CA162" s="39"/>
      <c r="CB162" s="39"/>
      <c r="CC162" s="39"/>
      <c r="CD162" s="39"/>
      <c r="CE162" s="39"/>
      <c r="CF162" s="21"/>
    </row>
    <row r="163" customFormat="false" ht="15" hidden="false" customHeight="false" outlineLevel="0" collapsed="false">
      <c r="B163" s="23" t="s">
        <v>318</v>
      </c>
      <c r="C163" s="61" t="n">
        <f aca="false">C155-C158</f>
        <v>166.316</v>
      </c>
      <c r="D163" s="61" t="n">
        <f aca="false">D155-D158</f>
        <v>779.599999999998</v>
      </c>
      <c r="E163" s="61" t="n">
        <f aca="false">E155-E158</f>
        <v>988.700000000002</v>
      </c>
      <c r="F163" s="61" t="n">
        <f aca="false">F155-F158</f>
        <v>851.300000000001</v>
      </c>
      <c r="G163" s="61" t="n">
        <f aca="false">G155-G158</f>
        <v>1033.1</v>
      </c>
      <c r="H163" s="61" t="n">
        <f aca="false">H155-H158</f>
        <v>1019.6</v>
      </c>
      <c r="I163" s="61" t="n">
        <f aca="false">I155-I158</f>
        <v>1258.4</v>
      </c>
      <c r="J163" s="61" t="n">
        <f aca="false">J155-J158</f>
        <v>340.8</v>
      </c>
      <c r="K163" s="61" t="n">
        <f aca="false">K155-K158</f>
        <v>277.6</v>
      </c>
      <c r="L163" s="61" t="n">
        <f aca="false">L155-L158</f>
        <v>317.7</v>
      </c>
      <c r="M163" s="61" t="n">
        <f aca="false">M155-M158</f>
        <v>343</v>
      </c>
      <c r="N163" s="61" t="n">
        <f aca="false">N155-N158</f>
        <v>1279.1</v>
      </c>
      <c r="O163" s="61" t="n">
        <f aca="false">O155-O158</f>
        <v>543.1</v>
      </c>
      <c r="P163" s="61" t="n">
        <f aca="false">P155-P158</f>
        <v>278.5</v>
      </c>
      <c r="Q163" s="61" t="n">
        <f aca="false">Q155-Q158</f>
        <v>469.9</v>
      </c>
      <c r="R163" s="61" t="n">
        <f aca="false">R155-R158</f>
        <v>604</v>
      </c>
      <c r="S163" s="61" t="n">
        <f aca="false">S155-S158</f>
        <v>1895.5</v>
      </c>
      <c r="T163" s="61" t="n">
        <f aca="false">T155-T158</f>
        <v>385.1</v>
      </c>
      <c r="U163" s="61" t="n">
        <f aca="false">U155-U158</f>
        <v>511.599999999999</v>
      </c>
      <c r="V163" s="61" t="n">
        <f aca="false">V155-V158</f>
        <v>477.3</v>
      </c>
      <c r="W163" s="61" t="n">
        <f aca="false">W155-W158</f>
        <v>606.299999999999</v>
      </c>
      <c r="X163" s="61" t="n">
        <f aca="false">X155-X158</f>
        <v>1980.3</v>
      </c>
      <c r="Y163" s="61" t="n">
        <f aca="false">Y155-Y158</f>
        <v>402.3</v>
      </c>
      <c r="Z163" s="61" t="n">
        <f aca="false">Z155-Z158</f>
        <v>516.8</v>
      </c>
      <c r="AA163" s="61" t="n">
        <f aca="false">AA155-AA158</f>
        <v>473.499999999999</v>
      </c>
      <c r="AB163" s="61" t="n">
        <f aca="false">AB155-AB158</f>
        <v>632.7</v>
      </c>
      <c r="AC163" s="61" t="n">
        <f aca="false">AC155-AC158</f>
        <v>2025.3</v>
      </c>
      <c r="AD163" s="61" t="n">
        <f aca="false">AD155-AD158</f>
        <v>551.400000000001</v>
      </c>
      <c r="AE163" s="61" t="n">
        <f aca="false">AE155-AE158</f>
        <v>612.2</v>
      </c>
      <c r="AF163" s="61" t="n">
        <f aca="false">AF155-AF158</f>
        <v>533.9</v>
      </c>
      <c r="AG163" s="61" t="n">
        <f aca="false">AG155-AG158</f>
        <v>530</v>
      </c>
      <c r="AH163" s="61" t="n">
        <f aca="false">AH155-AH158</f>
        <v>2228</v>
      </c>
      <c r="AI163" s="61" t="n">
        <f aca="false">AI155-AI158</f>
        <v>579</v>
      </c>
      <c r="AJ163" s="61" t="n">
        <f aca="false">AJ155-AJ158</f>
        <v>752</v>
      </c>
      <c r="AK163" s="61" t="n">
        <f aca="false">AK155-AK158</f>
        <v>709</v>
      </c>
      <c r="AL163" s="61" t="n">
        <f aca="false">AL155-AL158</f>
        <v>898</v>
      </c>
      <c r="AM163" s="61" t="n">
        <f aca="false">AM155-AM158</f>
        <v>2938</v>
      </c>
      <c r="AN163" s="61" t="n">
        <f aca="false">AN155-AN158</f>
        <v>815</v>
      </c>
      <c r="AO163" s="61" t="n">
        <f aca="false">AO155-AO158</f>
        <v>1119</v>
      </c>
      <c r="AP163" s="61" t="n">
        <f aca="false">AP155-AP158</f>
        <v>760</v>
      </c>
      <c r="AQ163" s="61" t="n">
        <f aca="false">AQ155-AQ158</f>
        <v>1002</v>
      </c>
      <c r="AR163" s="61" t="n">
        <f aca="false">AR155-AR158</f>
        <v>3696</v>
      </c>
      <c r="AS163" s="61" t="n">
        <f aca="false">AS155-AS158</f>
        <v>788</v>
      </c>
      <c r="AT163" s="61" t="n">
        <f aca="false">AT155-AT158</f>
        <v>1156</v>
      </c>
      <c r="AU163" s="61" t="n">
        <f aca="false">AU155-AU158</f>
        <v>1933</v>
      </c>
      <c r="AV163" s="61" t="n">
        <f aca="false">AV155-AV158</f>
        <v>2498</v>
      </c>
      <c r="AW163" s="61" t="n">
        <f aca="false">AW155-AW158</f>
        <v>6375</v>
      </c>
      <c r="AX163" s="61" t="n">
        <f aca="false">AX155-AX158</f>
        <v>2337</v>
      </c>
      <c r="AY163" s="61" t="n">
        <f aca="false">AY155-AY158</f>
        <v>1828</v>
      </c>
      <c r="AZ163" s="61" t="n">
        <f aca="false">AZ155-AZ158</f>
        <v>1902</v>
      </c>
      <c r="BA163" s="61" t="n">
        <f aca="false">BA155-BA158</f>
        <v>1658</v>
      </c>
      <c r="BB163" s="61" t="n">
        <f aca="false">BB155-BB158</f>
        <v>7725</v>
      </c>
      <c r="BC163" s="61" t="n">
        <f aca="false">BC155-BC158</f>
        <v>2215</v>
      </c>
      <c r="BD163" s="61" t="n">
        <f aca="false">BD155-BD158</f>
        <v>1664</v>
      </c>
      <c r="BE163" s="61" t="n">
        <f aca="false">BE155-BE158</f>
        <v>1495</v>
      </c>
      <c r="BF163" s="61" t="n">
        <f aca="false">BF155-BF158</f>
        <v>1576</v>
      </c>
      <c r="BG163" s="61" t="n">
        <f aca="false">BG155-BG158</f>
        <v>6950</v>
      </c>
      <c r="BH163" s="61" t="n">
        <f aca="false">BH155-BH158</f>
        <v>1289</v>
      </c>
      <c r="BI163" s="61" t="n">
        <f aca="false">BI155-BI158</f>
        <v>1361</v>
      </c>
      <c r="BJ163" s="61" t="n">
        <f aca="false">BJ155-BJ158</f>
        <v>1715</v>
      </c>
      <c r="BK163" s="61" t="n">
        <f aca="false">BK155-BK158</f>
        <v>1630</v>
      </c>
      <c r="BL163" s="61" t="n">
        <f aca="false">BL155-BL158</f>
        <v>5995</v>
      </c>
      <c r="BM163" s="61" t="n">
        <f aca="false">BM155-BM158</f>
        <v>1327</v>
      </c>
      <c r="BN163" s="61" t="n">
        <f aca="false">BN155-BN158</f>
        <v>1547</v>
      </c>
      <c r="BO163" s="61" t="n">
        <f aca="false">BO155-BO158</f>
        <v>1630</v>
      </c>
      <c r="BP163" s="61" t="n">
        <f aca="false">BP155-BP158</f>
        <v>1831</v>
      </c>
      <c r="BQ163" s="61" t="n">
        <f aca="false">BQ155-BQ158</f>
        <v>6335</v>
      </c>
      <c r="BR163" s="61" t="n">
        <f aca="false">BR155-BR158</f>
        <v>1508</v>
      </c>
      <c r="BS163" s="61" t="n">
        <f aca="false">BS155-BS158</f>
        <v>1617</v>
      </c>
      <c r="BT163" s="61" t="n">
        <f aca="false">BT155-BT158</f>
        <v>1616</v>
      </c>
      <c r="BU163" s="61" t="n">
        <f aca="false">BU155-BU158</f>
        <v>1965</v>
      </c>
      <c r="BV163" s="61" t="n">
        <f aca="false">BV155-BV158</f>
        <v>6704</v>
      </c>
      <c r="BW163" s="61" t="n">
        <f aca="false">BW155-BW158</f>
        <v>1650</v>
      </c>
      <c r="BX163" s="61" t="n">
        <f aca="false">BX155-BX158</f>
        <v>1737</v>
      </c>
      <c r="BY163" s="44" t="n">
        <f aca="false">BY155-BY158</f>
        <v>2097.07258292613</v>
      </c>
      <c r="BZ163" s="44" t="n">
        <f aca="false">BZ155-BZ158</f>
        <v>2134.70366707387</v>
      </c>
      <c r="CA163" s="44" t="n">
        <f aca="false">CA155-CA158</f>
        <v>7618.77625</v>
      </c>
      <c r="CB163" s="44" t="n">
        <f aca="false">CB155-CB158</f>
        <v>7907.71599807448</v>
      </c>
      <c r="CC163" s="44" t="n">
        <f aca="false">CC155-CC158</f>
        <v>8730.23879292395</v>
      </c>
      <c r="CD163" s="44" t="n">
        <f aca="false">CD155-CD158</f>
        <v>9605.01421040877</v>
      </c>
      <c r="CE163" s="44" t="n">
        <f aca="false">CE155-CE158</f>
        <v>10744.7372704989</v>
      </c>
      <c r="CF163" s="21"/>
    </row>
    <row r="164" customFormat="false" ht="15" hidden="false" customHeight="false" outlineLevel="0" collapsed="false">
      <c r="B164" s="23" t="s">
        <v>319</v>
      </c>
      <c r="C164" s="37" t="n">
        <v>240.7</v>
      </c>
      <c r="D164" s="37" t="n">
        <v>756.8</v>
      </c>
      <c r="E164" s="37" t="n">
        <v>792.7</v>
      </c>
      <c r="F164" s="37" t="n">
        <v>787.3</v>
      </c>
      <c r="G164" s="37" t="n">
        <v>770</v>
      </c>
      <c r="H164" s="37" t="n">
        <v>863.5</v>
      </c>
      <c r="I164" s="37" t="n">
        <v>983.7</v>
      </c>
      <c r="J164" s="37" t="n">
        <v>251</v>
      </c>
      <c r="K164" s="37" t="n">
        <v>249.2</v>
      </c>
      <c r="L164" s="37" t="n">
        <v>250.4</v>
      </c>
      <c r="M164" s="37" t="n">
        <v>249.3</v>
      </c>
      <c r="N164" s="37" t="n">
        <v>999.9</v>
      </c>
      <c r="O164" s="37" t="n">
        <v>365.6</v>
      </c>
      <c r="P164" s="37" t="n">
        <v>434.8</v>
      </c>
      <c r="Q164" s="37" t="n">
        <v>455.7</v>
      </c>
      <c r="R164" s="37" t="n">
        <v>428.7</v>
      </c>
      <c r="S164" s="37" t="n">
        <v>1684.8</v>
      </c>
      <c r="T164" s="37" t="n">
        <v>416.3</v>
      </c>
      <c r="U164" s="37" t="n">
        <v>419.7</v>
      </c>
      <c r="V164" s="37" t="n">
        <v>427.7</v>
      </c>
      <c r="W164" s="37" t="n">
        <v>424.5</v>
      </c>
      <c r="X164" s="37" t="n">
        <v>1688.2</v>
      </c>
      <c r="Y164" s="37" t="n">
        <v>416.1</v>
      </c>
      <c r="Z164" s="37" t="n">
        <v>435.1</v>
      </c>
      <c r="AA164" s="37" t="n">
        <v>433</v>
      </c>
      <c r="AB164" s="37" t="n">
        <v>473.8</v>
      </c>
      <c r="AC164" s="37" t="n">
        <v>1758</v>
      </c>
      <c r="AD164" s="37" t="n">
        <v>464.5</v>
      </c>
      <c r="AE164" s="37" t="n">
        <v>478.2</v>
      </c>
      <c r="AF164" s="37" t="n">
        <v>516.8</v>
      </c>
      <c r="AG164" s="37" t="n">
        <v>573.5</v>
      </c>
      <c r="AH164" s="37" t="n">
        <v>2033</v>
      </c>
      <c r="AI164" s="37" t="n">
        <v>575</v>
      </c>
      <c r="AJ164" s="37" t="n">
        <v>571</v>
      </c>
      <c r="AK164" s="37" t="n">
        <v>563</v>
      </c>
      <c r="AL164" s="37" t="n">
        <v>558</v>
      </c>
      <c r="AM164" s="37" t="n">
        <v>2267</v>
      </c>
      <c r="AN164" s="37" t="n">
        <v>555</v>
      </c>
      <c r="AO164" s="37" t="n">
        <v>571</v>
      </c>
      <c r="AP164" s="37" t="n">
        <v>575</v>
      </c>
      <c r="AQ164" s="37" t="n">
        <v>576</v>
      </c>
      <c r="AR164" s="37" t="n">
        <v>2277</v>
      </c>
      <c r="AS164" s="37" t="n">
        <v>574</v>
      </c>
      <c r="AT164" s="37" t="n">
        <v>574</v>
      </c>
      <c r="AU164" s="37" t="n">
        <v>575</v>
      </c>
      <c r="AV164" s="37" t="n">
        <v>602</v>
      </c>
      <c r="AW164" s="37" t="n">
        <v>2325</v>
      </c>
      <c r="AX164" s="37" t="n">
        <v>621</v>
      </c>
      <c r="AY164" s="37" t="n">
        <v>660</v>
      </c>
      <c r="AZ164" s="37" t="n">
        <v>628</v>
      </c>
      <c r="BA164" s="37" t="n">
        <v>683</v>
      </c>
      <c r="BB164" s="37" t="n">
        <v>2592</v>
      </c>
      <c r="BC164" s="37" t="n">
        <v>859</v>
      </c>
      <c r="BD164" s="37" t="n">
        <v>836</v>
      </c>
      <c r="BE164" s="37" t="n">
        <v>838</v>
      </c>
      <c r="BF164" s="37" t="n">
        <v>848</v>
      </c>
      <c r="BG164" s="37" t="n">
        <v>3381</v>
      </c>
      <c r="BH164" s="37" t="n">
        <v>859</v>
      </c>
      <c r="BI164" s="37" t="n">
        <v>855</v>
      </c>
      <c r="BJ164" s="37" t="n">
        <v>853</v>
      </c>
      <c r="BK164" s="37" t="n">
        <v>839</v>
      </c>
      <c r="BL164" s="37" t="n">
        <v>3406</v>
      </c>
      <c r="BM164" s="37" t="n">
        <v>837</v>
      </c>
      <c r="BN164" s="37" t="n">
        <v>789</v>
      </c>
      <c r="BO164" s="37" t="n">
        <v>741</v>
      </c>
      <c r="BP164" s="37" t="n">
        <v>741</v>
      </c>
      <c r="BQ164" s="37" t="n">
        <v>3108</v>
      </c>
      <c r="BR164" s="37" t="n">
        <v>706</v>
      </c>
      <c r="BS164" s="37" t="n">
        <v>685</v>
      </c>
      <c r="BT164" s="37" t="n">
        <v>662</v>
      </c>
      <c r="BU164" s="37" t="n">
        <v>727</v>
      </c>
      <c r="BV164" s="37" t="n">
        <v>2780</v>
      </c>
      <c r="BW164" s="37" t="n">
        <v>736</v>
      </c>
      <c r="BX164" s="37" t="n">
        <v>816</v>
      </c>
      <c r="BY164" s="44" t="n">
        <f aca="false">BY126+BY141</f>
        <v>816.008797473772</v>
      </c>
      <c r="BZ164" s="44" t="n">
        <f aca="false">BZ126+BZ141</f>
        <v>839.460701200083</v>
      </c>
      <c r="CA164" s="44" t="n">
        <f aca="false">SUM(BW164,BX164,BY164,BZ164)</f>
        <v>3207.46949867386</v>
      </c>
      <c r="CB164" s="44" t="n">
        <f aca="false">CB126+CB141</f>
        <v>3355.97154761096</v>
      </c>
      <c r="CC164" s="44" t="n">
        <f aca="false">CC126+CC141</f>
        <v>3538.91518725003</v>
      </c>
      <c r="CD164" s="44" t="n">
        <f aca="false">CD126+CD141</f>
        <v>3643.81915381412</v>
      </c>
      <c r="CE164" s="44" t="n">
        <f aca="false">CE126+CE141</f>
        <v>3577.9400959991</v>
      </c>
      <c r="CF164" s="21" t="s">
        <v>320</v>
      </c>
    </row>
    <row r="165" customFormat="false" ht="15" hidden="false" customHeight="false" outlineLevel="0" collapsed="false">
      <c r="B165" s="23" t="s">
        <v>321</v>
      </c>
      <c r="C165" s="37" t="n">
        <v>69.4</v>
      </c>
      <c r="D165" s="37" t="n">
        <v>51.1</v>
      </c>
      <c r="E165" s="37" t="n">
        <v>57.1</v>
      </c>
      <c r="F165" s="37" t="n">
        <v>68.1</v>
      </c>
      <c r="G165" s="37" t="n">
        <v>83.1</v>
      </c>
      <c r="H165" s="37" t="n">
        <v>80.2</v>
      </c>
      <c r="I165" s="37" t="n">
        <v>78.2</v>
      </c>
      <c r="J165" s="37" t="n">
        <v>20.4</v>
      </c>
      <c r="K165" s="37" t="n">
        <v>23.3</v>
      </c>
      <c r="L165" s="37" t="n">
        <v>22.9</v>
      </c>
      <c r="M165" s="37" t="n">
        <v>24.3</v>
      </c>
      <c r="N165" s="37" t="n">
        <v>90.9</v>
      </c>
      <c r="O165" s="37" t="n">
        <v>25.2</v>
      </c>
      <c r="P165" s="37" t="n">
        <v>30.8</v>
      </c>
      <c r="Q165" s="37" t="n">
        <v>30.6</v>
      </c>
      <c r="R165" s="37" t="n">
        <v>30.5</v>
      </c>
      <c r="S165" s="37" t="n">
        <v>117.1</v>
      </c>
      <c r="T165" s="37" t="n">
        <v>28.2</v>
      </c>
      <c r="U165" s="37" t="n">
        <v>31.1</v>
      </c>
      <c r="V165" s="37" t="n">
        <v>32.5</v>
      </c>
      <c r="W165" s="37" t="n">
        <v>33.2</v>
      </c>
      <c r="X165" s="37" t="n">
        <v>125</v>
      </c>
      <c r="Y165" s="37" t="n">
        <v>33.4</v>
      </c>
      <c r="Z165" s="37" t="n">
        <v>33.7</v>
      </c>
      <c r="AA165" s="37" t="n">
        <v>34.9</v>
      </c>
      <c r="AB165" s="37" t="n">
        <v>31.5</v>
      </c>
      <c r="AC165" s="37" t="n">
        <v>133.5</v>
      </c>
      <c r="AD165" s="37" t="n">
        <v>33</v>
      </c>
      <c r="AE165" s="37" t="n">
        <v>38.2</v>
      </c>
      <c r="AF165" s="37" t="n">
        <v>44.7</v>
      </c>
      <c r="AG165" s="37" t="n">
        <v>43.1</v>
      </c>
      <c r="AH165" s="37" t="n">
        <v>159</v>
      </c>
      <c r="AI165" s="37" t="n">
        <v>43</v>
      </c>
      <c r="AJ165" s="37" t="n">
        <v>48</v>
      </c>
      <c r="AK165" s="37" t="n">
        <v>46</v>
      </c>
      <c r="AL165" s="37" t="n">
        <v>44</v>
      </c>
      <c r="AM165" s="37" t="n">
        <v>181</v>
      </c>
      <c r="AN165" s="37" t="n">
        <v>44</v>
      </c>
      <c r="AO165" s="37" t="n">
        <v>52</v>
      </c>
      <c r="AP165" s="37" t="n">
        <v>42</v>
      </c>
      <c r="AQ165" s="37" t="n">
        <v>43</v>
      </c>
      <c r="AR165" s="37" t="n">
        <v>181</v>
      </c>
      <c r="AS165" s="37" t="n">
        <v>46</v>
      </c>
      <c r="AT165" s="37" t="n">
        <v>47</v>
      </c>
      <c r="AU165" s="37" t="n">
        <v>52</v>
      </c>
      <c r="AV165" s="37" t="n">
        <v>51</v>
      </c>
      <c r="AW165" s="37" t="n">
        <v>196</v>
      </c>
      <c r="AX165" s="37" t="n">
        <v>51</v>
      </c>
      <c r="AY165" s="37" t="n">
        <v>51</v>
      </c>
      <c r="AZ165" s="37" t="n">
        <v>51</v>
      </c>
      <c r="BA165" s="37" t="n">
        <v>77</v>
      </c>
      <c r="BB165" s="37" t="n">
        <v>230</v>
      </c>
      <c r="BC165" s="37" t="n">
        <v>78</v>
      </c>
      <c r="BD165" s="37" t="n">
        <v>77</v>
      </c>
      <c r="BE165" s="37" t="n">
        <v>77</v>
      </c>
      <c r="BF165" s="37" t="n">
        <v>75</v>
      </c>
      <c r="BG165" s="37" t="n">
        <v>307</v>
      </c>
      <c r="BH165" s="37" t="n">
        <v>76</v>
      </c>
      <c r="BI165" s="37" t="n">
        <v>74</v>
      </c>
      <c r="BJ165" s="37" t="n">
        <v>67</v>
      </c>
      <c r="BK165" s="37" t="n">
        <v>61</v>
      </c>
      <c r="BL165" s="37" t="n">
        <v>278</v>
      </c>
      <c r="BM165" s="37" t="n">
        <v>70</v>
      </c>
      <c r="BN165" s="37" t="n">
        <v>84</v>
      </c>
      <c r="BO165" s="37" t="n">
        <v>68</v>
      </c>
      <c r="BP165" s="37" t="n">
        <v>79</v>
      </c>
      <c r="BQ165" s="37" t="n">
        <v>301</v>
      </c>
      <c r="BR165" s="37" t="n">
        <v>75</v>
      </c>
      <c r="BS165" s="37" t="n">
        <v>81</v>
      </c>
      <c r="BT165" s="37" t="n">
        <v>70</v>
      </c>
      <c r="BU165" s="37" t="n">
        <v>84</v>
      </c>
      <c r="BV165" s="37" t="n">
        <v>310</v>
      </c>
      <c r="BW165" s="37" t="n">
        <v>83</v>
      </c>
      <c r="BX165" s="37" t="n">
        <v>82</v>
      </c>
      <c r="BY165" s="44" t="n">
        <f aca="false">BY136*BY133</f>
        <v>85.7401123754669</v>
      </c>
      <c r="BZ165" s="44" t="n">
        <f aca="false">BZ136*BZ133</f>
        <v>91.8147813155631</v>
      </c>
      <c r="CA165" s="44" t="n">
        <f aca="false">SUM(BW165,BX165,BY165,BZ165)</f>
        <v>342.55489369103</v>
      </c>
      <c r="CB165" s="44" t="n">
        <f aca="false">CB136*CB133</f>
        <v>354.646944442347</v>
      </c>
      <c r="CC165" s="44" t="n">
        <f aca="false">CC136*CC133</f>
        <v>381.52122138581</v>
      </c>
      <c r="CD165" s="44" t="n">
        <f aca="false">CD136*CD133</f>
        <v>410.427311482673</v>
      </c>
      <c r="CE165" s="44" t="n">
        <f aca="false">CE136*CE133</f>
        <v>441.095580444211</v>
      </c>
      <c r="CF165" s="21"/>
    </row>
    <row r="166" customFormat="false" ht="15" hidden="false" customHeight="false" outlineLevel="0" collapsed="false">
      <c r="B166" s="17" t="s">
        <v>322</v>
      </c>
      <c r="CF166" s="64"/>
    </row>
    <row r="167" customFormat="false" ht="15" hidden="false" customHeight="false" outlineLevel="0" collapsed="false">
      <c r="B167" s="23" t="s">
        <v>323</v>
      </c>
      <c r="C167" s="65" t="n">
        <v>196.057</v>
      </c>
      <c r="D167" s="65" t="n">
        <v>421.5</v>
      </c>
      <c r="E167" s="65" t="n">
        <v>418.2</v>
      </c>
      <c r="F167" s="65" t="n">
        <v>412.4</v>
      </c>
      <c r="G167" s="65" t="n">
        <v>403.3</v>
      </c>
      <c r="H167" s="65" t="n">
        <v>380.8</v>
      </c>
      <c r="I167" s="65" t="n">
        <v>363.8</v>
      </c>
      <c r="J167" s="65" t="n">
        <v>358.1</v>
      </c>
      <c r="K167" s="65" t="n">
        <v>360</v>
      </c>
      <c r="L167" s="65" t="n">
        <v>361.2</v>
      </c>
      <c r="M167" s="65" t="n">
        <v>361.8</v>
      </c>
      <c r="N167" s="65" t="n">
        <v>360.3</v>
      </c>
      <c r="O167" s="65" t="n">
        <v>393.3</v>
      </c>
      <c r="P167" s="65" t="n">
        <v>399.4</v>
      </c>
      <c r="Q167" s="65" t="n">
        <v>399.9</v>
      </c>
      <c r="R167" s="65" t="n">
        <v>400.4</v>
      </c>
      <c r="S167" s="65" t="n">
        <v>398.2</v>
      </c>
      <c r="T167" s="65" t="n">
        <v>397.8</v>
      </c>
      <c r="U167" s="65" t="n">
        <v>398.4</v>
      </c>
      <c r="V167" s="65" t="n">
        <v>399</v>
      </c>
      <c r="W167" s="65" t="n">
        <v>399.5</v>
      </c>
      <c r="X167" s="65" t="n">
        <v>398.7</v>
      </c>
      <c r="Y167" s="65" t="n">
        <v>395.8</v>
      </c>
      <c r="Z167" s="65" t="n">
        <v>393.9</v>
      </c>
      <c r="AA167" s="65" t="n">
        <v>394.7</v>
      </c>
      <c r="AB167" s="65" t="n">
        <v>394.6</v>
      </c>
      <c r="AC167" s="65" t="n">
        <v>394.8</v>
      </c>
      <c r="AD167" s="65" t="n">
        <v>391</v>
      </c>
      <c r="AE167" s="65" t="n">
        <v>390</v>
      </c>
      <c r="AF167" s="65" t="n">
        <v>396.2</v>
      </c>
      <c r="AG167" s="65" t="n">
        <v>401</v>
      </c>
      <c r="AH167" s="65" t="n">
        <v>395</v>
      </c>
      <c r="AI167" s="65" t="n">
        <v>402</v>
      </c>
      <c r="AJ167" s="65" t="n">
        <v>403</v>
      </c>
      <c r="AK167" s="65" t="n">
        <v>402</v>
      </c>
      <c r="AL167" s="65" t="n">
        <v>402</v>
      </c>
      <c r="AM167" s="65" t="n">
        <v>402</v>
      </c>
      <c r="AN167" s="65" t="n">
        <v>400</v>
      </c>
      <c r="AO167" s="65" t="n">
        <v>400</v>
      </c>
      <c r="AP167" s="65" t="n">
        <v>401</v>
      </c>
      <c r="AQ167" s="65" t="n">
        <v>399</v>
      </c>
      <c r="AR167" s="65" t="n">
        <v>400</v>
      </c>
      <c r="AS167" s="65" t="n">
        <v>397</v>
      </c>
      <c r="AT167" s="65" t="n">
        <v>395</v>
      </c>
      <c r="AU167" s="65" t="n">
        <v>396</v>
      </c>
      <c r="AV167" s="65" t="n">
        <v>397</v>
      </c>
      <c r="AW167" s="65" t="n">
        <v>396</v>
      </c>
      <c r="AX167" s="65" t="n">
        <v>394</v>
      </c>
      <c r="AY167" s="65" t="n">
        <v>393</v>
      </c>
      <c r="AZ167" s="65" t="n">
        <v>394</v>
      </c>
      <c r="BA167" s="65" t="n">
        <v>394</v>
      </c>
      <c r="BB167" s="65" t="n">
        <v>394</v>
      </c>
      <c r="BC167" s="65" t="n">
        <v>392</v>
      </c>
      <c r="BD167" s="65" t="n">
        <v>392</v>
      </c>
      <c r="BE167" s="65" t="n">
        <v>392</v>
      </c>
      <c r="BF167" s="65" t="n">
        <v>391</v>
      </c>
      <c r="BG167" s="65" t="n">
        <v>392</v>
      </c>
      <c r="BH167" s="65" t="n">
        <v>386</v>
      </c>
      <c r="BI167" s="65" t="n">
        <v>386</v>
      </c>
      <c r="BJ167" s="65" t="n">
        <v>386</v>
      </c>
      <c r="BK167" s="65" t="n">
        <v>387</v>
      </c>
      <c r="BL167" s="65" t="n">
        <v>386</v>
      </c>
      <c r="BM167" s="65" t="n">
        <v>382</v>
      </c>
      <c r="BN167" s="65" t="n">
        <v>382</v>
      </c>
      <c r="BO167" s="65" t="n">
        <v>382</v>
      </c>
      <c r="BP167" s="65" t="n">
        <v>382</v>
      </c>
      <c r="BQ167" s="65" t="n">
        <v>382</v>
      </c>
      <c r="BR167" s="65" t="n">
        <v>378</v>
      </c>
      <c r="BS167" s="65" t="n">
        <v>378</v>
      </c>
      <c r="BT167" s="65" t="n">
        <v>378</v>
      </c>
      <c r="BU167" s="65" t="n">
        <v>376</v>
      </c>
      <c r="BV167" s="65" t="n">
        <v>377</v>
      </c>
      <c r="BW167" s="65" t="n">
        <v>372</v>
      </c>
      <c r="BX167" s="65" t="n">
        <v>371</v>
      </c>
      <c r="BY167" s="57" t="n">
        <f aca="false">$BX167-$CA$283*0.25</f>
        <v>371</v>
      </c>
      <c r="BZ167" s="57" t="n">
        <f aca="false">$BX167-$CA$283*0.75</f>
        <v>371</v>
      </c>
      <c r="CA167" s="57" t="n">
        <f aca="false">AVERAGE(BW167,BX167,BY167,BZ167)</f>
        <v>371.25</v>
      </c>
      <c r="CB167" s="57" t="n">
        <f aca="false">AVERAGE(CB285,CB286)</f>
        <v>368.028232787657</v>
      </c>
      <c r="CC167" s="57" t="n">
        <f aca="false">AVERAGE(CC285,CC286)</f>
        <v>361.732205654702</v>
      </c>
      <c r="CD167" s="57" t="n">
        <f aca="false">AVERAGE(CD285,CD286)</f>
        <v>353.337202434538</v>
      </c>
      <c r="CE167" s="57" t="n">
        <f aca="false">AVERAGE(CE285,CE286)</f>
        <v>344.471984967386</v>
      </c>
      <c r="CF167" s="21" t="s">
        <v>324</v>
      </c>
    </row>
    <row r="168" customFormat="false" ht="15" hidden="false" customHeight="false" outlineLevel="0" collapsed="false">
      <c r="B168" s="23" t="s">
        <v>325</v>
      </c>
      <c r="C168" s="65" t="n">
        <v>203.672</v>
      </c>
      <c r="D168" s="65" t="n">
        <v>443.7</v>
      </c>
      <c r="E168" s="65" t="n">
        <v>434.8</v>
      </c>
      <c r="F168" s="65" t="n">
        <v>422.8</v>
      </c>
      <c r="G168" s="65" t="n">
        <v>409.4</v>
      </c>
      <c r="H168" s="65" t="n">
        <v>384.8</v>
      </c>
      <c r="I168" s="65" t="n">
        <v>366.6</v>
      </c>
      <c r="J168" s="65" t="n">
        <v>361.7</v>
      </c>
      <c r="K168" s="65" t="n">
        <v>363.5</v>
      </c>
      <c r="L168" s="65" t="n">
        <v>367.3</v>
      </c>
      <c r="M168" s="65" t="n">
        <v>370.9</v>
      </c>
      <c r="N168" s="65" t="n">
        <v>365.8</v>
      </c>
      <c r="O168" s="65" t="n">
        <v>398.4</v>
      </c>
      <c r="P168" s="65" t="n">
        <v>403.1</v>
      </c>
      <c r="Q168" s="65" t="n">
        <v>403.7</v>
      </c>
      <c r="R168" s="65" t="n">
        <v>404.1</v>
      </c>
      <c r="S168" s="65" t="n">
        <v>402.3</v>
      </c>
      <c r="T168" s="65" t="n">
        <v>401.4</v>
      </c>
      <c r="U168" s="65" t="n">
        <v>401.5</v>
      </c>
      <c r="V168" s="65" t="n">
        <v>402</v>
      </c>
      <c r="W168" s="65" t="n">
        <v>402.4</v>
      </c>
      <c r="X168" s="65" t="n">
        <v>401.9</v>
      </c>
      <c r="Y168" s="65" t="n">
        <v>398.7</v>
      </c>
      <c r="Z168" s="65" t="n">
        <v>396.7</v>
      </c>
      <c r="AA168" s="65" t="n">
        <v>397.4</v>
      </c>
      <c r="AB168" s="65" t="n">
        <v>397</v>
      </c>
      <c r="AC168" s="65" t="n">
        <v>397.4</v>
      </c>
      <c r="AD168" s="65" t="n">
        <v>394.1</v>
      </c>
      <c r="AE168" s="65" t="n">
        <v>393.3</v>
      </c>
      <c r="AF168" s="65" t="n">
        <v>399.6</v>
      </c>
      <c r="AG168" s="65" t="n">
        <v>405</v>
      </c>
      <c r="AH168" s="65" t="n">
        <v>398</v>
      </c>
      <c r="AI168" s="65" t="n">
        <v>406</v>
      </c>
      <c r="AJ168" s="65" t="n">
        <v>406</v>
      </c>
      <c r="AK168" s="65" t="n">
        <v>406</v>
      </c>
      <c r="AL168" s="65" t="n">
        <v>405</v>
      </c>
      <c r="AM168" s="65" t="n">
        <v>406</v>
      </c>
      <c r="AN168" s="65" t="n">
        <v>403</v>
      </c>
      <c r="AO168" s="65" t="n">
        <v>403</v>
      </c>
      <c r="AP168" s="65" t="n">
        <v>404</v>
      </c>
      <c r="AQ168" s="65" t="n">
        <v>402</v>
      </c>
      <c r="AR168" s="65" t="n">
        <v>403</v>
      </c>
      <c r="AS168" s="65" t="n">
        <v>400</v>
      </c>
      <c r="AT168" s="65" t="n">
        <v>398</v>
      </c>
      <c r="AU168" s="65" t="n">
        <v>399</v>
      </c>
      <c r="AV168" s="65" t="n">
        <v>400</v>
      </c>
      <c r="AW168" s="65" t="n">
        <v>399</v>
      </c>
      <c r="AX168" s="65" t="n">
        <v>397</v>
      </c>
      <c r="AY168" s="65" t="n">
        <v>396</v>
      </c>
      <c r="AZ168" s="65" t="n">
        <v>397</v>
      </c>
      <c r="BA168" s="65" t="n">
        <v>398</v>
      </c>
      <c r="BB168" s="65" t="n">
        <v>397</v>
      </c>
      <c r="BC168" s="65" t="n">
        <v>395</v>
      </c>
      <c r="BD168" s="65" t="n">
        <v>394</v>
      </c>
      <c r="BE168" s="65" t="n">
        <v>395</v>
      </c>
      <c r="BF168" s="65" t="n">
        <v>393</v>
      </c>
      <c r="BG168" s="65" t="n">
        <v>394</v>
      </c>
      <c r="BH168" s="65" t="n">
        <v>388</v>
      </c>
      <c r="BI168" s="65" t="n">
        <v>388</v>
      </c>
      <c r="BJ168" s="65" t="n">
        <v>388</v>
      </c>
      <c r="BK168" s="65" t="n">
        <v>388</v>
      </c>
      <c r="BL168" s="65" t="n">
        <v>388</v>
      </c>
      <c r="BM168" s="65" t="n">
        <v>384</v>
      </c>
      <c r="BN168" s="65" t="n">
        <v>383</v>
      </c>
      <c r="BO168" s="65" t="n">
        <v>384</v>
      </c>
      <c r="BP168" s="65" t="n">
        <v>383</v>
      </c>
      <c r="BQ168" s="65" t="n">
        <v>383</v>
      </c>
      <c r="BR168" s="65" t="n">
        <v>379</v>
      </c>
      <c r="BS168" s="65" t="n">
        <v>378</v>
      </c>
      <c r="BT168" s="65" t="n">
        <v>378</v>
      </c>
      <c r="BU168" s="65" t="n">
        <v>377</v>
      </c>
      <c r="BV168" s="65" t="n">
        <v>378</v>
      </c>
      <c r="BW168" s="65" t="n">
        <v>373</v>
      </c>
      <c r="BX168" s="65" t="n">
        <v>371</v>
      </c>
      <c r="BY168" s="57" t="n">
        <f aca="false">BY167+($BX168-$BX167)</f>
        <v>371</v>
      </c>
      <c r="BZ168" s="57" t="n">
        <f aca="false">BZ167+($BX168-$BX167)</f>
        <v>371</v>
      </c>
      <c r="CA168" s="57" t="n">
        <f aca="false">AVERAGE(BW168,BX168,BY168,BZ168)</f>
        <v>371.5</v>
      </c>
      <c r="CB168" s="57" t="n">
        <f aca="false">CB167+CB345</f>
        <v>369.028232787657</v>
      </c>
      <c r="CC168" s="57" t="n">
        <f aca="false">CC167+CC345</f>
        <v>362.732205654702</v>
      </c>
      <c r="CD168" s="57" t="n">
        <f aca="false">CD167+CD345</f>
        <v>354.337202434538</v>
      </c>
      <c r="CE168" s="57" t="n">
        <f aca="false">CE167+CE345</f>
        <v>345.471984967386</v>
      </c>
      <c r="CF168" s="21"/>
    </row>
    <row r="169" customFormat="false" ht="15" hidden="false" customHeight="false" outlineLevel="0" collapsed="false">
      <c r="B169" s="23" t="s">
        <v>326</v>
      </c>
      <c r="C169" s="66" t="n">
        <f aca="false">IF(AND(ISNUMBER(C159),ISNUMBER(C167)),C159/C167,"")</f>
        <v>0.861662679730896</v>
      </c>
      <c r="D169" s="66" t="n">
        <f aca="false">IF(AND(ISNUMBER(D159),ISNUMBER(D167)),D159/D167,"")</f>
        <v>1.80569395017793</v>
      </c>
      <c r="E169" s="66" t="n">
        <f aca="false">IF(AND(ISNUMBER(E159),ISNUMBER(E167)),E159/E167,"")</f>
        <v>2.37733142037303</v>
      </c>
      <c r="F169" s="66" t="n">
        <f aca="false">IF(AND(ISNUMBER(F159),ISNUMBER(F167)),F159/F167,"")</f>
        <v>2.06183317167799</v>
      </c>
      <c r="G169" s="66" t="n">
        <f aca="false">IF(AND(ISNUMBER(G159),ISNUMBER(G167)),G159/G167,"")</f>
        <v>2.56781552194396</v>
      </c>
      <c r="H169" s="66" t="n">
        <f aca="false">IF(AND(ISNUMBER(H159),ISNUMBER(H167)),H159/H167,"")</f>
        <v>3.49238445378151</v>
      </c>
      <c r="I169" s="66" t="n">
        <f aca="false">IF(AND(ISNUMBER(I159),ISNUMBER(I167)),I159/I167,"")</f>
        <v>3.23776800439802</v>
      </c>
      <c r="J169" s="66" t="n">
        <f aca="false">IF(AND(ISNUMBER(J159),ISNUMBER(J167)),J159/J167,"")</f>
        <v>0.938843898352416</v>
      </c>
      <c r="K169" s="66" t="n">
        <f aca="false">IF(AND(ISNUMBER(K159),ISNUMBER(K167)),K159/K167,"")</f>
        <v>0.770555555555556</v>
      </c>
      <c r="L169" s="66" t="n">
        <f aca="false">IF(AND(ISNUMBER(L159),ISNUMBER(L167)),L159/L167,"")</f>
        <v>0.879291251384274</v>
      </c>
      <c r="M169" s="66" t="n">
        <f aca="false">IF(AND(ISNUMBER(M159),ISNUMBER(M167)),M159/M167,"")</f>
        <v>0.94555002763958</v>
      </c>
      <c r="N169" s="66" t="n">
        <f aca="false">IF(AND(ISNUMBER(N159),ISNUMBER(N167)),N159/N167,"")</f>
        <v>3.53399944490702</v>
      </c>
      <c r="O169" s="66" t="n">
        <f aca="false">IF(AND(ISNUMBER(O159),ISNUMBER(O167)),O159/O167,"")</f>
        <v>1.38087973557081</v>
      </c>
      <c r="P169" s="66" t="n">
        <f aca="false">IF(AND(ISNUMBER(P159),ISNUMBER(P167)),P159/P167,"")</f>
        <v>0.697295943915874</v>
      </c>
      <c r="Q169" s="66" t="n">
        <f aca="false">IF(AND(ISNUMBER(Q159),ISNUMBER(Q167)),Q159/Q167,"")</f>
        <v>1.17929482370593</v>
      </c>
      <c r="R169" s="66" t="n">
        <f aca="false">IF(AND(ISNUMBER(R159),ISNUMBER(R167)),R159/R167,"")</f>
        <v>1.5014985014985</v>
      </c>
      <c r="S169" s="66" t="n">
        <f aca="false">IF(AND(ISNUMBER(S159),ISNUMBER(S167)),S159/S167,"")</f>
        <v>4.75740833751883</v>
      </c>
      <c r="T169" s="66" t="n">
        <f aca="false">IF(AND(ISNUMBER(T159),ISNUMBER(T167)),T159/T167,"")</f>
        <v>0.96807440925088</v>
      </c>
      <c r="U169" s="66" t="n">
        <f aca="false">IF(AND(ISNUMBER(U159),ISNUMBER(U167)),U159/U167,"")</f>
        <v>1.28413654618474</v>
      </c>
      <c r="V169" s="66" t="n">
        <f aca="false">IF(AND(ISNUMBER(V159),ISNUMBER(V167)),V159/V167,"")</f>
        <v>1.19323308270677</v>
      </c>
      <c r="W169" s="66" t="n">
        <f aca="false">IF(AND(ISNUMBER(W159),ISNUMBER(W167)),W159/W167,"")</f>
        <v>1.50838548185231</v>
      </c>
      <c r="X169" s="66" t="n">
        <f aca="false">IF(AND(ISNUMBER(X159),ISNUMBER(X167)),X159/X167,"")</f>
        <v>4.95460245798847</v>
      </c>
      <c r="Y169" s="66" t="n">
        <f aca="false">IF(AND(ISNUMBER(Y159),ISNUMBER(Y167)),Y159/Y167,"")</f>
        <v>1.01616978271854</v>
      </c>
      <c r="Z169" s="66" t="n">
        <f aca="false">IF(AND(ISNUMBER(Z159),ISNUMBER(Z167)),Z159/Z167,"")</f>
        <v>1.31150038080731</v>
      </c>
      <c r="AA169" s="66" t="n">
        <f aca="false">IF(AND(ISNUMBER(AA159),ISNUMBER(AA167)),AA159/AA167,"")</f>
        <v>1.19964530022802</v>
      </c>
      <c r="AB169" s="66" t="n">
        <f aca="false">IF(AND(ISNUMBER(AB159),ISNUMBER(AB167)),AB159/AB167,"")</f>
        <v>1.59528636594019</v>
      </c>
      <c r="AC169" s="66" t="n">
        <f aca="false">IF(AND(ISNUMBER(AC159),ISNUMBER(AC167)),AC159/AC167,"")</f>
        <v>5.12107396149949</v>
      </c>
      <c r="AD169" s="66" t="n">
        <f aca="false">IF(AND(ISNUMBER(AD159),ISNUMBER(AD167)),AD159/AD167,"")</f>
        <v>1.41023017902813</v>
      </c>
      <c r="AE169" s="66" t="n">
        <f aca="false">IF(AND(ISNUMBER(AE159),ISNUMBER(AE167)),AE159/AE167,"")</f>
        <v>1.56820512820513</v>
      </c>
      <c r="AF169" s="66" t="n">
        <f aca="false">IF(AND(ISNUMBER(AF159),ISNUMBER(AF167)),AF159/AF167,"")</f>
        <v>1.34755174154467</v>
      </c>
      <c r="AG169" s="66" t="n">
        <f aca="false">IF(AND(ISNUMBER(AG159),ISNUMBER(AG167)),AG159/AG167,"")</f>
        <v>1.31670822942643</v>
      </c>
      <c r="AH169" s="66" t="n">
        <f aca="false">IF(AND(ISNUMBER(AH159),ISNUMBER(AH167)),AH159/AH167,"")</f>
        <v>5.63291139240506</v>
      </c>
      <c r="AI169" s="66" t="n">
        <f aca="false">IF(AND(ISNUMBER(AI159),ISNUMBER(AI167)),AI159/AI167,"")</f>
        <v>1.44029850746269</v>
      </c>
      <c r="AJ169" s="66" t="n">
        <f aca="false">IF(AND(ISNUMBER(AJ159),ISNUMBER(AJ167)),AJ159/AJ167,"")</f>
        <v>1.86600496277916</v>
      </c>
      <c r="AK169" s="66" t="n">
        <f aca="false">IF(AND(ISNUMBER(AK159),ISNUMBER(AK167)),AK159/AK167,"")</f>
        <v>1.7636815920398</v>
      </c>
      <c r="AL169" s="66" t="n">
        <f aca="false">IF(AND(ISNUMBER(AL159),ISNUMBER(AL167)),AL159/AL167,"")</f>
        <v>2.23383084577114</v>
      </c>
      <c r="AM169" s="66" t="n">
        <f aca="false">IF(AND(ISNUMBER(AM159),ISNUMBER(AM167)),AM159/AM167,"")</f>
        <v>7.30845771144279</v>
      </c>
      <c r="AN169" s="66" t="n">
        <f aca="false">IF(AND(ISNUMBER(AN159),ISNUMBER(AN167)),AN159/AN167,"")</f>
        <v>2.0375</v>
      </c>
      <c r="AO169" s="66" t="n">
        <f aca="false">IF(AND(ISNUMBER(AO159),ISNUMBER(AO167)),AO159/AO167,"")</f>
        <v>2.7975</v>
      </c>
      <c r="AP169" s="66" t="n">
        <f aca="false">IF(AND(ISNUMBER(AP159),ISNUMBER(AP167)),AP159/AP167,"")</f>
        <v>1.89526184538653</v>
      </c>
      <c r="AQ169" s="66" t="n">
        <f aca="false">IF(AND(ISNUMBER(AQ159),ISNUMBER(AQ167)),AQ159/AQ167,"")</f>
        <v>2.51127819548872</v>
      </c>
      <c r="AR169" s="66" t="n">
        <f aca="false">IF(AND(ISNUMBER(AR159),ISNUMBER(AR167)),AR159/AR167,"")</f>
        <v>9.24</v>
      </c>
      <c r="AS169" s="66" t="n">
        <f aca="false">IF(AND(ISNUMBER(AS159),ISNUMBER(AS167)),AS159/AS167,"")</f>
        <v>1.98488664987406</v>
      </c>
      <c r="AT169" s="66" t="n">
        <f aca="false">IF(AND(ISNUMBER(AT159),ISNUMBER(AT167)),AT159/AT167,"")</f>
        <v>2.92658227848101</v>
      </c>
      <c r="AU169" s="66" t="n">
        <f aca="false">IF(AND(ISNUMBER(AU159),ISNUMBER(AU167)),AU159/AU167,"")</f>
        <v>4.88131313131313</v>
      </c>
      <c r="AV169" s="66" t="n">
        <f aca="false">IF(AND(ISNUMBER(AV159),ISNUMBER(AV167)),AV159/AV167,"")</f>
        <v>6.29219143576826</v>
      </c>
      <c r="AW169" s="66" t="n">
        <f aca="false">IF(AND(ISNUMBER(AW159),ISNUMBER(AW167)),AW159/AW167,"")</f>
        <v>16.0984848484848</v>
      </c>
      <c r="AX169" s="66" t="n">
        <f aca="false">IF(AND(ISNUMBER(AX159),ISNUMBER(AX167)),AX159/AX167,"")</f>
        <v>5.93147208121827</v>
      </c>
      <c r="AY169" s="66" t="n">
        <f aca="false">IF(AND(ISNUMBER(AY159),ISNUMBER(AY167)),AY159/AY167,"")</f>
        <v>4.65139949109415</v>
      </c>
      <c r="AZ169" s="66" t="n">
        <f aca="false">IF(AND(ISNUMBER(AZ159),ISNUMBER(AZ167)),AZ159/AZ167,"")</f>
        <v>4.82741116751269</v>
      </c>
      <c r="BA169" s="66" t="n">
        <f aca="false">IF(AND(ISNUMBER(BA159),ISNUMBER(BA167)),BA159/BA167,"")</f>
        <v>4.20812182741117</v>
      </c>
      <c r="BB169" s="66" t="n">
        <f aca="false">IF(AND(ISNUMBER(BB159),ISNUMBER(BB167)),BB159/BB167,"")</f>
        <v>19.6065989847716</v>
      </c>
      <c r="BC169" s="66" t="n">
        <f aca="false">IF(AND(ISNUMBER(BC159),ISNUMBER(BC167)),BC159/BC167,"")</f>
        <v>5.65051020408163</v>
      </c>
      <c r="BD169" s="66" t="n">
        <f aca="false">IF(AND(ISNUMBER(BD159),ISNUMBER(BD167)),BD159/BD167,"")</f>
        <v>4.24489795918367</v>
      </c>
      <c r="BE169" s="66" t="n">
        <f aca="false">IF(AND(ISNUMBER(BE159),ISNUMBER(BE167)),BE159/BE167,"")</f>
        <v>3.81377551020408</v>
      </c>
      <c r="BF169" s="66" t="n">
        <f aca="false">IF(AND(ISNUMBER(BF159),ISNUMBER(BF167)),BF159/BF167,"")</f>
        <v>4.0306905370844</v>
      </c>
      <c r="BG169" s="66" t="n">
        <f aca="false">IF(AND(ISNUMBER(BG159),ISNUMBER(BG167)),BG159/BG167,"")</f>
        <v>17.7295918367347</v>
      </c>
      <c r="BH169" s="66" t="n">
        <f aca="false">IF(AND(ISNUMBER(BH159),ISNUMBER(BH167)),BH159/BH167,"")</f>
        <v>3.33937823834197</v>
      </c>
      <c r="BI169" s="66" t="n">
        <f aca="false">IF(AND(ISNUMBER(BI159),ISNUMBER(BI167)),BI159/BI167,"")</f>
        <v>3.5259067357513</v>
      </c>
      <c r="BJ169" s="66" t="n">
        <f aca="false">IF(AND(ISNUMBER(BJ159),ISNUMBER(BJ167)),BJ159/BJ167,"")</f>
        <v>4.44300518134715</v>
      </c>
      <c r="BK169" s="66" t="n">
        <f aca="false">IF(AND(ISNUMBER(BK159),ISNUMBER(BK167)),BK159/BK167,"")</f>
        <v>4.21188630490956</v>
      </c>
      <c r="BL169" s="66" t="n">
        <f aca="false">IF(AND(ISNUMBER(BL159),ISNUMBER(BL167)),BL159/BL167,"")</f>
        <v>15.5310880829016</v>
      </c>
      <c r="BM169" s="66" t="n">
        <f aca="false">IF(AND(ISNUMBER(BM159),ISNUMBER(BM167)),BM159/BM167,"")</f>
        <v>3.4738219895288</v>
      </c>
      <c r="BN169" s="66" t="n">
        <f aca="false">IF(AND(ISNUMBER(BN159),ISNUMBER(BN167)),BN159/BN167,"")</f>
        <v>4.04973821989529</v>
      </c>
      <c r="BO169" s="66" t="n">
        <f aca="false">IF(AND(ISNUMBER(BO159),ISNUMBER(BO167)),BO159/BO167,"")</f>
        <v>4.26701570680628</v>
      </c>
      <c r="BP169" s="66" t="n">
        <f aca="false">IF(AND(ISNUMBER(BP159),ISNUMBER(BP167)),BP159/BP167,"")</f>
        <v>4.79319371727749</v>
      </c>
      <c r="BQ169" s="66" t="n">
        <f aca="false">IF(AND(ISNUMBER(BQ159),ISNUMBER(BQ167)),BQ159/BQ167,"")</f>
        <v>16.5837696335079</v>
      </c>
      <c r="BR169" s="66" t="n">
        <f aca="false">IF(AND(ISNUMBER(BR159),ISNUMBER(BR167)),BR159/BR167,"")</f>
        <v>3.98941798941799</v>
      </c>
      <c r="BS169" s="66" t="n">
        <f aca="false">IF(AND(ISNUMBER(BS159),ISNUMBER(BS167)),BS159/BS167,"")</f>
        <v>4.27777777777778</v>
      </c>
      <c r="BT169" s="66" t="n">
        <f aca="false">IF(AND(ISNUMBER(BT159),ISNUMBER(BT167)),BT159/BT167,"")</f>
        <v>4.27513227513228</v>
      </c>
      <c r="BU169" s="66" t="n">
        <f aca="false">IF(AND(ISNUMBER(BU159),ISNUMBER(BU167)),BU159/BU167,"")</f>
        <v>5.22606382978723</v>
      </c>
      <c r="BV169" s="66" t="n">
        <f aca="false">IF(AND(ISNUMBER(BV159),ISNUMBER(BV167)),BV159/BV167,"")</f>
        <v>17.7824933687003</v>
      </c>
      <c r="BW169" s="66" t="n">
        <f aca="false">IF(AND(ISNUMBER(BW159),ISNUMBER(BW167)),BW159/BW167,"")</f>
        <v>4.43548387096774</v>
      </c>
      <c r="BX169" s="66" t="n">
        <f aca="false">IF(AND(ISNUMBER(BX159),ISNUMBER(BX167)),BX159/BX167,"")</f>
        <v>4.68194070080863</v>
      </c>
      <c r="BY169" s="67" t="n">
        <f aca="false">IFERROR(BY159/BY167,"")</f>
        <v>5.65248674643163</v>
      </c>
      <c r="BZ169" s="67" t="n">
        <f aca="false">IFERROR(BZ159/BZ167,"")</f>
        <v>5.75391824009128</v>
      </c>
      <c r="CA169" s="67" t="n">
        <f aca="false">IFERROR(CA159/CA167,"")</f>
        <v>20.5219562289562</v>
      </c>
      <c r="CB169" s="67" t="n">
        <f aca="false">IFERROR(CB159/CB167,"")</f>
        <v>21.4867102400729</v>
      </c>
      <c r="CC169" s="67" t="n">
        <f aca="false">IFERROR(CC159/CC167,"")</f>
        <v>24.1345355941504</v>
      </c>
      <c r="CD169" s="67" t="n">
        <f aca="false">IFERROR(CD159/CD167,"")</f>
        <v>27.1837048129351</v>
      </c>
      <c r="CE169" s="67" t="n">
        <f aca="false">IFERROR(CE159/CE167,"")</f>
        <v>31.1919045362025</v>
      </c>
      <c r="CF169" s="21"/>
    </row>
    <row r="170" customFormat="false" ht="15" hidden="false" customHeight="false" outlineLevel="0" collapsed="false">
      <c r="B170" s="17" t="s">
        <v>327</v>
      </c>
      <c r="C170" s="68" t="n">
        <f aca="false">IF(AND(ISNUMBER(C159),ISNUMBER(C168)),C159/C168,"")</f>
        <v>0.829446364743314</v>
      </c>
      <c r="D170" s="68" t="n">
        <f aca="false">IF(AND(ISNUMBER(D159),ISNUMBER(D168)),D159/D168,"")</f>
        <v>1.71534820824881</v>
      </c>
      <c r="E170" s="68" t="n">
        <f aca="false">IF(AND(ISNUMBER(E159),ISNUMBER(E168)),E159/E168,"")</f>
        <v>2.28656853725851</v>
      </c>
      <c r="F170" s="68" t="n">
        <f aca="false">IF(AND(ISNUMBER(F159),ISNUMBER(F168)),F159/F168,"")</f>
        <v>2.01111636707664</v>
      </c>
      <c r="G170" s="68" t="n">
        <f aca="false">IF(AND(ISNUMBER(G159),ISNUMBER(G168)),G159/G168,"")</f>
        <v>2.5295554469956</v>
      </c>
      <c r="H170" s="68" t="n">
        <f aca="false">IF(AND(ISNUMBER(H159),ISNUMBER(H168)),H159/H168,"")</f>
        <v>3.45608108108108</v>
      </c>
      <c r="I170" s="68" t="n">
        <f aca="false">IF(AND(ISNUMBER(I159),ISNUMBER(I168)),I159/I168,"")</f>
        <v>3.21303873431533</v>
      </c>
      <c r="J170" s="68" t="n">
        <f aca="false">IF(AND(ISNUMBER(J159),ISNUMBER(J168)),J159/J168,"")</f>
        <v>0.929499585291679</v>
      </c>
      <c r="K170" s="68" t="n">
        <f aca="false">IF(AND(ISNUMBER(K159),ISNUMBER(K168)),K159/K168,"")</f>
        <v>0.763136176066025</v>
      </c>
      <c r="L170" s="68" t="n">
        <f aca="false">IF(AND(ISNUMBER(L159),ISNUMBER(L168)),L159/L168,"")</f>
        <v>0.864688265722842</v>
      </c>
      <c r="M170" s="68" t="n">
        <f aca="false">IF(AND(ISNUMBER(M159),ISNUMBER(M168)),M159/M168,"")</f>
        <v>0.922351038015638</v>
      </c>
      <c r="N170" s="68" t="n">
        <f aca="false">IF(AND(ISNUMBER(N159),ISNUMBER(N168)),N159/N168,"")</f>
        <v>3.4808638600328</v>
      </c>
      <c r="O170" s="68" t="n">
        <f aca="false">IF(AND(ISNUMBER(O159),ISNUMBER(O168)),O159/O168,"")</f>
        <v>1.36320281124498</v>
      </c>
      <c r="P170" s="68" t="n">
        <f aca="false">IF(AND(ISNUMBER(P159),ISNUMBER(P168)),P159/P168,"")</f>
        <v>0.690895559414537</v>
      </c>
      <c r="Q170" s="68" t="n">
        <f aca="false">IF(AND(ISNUMBER(Q159),ISNUMBER(Q168)),Q159/Q168,"")</f>
        <v>1.16819420361655</v>
      </c>
      <c r="R170" s="68" t="n">
        <f aca="false">IF(AND(ISNUMBER(R159),ISNUMBER(R168)),R159/R168,"")</f>
        <v>1.48775055679287</v>
      </c>
      <c r="S170" s="68" t="n">
        <f aca="false">IF(AND(ISNUMBER(S159),ISNUMBER(S168)),S159/S168,"")</f>
        <v>4.70892368878946</v>
      </c>
      <c r="T170" s="68" t="n">
        <f aca="false">IF(AND(ISNUMBER(T159),ISNUMBER(T168)),T159/T168,"")</f>
        <v>0.959392127553563</v>
      </c>
      <c r="U170" s="68" t="n">
        <f aca="false">IF(AND(ISNUMBER(U159),ISNUMBER(U168)),U159/U168,"")</f>
        <v>1.27422166874222</v>
      </c>
      <c r="V170" s="68" t="n">
        <f aca="false">IF(AND(ISNUMBER(V159),ISNUMBER(V168)),V159/V168,"")</f>
        <v>1.18432835820896</v>
      </c>
      <c r="W170" s="68" t="n">
        <f aca="false">IF(AND(ISNUMBER(W159),ISNUMBER(W168)),W159/W168,"")</f>
        <v>1.49751491053678</v>
      </c>
      <c r="X170" s="68" t="n">
        <f aca="false">IF(AND(ISNUMBER(X159),ISNUMBER(X168)),X159/X168,"")</f>
        <v>4.91515302314009</v>
      </c>
      <c r="Y170" s="68" t="n">
        <f aca="false">IF(AND(ISNUMBER(Y159),ISNUMBER(Y168)),Y159/Y168,"")</f>
        <v>1.00877853022323</v>
      </c>
      <c r="Z170" s="68" t="n">
        <f aca="false">IF(AND(ISNUMBER(Z159),ISNUMBER(Z168)),Z159/Z168,"")</f>
        <v>1.30224350894883</v>
      </c>
      <c r="AA170" s="68" t="n">
        <f aca="false">IF(AND(ISNUMBER(AA159),ISNUMBER(AA168)),AA159/AA168,"")</f>
        <v>1.19149471565173</v>
      </c>
      <c r="AB170" s="68" t="n">
        <f aca="false">IF(AND(ISNUMBER(AB159),ISNUMBER(AB168)),AB159/AB168,"")</f>
        <v>1.58564231738035</v>
      </c>
      <c r="AC170" s="68" t="n">
        <f aca="false">IF(AND(ISNUMBER(AC159),ISNUMBER(AC168)),AC159/AC168,"")</f>
        <v>5.08756919979869</v>
      </c>
      <c r="AD170" s="68" t="n">
        <f aca="false">IF(AND(ISNUMBER(AD159),ISNUMBER(AD168)),AD159/AD168,"")</f>
        <v>1.39913727480335</v>
      </c>
      <c r="AE170" s="68" t="n">
        <f aca="false">IF(AND(ISNUMBER(AE159),ISNUMBER(AE168)),AE159/AE168,"")</f>
        <v>1.55504703788457</v>
      </c>
      <c r="AF170" s="68" t="n">
        <f aca="false">IF(AND(ISNUMBER(AF159),ISNUMBER(AF168)),AF159/AF168,"")</f>
        <v>1.33608608608609</v>
      </c>
      <c r="AG170" s="68" t="n">
        <f aca="false">IF(AND(ISNUMBER(AG159),ISNUMBER(AG168)),AG159/AG168,"")</f>
        <v>1.3037037037037</v>
      </c>
      <c r="AH170" s="68" t="n">
        <f aca="false">IF(AND(ISNUMBER(AH159),ISNUMBER(AH168)),AH159/AH168,"")</f>
        <v>5.59045226130653</v>
      </c>
      <c r="AI170" s="68" t="n">
        <f aca="false">IF(AND(ISNUMBER(AI159),ISNUMBER(AI168)),AI159/AI168,"")</f>
        <v>1.42610837438424</v>
      </c>
      <c r="AJ170" s="68" t="n">
        <f aca="false">IF(AND(ISNUMBER(AJ159),ISNUMBER(AJ168)),AJ159/AJ168,"")</f>
        <v>1.85221674876847</v>
      </c>
      <c r="AK170" s="68" t="n">
        <f aca="false">IF(AND(ISNUMBER(AK159),ISNUMBER(AK168)),AK159/AK168,"")</f>
        <v>1.74630541871921</v>
      </c>
      <c r="AL170" s="68" t="n">
        <f aca="false">IF(AND(ISNUMBER(AL159),ISNUMBER(AL168)),AL159/AL168,"")</f>
        <v>2.21728395061728</v>
      </c>
      <c r="AM170" s="68" t="n">
        <f aca="false">IF(AND(ISNUMBER(AM159),ISNUMBER(AM168)),AM159/AM168,"")</f>
        <v>7.23645320197044</v>
      </c>
      <c r="AN170" s="68" t="n">
        <f aca="false">IF(AND(ISNUMBER(AN159),ISNUMBER(AN168)),AN159/AN168,"")</f>
        <v>2.02233250620347</v>
      </c>
      <c r="AO170" s="68" t="n">
        <f aca="false">IF(AND(ISNUMBER(AO159),ISNUMBER(AO168)),AO159/AO168,"")</f>
        <v>2.77667493796526</v>
      </c>
      <c r="AP170" s="68" t="n">
        <f aca="false">IF(AND(ISNUMBER(AP159),ISNUMBER(AP168)),AP159/AP168,"")</f>
        <v>1.88118811881188</v>
      </c>
      <c r="AQ170" s="68" t="n">
        <f aca="false">IF(AND(ISNUMBER(AQ159),ISNUMBER(AQ168)),AQ159/AQ168,"")</f>
        <v>2.49253731343284</v>
      </c>
      <c r="AR170" s="68" t="n">
        <f aca="false">IF(AND(ISNUMBER(AR159),ISNUMBER(AR168)),AR159/AR168,"")</f>
        <v>9.1712158808933</v>
      </c>
      <c r="AS170" s="68" t="n">
        <f aca="false">IF(AND(ISNUMBER(AS159),ISNUMBER(AS168)),AS159/AS168,"")</f>
        <v>1.97</v>
      </c>
      <c r="AT170" s="68" t="n">
        <f aca="false">IF(AND(ISNUMBER(AT159),ISNUMBER(AT168)),AT159/AT168,"")</f>
        <v>2.90452261306533</v>
      </c>
      <c r="AU170" s="68" t="n">
        <f aca="false">IF(AND(ISNUMBER(AU159),ISNUMBER(AU168)),AU159/AU168,"")</f>
        <v>4.84461152882206</v>
      </c>
      <c r="AV170" s="68" t="n">
        <f aca="false">IF(AND(ISNUMBER(AV159),ISNUMBER(AV168)),AV159/AV168,"")</f>
        <v>6.245</v>
      </c>
      <c r="AW170" s="68" t="n">
        <f aca="false">IF(AND(ISNUMBER(AW159),ISNUMBER(AW168)),AW159/AW168,"")</f>
        <v>15.9774436090226</v>
      </c>
      <c r="AX170" s="68" t="n">
        <f aca="false">IF(AND(ISNUMBER(AX159),ISNUMBER(AX168)),AX159/AX168,"")</f>
        <v>5.88664987405542</v>
      </c>
      <c r="AY170" s="68" t="n">
        <f aca="false">IF(AND(ISNUMBER(AY159),ISNUMBER(AY168)),AY159/AY168,"")</f>
        <v>4.61616161616162</v>
      </c>
      <c r="AZ170" s="68" t="n">
        <f aca="false">IF(AND(ISNUMBER(AZ159),ISNUMBER(AZ168)),AZ159/AZ168,"")</f>
        <v>4.79093198992443</v>
      </c>
      <c r="BA170" s="68" t="n">
        <f aca="false">IF(AND(ISNUMBER(BA159),ISNUMBER(BA168)),BA159/BA168,"")</f>
        <v>4.16582914572864</v>
      </c>
      <c r="BB170" s="68" t="n">
        <f aca="false">IF(AND(ISNUMBER(BB159),ISNUMBER(BB168)),BB159/BB168,"")</f>
        <v>19.4584382871537</v>
      </c>
      <c r="BC170" s="68" t="n">
        <f aca="false">IF(AND(ISNUMBER(BC159),ISNUMBER(BC168)),BC159/BC168,"")</f>
        <v>5.60759493670886</v>
      </c>
      <c r="BD170" s="68" t="n">
        <f aca="false">IF(AND(ISNUMBER(BD159),ISNUMBER(BD168)),BD159/BD168,"")</f>
        <v>4.22335025380711</v>
      </c>
      <c r="BE170" s="68" t="n">
        <f aca="false">IF(AND(ISNUMBER(BE159),ISNUMBER(BE168)),BE159/BE168,"")</f>
        <v>3.78481012658228</v>
      </c>
      <c r="BF170" s="68" t="n">
        <f aca="false">IF(AND(ISNUMBER(BF159),ISNUMBER(BF168)),BF159/BF168,"")</f>
        <v>4.01017811704835</v>
      </c>
      <c r="BG170" s="68" t="n">
        <f aca="false">IF(AND(ISNUMBER(BG159),ISNUMBER(BG168)),BG159/BG168,"")</f>
        <v>17.6395939086294</v>
      </c>
      <c r="BH170" s="68" t="n">
        <f aca="false">IF(AND(ISNUMBER(BH159),ISNUMBER(BH168)),BH159/BH168,"")</f>
        <v>3.32216494845361</v>
      </c>
      <c r="BI170" s="68" t="n">
        <f aca="false">IF(AND(ISNUMBER(BI159),ISNUMBER(BI168)),BI159/BI168,"")</f>
        <v>3.50773195876289</v>
      </c>
      <c r="BJ170" s="68" t="n">
        <f aca="false">IF(AND(ISNUMBER(BJ159),ISNUMBER(BJ168)),BJ159/BJ168,"")</f>
        <v>4.42010309278351</v>
      </c>
      <c r="BK170" s="68" t="n">
        <f aca="false">IF(AND(ISNUMBER(BK159),ISNUMBER(BK168)),BK159/BK168,"")</f>
        <v>4.20103092783505</v>
      </c>
      <c r="BL170" s="68" t="n">
        <f aca="false">IF(AND(ISNUMBER(BL159),ISNUMBER(BL168)),BL159/BL168,"")</f>
        <v>15.4510309278351</v>
      </c>
      <c r="BM170" s="68" t="n">
        <f aca="false">IF(AND(ISNUMBER(BM159),ISNUMBER(BM168)),BM159/BM168,"")</f>
        <v>3.45572916666667</v>
      </c>
      <c r="BN170" s="68" t="n">
        <f aca="false">IF(AND(ISNUMBER(BN159),ISNUMBER(BN168)),BN159/BN168,"")</f>
        <v>4.03916449086162</v>
      </c>
      <c r="BO170" s="68" t="n">
        <f aca="false">IF(AND(ISNUMBER(BO159),ISNUMBER(BO168)),BO159/BO168,"")</f>
        <v>4.24479166666667</v>
      </c>
      <c r="BP170" s="68" t="n">
        <f aca="false">IF(AND(ISNUMBER(BP159),ISNUMBER(BP168)),BP159/BP168,"")</f>
        <v>4.78067885117494</v>
      </c>
      <c r="BQ170" s="68" t="n">
        <f aca="false">IF(AND(ISNUMBER(BQ159),ISNUMBER(BQ168)),BQ159/BQ168,"")</f>
        <v>16.5404699738903</v>
      </c>
      <c r="BR170" s="68" t="n">
        <f aca="false">IF(AND(ISNUMBER(BR159),ISNUMBER(BR168)),BR159/BR168,"")</f>
        <v>3.97889182058048</v>
      </c>
      <c r="BS170" s="68" t="n">
        <f aca="false">IF(AND(ISNUMBER(BS159),ISNUMBER(BS168)),BS159/BS168,"")</f>
        <v>4.27777777777778</v>
      </c>
      <c r="BT170" s="68" t="n">
        <f aca="false">IF(AND(ISNUMBER(BT159),ISNUMBER(BT168)),BT159/BT168,"")</f>
        <v>4.27513227513228</v>
      </c>
      <c r="BU170" s="68" t="n">
        <f aca="false">IF(AND(ISNUMBER(BU159),ISNUMBER(BU168)),BU159/BU168,"")</f>
        <v>5.21220159151194</v>
      </c>
      <c r="BV170" s="68" t="n">
        <f aca="false">IF(AND(ISNUMBER(BV159),ISNUMBER(BV168)),BV159/BV168,"")</f>
        <v>17.7354497354497</v>
      </c>
      <c r="BW170" s="68" t="n">
        <f aca="false">IF(AND(ISNUMBER(BW159),ISNUMBER(BW168)),BW159/BW168,"")</f>
        <v>4.42359249329759</v>
      </c>
      <c r="BX170" s="68" t="n">
        <f aca="false">IF(AND(ISNUMBER(BX159),ISNUMBER(BX168)),BX159/BX168,"")</f>
        <v>4.68194070080863</v>
      </c>
      <c r="BY170" s="69" t="n">
        <f aca="false">IFERROR(BY159/BY168,"")</f>
        <v>5.65248674643163</v>
      </c>
      <c r="BZ170" s="69" t="n">
        <f aca="false">IFERROR(BZ159/BZ168,"")</f>
        <v>5.75391824009128</v>
      </c>
      <c r="CA170" s="69" t="n">
        <f aca="false">IFERROR(CA159/CA168,"")</f>
        <v>20.5081460296097</v>
      </c>
      <c r="CB170" s="69" t="n">
        <f aca="false">IFERROR(CB159/CB168,"")</f>
        <v>21.4284851279243</v>
      </c>
      <c r="CC170" s="69" t="n">
        <f aca="false">IFERROR(CC159/CC168,"")</f>
        <v>24.0680001853339</v>
      </c>
      <c r="CD170" s="69" t="n">
        <f aca="false">IFERROR(CD159/CD168,"")</f>
        <v>27.1069877631132</v>
      </c>
      <c r="CE170" s="69" t="n">
        <f aca="false">IFERROR(CE159/CE168,"")</f>
        <v>31.1016167389469</v>
      </c>
      <c r="CF170" s="21" t="s">
        <v>328</v>
      </c>
      <c r="CH170" s="22" t="n">
        <f aca="false">IFERROR((CE170/BV170)^(1/5)-1,"n/m")</f>
        <v>0.118891956773546</v>
      </c>
      <c r="CI170" s="22" t="n">
        <f aca="false">IFERROR((BV170/AW170)^(1/5)-1,"n/m")</f>
        <v>0.0210969582515359</v>
      </c>
      <c r="CJ170" s="22" t="n">
        <f aca="false">IFERROR((BV170/X170)^(1/10)-1,"n/m")</f>
        <v>0.136921596529484</v>
      </c>
      <c r="CK170" s="22" t="n">
        <f aca="false">IFERROR((BV170/C170)^(1/19)-1,"n/m")</f>
        <v>0.174905229150873</v>
      </c>
    </row>
    <row r="171" customFormat="false" ht="15" hidden="false" customHeight="false" outlineLevel="0" collapsed="false">
      <c r="B171" s="23" t="s">
        <v>329</v>
      </c>
      <c r="C171" s="66" t="n">
        <f aca="false">IF(AND(ISNUMBER(C163),ISNUMBER(C168)),C163/C168,"")</f>
        <v>0.816587454338349</v>
      </c>
      <c r="D171" s="66" t="n">
        <f aca="false">IF(AND(ISNUMBER(D163),ISNUMBER(D168)),D163/D168,"")</f>
        <v>1.75704304710389</v>
      </c>
      <c r="E171" s="66" t="n">
        <f aca="false">IF(AND(ISNUMBER(E163),ISNUMBER(E168)),E163/E168,"")</f>
        <v>2.27391904323827</v>
      </c>
      <c r="F171" s="66" t="n">
        <f aca="false">IF(AND(ISNUMBER(F163),ISNUMBER(F168)),F163/F168,"")</f>
        <v>2.01348155156103</v>
      </c>
      <c r="G171" s="66" t="n">
        <f aca="false">IF(AND(ISNUMBER(G163),ISNUMBER(G168)),G163/G168,"")</f>
        <v>2.52344894968246</v>
      </c>
      <c r="H171" s="66" t="n">
        <f aca="false">IF(AND(ISNUMBER(H163),ISNUMBER(H168)),H163/H168,"")</f>
        <v>2.64968814968815</v>
      </c>
      <c r="I171" s="66" t="n">
        <f aca="false">IF(AND(ISNUMBER(I163),ISNUMBER(I168)),I163/I168,"")</f>
        <v>3.43262411347517</v>
      </c>
      <c r="J171" s="66" t="n">
        <f aca="false">IF(AND(ISNUMBER(J163),ISNUMBER(J168)),J163/J168,"")</f>
        <v>0.942217307160631</v>
      </c>
      <c r="K171" s="66" t="n">
        <f aca="false">IF(AND(ISNUMBER(K163),ISNUMBER(K168)),K163/K168,"")</f>
        <v>0.763686382393398</v>
      </c>
      <c r="L171" s="66" t="n">
        <f aca="false">IF(AND(ISNUMBER(L163),ISNUMBER(L168)),L163/L168,"")</f>
        <v>0.86496052273346</v>
      </c>
      <c r="M171" s="66" t="n">
        <f aca="false">IF(AND(ISNUMBER(M163),ISNUMBER(M168)),M163/M168,"")</f>
        <v>0.924777568077649</v>
      </c>
      <c r="N171" s="66" t="n">
        <f aca="false">IF(AND(ISNUMBER(N163),ISNUMBER(N168)),N163/N168,"")</f>
        <v>3.49671951886276</v>
      </c>
      <c r="O171" s="66" t="n">
        <f aca="false">IF(AND(ISNUMBER(O163),ISNUMBER(O168)),O163/O168,"")</f>
        <v>1.36320281124498</v>
      </c>
      <c r="P171" s="66" t="n">
        <f aca="false">IF(AND(ISNUMBER(P163),ISNUMBER(P168)),P163/P168,"")</f>
        <v>0.690895559414537</v>
      </c>
      <c r="Q171" s="66" t="n">
        <f aca="false">IF(AND(ISNUMBER(Q163),ISNUMBER(Q168)),Q163/Q168,"")</f>
        <v>1.16398315580877</v>
      </c>
      <c r="R171" s="66" t="n">
        <f aca="false">IF(AND(ISNUMBER(R163),ISNUMBER(R168)),R163/R168,"")</f>
        <v>1.49467953476862</v>
      </c>
      <c r="S171" s="66" t="n">
        <f aca="false">IF(AND(ISNUMBER(S163),ISNUMBER(S168)),S163/S168,"")</f>
        <v>4.71165796669152</v>
      </c>
      <c r="T171" s="66" t="n">
        <f aca="false">IF(AND(ISNUMBER(T163),ISNUMBER(T168)),T163/T168,"")</f>
        <v>0.959392127553563</v>
      </c>
      <c r="U171" s="66" t="n">
        <f aca="false">IF(AND(ISNUMBER(U163),ISNUMBER(U168)),U163/U168,"")</f>
        <v>1.27422166874222</v>
      </c>
      <c r="V171" s="66" t="n">
        <f aca="false">IF(AND(ISNUMBER(V163),ISNUMBER(V168)),V163/V168,"")</f>
        <v>1.18731343283582</v>
      </c>
      <c r="W171" s="66" t="n">
        <f aca="false">IF(AND(ISNUMBER(W163),ISNUMBER(W168)),W163/W168,"")</f>
        <v>1.50670974155069</v>
      </c>
      <c r="X171" s="66" t="n">
        <f aca="false">IF(AND(ISNUMBER(X163),ISNUMBER(X168)),X163/X168,"")</f>
        <v>4.92734511072407</v>
      </c>
      <c r="Y171" s="66" t="n">
        <f aca="false">IF(AND(ISNUMBER(Y163),ISNUMBER(Y168)),Y163/Y168,"")</f>
        <v>1.00902934537246</v>
      </c>
      <c r="Z171" s="66" t="n">
        <f aca="false">IF(AND(ISNUMBER(Z163),ISNUMBER(Z168)),Z163/Z168,"")</f>
        <v>1.30274766826317</v>
      </c>
      <c r="AA171" s="66" t="n">
        <f aca="false">IF(AND(ISNUMBER(AA163),ISNUMBER(AA168)),AA163/AA168,"")</f>
        <v>1.19149471565173</v>
      </c>
      <c r="AB171" s="66" t="n">
        <f aca="false">IF(AND(ISNUMBER(AB163),ISNUMBER(AB168)),AB163/AB168,"")</f>
        <v>1.59370277078086</v>
      </c>
      <c r="AC171" s="66" t="n">
        <f aca="false">IF(AND(ISNUMBER(AC163),ISNUMBER(AC168)),AC163/AC168,"")</f>
        <v>5.09637644690488</v>
      </c>
      <c r="AD171" s="66" t="n">
        <f aca="false">IF(AND(ISNUMBER(AD163),ISNUMBER(AD168)),AD163/AD168,"")</f>
        <v>1.39913727480335</v>
      </c>
      <c r="AE171" s="66" t="n">
        <f aca="false">IF(AND(ISNUMBER(AE163),ISNUMBER(AE168)),AE163/AE168,"")</f>
        <v>1.55657259089753</v>
      </c>
      <c r="AF171" s="66" t="n">
        <f aca="false">IF(AND(ISNUMBER(AF163),ISNUMBER(AF168)),AF163/AF168,"")</f>
        <v>1.33608608608609</v>
      </c>
      <c r="AG171" s="66" t="n">
        <f aca="false">IF(AND(ISNUMBER(AG163),ISNUMBER(AG168)),AG163/AG168,"")</f>
        <v>1.30864197530864</v>
      </c>
      <c r="AH171" s="66" t="n">
        <f aca="false">IF(AND(ISNUMBER(AH163),ISNUMBER(AH168)),AH163/AH168,"")</f>
        <v>5.59798994974874</v>
      </c>
      <c r="AI171" s="66" t="n">
        <f aca="false">IF(AND(ISNUMBER(AI163),ISNUMBER(AI168)),AI163/AI168,"")</f>
        <v>1.42610837438424</v>
      </c>
      <c r="AJ171" s="66" t="n">
        <f aca="false">IF(AND(ISNUMBER(AJ163),ISNUMBER(AJ168)),AJ163/AJ168,"")</f>
        <v>1.85221674876847</v>
      </c>
      <c r="AK171" s="66" t="n">
        <f aca="false">IF(AND(ISNUMBER(AK163),ISNUMBER(AK168)),AK163/AK168,"")</f>
        <v>1.74630541871921</v>
      </c>
      <c r="AL171" s="66" t="n">
        <f aca="false">IF(AND(ISNUMBER(AL163),ISNUMBER(AL168)),AL163/AL168,"")</f>
        <v>2.21728395061728</v>
      </c>
      <c r="AM171" s="66" t="n">
        <f aca="false">IF(AND(ISNUMBER(AM163),ISNUMBER(AM168)),AM163/AM168,"")</f>
        <v>7.23645320197044</v>
      </c>
      <c r="AN171" s="66" t="n">
        <f aca="false">IF(AND(ISNUMBER(AN163),ISNUMBER(AN168)),AN163/AN168,"")</f>
        <v>2.02233250620347</v>
      </c>
      <c r="AO171" s="66" t="n">
        <f aca="false">IF(AND(ISNUMBER(AO163),ISNUMBER(AO168)),AO163/AO168,"")</f>
        <v>2.77667493796526</v>
      </c>
      <c r="AP171" s="66" t="n">
        <f aca="false">IF(AND(ISNUMBER(AP163),ISNUMBER(AP168)),AP163/AP168,"")</f>
        <v>1.88118811881188</v>
      </c>
      <c r="AQ171" s="66" t="n">
        <f aca="false">IF(AND(ISNUMBER(AQ163),ISNUMBER(AQ168)),AQ163/AQ168,"")</f>
        <v>2.49253731343284</v>
      </c>
      <c r="AR171" s="66" t="n">
        <f aca="false">IF(AND(ISNUMBER(AR163),ISNUMBER(AR168)),AR163/AR168,"")</f>
        <v>9.1712158808933</v>
      </c>
      <c r="AS171" s="66" t="n">
        <f aca="false">IF(AND(ISNUMBER(AS163),ISNUMBER(AS168)),AS163/AS168,"")</f>
        <v>1.97</v>
      </c>
      <c r="AT171" s="66" t="n">
        <f aca="false">IF(AND(ISNUMBER(AT163),ISNUMBER(AT168)),AT163/AT168,"")</f>
        <v>2.90452261306533</v>
      </c>
      <c r="AU171" s="66" t="n">
        <f aca="false">IF(AND(ISNUMBER(AU163),ISNUMBER(AU168)),AU163/AU168,"")</f>
        <v>4.84461152882206</v>
      </c>
      <c r="AV171" s="66" t="n">
        <f aca="false">IF(AND(ISNUMBER(AV163),ISNUMBER(AV168)),AV163/AV168,"")</f>
        <v>6.245</v>
      </c>
      <c r="AW171" s="66" t="n">
        <f aca="false">IF(AND(ISNUMBER(AW163),ISNUMBER(AW168)),AW163/AW168,"")</f>
        <v>15.9774436090226</v>
      </c>
      <c r="AX171" s="66" t="n">
        <f aca="false">IF(AND(ISNUMBER(AX163),ISNUMBER(AX168)),AX163/AX168,"")</f>
        <v>5.88664987405542</v>
      </c>
      <c r="AY171" s="66" t="n">
        <f aca="false">IF(AND(ISNUMBER(AY163),ISNUMBER(AY168)),AY163/AY168,"")</f>
        <v>4.61616161616162</v>
      </c>
      <c r="AZ171" s="66" t="n">
        <f aca="false">IF(AND(ISNUMBER(AZ163),ISNUMBER(AZ168)),AZ163/AZ168,"")</f>
        <v>4.79093198992443</v>
      </c>
      <c r="BA171" s="66" t="n">
        <f aca="false">IF(AND(ISNUMBER(BA163),ISNUMBER(BA168)),BA163/BA168,"")</f>
        <v>4.16582914572864</v>
      </c>
      <c r="BB171" s="66" t="n">
        <f aca="false">IF(AND(ISNUMBER(BB163),ISNUMBER(BB168)),BB163/BB168,"")</f>
        <v>19.4584382871537</v>
      </c>
      <c r="BC171" s="66" t="n">
        <f aca="false">IF(AND(ISNUMBER(BC163),ISNUMBER(BC168)),BC163/BC168,"")</f>
        <v>5.60759493670886</v>
      </c>
      <c r="BD171" s="66" t="n">
        <f aca="false">IF(AND(ISNUMBER(BD163),ISNUMBER(BD168)),BD163/BD168,"")</f>
        <v>4.22335025380711</v>
      </c>
      <c r="BE171" s="66" t="n">
        <f aca="false">IF(AND(ISNUMBER(BE163),ISNUMBER(BE168)),BE163/BE168,"")</f>
        <v>3.78481012658228</v>
      </c>
      <c r="BF171" s="66" t="n">
        <f aca="false">IF(AND(ISNUMBER(BF163),ISNUMBER(BF168)),BF163/BF168,"")</f>
        <v>4.01017811704835</v>
      </c>
      <c r="BG171" s="66" t="n">
        <f aca="false">IF(AND(ISNUMBER(BG163),ISNUMBER(BG168)),BG163/BG168,"")</f>
        <v>17.6395939086294</v>
      </c>
      <c r="BH171" s="66" t="n">
        <f aca="false">IF(AND(ISNUMBER(BH163),ISNUMBER(BH168)),BH163/BH168,"")</f>
        <v>3.32216494845361</v>
      </c>
      <c r="BI171" s="66" t="n">
        <f aca="false">IF(AND(ISNUMBER(BI163),ISNUMBER(BI168)),BI163/BI168,"")</f>
        <v>3.50773195876289</v>
      </c>
      <c r="BJ171" s="66" t="n">
        <f aca="false">IF(AND(ISNUMBER(BJ163),ISNUMBER(BJ168)),BJ163/BJ168,"")</f>
        <v>4.42010309278351</v>
      </c>
      <c r="BK171" s="66" t="n">
        <f aca="false">IF(AND(ISNUMBER(BK163),ISNUMBER(BK168)),BK163/BK168,"")</f>
        <v>4.20103092783505</v>
      </c>
      <c r="BL171" s="66" t="n">
        <f aca="false">IF(AND(ISNUMBER(BL163),ISNUMBER(BL168)),BL163/BL168,"")</f>
        <v>15.4510309278351</v>
      </c>
      <c r="BM171" s="66" t="n">
        <f aca="false">IF(AND(ISNUMBER(BM163),ISNUMBER(BM168)),BM163/BM168,"")</f>
        <v>3.45572916666667</v>
      </c>
      <c r="BN171" s="66" t="n">
        <f aca="false">IF(AND(ISNUMBER(BN163),ISNUMBER(BN168)),BN163/BN168,"")</f>
        <v>4.03916449086162</v>
      </c>
      <c r="BO171" s="66" t="n">
        <f aca="false">IF(AND(ISNUMBER(BO163),ISNUMBER(BO168)),BO163/BO168,"")</f>
        <v>4.24479166666667</v>
      </c>
      <c r="BP171" s="66" t="n">
        <f aca="false">IF(AND(ISNUMBER(BP163),ISNUMBER(BP168)),BP163/BP168,"")</f>
        <v>4.78067885117494</v>
      </c>
      <c r="BQ171" s="66" t="n">
        <f aca="false">IF(AND(ISNUMBER(BQ163),ISNUMBER(BQ168)),BQ163/BQ168,"")</f>
        <v>16.5404699738903</v>
      </c>
      <c r="BR171" s="66" t="n">
        <f aca="false">IF(AND(ISNUMBER(BR163),ISNUMBER(BR168)),BR163/BR168,"")</f>
        <v>3.97889182058048</v>
      </c>
      <c r="BS171" s="66" t="n">
        <f aca="false">IF(AND(ISNUMBER(BS163),ISNUMBER(BS168)),BS163/BS168,"")</f>
        <v>4.27777777777778</v>
      </c>
      <c r="BT171" s="66" t="n">
        <f aca="false">IF(AND(ISNUMBER(BT163),ISNUMBER(BT168)),BT163/BT168,"")</f>
        <v>4.27513227513228</v>
      </c>
      <c r="BU171" s="66" t="n">
        <f aca="false">IF(AND(ISNUMBER(BU163),ISNUMBER(BU168)),BU163/BU168,"")</f>
        <v>5.21220159151194</v>
      </c>
      <c r="BV171" s="66" t="n">
        <f aca="false">IF(AND(ISNUMBER(BV163),ISNUMBER(BV168)),BV163/BV168,"")</f>
        <v>17.7354497354497</v>
      </c>
      <c r="BW171" s="66" t="n">
        <f aca="false">IF(AND(ISNUMBER(BW163),ISNUMBER(BW168)),BW163/BW168,"")</f>
        <v>4.42359249329759</v>
      </c>
      <c r="BX171" s="66" t="n">
        <f aca="false">IF(AND(ISNUMBER(BX163),ISNUMBER(BX168)),BX163/BX168,"")</f>
        <v>4.68194070080863</v>
      </c>
      <c r="BY171" s="67" t="n">
        <f aca="false">IFERROR(BY163/BY168,"")</f>
        <v>5.65248674643163</v>
      </c>
      <c r="BZ171" s="67" t="n">
        <f aca="false">IFERROR(BZ163/BZ168,"")</f>
        <v>5.75391824009128</v>
      </c>
      <c r="CA171" s="67" t="n">
        <f aca="false">IFERROR(CA163/CA168,"")</f>
        <v>20.5081460296097</v>
      </c>
      <c r="CB171" s="67" t="n">
        <f aca="false">IFERROR(CB163/CB168,"")</f>
        <v>21.4284851279243</v>
      </c>
      <c r="CC171" s="67" t="n">
        <f aca="false">IFERROR(CC163/CC168,"")</f>
        <v>24.0680001853339</v>
      </c>
      <c r="CD171" s="67" t="n">
        <f aca="false">IFERROR(CD163/CD168,"")</f>
        <v>27.1069877631132</v>
      </c>
      <c r="CE171" s="67" t="n">
        <f aca="false">IFERROR(CE163/CE168,"")</f>
        <v>31.1016167389469</v>
      </c>
      <c r="CF171" s="21"/>
    </row>
    <row r="172" customFormat="false" ht="15" hidden="false" customHeight="false" outlineLevel="0" collapsed="false">
      <c r="B172" s="23" t="s">
        <v>330</v>
      </c>
      <c r="C172" s="24"/>
      <c r="D172" s="25" t="n">
        <f aca="false">IF(AND(ISNUMBER(D170),ISNUMBER(C170)),IFERROR(D170/C170-1,""),"")</f>
        <v>1.06806404990352</v>
      </c>
      <c r="E172" s="25" t="n">
        <f aca="false">IF(AND(ISNUMBER(E170),ISNUMBER(D170)),IFERROR(E170/D170-1,""),"")</f>
        <v>0.333005465749054</v>
      </c>
      <c r="F172" s="25" t="n">
        <f aca="false">IF(AND(ISNUMBER(F170),ISNUMBER(E170)),IFERROR(F170/E170-1,""),"")</f>
        <v>-0.120465302348703</v>
      </c>
      <c r="G172" s="25" t="n">
        <f aca="false">IF(AND(ISNUMBER(G170),ISNUMBER(F170)),IFERROR(G170/F170-1,""),"")</f>
        <v>0.257786714088838</v>
      </c>
      <c r="H172" s="25" t="n">
        <f aca="false">IF(AND(ISNUMBER(H170),ISNUMBER(G170)),IFERROR(H170/G170-1,""),"")</f>
        <v>0.366280025680374</v>
      </c>
      <c r="I172" s="25" t="n">
        <f aca="false">IF(AND(ISNUMBER(I170),ISNUMBER(H170)),IFERROR(I170/H170-1,""),"")</f>
        <v>-0.0703231032675111</v>
      </c>
      <c r="J172" s="24"/>
      <c r="K172" s="24"/>
      <c r="L172" s="24"/>
      <c r="M172" s="24"/>
      <c r="N172" s="25" t="n">
        <f aca="false">IF(AND(ISNUMBER(N170),ISNUMBER(I170)),IFERROR(N170/I170-1,""),"")</f>
        <v>0.0833557102368845</v>
      </c>
      <c r="O172" s="25" t="n">
        <f aca="false">IF(AND(ISNUMBER(O170),ISNUMBER(J170)),IFERROR(O170/J170-1,""),"")</f>
        <v>0.466598622329889</v>
      </c>
      <c r="P172" s="25" t="n">
        <f aca="false">IF(AND(ISNUMBER(P170),ISNUMBER(K170)),IFERROR(P170/K170-1,""),"")</f>
        <v>-0.0946628123749672</v>
      </c>
      <c r="Q172" s="25" t="n">
        <f aca="false">IF(AND(ISNUMBER(Q170),ISNUMBER(L170)),IFERROR(Q170/L170-1,""),"")</f>
        <v>0.351000412431857</v>
      </c>
      <c r="R172" s="25" t="n">
        <f aca="false">IF(AND(ISNUMBER(R170),ISNUMBER(M170)),IFERROR(R170/M170-1,""),"")</f>
        <v>0.612998192091425</v>
      </c>
      <c r="S172" s="25" t="n">
        <f aca="false">IF(AND(ISNUMBER(S170),ISNUMBER(N170)),IFERROR(S170/N170-1,""),"")</f>
        <v>0.352803177066822</v>
      </c>
      <c r="T172" s="25" t="n">
        <f aca="false">IF(AND(ISNUMBER(T170),ISNUMBER(O170)),IFERROR(T170/O170-1,""),"")</f>
        <v>-0.296222015066581</v>
      </c>
      <c r="U172" s="25" t="n">
        <f aca="false">IF(AND(ISNUMBER(U170),ISNUMBER(P170)),IFERROR(U170/P170-1,""),"")</f>
        <v>0.844304325565483</v>
      </c>
      <c r="V172" s="25" t="n">
        <f aca="false">IF(AND(ISNUMBER(V170),ISNUMBER(Q170)),IFERROR(V170/Q170-1,""),"")</f>
        <v>0.0138111921309492</v>
      </c>
      <c r="W172" s="25" t="n">
        <f aca="false">IF(AND(ISNUMBER(W170),ISNUMBER(R170)),IFERROR(W170/R170-1,""),"")</f>
        <v>0.00656316591469075</v>
      </c>
      <c r="X172" s="25" t="n">
        <f aca="false">IF(AND(ISNUMBER(X170),ISNUMBER(S170)),IFERROR(X170/S170-1,""),"")</f>
        <v>0.0437954292700913</v>
      </c>
      <c r="Y172" s="25" t="n">
        <f aca="false">IF(AND(ISNUMBER(Y170),ISNUMBER(T170)),IFERROR(Y170/T170-1,""),"")</f>
        <v>0.0514767645588226</v>
      </c>
      <c r="Z172" s="25" t="n">
        <f aca="false">IF(AND(ISNUMBER(Z170),ISNUMBER(U170)),IFERROR(Z170/U170-1,""),"")</f>
        <v>0.0219913386297002</v>
      </c>
      <c r="AA172" s="25" t="n">
        <f aca="false">IF(AND(ISNUMBER(AA170),ISNUMBER(V170)),IFERROR(AA170/V170-1,""),"")</f>
        <v>0.00605098864103604</v>
      </c>
      <c r="AB172" s="25" t="n">
        <f aca="false">IF(AND(ISNUMBER(AB170),ISNUMBER(W170)),IFERROR(AB170/W170-1,""),"")</f>
        <v>0.0588491014169499</v>
      </c>
      <c r="AC172" s="25" t="n">
        <f aca="false">IF(AND(ISNUMBER(AC170),ISNUMBER(X170)),IFERROR(AC170/X170-1,""),"")</f>
        <v>0.0350784962028394</v>
      </c>
      <c r="AD172" s="25" t="n">
        <f aca="false">IF(AND(ISNUMBER(AD170),ISNUMBER(Y170)),IFERROR(AD170/Y170-1,""),"")</f>
        <v>0.38696178882172</v>
      </c>
      <c r="AE172" s="25" t="n">
        <f aca="false">IF(AND(ISNUMBER(AE170),ISNUMBER(Z170)),IFERROR(AE170/Z170-1,""),"")</f>
        <v>0.194129229440201</v>
      </c>
      <c r="AF172" s="25" t="n">
        <f aca="false">IF(AND(ISNUMBER(AF170),ISNUMBER(AA170)),IFERROR(AF170/AA170-1,""),"")</f>
        <v>0.121352926315968</v>
      </c>
      <c r="AG172" s="25" t="n">
        <f aca="false">IF(AND(ISNUMBER(AG170),ISNUMBER(AB170)),IFERROR(AG170/AB170-1,""),"")</f>
        <v>-0.177807195599093</v>
      </c>
      <c r="AH172" s="25" t="n">
        <f aca="false">IF(AND(ISNUMBER(AH170),ISNUMBER(AC170)),IFERROR(AH170/AC170-1,""),"")</f>
        <v>0.0988454489282911</v>
      </c>
      <c r="AI172" s="25" t="n">
        <f aca="false">IF(AND(ISNUMBER(AI170),ISNUMBER(AD170)),IFERROR(AI170/AD170-1,""),"")</f>
        <v>0.0192769502082464</v>
      </c>
      <c r="AJ172" s="25" t="n">
        <f aca="false">IF(AND(ISNUMBER(AJ170),ISNUMBER(AE170)),IFERROR(AJ170/AE170-1,""),"")</f>
        <v>0.19110014272505</v>
      </c>
      <c r="AK172" s="25" t="n">
        <f aca="false">IF(AND(ISNUMBER(AK170),ISNUMBER(AF170)),IFERROR(AK170/AF170-1,""),"")</f>
        <v>0.307030614946989</v>
      </c>
      <c r="AL172" s="25" t="n">
        <f aca="false">IF(AND(ISNUMBER(AL170),ISNUMBER(AG170)),IFERROR(AL170/AG170-1,""),"")</f>
        <v>0.700757575757576</v>
      </c>
      <c r="AM172" s="25" t="n">
        <f aca="false">IF(AND(ISNUMBER(AM170),ISNUMBER(AH170)),IFERROR(AM170/AH170-1,""),"")</f>
        <v>0.294430730060331</v>
      </c>
      <c r="AN172" s="25" t="n">
        <f aca="false">IF(AND(ISNUMBER(AN170),ISNUMBER(AI170)),IFERROR(AN170/AI170-1,""),"")</f>
        <v>0.418077715921607</v>
      </c>
      <c r="AO172" s="25" t="n">
        <f aca="false">IF(AND(ISNUMBER(AO170),ISNUMBER(AJ170)),IFERROR(AO170/AJ170-1,""),"")</f>
        <v>0.499109075550393</v>
      </c>
      <c r="AP172" s="25" t="n">
        <f aca="false">IF(AND(ISNUMBER(AP170),ISNUMBER(AK170)),IFERROR(AP170/AK170-1,""),"")</f>
        <v>0.0772388945523608</v>
      </c>
      <c r="AQ172" s="25" t="n">
        <f aca="false">IF(AND(ISNUMBER(AQ170),ISNUMBER(AL170)),IFERROR(AQ170/AL170-1,""),"")</f>
        <v>0.124139879666257</v>
      </c>
      <c r="AR172" s="25" t="n">
        <f aca="false">IF(AND(ISNUMBER(AR170),ISNUMBER(AM170)),IFERROR(AR170/AM170-1,""),"")</f>
        <v>0.267363392662587</v>
      </c>
      <c r="AS172" s="25" t="n">
        <f aca="false">IF(AND(ISNUMBER(AS170),ISNUMBER(AN170)),IFERROR(AS170/AN170-1,""),"")</f>
        <v>-0.0258773006134969</v>
      </c>
      <c r="AT172" s="25" t="n">
        <f aca="false">IF(AND(ISNUMBER(AT170),ISNUMBER(AO170)),IFERROR(AT170/AO170-1,""),"")</f>
        <v>0.046043443311284</v>
      </c>
      <c r="AU172" s="25" t="n">
        <f aca="false">IF(AND(ISNUMBER(AU170),ISNUMBER(AP170)),IFERROR(AU170/AP170-1,""),"")</f>
        <v>1.57529349690015</v>
      </c>
      <c r="AV172" s="25" t="n">
        <f aca="false">IF(AND(ISNUMBER(AV170),ISNUMBER(AQ170)),IFERROR(AV170/AQ170-1,""),"")</f>
        <v>1.50547904191617</v>
      </c>
      <c r="AW172" s="25" t="n">
        <f aca="false">IF(AND(ISNUMBER(AW170),ISNUMBER(AR170)),IFERROR(AW170/AR170-1,""),"")</f>
        <v>0.742129267975133</v>
      </c>
      <c r="AX172" s="25" t="n">
        <f aca="false">IF(AND(ISNUMBER(AX170),ISNUMBER(AS170)),IFERROR(AX170/AS170-1,""),"")</f>
        <v>1.98814714419057</v>
      </c>
      <c r="AY172" s="25" t="n">
        <f aca="false">IF(AND(ISNUMBER(AY170),ISNUMBER(AT170)),IFERROR(AY170/AT170-1,""),"")</f>
        <v>0.58930131767502</v>
      </c>
      <c r="AZ172" s="25" t="n">
        <f aca="false">IF(AND(ISNUMBER(AZ170),ISNUMBER(AU170)),IFERROR(AZ170/AU170-1,""),"")</f>
        <v>-0.0110802566063896</v>
      </c>
      <c r="BA172" s="25" t="n">
        <f aca="false">IF(AND(ISNUMBER(BA170),ISNUMBER(AV170)),IFERROR(BA170/AV170-1,""),"")</f>
        <v>-0.332933683630321</v>
      </c>
      <c r="BB172" s="25" t="n">
        <f aca="false">IF(AND(ISNUMBER(BB170),ISNUMBER(AW170)),IFERROR(BB170/AW170-1,""),"")</f>
        <v>0.21786931397244</v>
      </c>
      <c r="BC172" s="25" t="n">
        <f aca="false">IF(AND(ISNUMBER(BC170),ISNUMBER(AX170)),IFERROR(BC170/AX170-1,""),"")</f>
        <v>-0.0474047112223288</v>
      </c>
      <c r="BD172" s="25" t="n">
        <f aca="false">IF(AND(ISNUMBER(BD170),ISNUMBER(AY170)),IFERROR(BD170/AY170-1,""),"")</f>
        <v>-0.085094802785769</v>
      </c>
      <c r="BE172" s="25" t="n">
        <f aca="false">IF(AND(ISNUMBER(BE170),ISNUMBER(AZ170)),IFERROR(BE170/AZ170-1,""),"")</f>
        <v>-0.210005457280145</v>
      </c>
      <c r="BF172" s="25" t="n">
        <f aca="false">IF(AND(ISNUMBER(BF170),ISNUMBER(BA170)),IFERROR(BF170/BA170-1,""),"")</f>
        <v>-0.0373637571862233</v>
      </c>
      <c r="BG172" s="25" t="n">
        <f aca="false">IF(AND(ISNUMBER(BG170),ISNUMBER(BB170)),IFERROR(BG170/BB170-1,""),"")</f>
        <v>-0.0934732968639626</v>
      </c>
      <c r="BH172" s="25" t="n">
        <f aca="false">IF(AND(ISNUMBER(BH170),ISNUMBER(BC170)),IFERROR(BH170/BC170-1,""),"")</f>
        <v>-0.407559749598566</v>
      </c>
      <c r="BI172" s="25" t="n">
        <f aca="false">IF(AND(ISNUMBER(BI170),ISNUMBER(BD170)),IFERROR(BI170/BD170-1,""),"")</f>
        <v>-0.169443274187153</v>
      </c>
      <c r="BJ172" s="25" t="n">
        <f aca="false">IF(AND(ISNUMBER(BJ170),ISNUMBER(BE170)),IFERROR(BJ170/BE170-1,""),"")</f>
        <v>0.16785332551805</v>
      </c>
      <c r="BK172" s="25" t="n">
        <f aca="false">IF(AND(ISNUMBER(BK170),ISNUMBER(BF170)),IFERROR(BK170/BF170-1,""),"")</f>
        <v>0.0475921031974462</v>
      </c>
      <c r="BL172" s="25" t="n">
        <f aca="false">IF(AND(ISNUMBER(BL170),ISNUMBER(BG170)),IFERROR(BL170/BG170-1,""),"")</f>
        <v>-0.124071052436401</v>
      </c>
      <c r="BM172" s="25" t="n">
        <f aca="false">IF(AND(ISNUMBER(BM170),ISNUMBER(BH170)),IFERROR(BM170/BH170-1,""),"")</f>
        <v>0.0402039694853891</v>
      </c>
      <c r="BN172" s="25" t="n">
        <f aca="false">IF(AND(ISNUMBER(BN170),ISNUMBER(BI170)),IFERROR(BN170/BI170-1,""),"")</f>
        <v>0.151503175939977</v>
      </c>
      <c r="BO172" s="25" t="n">
        <f aca="false">IF(AND(ISNUMBER(BO170),ISNUMBER(BJ170)),IFERROR(BO170/BJ170-1,""),"")</f>
        <v>-0.0396622934888241</v>
      </c>
      <c r="BP172" s="25" t="n">
        <f aca="false">IF(AND(ISNUMBER(BP170),ISNUMBER(BK170)),IFERROR(BP170/BK170-1,""),"")</f>
        <v>0.137977542488267</v>
      </c>
      <c r="BQ172" s="25" t="n">
        <f aca="false">IF(AND(ISNUMBER(BQ170),ISNUMBER(BL170)),IFERROR(BQ170/BL170-1,""),"")</f>
        <v>0.0705091492692997</v>
      </c>
      <c r="BR172" s="25" t="n">
        <f aca="false">IF(AND(ISNUMBER(BR170),ISNUMBER(BM170)),IFERROR(BR170/BM170-1,""),"")</f>
        <v>0.151389946573401</v>
      </c>
      <c r="BS172" s="25" t="n">
        <f aca="false">IF(AND(ISNUMBER(BS170),ISNUMBER(BN170)),IFERROR(BS170/BN170-1,""),"")</f>
        <v>0.0590749120160885</v>
      </c>
      <c r="BT172" s="25" t="n">
        <f aca="false">IF(AND(ISNUMBER(BT170),ISNUMBER(BO170)),IFERROR(BT170/BO170-1,""),"")</f>
        <v>0.00714772616613102</v>
      </c>
      <c r="BU172" s="25" t="n">
        <f aca="false">IF(AND(ISNUMBER(BU170),ISNUMBER(BP170)),IFERROR(BU170/BP170-1,""),"")</f>
        <v>0.0902639047236875</v>
      </c>
      <c r="BV172" s="25" t="n">
        <f aca="false">IF(AND(ISNUMBER(BV170),ISNUMBER(BQ170)),IFERROR(BV170/BQ170-1,""),"")</f>
        <v>0.0722458166814914</v>
      </c>
      <c r="BW172" s="25" t="n">
        <f aca="false">IF(AND(ISNUMBER(BW170),ISNUMBER(BR170)),IFERROR(BW170/BR170-1,""),"")</f>
        <v>0.111764956869884</v>
      </c>
      <c r="BX172" s="25" t="n">
        <f aca="false">IF(AND(ISNUMBER(BX170),ISNUMBER(BS170)),IFERROR(BX170/BS170-1,""),"")</f>
        <v>0.0944796443448734</v>
      </c>
      <c r="BY172" s="26" t="n">
        <f aca="false">IFERROR(BY170/BT170-1,"")</f>
        <v>0.3221782117272</v>
      </c>
      <c r="BZ172" s="26" t="n">
        <f aca="false">IFERROR(BZ170/BU170-1,"")</f>
        <v>0.103932405350846</v>
      </c>
      <c r="CA172" s="26" t="n">
        <f aca="false">IFERROR(CA170/BV170-1,"")</f>
        <v>0.156336396060928</v>
      </c>
      <c r="CB172" s="26" t="n">
        <f aca="false">IFERROR(CB170/CA170-1,"")</f>
        <v>0.0448767576057723</v>
      </c>
      <c r="CC172" s="26" t="n">
        <f aca="false">IFERROR(CC170/CB170-1,"")</f>
        <v>0.123177865427828</v>
      </c>
      <c r="CD172" s="26" t="n">
        <f aca="false">IFERROR(CD170/CC170-1,"")</f>
        <v>0.126266725709563</v>
      </c>
      <c r="CE172" s="26" t="n">
        <f aca="false">IFERROR(CE170/CD170-1,"")</f>
        <v>0.147365284949499</v>
      </c>
      <c r="CF172" s="21"/>
    </row>
    <row r="173" customFormat="false" ht="15" hidden="false" customHeight="false" outlineLevel="0" collapsed="false">
      <c r="B173" s="43" t="s">
        <v>331</v>
      </c>
      <c r="C173" s="70" t="n">
        <v>0.84</v>
      </c>
      <c r="D173" s="70" t="n">
        <v>1.72</v>
      </c>
      <c r="E173" s="70" t="n">
        <v>2.29</v>
      </c>
      <c r="F173" s="70" t="n">
        <v>2.01</v>
      </c>
      <c r="G173" s="70" t="n">
        <v>2.53</v>
      </c>
      <c r="H173" s="70" t="n">
        <v>3.46</v>
      </c>
      <c r="I173" s="70" t="n">
        <v>3.21</v>
      </c>
      <c r="J173" s="70" t="n">
        <v>0.93</v>
      </c>
      <c r="K173" s="70" t="n">
        <v>0.76</v>
      </c>
      <c r="L173" s="70" t="n">
        <v>0.86</v>
      </c>
      <c r="M173" s="70" t="n">
        <v>0.92</v>
      </c>
      <c r="N173" s="70" t="n">
        <v>3.48</v>
      </c>
      <c r="O173" s="70" t="n">
        <v>1.36</v>
      </c>
      <c r="P173" s="70" t="n">
        <v>0.69</v>
      </c>
      <c r="Q173" s="70" t="n">
        <v>1.17</v>
      </c>
      <c r="R173" s="70" t="n">
        <v>1.49</v>
      </c>
      <c r="S173" s="70" t="n">
        <v>4.71</v>
      </c>
      <c r="T173" s="70" t="n">
        <v>0.96</v>
      </c>
      <c r="U173" s="70" t="n">
        <v>1.27</v>
      </c>
      <c r="V173" s="70" t="n">
        <v>1.18</v>
      </c>
      <c r="W173" s="70" t="n">
        <v>1.5</v>
      </c>
      <c r="X173" s="70" t="n">
        <v>4.92</v>
      </c>
      <c r="Y173" s="70" t="n">
        <v>1.01</v>
      </c>
      <c r="Z173" s="70" t="n">
        <v>1.3</v>
      </c>
      <c r="AA173" s="70" t="n">
        <v>1.19</v>
      </c>
      <c r="AB173" s="70" t="n">
        <v>1.59</v>
      </c>
      <c r="AC173" s="70" t="n">
        <v>5.09</v>
      </c>
      <c r="AD173" s="70" t="n">
        <v>1.4</v>
      </c>
      <c r="AE173" s="70" t="n">
        <v>1.56</v>
      </c>
      <c r="AF173" s="70" t="n">
        <v>1.34</v>
      </c>
      <c r="AG173" s="70" t="n">
        <v>1.3</v>
      </c>
      <c r="AH173" s="70" t="n">
        <v>5.59</v>
      </c>
      <c r="AI173" s="70" t="n">
        <v>1.43</v>
      </c>
      <c r="AJ173" s="70" t="n">
        <v>1.85</v>
      </c>
      <c r="AK173" s="70" t="n">
        <v>1.75</v>
      </c>
      <c r="AL173" s="70" t="n">
        <v>2.22</v>
      </c>
      <c r="AM173" s="70" t="n">
        <v>7.24</v>
      </c>
      <c r="AN173" s="70" t="n">
        <v>2.02</v>
      </c>
      <c r="AO173" s="70" t="n">
        <v>2.77</v>
      </c>
      <c r="AP173" s="70" t="n">
        <v>1.88</v>
      </c>
      <c r="AQ173" s="70" t="n">
        <v>2.49</v>
      </c>
      <c r="AR173" s="70" t="n">
        <v>9.17</v>
      </c>
      <c r="AS173" s="70" t="n">
        <v>1.97</v>
      </c>
      <c r="AT173" s="70" t="n">
        <v>2.9</v>
      </c>
      <c r="AU173" s="70" t="n">
        <v>4.84</v>
      </c>
      <c r="AV173" s="70" t="n">
        <v>6.24</v>
      </c>
      <c r="AW173" s="70" t="n">
        <v>15.96</v>
      </c>
      <c r="AX173" s="70" t="n">
        <v>5.88</v>
      </c>
      <c r="AY173" s="70" t="n">
        <v>4.61</v>
      </c>
      <c r="AZ173" s="70" t="n">
        <v>4.79</v>
      </c>
      <c r="BA173" s="70" t="n">
        <v>4.17</v>
      </c>
      <c r="BB173" s="70" t="n">
        <v>19.46</v>
      </c>
      <c r="BC173" s="70" t="n">
        <v>5.61</v>
      </c>
      <c r="BD173" s="70" t="n">
        <v>4.22</v>
      </c>
      <c r="BE173" s="70" t="n">
        <v>3.79</v>
      </c>
      <c r="BF173" s="70" t="n">
        <v>4.01</v>
      </c>
      <c r="BG173" s="70" t="n">
        <v>17.63</v>
      </c>
      <c r="BH173" s="70" t="n">
        <v>3.32</v>
      </c>
      <c r="BI173" s="70" t="n">
        <v>3.51</v>
      </c>
      <c r="BJ173" s="70" t="n">
        <v>4.42</v>
      </c>
      <c r="BK173" s="70" t="n">
        <v>4.2</v>
      </c>
      <c r="BL173" s="70" t="n">
        <v>15.45</v>
      </c>
      <c r="BM173" s="70" t="n">
        <v>3.46</v>
      </c>
      <c r="BN173" s="70" t="n">
        <v>4.04</v>
      </c>
      <c r="BO173" s="70" t="n">
        <v>4.25</v>
      </c>
      <c r="BP173" s="70" t="n">
        <v>4.78</v>
      </c>
      <c r="BQ173" s="70" t="n">
        <v>16.53</v>
      </c>
      <c r="BR173" s="70" t="n">
        <v>3.98</v>
      </c>
      <c r="BS173" s="70" t="n">
        <v>4.28</v>
      </c>
      <c r="BT173" s="70" t="n">
        <v>4.27</v>
      </c>
      <c r="BU173" s="70" t="n">
        <v>5.21</v>
      </c>
      <c r="BV173" s="70" t="n">
        <v>17.74</v>
      </c>
      <c r="BW173" s="70" t="n">
        <v>4.43</v>
      </c>
      <c r="BX173" s="70" t="n">
        <v>4.68</v>
      </c>
      <c r="BY173" s="71"/>
      <c r="BZ173" s="71"/>
      <c r="CA173" s="71"/>
      <c r="CB173" s="71"/>
      <c r="CC173" s="71"/>
      <c r="CD173" s="71"/>
      <c r="CE173" s="71"/>
      <c r="CF173" s="21"/>
    </row>
    <row r="174" customFormat="false" ht="15" hidden="false" customHeight="false" outlineLevel="0" collapsed="false">
      <c r="B174" s="43" t="s">
        <v>332</v>
      </c>
      <c r="C174" s="70" t="n">
        <v>0.82</v>
      </c>
      <c r="D174" s="70" t="n">
        <v>1.76</v>
      </c>
      <c r="E174" s="70" t="n">
        <v>2.27</v>
      </c>
      <c r="F174" s="70" t="n">
        <v>2.01</v>
      </c>
      <c r="G174" s="70" t="n">
        <v>2.52</v>
      </c>
      <c r="H174" s="70" t="n">
        <v>2.65</v>
      </c>
      <c r="I174" s="70" t="n">
        <v>3.43</v>
      </c>
      <c r="J174" s="70" t="n">
        <v>0.94</v>
      </c>
      <c r="K174" s="70" t="n">
        <v>0.76</v>
      </c>
      <c r="L174" s="70" t="n">
        <v>0.86</v>
      </c>
      <c r="M174" s="70" t="n">
        <v>0.92</v>
      </c>
      <c r="N174" s="70" t="n">
        <v>3.5</v>
      </c>
      <c r="O174" s="70" t="n">
        <v>1.36</v>
      </c>
      <c r="P174" s="70" t="n">
        <v>0.69</v>
      </c>
      <c r="Q174" s="70" t="n">
        <v>1.16</v>
      </c>
      <c r="R174" s="70" t="n">
        <v>1.49</v>
      </c>
      <c r="S174" s="70" t="n">
        <v>4.71</v>
      </c>
      <c r="T174" s="72"/>
      <c r="U174" s="72"/>
      <c r="V174" s="70" t="n">
        <v>1.19</v>
      </c>
      <c r="W174" s="70" t="n">
        <v>1.51</v>
      </c>
      <c r="X174" s="70" t="n">
        <v>4.93</v>
      </c>
      <c r="Y174" s="70" t="n">
        <v>1.01</v>
      </c>
      <c r="Z174" s="70" t="n">
        <v>1.3</v>
      </c>
      <c r="AA174" s="70" t="n">
        <v>1.19</v>
      </c>
      <c r="AB174" s="70" t="n">
        <v>1.59</v>
      </c>
      <c r="AC174" s="70" t="n">
        <v>5.1</v>
      </c>
      <c r="AD174" s="70" t="n">
        <v>1.4</v>
      </c>
      <c r="AE174" s="70" t="n">
        <v>1.56</v>
      </c>
      <c r="AF174" s="70" t="n">
        <v>1.34</v>
      </c>
      <c r="AG174" s="70" t="n">
        <v>1.31</v>
      </c>
      <c r="AH174" s="70" t="n">
        <v>5.6</v>
      </c>
      <c r="AI174" s="72"/>
      <c r="AJ174" s="70" t="n">
        <v>1.85</v>
      </c>
      <c r="AK174" s="72"/>
      <c r="AL174" s="70" t="n">
        <v>2.22</v>
      </c>
      <c r="AM174" s="70" t="n">
        <v>7.24</v>
      </c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2"/>
      <c r="BC174" s="70" t="n">
        <v>5.61</v>
      </c>
      <c r="BD174" s="70" t="n">
        <v>4.22</v>
      </c>
      <c r="BE174" s="70" t="n">
        <v>3.79</v>
      </c>
      <c r="BF174" s="70" t="n">
        <v>4.01</v>
      </c>
      <c r="BG174" s="70" t="n">
        <v>17.63</v>
      </c>
      <c r="BH174" s="70" t="n">
        <v>3.32</v>
      </c>
      <c r="BI174" s="70" t="n">
        <v>3.51</v>
      </c>
      <c r="BJ174" s="70" t="n">
        <v>4.42</v>
      </c>
      <c r="BK174" s="70" t="n">
        <v>4.2</v>
      </c>
      <c r="BL174" s="70" t="n">
        <v>15.45</v>
      </c>
      <c r="BM174" s="70" t="n">
        <v>3.46</v>
      </c>
      <c r="BN174" s="70" t="n">
        <v>4.04</v>
      </c>
      <c r="BO174" s="70" t="n">
        <v>4.25</v>
      </c>
      <c r="BP174" s="70" t="n">
        <v>4.78</v>
      </c>
      <c r="BQ174" s="70" t="n">
        <v>16.53</v>
      </c>
      <c r="BR174" s="70" t="n">
        <v>3.98</v>
      </c>
      <c r="BS174" s="70" t="n">
        <v>4.28</v>
      </c>
      <c r="BT174" s="70" t="n">
        <v>4.27</v>
      </c>
      <c r="BU174" s="70" t="n">
        <v>5.21</v>
      </c>
      <c r="BV174" s="70" t="n">
        <v>17.74</v>
      </c>
      <c r="BW174" s="70" t="n">
        <v>4.43</v>
      </c>
      <c r="BX174" s="70" t="n">
        <v>4.68</v>
      </c>
      <c r="BY174" s="71"/>
      <c r="BZ174" s="71"/>
      <c r="CA174" s="71"/>
      <c r="CB174" s="71"/>
      <c r="CC174" s="71"/>
      <c r="CD174" s="71"/>
      <c r="CE174" s="71"/>
      <c r="CF174" s="21"/>
    </row>
    <row r="175" customFormat="false" ht="15" hidden="false" customHeight="false" outlineLevel="0" collapsed="false">
      <c r="B175" s="23" t="s">
        <v>333</v>
      </c>
      <c r="C175" s="70" t="n">
        <v>0</v>
      </c>
      <c r="D175" s="70" t="n">
        <v>0</v>
      </c>
      <c r="E175" s="70" t="n">
        <v>0</v>
      </c>
      <c r="F175" s="70" t="n">
        <v>0</v>
      </c>
      <c r="G175" s="70" t="n">
        <v>0</v>
      </c>
      <c r="H175" s="70" t="n">
        <v>0</v>
      </c>
      <c r="I175" s="70" t="n">
        <v>0.54</v>
      </c>
      <c r="J175" s="70" t="n">
        <v>0.15</v>
      </c>
      <c r="K175" s="70" t="n">
        <v>0.15</v>
      </c>
      <c r="L175" s="70" t="n">
        <v>0.15</v>
      </c>
      <c r="M175" s="70" t="n">
        <v>0.15</v>
      </c>
      <c r="N175" s="70" t="n">
        <v>0.6</v>
      </c>
      <c r="O175" s="70" t="n">
        <v>0.15</v>
      </c>
      <c r="P175" s="70" t="n">
        <v>0.15</v>
      </c>
      <c r="Q175" s="70" t="n">
        <v>0.15</v>
      </c>
      <c r="R175" s="70" t="n">
        <v>0.15</v>
      </c>
      <c r="S175" s="70" t="n">
        <v>0.6</v>
      </c>
      <c r="T175" s="70" t="n">
        <v>0.15</v>
      </c>
      <c r="U175" s="70" t="n">
        <v>0.15</v>
      </c>
      <c r="V175" s="70" t="n">
        <v>0.15</v>
      </c>
      <c r="W175" s="70" t="n">
        <v>0.15</v>
      </c>
      <c r="X175" s="70" t="n">
        <v>0.6</v>
      </c>
      <c r="Y175" s="70" t="n">
        <v>0.15</v>
      </c>
      <c r="Z175" s="70" t="n">
        <v>0.15</v>
      </c>
      <c r="AA175" s="70" t="n">
        <v>0.15</v>
      </c>
      <c r="AB175" s="70" t="n">
        <v>0.15</v>
      </c>
      <c r="AC175" s="70" t="n">
        <v>0.6</v>
      </c>
      <c r="AD175" s="70" t="n">
        <v>0.15</v>
      </c>
      <c r="AE175" s="70" t="n">
        <v>0.15</v>
      </c>
      <c r="AF175" s="70" t="n">
        <v>0.15</v>
      </c>
      <c r="AG175" s="70" t="n">
        <v>0.15</v>
      </c>
      <c r="AH175" s="70" t="n">
        <v>0.6</v>
      </c>
      <c r="AI175" s="70" t="n">
        <v>0.17</v>
      </c>
      <c r="AJ175" s="70" t="n">
        <v>0.17</v>
      </c>
      <c r="AK175" s="70" t="n">
        <v>0.17</v>
      </c>
      <c r="AL175" s="70" t="n">
        <v>0.17</v>
      </c>
      <c r="AM175" s="70" t="n">
        <v>0.68</v>
      </c>
      <c r="AN175" s="70" t="n">
        <v>0.19</v>
      </c>
      <c r="AO175" s="70" t="n">
        <v>0.19</v>
      </c>
      <c r="AP175" s="70" t="n">
        <v>0.19</v>
      </c>
      <c r="AQ175" s="70" t="n">
        <v>0.19</v>
      </c>
      <c r="AR175" s="70" t="n">
        <v>0.76</v>
      </c>
      <c r="AS175" s="70" t="n">
        <v>0.22</v>
      </c>
      <c r="AT175" s="70" t="n">
        <v>0.22</v>
      </c>
      <c r="AU175" s="70" t="n">
        <v>0.22</v>
      </c>
      <c r="AV175" s="70" t="n">
        <v>0.22</v>
      </c>
      <c r="AW175" s="70" t="n">
        <v>0.88</v>
      </c>
      <c r="AX175" s="70" t="n">
        <v>0.26</v>
      </c>
      <c r="AY175" s="70" t="n">
        <v>0.26</v>
      </c>
      <c r="AZ175" s="70" t="n">
        <v>0.26</v>
      </c>
      <c r="BA175" s="70" t="n">
        <v>0.26</v>
      </c>
      <c r="BB175" s="70" t="n">
        <v>1.04</v>
      </c>
      <c r="BC175" s="70" t="n">
        <v>0.3</v>
      </c>
      <c r="BD175" s="70" t="n">
        <v>0.3</v>
      </c>
      <c r="BE175" s="70" t="n">
        <v>0.3</v>
      </c>
      <c r="BF175" s="70" t="n">
        <v>0.3</v>
      </c>
      <c r="BG175" s="70" t="n">
        <v>1.2</v>
      </c>
      <c r="BH175" s="70" t="n">
        <v>0.35</v>
      </c>
      <c r="BI175" s="70" t="n">
        <v>0.35</v>
      </c>
      <c r="BJ175" s="70" t="n">
        <v>0.35</v>
      </c>
      <c r="BK175" s="70" t="n">
        <v>0.35</v>
      </c>
      <c r="BL175" s="70" t="n">
        <v>1.4</v>
      </c>
      <c r="BM175" s="70" t="n">
        <v>0.39</v>
      </c>
      <c r="BN175" s="70" t="n">
        <v>0.39</v>
      </c>
      <c r="BO175" s="70" t="n">
        <v>0.39</v>
      </c>
      <c r="BP175" s="70" t="n">
        <v>0.39</v>
      </c>
      <c r="BQ175" s="70" t="n">
        <v>1.56</v>
      </c>
      <c r="BR175" s="70" t="n">
        <v>0.43</v>
      </c>
      <c r="BS175" s="70" t="n">
        <v>0.43</v>
      </c>
      <c r="BT175" s="70" t="n">
        <v>0.43</v>
      </c>
      <c r="BU175" s="70" t="n">
        <v>0.43</v>
      </c>
      <c r="BV175" s="70" t="n">
        <v>1.72</v>
      </c>
      <c r="BW175" s="70" t="n">
        <v>0.47</v>
      </c>
      <c r="BX175" s="70" t="n">
        <v>0.47</v>
      </c>
      <c r="BY175" s="67" t="n">
        <f aca="false">$BX175</f>
        <v>0.47</v>
      </c>
      <c r="BZ175" s="67" t="n">
        <f aca="false">$BX175</f>
        <v>0.47</v>
      </c>
      <c r="CA175" s="67" t="n">
        <f aca="false">SUM(BW175,BX175,BY175,BZ175)</f>
        <v>1.88</v>
      </c>
      <c r="CB175" s="67" t="n">
        <f aca="false">CA175*(1+CB176)</f>
        <v>2.068</v>
      </c>
      <c r="CC175" s="67" t="n">
        <f aca="false">CB175*(1+CC176)</f>
        <v>2.2748</v>
      </c>
      <c r="CD175" s="67" t="n">
        <f aca="false">CC175*(1+CD176)</f>
        <v>2.50228</v>
      </c>
      <c r="CE175" s="67" t="n">
        <f aca="false">CD175*(1+CE176)</f>
        <v>2.752508</v>
      </c>
      <c r="CF175" s="21" t="s">
        <v>334</v>
      </c>
    </row>
    <row r="176" customFormat="false" ht="15" hidden="false" customHeight="false" outlineLevel="0" collapsed="false">
      <c r="B176" s="23" t="s">
        <v>335</v>
      </c>
      <c r="C176" s="24"/>
      <c r="D176" s="25" t="str">
        <f aca="false">IF(AND(ISNUMBER(D175),ISNUMBER(C175)),IFERROR(D175/C175-1,""),"")</f>
        <v/>
      </c>
      <c r="E176" s="25" t="str">
        <f aca="false">IF(AND(ISNUMBER(E175),ISNUMBER(D175)),IFERROR(E175/D175-1,""),"")</f>
        <v/>
      </c>
      <c r="F176" s="25" t="str">
        <f aca="false">IF(AND(ISNUMBER(F175),ISNUMBER(E175)),IFERROR(F175/E175-1,""),"")</f>
        <v/>
      </c>
      <c r="G176" s="25" t="str">
        <f aca="false">IF(AND(ISNUMBER(G175),ISNUMBER(F175)),IFERROR(G175/F175-1,""),"")</f>
        <v/>
      </c>
      <c r="H176" s="25" t="str">
        <f aca="false">IF(AND(ISNUMBER(H175),ISNUMBER(G175)),IFERROR(H175/G175-1,""),"")</f>
        <v/>
      </c>
      <c r="I176" s="25" t="str">
        <f aca="false">IF(AND(ISNUMBER(I175),ISNUMBER(H175)),IFERROR(I175/H175-1,""),"")</f>
        <v/>
      </c>
      <c r="J176" s="24"/>
      <c r="K176" s="24"/>
      <c r="L176" s="24"/>
      <c r="M176" s="24"/>
      <c r="N176" s="25" t="n">
        <f aca="false">IF(AND(ISNUMBER(N175),ISNUMBER(I175)),IFERROR(N175/I175-1,""),"")</f>
        <v>0.111111111111111</v>
      </c>
      <c r="O176" s="25" t="n">
        <f aca="false">IF(AND(ISNUMBER(O175),ISNUMBER(J175)),IFERROR(O175/J175-1,""),"")</f>
        <v>0</v>
      </c>
      <c r="P176" s="25" t="n">
        <f aca="false">IF(AND(ISNUMBER(P175),ISNUMBER(K175)),IFERROR(P175/K175-1,""),"")</f>
        <v>0</v>
      </c>
      <c r="Q176" s="25" t="n">
        <f aca="false">IF(AND(ISNUMBER(Q175),ISNUMBER(L175)),IFERROR(Q175/L175-1,""),"")</f>
        <v>0</v>
      </c>
      <c r="R176" s="25" t="n">
        <f aca="false">IF(AND(ISNUMBER(R175),ISNUMBER(M175)),IFERROR(R175/M175-1,""),"")</f>
        <v>0</v>
      </c>
      <c r="S176" s="25" t="n">
        <f aca="false">IF(AND(ISNUMBER(S175),ISNUMBER(N175)),IFERROR(S175/N175-1,""),"")</f>
        <v>0</v>
      </c>
      <c r="T176" s="25" t="n">
        <f aca="false">IF(AND(ISNUMBER(T175),ISNUMBER(O175)),IFERROR(T175/O175-1,""),"")</f>
        <v>0</v>
      </c>
      <c r="U176" s="25" t="n">
        <f aca="false">IF(AND(ISNUMBER(U175),ISNUMBER(P175)),IFERROR(U175/P175-1,""),"")</f>
        <v>0</v>
      </c>
      <c r="V176" s="25" t="n">
        <f aca="false">IF(AND(ISNUMBER(V175),ISNUMBER(Q175)),IFERROR(V175/Q175-1,""),"")</f>
        <v>0</v>
      </c>
      <c r="W176" s="25" t="n">
        <f aca="false">IF(AND(ISNUMBER(W175),ISNUMBER(R175)),IFERROR(W175/R175-1,""),"")</f>
        <v>0</v>
      </c>
      <c r="X176" s="25" t="n">
        <f aca="false">IF(AND(ISNUMBER(X175),ISNUMBER(S175)),IFERROR(X175/S175-1,""),"")</f>
        <v>0</v>
      </c>
      <c r="Y176" s="25" t="n">
        <f aca="false">IF(AND(ISNUMBER(Y175),ISNUMBER(T175)),IFERROR(Y175/T175-1,""),"")</f>
        <v>0</v>
      </c>
      <c r="Z176" s="25" t="n">
        <f aca="false">IF(AND(ISNUMBER(Z175),ISNUMBER(U175)),IFERROR(Z175/U175-1,""),"")</f>
        <v>0</v>
      </c>
      <c r="AA176" s="25" t="n">
        <f aca="false">IF(AND(ISNUMBER(AA175),ISNUMBER(V175)),IFERROR(AA175/V175-1,""),"")</f>
        <v>0</v>
      </c>
      <c r="AB176" s="25" t="n">
        <f aca="false">IF(AND(ISNUMBER(AB175),ISNUMBER(W175)),IFERROR(AB175/W175-1,""),"")</f>
        <v>0</v>
      </c>
      <c r="AC176" s="25" t="n">
        <f aca="false">IF(AND(ISNUMBER(AC175),ISNUMBER(X175)),IFERROR(AC175/X175-1,""),"")</f>
        <v>0</v>
      </c>
      <c r="AD176" s="25" t="n">
        <f aca="false">IF(AND(ISNUMBER(AD175),ISNUMBER(Y175)),IFERROR(AD175/Y175-1,""),"")</f>
        <v>0</v>
      </c>
      <c r="AE176" s="25" t="n">
        <f aca="false">IF(AND(ISNUMBER(AE175),ISNUMBER(Z175)),IFERROR(AE175/Z175-1,""),"")</f>
        <v>0</v>
      </c>
      <c r="AF176" s="25" t="n">
        <f aca="false">IF(AND(ISNUMBER(AF175),ISNUMBER(AA175)),IFERROR(AF175/AA175-1,""),"")</f>
        <v>0</v>
      </c>
      <c r="AG176" s="25" t="n">
        <f aca="false">IF(AND(ISNUMBER(AG175),ISNUMBER(AB175)),IFERROR(AG175/AB175-1,""),"")</f>
        <v>0</v>
      </c>
      <c r="AH176" s="25" t="n">
        <f aca="false">IF(AND(ISNUMBER(AH175),ISNUMBER(AC175)),IFERROR(AH175/AC175-1,""),"")</f>
        <v>0</v>
      </c>
      <c r="AI176" s="25" t="n">
        <f aca="false">IF(AND(ISNUMBER(AI175),ISNUMBER(AD175)),IFERROR(AI175/AD175-1,""),"")</f>
        <v>0.133333333333334</v>
      </c>
      <c r="AJ176" s="25" t="n">
        <f aca="false">IF(AND(ISNUMBER(AJ175),ISNUMBER(AE175)),IFERROR(AJ175/AE175-1,""),"")</f>
        <v>0.133333333333334</v>
      </c>
      <c r="AK176" s="25" t="n">
        <f aca="false">IF(AND(ISNUMBER(AK175),ISNUMBER(AF175)),IFERROR(AK175/AF175-1,""),"")</f>
        <v>0.133333333333334</v>
      </c>
      <c r="AL176" s="25" t="n">
        <f aca="false">IF(AND(ISNUMBER(AL175),ISNUMBER(AG175)),IFERROR(AL175/AG175-1,""),"")</f>
        <v>0.133333333333334</v>
      </c>
      <c r="AM176" s="25" t="n">
        <f aca="false">IF(AND(ISNUMBER(AM175),ISNUMBER(AH175)),IFERROR(AM175/AH175-1,""),"")</f>
        <v>0.133333333333334</v>
      </c>
      <c r="AN176" s="25" t="n">
        <f aca="false">IF(AND(ISNUMBER(AN175),ISNUMBER(AI175)),IFERROR(AN175/AI175-1,""),"")</f>
        <v>0.117647058823529</v>
      </c>
      <c r="AO176" s="25" t="n">
        <f aca="false">IF(AND(ISNUMBER(AO175),ISNUMBER(AJ175)),IFERROR(AO175/AJ175-1,""),"")</f>
        <v>0.117647058823529</v>
      </c>
      <c r="AP176" s="25" t="n">
        <f aca="false">IF(AND(ISNUMBER(AP175),ISNUMBER(AK175)),IFERROR(AP175/AK175-1,""),"")</f>
        <v>0.117647058823529</v>
      </c>
      <c r="AQ176" s="25" t="n">
        <f aca="false">IF(AND(ISNUMBER(AQ175),ISNUMBER(AL175)),IFERROR(AQ175/AL175-1,""),"")</f>
        <v>0.117647058823529</v>
      </c>
      <c r="AR176" s="25" t="n">
        <f aca="false">IF(AND(ISNUMBER(AR175),ISNUMBER(AM175)),IFERROR(AR175/AM175-1,""),"")</f>
        <v>0.117647058823529</v>
      </c>
      <c r="AS176" s="25" t="n">
        <f aca="false">IF(AND(ISNUMBER(AS175),ISNUMBER(AN175)),IFERROR(AS175/AN175-1,""),"")</f>
        <v>0.157894736842105</v>
      </c>
      <c r="AT176" s="25" t="n">
        <f aca="false">IF(AND(ISNUMBER(AT175),ISNUMBER(AO175)),IFERROR(AT175/AO175-1,""),"")</f>
        <v>0.157894736842105</v>
      </c>
      <c r="AU176" s="25" t="n">
        <f aca="false">IF(AND(ISNUMBER(AU175),ISNUMBER(AP175)),IFERROR(AU175/AP175-1,""),"")</f>
        <v>0.157894736842105</v>
      </c>
      <c r="AV176" s="25" t="n">
        <f aca="false">IF(AND(ISNUMBER(AV175),ISNUMBER(AQ175)),IFERROR(AV175/AQ175-1,""),"")</f>
        <v>0.157894736842105</v>
      </c>
      <c r="AW176" s="25" t="n">
        <f aca="false">IF(AND(ISNUMBER(AW175),ISNUMBER(AR175)),IFERROR(AW175/AR175-1,""),"")</f>
        <v>0.157894736842105</v>
      </c>
      <c r="AX176" s="25" t="n">
        <f aca="false">IF(AND(ISNUMBER(AX175),ISNUMBER(AS175)),IFERROR(AX175/AS175-1,""),"")</f>
        <v>0.181818181818182</v>
      </c>
      <c r="AY176" s="25" t="n">
        <f aca="false">IF(AND(ISNUMBER(AY175),ISNUMBER(AT175)),IFERROR(AY175/AT175-1,""),"")</f>
        <v>0.181818181818182</v>
      </c>
      <c r="AZ176" s="25" t="n">
        <f aca="false">IF(AND(ISNUMBER(AZ175),ISNUMBER(AU175)),IFERROR(AZ175/AU175-1,""),"")</f>
        <v>0.181818181818182</v>
      </c>
      <c r="BA176" s="25" t="n">
        <f aca="false">IF(AND(ISNUMBER(BA175),ISNUMBER(AV175)),IFERROR(BA175/AV175-1,""),"")</f>
        <v>0.181818181818182</v>
      </c>
      <c r="BB176" s="25" t="n">
        <f aca="false">IF(AND(ISNUMBER(BB175),ISNUMBER(AW175)),IFERROR(BB175/AW175-1,""),"")</f>
        <v>0.181818181818182</v>
      </c>
      <c r="BC176" s="25" t="n">
        <f aca="false">IF(AND(ISNUMBER(BC175),ISNUMBER(AX175)),IFERROR(BC175/AX175-1,""),"")</f>
        <v>0.153846153846154</v>
      </c>
      <c r="BD176" s="25" t="n">
        <f aca="false">IF(AND(ISNUMBER(BD175),ISNUMBER(AY175)),IFERROR(BD175/AY175-1,""),"")</f>
        <v>0.153846153846154</v>
      </c>
      <c r="BE176" s="25" t="n">
        <f aca="false">IF(AND(ISNUMBER(BE175),ISNUMBER(AZ175)),IFERROR(BE175/AZ175-1,""),"")</f>
        <v>0.153846153846154</v>
      </c>
      <c r="BF176" s="25" t="n">
        <f aca="false">IF(AND(ISNUMBER(BF175),ISNUMBER(BA175)),IFERROR(BF175/BA175-1,""),"")</f>
        <v>0.153846153846154</v>
      </c>
      <c r="BG176" s="25" t="n">
        <f aca="false">IF(AND(ISNUMBER(BG175),ISNUMBER(BB175)),IFERROR(BG175/BB175-1,""),"")</f>
        <v>0.153846153846154</v>
      </c>
      <c r="BH176" s="25" t="n">
        <f aca="false">IF(AND(ISNUMBER(BH175),ISNUMBER(BC175)),IFERROR(BH175/BC175-1,""),"")</f>
        <v>0.166666666666667</v>
      </c>
      <c r="BI176" s="25" t="n">
        <f aca="false">IF(AND(ISNUMBER(BI175),ISNUMBER(BD175)),IFERROR(BI175/BD175-1,""),"")</f>
        <v>0.166666666666667</v>
      </c>
      <c r="BJ176" s="25" t="n">
        <f aca="false">IF(AND(ISNUMBER(BJ175),ISNUMBER(BE175)),IFERROR(BJ175/BE175-1,""),"")</f>
        <v>0.166666666666667</v>
      </c>
      <c r="BK176" s="25" t="n">
        <f aca="false">IF(AND(ISNUMBER(BK175),ISNUMBER(BF175)),IFERROR(BK175/BF175-1,""),"")</f>
        <v>0.166666666666667</v>
      </c>
      <c r="BL176" s="25" t="n">
        <f aca="false">IF(AND(ISNUMBER(BL175),ISNUMBER(BG175)),IFERROR(BL175/BG175-1,""),"")</f>
        <v>0.166666666666667</v>
      </c>
      <c r="BM176" s="25" t="n">
        <f aca="false">IF(AND(ISNUMBER(BM175),ISNUMBER(BH175)),IFERROR(BM175/BH175-1,""),"")</f>
        <v>0.114285714285714</v>
      </c>
      <c r="BN176" s="25" t="n">
        <f aca="false">IF(AND(ISNUMBER(BN175),ISNUMBER(BI175)),IFERROR(BN175/BI175-1,""),"")</f>
        <v>0.114285714285714</v>
      </c>
      <c r="BO176" s="25" t="n">
        <f aca="false">IF(AND(ISNUMBER(BO175),ISNUMBER(BJ175)),IFERROR(BO175/BJ175-1,""),"")</f>
        <v>0.114285714285714</v>
      </c>
      <c r="BP176" s="25" t="n">
        <f aca="false">IF(AND(ISNUMBER(BP175),ISNUMBER(BK175)),IFERROR(BP175/BK175-1,""),"")</f>
        <v>0.114285714285714</v>
      </c>
      <c r="BQ176" s="25" t="n">
        <f aca="false">IF(AND(ISNUMBER(BQ175),ISNUMBER(BL175)),IFERROR(BQ175/BL175-1,""),"")</f>
        <v>0.114285714285714</v>
      </c>
      <c r="BR176" s="25" t="n">
        <f aca="false">IF(AND(ISNUMBER(BR175),ISNUMBER(BM175)),IFERROR(BR175/BM175-1,""),"")</f>
        <v>0.102564102564102</v>
      </c>
      <c r="BS176" s="25" t="n">
        <f aca="false">IF(AND(ISNUMBER(BS175),ISNUMBER(BN175)),IFERROR(BS175/BN175-1,""),"")</f>
        <v>0.102564102564102</v>
      </c>
      <c r="BT176" s="25" t="n">
        <f aca="false">IF(AND(ISNUMBER(BT175),ISNUMBER(BO175)),IFERROR(BT175/BO175-1,""),"")</f>
        <v>0.102564102564102</v>
      </c>
      <c r="BU176" s="25" t="n">
        <f aca="false">IF(AND(ISNUMBER(BU175),ISNUMBER(BP175)),IFERROR(BU175/BP175-1,""),"")</f>
        <v>0.102564102564102</v>
      </c>
      <c r="BV176" s="25" t="n">
        <f aca="false">IF(AND(ISNUMBER(BV175),ISNUMBER(BQ175)),IFERROR(BV175/BQ175-1,""),"")</f>
        <v>0.102564102564102</v>
      </c>
      <c r="BW176" s="25" t="n">
        <f aca="false">IF(AND(ISNUMBER(BW175),ISNUMBER(BR175)),IFERROR(BW175/BR175-1,""),"")</f>
        <v>0.0930232558139534</v>
      </c>
      <c r="BX176" s="25" t="n">
        <f aca="false">IF(AND(ISNUMBER(BX175),ISNUMBER(BS175)),IFERROR(BX175/BS175-1,""),"")</f>
        <v>0.0930232558139534</v>
      </c>
      <c r="BY176" s="29"/>
      <c r="BZ176" s="29"/>
      <c r="CA176" s="26" t="n">
        <f aca="false">IFERROR(CA175/BV175-1,"")</f>
        <v>0.0930232558139534</v>
      </c>
      <c r="CB176" s="31" t="n">
        <v>0.1</v>
      </c>
      <c r="CC176" s="31" t="n">
        <v>0.1</v>
      </c>
      <c r="CD176" s="31" t="n">
        <v>0.1</v>
      </c>
      <c r="CE176" s="31" t="n">
        <v>0.1</v>
      </c>
      <c r="CF176" s="21"/>
    </row>
    <row r="178" customFormat="false" ht="15" hidden="false" customHeight="false" outlineLevel="0" collapsed="false">
      <c r="B178" s="11" t="s">
        <v>336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 t="s">
        <v>337</v>
      </c>
    </row>
    <row r="179" customFormat="false" ht="15" hidden="false" customHeight="false" outlineLevel="0" collapsed="false">
      <c r="B179" s="17" t="s">
        <v>338</v>
      </c>
      <c r="C179" s="63" t="n">
        <f aca="false">C145</f>
        <v>241.959</v>
      </c>
      <c r="D179" s="63" t="n">
        <f aca="false">D145</f>
        <v>974.399999999998</v>
      </c>
      <c r="E179" s="63" t="n">
        <f aca="false">E145</f>
        <v>1229.4</v>
      </c>
      <c r="F179" s="63" t="n">
        <f aca="false">F145</f>
        <v>1048.9</v>
      </c>
      <c r="G179" s="63" t="n">
        <f aca="false">G145</f>
        <v>1264.9</v>
      </c>
      <c r="H179" s="63" t="n">
        <f aca="false">H145</f>
        <v>1245.2</v>
      </c>
      <c r="I179" s="63" t="n">
        <f aca="false">I145</f>
        <v>1482.1</v>
      </c>
      <c r="J179" s="63" t="n">
        <f aca="false">J145</f>
        <v>387.1</v>
      </c>
      <c r="K179" s="63" t="n">
        <f aca="false">K145</f>
        <v>375.4</v>
      </c>
      <c r="L179" s="63" t="n">
        <f aca="false">L145</f>
        <v>392.1</v>
      </c>
      <c r="M179" s="63" t="n">
        <f aca="false">M145</f>
        <v>455</v>
      </c>
      <c r="N179" s="63" t="n">
        <f aca="false">N145</f>
        <v>1609.6</v>
      </c>
      <c r="O179" s="63" t="n">
        <f aca="false">O145</f>
        <v>875.5</v>
      </c>
      <c r="P179" s="63" t="n">
        <f aca="false">P145</f>
        <v>348.1</v>
      </c>
      <c r="Q179" s="63" t="n">
        <f aca="false">Q145</f>
        <v>640.3</v>
      </c>
      <c r="R179" s="63" t="n">
        <f aca="false">R145</f>
        <v>639.1</v>
      </c>
      <c r="S179" s="63" t="n">
        <f aca="false">S145</f>
        <v>2503</v>
      </c>
      <c r="T179" s="63" t="n">
        <f aca="false">T145</f>
        <v>487.3</v>
      </c>
      <c r="U179" s="63" t="n">
        <f aca="false">U145</f>
        <v>595.799999999999</v>
      </c>
      <c r="V179" s="63" t="n">
        <f aca="false">V145</f>
        <v>562.9</v>
      </c>
      <c r="W179" s="63" t="n">
        <f aca="false">W145</f>
        <v>690.199999999999</v>
      </c>
      <c r="X179" s="63" t="n">
        <f aca="false">X145</f>
        <v>2336.2</v>
      </c>
      <c r="Y179" s="63" t="n">
        <f aca="false">Y145</f>
        <v>517.9</v>
      </c>
      <c r="Z179" s="63" t="n">
        <f aca="false">Z145</f>
        <v>637.6</v>
      </c>
      <c r="AA179" s="63" t="n">
        <f aca="false">AA145</f>
        <v>541.1</v>
      </c>
      <c r="AB179" s="63" t="n">
        <f aca="false">AB145</f>
        <v>752.6</v>
      </c>
      <c r="AC179" s="63" t="n">
        <f aca="false">AC145</f>
        <v>2449.2</v>
      </c>
      <c r="AD179" s="63" t="n">
        <f aca="false">AD145</f>
        <v>622.400000000001</v>
      </c>
      <c r="AE179" s="63" t="n">
        <f aca="false">AE145</f>
        <v>751.5</v>
      </c>
      <c r="AF179" s="63" t="n">
        <f aca="false">AF145</f>
        <v>636.2</v>
      </c>
      <c r="AG179" s="63" t="n">
        <f aca="false">AG145</f>
        <v>958</v>
      </c>
      <c r="AH179" s="63" t="n">
        <f aca="false">AH145</f>
        <v>2968</v>
      </c>
      <c r="AI179" s="63" t="n">
        <f aca="false">AI145</f>
        <v>786</v>
      </c>
      <c r="AJ179" s="63" t="n">
        <f aca="false">AJ145</f>
        <v>937</v>
      </c>
      <c r="AK179" s="63" t="n">
        <f aca="false">AK145</f>
        <v>912</v>
      </c>
      <c r="AL179" s="63" t="n">
        <f aca="false">AL145</f>
        <v>1148</v>
      </c>
      <c r="AM179" s="63" t="n">
        <f aca="false">AM145</f>
        <v>3783</v>
      </c>
      <c r="AN179" s="63" t="n">
        <f aca="false">AN145</f>
        <v>920</v>
      </c>
      <c r="AO179" s="63" t="n">
        <f aca="false">AO145</f>
        <v>1496</v>
      </c>
      <c r="AP179" s="63" t="n">
        <f aca="false">AP145</f>
        <v>946</v>
      </c>
      <c r="AQ179" s="63" t="n">
        <f aca="false">AQ145</f>
        <v>1232</v>
      </c>
      <c r="AR179" s="63" t="n">
        <f aca="false">AR145</f>
        <v>4594</v>
      </c>
      <c r="AS179" s="63" t="n">
        <f aca="false">AS145</f>
        <v>906</v>
      </c>
      <c r="AT179" s="63" t="n">
        <f aca="false">AT145</f>
        <v>1391</v>
      </c>
      <c r="AU179" s="63" t="n">
        <f aca="false">AU145</f>
        <v>2426</v>
      </c>
      <c r="AV179" s="63" t="n">
        <f aca="false">AV145</f>
        <v>3071</v>
      </c>
      <c r="AW179" s="63" t="n">
        <f aca="false">AW145</f>
        <v>7794</v>
      </c>
      <c r="AX179" s="63" t="n">
        <f aca="false">AX145</f>
        <v>3049</v>
      </c>
      <c r="AY179" s="63" t="n">
        <f aca="false">AY145</f>
        <v>2163</v>
      </c>
      <c r="AZ179" s="63" t="n">
        <f aca="false">AZ145</f>
        <v>2278</v>
      </c>
      <c r="BA179" s="63" t="n">
        <f aca="false">BA145</f>
        <v>2538</v>
      </c>
      <c r="BB179" s="63" t="n">
        <f aca="false">BB145</f>
        <v>10028</v>
      </c>
      <c r="BC179" s="63" t="n">
        <f aca="false">BC145</f>
        <v>2821</v>
      </c>
      <c r="BD179" s="63" t="n">
        <f aca="false">BD145</f>
        <v>2001</v>
      </c>
      <c r="BE179" s="63" t="n">
        <f aca="false">BE145</f>
        <v>1710</v>
      </c>
      <c r="BF179" s="63" t="n">
        <f aca="false">BF145</f>
        <v>1861</v>
      </c>
      <c r="BG179" s="63" t="n">
        <f aca="false">BG145</f>
        <v>8393</v>
      </c>
      <c r="BH179" s="63" t="n">
        <f aca="false">BH145</f>
        <v>1563</v>
      </c>
      <c r="BI179" s="63" t="n">
        <f aca="false">BI145</f>
        <v>1578</v>
      </c>
      <c r="BJ179" s="63" t="n">
        <f aca="false">BJ145</f>
        <v>1864</v>
      </c>
      <c r="BK179" s="63" t="n">
        <f aca="false">BK145</f>
        <v>1854</v>
      </c>
      <c r="BL179" s="63" t="n">
        <f aca="false">BL145</f>
        <v>6859</v>
      </c>
      <c r="BM179" s="63" t="n">
        <f aca="false">BM145</f>
        <v>1663</v>
      </c>
      <c r="BN179" s="63" t="n">
        <f aca="false">BN145</f>
        <v>1819</v>
      </c>
      <c r="BO179" s="63" t="n">
        <f aca="false">BO145</f>
        <v>1838</v>
      </c>
      <c r="BP179" s="63" t="n">
        <f aca="false">BP145</f>
        <v>2017</v>
      </c>
      <c r="BQ179" s="63" t="n">
        <f aca="false">BQ145</f>
        <v>7337</v>
      </c>
      <c r="BR179" s="63" t="n">
        <f aca="false">BR145</f>
        <v>1718</v>
      </c>
      <c r="BS179" s="63" t="n">
        <f aca="false">BS145</f>
        <v>1835</v>
      </c>
      <c r="BT179" s="63" t="n">
        <f aca="false">BT145</f>
        <v>1941</v>
      </c>
      <c r="BU179" s="63" t="n">
        <f aca="false">BU145</f>
        <v>2256</v>
      </c>
      <c r="BV179" s="63" t="n">
        <f aca="false">BV145</f>
        <v>7747</v>
      </c>
      <c r="BW179" s="63" t="n">
        <f aca="false">BW145</f>
        <v>1863</v>
      </c>
      <c r="BX179" s="63" t="n">
        <f aca="false">BX145</f>
        <v>2087</v>
      </c>
      <c r="BY179" s="20" t="n">
        <f aca="false">BY145</f>
        <v>2514.2599807075</v>
      </c>
      <c r="BZ179" s="20" t="n">
        <f aca="false">BZ145</f>
        <v>2534.9900192925</v>
      </c>
      <c r="CA179" s="20" t="n">
        <f aca="false">CA145</f>
        <v>8999.25</v>
      </c>
      <c r="CB179" s="20" t="n">
        <f aca="false">CB145</f>
        <v>9622.76348385106</v>
      </c>
      <c r="CC179" s="20" t="n">
        <f aca="false">CC145</f>
        <v>10677.8671657559</v>
      </c>
      <c r="CD179" s="20" t="n">
        <f aca="false">CD145</f>
        <v>11903.5026657212</v>
      </c>
      <c r="CE179" s="20" t="n">
        <f aca="false">CE145</f>
        <v>13396.895346399</v>
      </c>
      <c r="CF179" s="21"/>
    </row>
    <row r="180" customFormat="false" ht="15" hidden="false" customHeight="false" outlineLevel="0" collapsed="false">
      <c r="B180" s="23" t="s">
        <v>339</v>
      </c>
      <c r="C180" s="37" t="n">
        <v>77.625</v>
      </c>
      <c r="D180" s="37" t="n">
        <v>49.2</v>
      </c>
      <c r="E180" s="37" t="n">
        <v>1.5</v>
      </c>
      <c r="F180" s="37" t="n">
        <v>6.7</v>
      </c>
      <c r="G180" s="37" t="n">
        <v>16</v>
      </c>
      <c r="H180" s="37" t="n">
        <v>72.8</v>
      </c>
      <c r="I180" s="37" t="n">
        <v>55.6</v>
      </c>
      <c r="J180" s="37" t="n">
        <v>13.2</v>
      </c>
      <c r="K180" s="37" t="n">
        <v>13.1</v>
      </c>
      <c r="L180" s="37" t="n">
        <v>0.9</v>
      </c>
      <c r="M180" s="37" t="n">
        <v>1.4</v>
      </c>
      <c r="N180" s="37" t="n">
        <v>28.6</v>
      </c>
      <c r="O180" s="37" t="n">
        <v>168.5</v>
      </c>
      <c r="P180" s="37" t="n">
        <v>156.1</v>
      </c>
      <c r="Q180" s="37" t="n">
        <v>2.1</v>
      </c>
      <c r="R180" s="37" t="n">
        <v>0.9</v>
      </c>
      <c r="S180" s="37" t="n">
        <v>327.6</v>
      </c>
      <c r="T180" s="37" t="n">
        <v>0.6</v>
      </c>
      <c r="U180" s="37" t="n">
        <v>1.1</v>
      </c>
      <c r="V180" s="37" t="n">
        <v>0.8</v>
      </c>
      <c r="W180" s="37" t="n">
        <v>6.6</v>
      </c>
      <c r="X180" s="37" t="n">
        <v>9.1</v>
      </c>
      <c r="Y180" s="37" t="n">
        <v>10.6</v>
      </c>
      <c r="Z180" s="37" t="n">
        <v>17.4</v>
      </c>
      <c r="AA180" s="37" t="n">
        <v>32.4</v>
      </c>
      <c r="AB180" s="37" t="n">
        <v>41.1</v>
      </c>
      <c r="AC180" s="37" t="n">
        <v>101.5</v>
      </c>
      <c r="AD180" s="37" t="n">
        <v>30.9</v>
      </c>
      <c r="AE180" s="37" t="n">
        <v>0.7</v>
      </c>
      <c r="AF180" s="37" t="n">
        <v>45.1</v>
      </c>
      <c r="AG180" s="37" t="n">
        <v>46</v>
      </c>
      <c r="AH180" s="37" t="n">
        <v>123</v>
      </c>
      <c r="AI180" s="37" t="n">
        <v>3</v>
      </c>
      <c r="AJ180" s="37" t="n">
        <v>5</v>
      </c>
      <c r="AK180" s="37" t="n">
        <v>-1</v>
      </c>
      <c r="AL180" s="37" t="n">
        <v>5</v>
      </c>
      <c r="AM180" s="37" t="n">
        <v>12</v>
      </c>
      <c r="AN180" s="37" t="n">
        <v>6</v>
      </c>
      <c r="AO180" s="37" t="n">
        <v>5</v>
      </c>
      <c r="AP180" s="37" t="n">
        <v>5</v>
      </c>
      <c r="AQ180" s="37" t="n">
        <v>1</v>
      </c>
      <c r="AR180" s="37" t="n">
        <v>17</v>
      </c>
      <c r="AS180" s="37" t="n">
        <v>2</v>
      </c>
      <c r="AT180" s="37" t="n">
        <v>2</v>
      </c>
      <c r="AU180" s="37" t="n">
        <v>1</v>
      </c>
      <c r="AV180" s="37" t="n">
        <v>1</v>
      </c>
      <c r="AW180" s="37" t="n">
        <v>6</v>
      </c>
      <c r="AX180" s="37" t="n">
        <v>8</v>
      </c>
      <c r="AY180" s="37" t="n">
        <v>0</v>
      </c>
      <c r="AZ180" s="37" t="n">
        <v>0</v>
      </c>
      <c r="BA180" s="37" t="n">
        <v>0</v>
      </c>
      <c r="BB180" s="37" t="n">
        <v>8</v>
      </c>
      <c r="BC180" s="37" t="n">
        <v>11</v>
      </c>
      <c r="BD180" s="37" t="n">
        <v>8</v>
      </c>
      <c r="BE180" s="37" t="n">
        <v>22</v>
      </c>
      <c r="BF180" s="37" t="n">
        <v>5</v>
      </c>
      <c r="BG180" s="37" t="n">
        <v>46</v>
      </c>
      <c r="BH180" s="37" t="n">
        <v>41</v>
      </c>
      <c r="BI180" s="37" t="n">
        <v>18</v>
      </c>
      <c r="BJ180" s="37" t="n">
        <v>14</v>
      </c>
      <c r="BK180" s="37" t="n">
        <v>22</v>
      </c>
      <c r="BL180" s="37" t="n">
        <v>95</v>
      </c>
      <c r="BM180" s="37" t="n">
        <v>15</v>
      </c>
      <c r="BN180" s="37" t="n">
        <v>1</v>
      </c>
      <c r="BO180" s="37" t="n">
        <v>9</v>
      </c>
      <c r="BP180" s="37" t="n">
        <v>22</v>
      </c>
      <c r="BQ180" s="37" t="n">
        <v>47</v>
      </c>
      <c r="BR180" s="37" t="n">
        <v>11</v>
      </c>
      <c r="BS180" s="37" t="n">
        <v>10</v>
      </c>
      <c r="BT180" s="37" t="n">
        <v>10</v>
      </c>
      <c r="BU180" s="37" t="n">
        <v>33</v>
      </c>
      <c r="BV180" s="37" t="n">
        <v>64</v>
      </c>
      <c r="BW180" s="37" t="n">
        <v>14</v>
      </c>
      <c r="BX180" s="37" t="n">
        <v>28</v>
      </c>
      <c r="BY180" s="42" t="n">
        <v>20</v>
      </c>
      <c r="BZ180" s="42" t="n">
        <v>20</v>
      </c>
      <c r="CA180" s="44" t="n">
        <f aca="false">SUM(BW180,BX180,BY180,BZ180)</f>
        <v>82</v>
      </c>
      <c r="CB180" s="42" t="n">
        <v>50</v>
      </c>
      <c r="CC180" s="42" t="n">
        <v>50</v>
      </c>
      <c r="CD180" s="42" t="n">
        <v>50</v>
      </c>
      <c r="CE180" s="42" t="n">
        <v>50</v>
      </c>
      <c r="CF180" s="21" t="s">
        <v>340</v>
      </c>
    </row>
    <row r="181" customFormat="false" ht="15" hidden="false" customHeight="false" outlineLevel="0" collapsed="false">
      <c r="B181" s="23" t="s">
        <v>341</v>
      </c>
      <c r="C181" s="37" t="n">
        <v>0</v>
      </c>
      <c r="D181" s="37" t="n">
        <v>0</v>
      </c>
      <c r="E181" s="37" t="n">
        <v>0</v>
      </c>
      <c r="F181" s="37" t="n">
        <v>1.5</v>
      </c>
      <c r="G181" s="37" t="n">
        <v>3</v>
      </c>
      <c r="H181" s="37" t="n">
        <v>61.5</v>
      </c>
      <c r="I181" s="37" t="n">
        <v>12.5</v>
      </c>
      <c r="J181" s="37" t="n">
        <v>1.3</v>
      </c>
      <c r="K181" s="37" t="n">
        <v>22.6</v>
      </c>
      <c r="L181" s="37" t="n">
        <v>24</v>
      </c>
      <c r="M181" s="37" t="n">
        <v>25.6</v>
      </c>
      <c r="N181" s="37" t="n">
        <v>73.5</v>
      </c>
      <c r="O181" s="37" t="n">
        <v>82.8</v>
      </c>
      <c r="P181" s="37" t="n">
        <v>14.9</v>
      </c>
      <c r="Q181" s="37" t="n">
        <v>20.3</v>
      </c>
      <c r="R181" s="37" t="n">
        <v>12.7</v>
      </c>
      <c r="S181" s="37" t="n">
        <v>130.7</v>
      </c>
      <c r="T181" s="37" t="n">
        <v>7.6</v>
      </c>
      <c r="U181" s="37" t="n">
        <v>3.2</v>
      </c>
      <c r="V181" s="37" t="n">
        <v>24.6</v>
      </c>
      <c r="W181" s="37" t="n">
        <v>10.9</v>
      </c>
      <c r="X181" s="37" t="n">
        <v>46.3</v>
      </c>
      <c r="Y181" s="37" t="n">
        <v>28.9</v>
      </c>
      <c r="Z181" s="37" t="n">
        <v>3.8</v>
      </c>
      <c r="AA181" s="37" t="n">
        <v>62.5</v>
      </c>
      <c r="AB181" s="37" t="n">
        <v>8.7</v>
      </c>
      <c r="AC181" s="37" t="n">
        <v>103.9</v>
      </c>
      <c r="AD181" s="37" t="n">
        <v>31.5</v>
      </c>
      <c r="AE181" s="37" t="n">
        <v>6.8</v>
      </c>
      <c r="AF181" s="37" t="n">
        <v>36.4</v>
      </c>
      <c r="AG181" s="37" t="n">
        <v>3</v>
      </c>
      <c r="AH181" s="37" t="n">
        <v>78</v>
      </c>
      <c r="AI181" s="37" t="n">
        <v>8</v>
      </c>
      <c r="AJ181" s="37" t="n">
        <v>3</v>
      </c>
      <c r="AK181" s="37" t="n">
        <v>-4</v>
      </c>
      <c r="AL181" s="37" t="n">
        <v>22</v>
      </c>
      <c r="AM181" s="37" t="n">
        <v>29</v>
      </c>
      <c r="AN181" s="37" t="n">
        <v>11</v>
      </c>
      <c r="AO181" s="37" t="n">
        <v>36</v>
      </c>
      <c r="AP181" s="37" t="n">
        <v>7</v>
      </c>
      <c r="AQ181" s="37" t="n">
        <v>8</v>
      </c>
      <c r="AR181" s="37" t="n">
        <v>62</v>
      </c>
      <c r="AS181" s="37" t="n">
        <v>6</v>
      </c>
      <c r="AT181" s="37" t="n">
        <v>42</v>
      </c>
      <c r="AU181" s="37" t="n">
        <v>-55</v>
      </c>
      <c r="AV181" s="37" t="n">
        <v>-3</v>
      </c>
      <c r="AW181" s="37" t="n">
        <v>-10</v>
      </c>
      <c r="AX181" s="37" t="n">
        <v>16</v>
      </c>
      <c r="AY181" s="37" t="n">
        <v>-42</v>
      </c>
      <c r="AZ181" s="37" t="n">
        <v>59</v>
      </c>
      <c r="BA181" s="37" t="n">
        <v>111</v>
      </c>
      <c r="BB181" s="37" t="n">
        <v>144</v>
      </c>
      <c r="BC181" s="37" t="n">
        <v>7</v>
      </c>
      <c r="BD181" s="37" t="n">
        <v>-28</v>
      </c>
      <c r="BE181" s="37" t="n">
        <v>11</v>
      </c>
      <c r="BF181" s="37" t="n">
        <v>47</v>
      </c>
      <c r="BG181" s="37" t="n">
        <v>37</v>
      </c>
      <c r="BH181" s="37" t="n">
        <v>8</v>
      </c>
      <c r="BI181" s="37" t="n">
        <v>6</v>
      </c>
      <c r="BJ181" s="37" t="n">
        <v>14</v>
      </c>
      <c r="BK181" s="37" t="n">
        <v>31</v>
      </c>
      <c r="BL181" s="37" t="n">
        <v>59</v>
      </c>
      <c r="BM181" s="37" t="n">
        <v>19</v>
      </c>
      <c r="BN181" s="37" t="n">
        <v>-64</v>
      </c>
      <c r="BO181" s="37" t="n">
        <v>21</v>
      </c>
      <c r="BP181" s="37" t="n">
        <v>16</v>
      </c>
      <c r="BQ181" s="37" t="n">
        <v>-8</v>
      </c>
      <c r="BR181" s="37" t="n">
        <v>14</v>
      </c>
      <c r="BS181" s="37" t="n">
        <v>20</v>
      </c>
      <c r="BT181" s="37" t="n">
        <v>66</v>
      </c>
      <c r="BU181" s="37" t="n">
        <v>107</v>
      </c>
      <c r="BV181" s="37" t="n">
        <v>207</v>
      </c>
      <c r="BW181" s="37" t="n">
        <v>43</v>
      </c>
      <c r="BX181" s="37" t="n">
        <v>36</v>
      </c>
      <c r="BY181" s="42" t="n">
        <v>40</v>
      </c>
      <c r="BZ181" s="42" t="n">
        <v>40</v>
      </c>
      <c r="CA181" s="44" t="n">
        <f aca="false">SUM(BW181,BX181,BY181,BZ181)</f>
        <v>159</v>
      </c>
      <c r="CB181" s="42" t="n">
        <v>120</v>
      </c>
      <c r="CC181" s="42" t="n">
        <v>100</v>
      </c>
      <c r="CD181" s="42" t="n">
        <v>100</v>
      </c>
      <c r="CE181" s="42" t="n">
        <v>100</v>
      </c>
      <c r="CF181" s="21" t="s">
        <v>342</v>
      </c>
    </row>
    <row r="182" customFormat="false" ht="15" hidden="false" customHeight="false" outlineLevel="0" collapsed="false">
      <c r="B182" s="23" t="s">
        <v>343</v>
      </c>
      <c r="C182" s="37" t="n">
        <v>45.712</v>
      </c>
      <c r="D182" s="37" t="n">
        <v>42.2</v>
      </c>
      <c r="E182" s="37" t="n">
        <v>35.4</v>
      </c>
      <c r="F182" s="37" t="n">
        <v>60.8</v>
      </c>
      <c r="G182" s="37" t="n">
        <v>60.4</v>
      </c>
      <c r="H182" s="37" t="n">
        <v>100.4</v>
      </c>
      <c r="I182" s="37" t="n">
        <v>82.1</v>
      </c>
      <c r="J182" s="37" t="n">
        <v>21.5</v>
      </c>
      <c r="K182" s="37" t="n">
        <v>21.5</v>
      </c>
      <c r="L182" s="37" t="n">
        <v>11.4</v>
      </c>
      <c r="M182" s="37" t="n">
        <v>23.3</v>
      </c>
      <c r="N182" s="37" t="n">
        <v>77.7</v>
      </c>
      <c r="O182" s="37" t="n">
        <v>-582.2</v>
      </c>
      <c r="P182" s="37" t="n">
        <v>60.9</v>
      </c>
      <c r="Q182" s="37" t="n">
        <v>-110.6</v>
      </c>
      <c r="R182" s="37" t="n">
        <v>33.7</v>
      </c>
      <c r="S182" s="37" t="n">
        <v>-598.2</v>
      </c>
      <c r="T182" s="37" t="n">
        <v>32</v>
      </c>
      <c r="U182" s="37" t="n">
        <v>20.4</v>
      </c>
      <c r="V182" s="37" t="n">
        <v>15.5</v>
      </c>
      <c r="W182" s="37" t="n">
        <v>47.4</v>
      </c>
      <c r="X182" s="37" t="n">
        <v>115.3</v>
      </c>
      <c r="Y182" s="37" t="n">
        <v>50.6</v>
      </c>
      <c r="Z182" s="37" t="n">
        <v>35.4</v>
      </c>
      <c r="AA182" s="37" t="n">
        <v>54.9</v>
      </c>
      <c r="AB182" s="37" t="n">
        <v>48.3</v>
      </c>
      <c r="AC182" s="37" t="n">
        <v>189.2</v>
      </c>
      <c r="AD182" s="37" t="n">
        <v>23.5</v>
      </c>
      <c r="AE182" s="37" t="n">
        <v>22.5</v>
      </c>
      <c r="AF182" s="37" t="n">
        <v>49.1</v>
      </c>
      <c r="AG182" s="37" t="n">
        <v>2</v>
      </c>
      <c r="AH182" s="37" t="n">
        <v>97</v>
      </c>
      <c r="AI182" s="37" t="n">
        <v>45</v>
      </c>
      <c r="AJ182" s="37" t="n">
        <v>17</v>
      </c>
      <c r="AK182" s="37" t="n">
        <v>-27</v>
      </c>
      <c r="AL182" s="37" t="n">
        <v>15</v>
      </c>
      <c r="AM182" s="37" t="n">
        <v>50</v>
      </c>
      <c r="AN182" s="37" t="n">
        <v>11</v>
      </c>
      <c r="AO182" s="37" t="n">
        <v>-484</v>
      </c>
      <c r="AP182" s="37" t="n">
        <v>31</v>
      </c>
      <c r="AQ182" s="37" t="n">
        <v>29</v>
      </c>
      <c r="AR182" s="37" t="n">
        <v>-413</v>
      </c>
      <c r="AS182" s="37" t="n">
        <v>38</v>
      </c>
      <c r="AT182" s="37" t="n">
        <v>12</v>
      </c>
      <c r="AU182" s="37" t="n">
        <v>17</v>
      </c>
      <c r="AV182" s="37" t="n">
        <v>32</v>
      </c>
      <c r="AW182" s="37" t="n">
        <v>99</v>
      </c>
      <c r="AX182" s="37" t="n">
        <v>14</v>
      </c>
      <c r="AY182" s="37" t="n">
        <v>119</v>
      </c>
      <c r="AZ182" s="37" t="n">
        <v>18</v>
      </c>
      <c r="BA182" s="37" t="n">
        <v>46</v>
      </c>
      <c r="BB182" s="37" t="n">
        <v>197</v>
      </c>
      <c r="BC182" s="37" t="n">
        <v>2</v>
      </c>
      <c r="BD182" s="37" t="n">
        <v>24</v>
      </c>
      <c r="BE182" s="37" t="n">
        <v>33</v>
      </c>
      <c r="BF182" s="37" t="n">
        <v>55</v>
      </c>
      <c r="BG182" s="37" t="n">
        <v>114</v>
      </c>
      <c r="BH182" s="37" t="n">
        <v>112</v>
      </c>
      <c r="BI182" s="37" t="n">
        <v>183</v>
      </c>
      <c r="BJ182" s="37" t="n">
        <v>84</v>
      </c>
      <c r="BK182" s="37" t="n">
        <v>80</v>
      </c>
      <c r="BL182" s="37" t="n">
        <v>459</v>
      </c>
      <c r="BM182" s="37" t="n">
        <v>29</v>
      </c>
      <c r="BN182" s="37" t="n">
        <v>77</v>
      </c>
      <c r="BO182" s="37" t="n">
        <v>45</v>
      </c>
      <c r="BP182" s="37" t="n">
        <v>228</v>
      </c>
      <c r="BQ182" s="37" t="n">
        <v>379</v>
      </c>
      <c r="BR182" s="37" t="n">
        <v>98</v>
      </c>
      <c r="BS182" s="37" t="n">
        <v>82</v>
      </c>
      <c r="BT182" s="37" t="n">
        <v>135</v>
      </c>
      <c r="BU182" s="37" t="n">
        <v>46</v>
      </c>
      <c r="BV182" s="37" t="n">
        <v>362</v>
      </c>
      <c r="BW182" s="37" t="n">
        <v>49</v>
      </c>
      <c r="BX182" s="37" t="n">
        <v>98</v>
      </c>
      <c r="BY182" s="44" t="n">
        <f aca="false">BY143</f>
        <v>-128</v>
      </c>
      <c r="BZ182" s="44" t="n">
        <f aca="false">BZ143</f>
        <v>75</v>
      </c>
      <c r="CA182" s="44" t="n">
        <f aca="false">SUM(BW182,BX182,BY182,BZ182)</f>
        <v>94</v>
      </c>
      <c r="CB182" s="44" t="n">
        <f aca="false">CB143</f>
        <v>303.983095236297</v>
      </c>
      <c r="CC182" s="44" t="n">
        <f aca="false">CC143</f>
        <v>327.018189759266</v>
      </c>
      <c r="CD182" s="44" t="n">
        <f aca="false">CD143</f>
        <v>351.79483841372</v>
      </c>
      <c r="CE182" s="44" t="n">
        <f aca="false">CE143</f>
        <v>378.081926095038</v>
      </c>
      <c r="CF182" s="21"/>
    </row>
    <row r="183" customFormat="false" ht="15" hidden="false" customHeight="false" outlineLevel="0" collapsed="false">
      <c r="B183" s="23" t="s">
        <v>344</v>
      </c>
      <c r="C183" s="37" t="n">
        <v>170.826</v>
      </c>
      <c r="D183" s="37" t="n">
        <v>571.1</v>
      </c>
      <c r="E183" s="37" t="n">
        <v>602.8</v>
      </c>
      <c r="F183" s="37" t="n">
        <v>597</v>
      </c>
      <c r="G183" s="37" t="n">
        <v>571.7</v>
      </c>
      <c r="H183" s="37" t="n">
        <v>647.9</v>
      </c>
      <c r="I183" s="37" t="n">
        <v>747.6</v>
      </c>
      <c r="J183" s="37" t="n">
        <v>192</v>
      </c>
      <c r="K183" s="37" t="n">
        <v>191.2</v>
      </c>
      <c r="L183" s="37" t="n">
        <v>191</v>
      </c>
      <c r="M183" s="37" t="n">
        <v>188.9</v>
      </c>
      <c r="N183" s="37" t="n">
        <v>763.1</v>
      </c>
      <c r="O183" s="37" t="n">
        <v>285.9</v>
      </c>
      <c r="P183" s="37" t="n">
        <v>343.6</v>
      </c>
      <c r="Q183" s="37" t="n">
        <v>362.9</v>
      </c>
      <c r="R183" s="37" t="n">
        <v>339.3</v>
      </c>
      <c r="S183" s="37" t="n">
        <v>1331.7</v>
      </c>
      <c r="T183" s="37" t="n">
        <v>329.1</v>
      </c>
      <c r="U183" s="37" t="n">
        <v>329.8</v>
      </c>
      <c r="V183" s="37" t="n">
        <v>329.9</v>
      </c>
      <c r="W183" s="37" t="n">
        <v>326</v>
      </c>
      <c r="X183" s="37" t="n">
        <v>1314.8</v>
      </c>
      <c r="Y183" s="37" t="n">
        <v>322</v>
      </c>
      <c r="Z183" s="37" t="n">
        <v>338</v>
      </c>
      <c r="AA183" s="37" t="n">
        <v>341.6</v>
      </c>
      <c r="AB183" s="37" t="n">
        <v>376.4</v>
      </c>
      <c r="AC183" s="37" t="n">
        <v>1378</v>
      </c>
      <c r="AD183" s="37" t="n">
        <v>367.5</v>
      </c>
      <c r="AE183" s="37" t="n">
        <v>380.9</v>
      </c>
      <c r="AF183" s="37" t="n">
        <v>405</v>
      </c>
      <c r="AG183" s="37" t="n">
        <v>441</v>
      </c>
      <c r="AH183" s="37" t="n">
        <v>1594</v>
      </c>
      <c r="AI183" s="37" t="n">
        <v>444</v>
      </c>
      <c r="AJ183" s="37" t="n">
        <v>441</v>
      </c>
      <c r="AK183" s="37" t="n">
        <v>431</v>
      </c>
      <c r="AL183" s="37" t="n">
        <v>425</v>
      </c>
      <c r="AM183" s="37" t="n">
        <v>1741</v>
      </c>
      <c r="AN183" s="37" t="n">
        <v>422</v>
      </c>
      <c r="AO183" s="37" t="n">
        <v>429</v>
      </c>
      <c r="AP183" s="37" t="n">
        <v>434</v>
      </c>
      <c r="AQ183" s="37" t="n">
        <v>428</v>
      </c>
      <c r="AR183" s="37" t="n">
        <v>1713</v>
      </c>
      <c r="AS183" s="37" t="n">
        <v>425</v>
      </c>
      <c r="AT183" s="37" t="n">
        <v>417</v>
      </c>
      <c r="AU183" s="37" t="n">
        <v>414</v>
      </c>
      <c r="AV183" s="37" t="n">
        <v>411</v>
      </c>
      <c r="AW183" s="37" t="n">
        <v>1667</v>
      </c>
      <c r="AX183" s="37" t="n">
        <v>423</v>
      </c>
      <c r="AY183" s="37" t="n">
        <v>449</v>
      </c>
      <c r="AZ183" s="37" t="n">
        <v>423</v>
      </c>
      <c r="BA183" s="37" t="n">
        <v>466</v>
      </c>
      <c r="BB183" s="37" t="n">
        <v>1761</v>
      </c>
      <c r="BC183" s="37" t="n">
        <v>609</v>
      </c>
      <c r="BD183" s="37" t="n">
        <v>600</v>
      </c>
      <c r="BE183" s="37" t="n">
        <v>594</v>
      </c>
      <c r="BF183" s="37" t="n">
        <v>592</v>
      </c>
      <c r="BG183" s="37" t="n">
        <v>2395</v>
      </c>
      <c r="BH183" s="37" t="n">
        <v>606</v>
      </c>
      <c r="BI183" s="37" t="n">
        <v>585</v>
      </c>
      <c r="BJ183" s="37" t="n">
        <v>584</v>
      </c>
      <c r="BK183" s="37" t="n">
        <v>563</v>
      </c>
      <c r="BL183" s="37" t="n">
        <v>2338</v>
      </c>
      <c r="BM183" s="37" t="n">
        <v>551</v>
      </c>
      <c r="BN183" s="37" t="n">
        <v>513</v>
      </c>
      <c r="BO183" s="37" t="n">
        <v>450</v>
      </c>
      <c r="BP183" s="37" t="n">
        <v>438</v>
      </c>
      <c r="BQ183" s="37" t="n">
        <v>1952</v>
      </c>
      <c r="BR183" s="37" t="n">
        <v>429</v>
      </c>
      <c r="BS183" s="37" t="n">
        <v>429</v>
      </c>
      <c r="BT183" s="37" t="n">
        <v>435</v>
      </c>
      <c r="BU183" s="37" t="n">
        <v>436</v>
      </c>
      <c r="BV183" s="37" t="n">
        <v>1730</v>
      </c>
      <c r="BW183" s="37" t="n">
        <v>430</v>
      </c>
      <c r="BX183" s="37" t="n">
        <v>485</v>
      </c>
      <c r="BY183" s="44" t="n">
        <f aca="false">BY141</f>
        <v>485</v>
      </c>
      <c r="BZ183" s="44" t="n">
        <f aca="false">BZ141</f>
        <v>485</v>
      </c>
      <c r="CA183" s="44" t="n">
        <f aca="false">SUM(BW183,BX183,BY183,BZ183)</f>
        <v>1885</v>
      </c>
      <c r="CB183" s="44" t="n">
        <f aca="false">CB141</f>
        <v>1988.04761904762</v>
      </c>
      <c r="CC183" s="44" t="n">
        <f aca="false">CC141</f>
        <v>2067.33333333333</v>
      </c>
      <c r="CD183" s="44" t="n">
        <f aca="false">CD141</f>
        <v>2060.74238095238</v>
      </c>
      <c r="CE183" s="44" t="n">
        <f aca="false">CE141</f>
        <v>1876.57142857143</v>
      </c>
      <c r="CF183" s="21"/>
    </row>
    <row r="184" customFormat="false" ht="15" hidden="false" customHeight="false" outlineLevel="0" collapsed="false">
      <c r="B184" s="23" t="s">
        <v>345</v>
      </c>
      <c r="C184" s="37" t="n">
        <v>36.747</v>
      </c>
      <c r="D184" s="37" t="n">
        <v>0</v>
      </c>
      <c r="E184" s="37" t="n">
        <v>0</v>
      </c>
      <c r="F184" s="37" t="n">
        <v>0</v>
      </c>
      <c r="G184" s="37" t="n">
        <v>0</v>
      </c>
      <c r="H184" s="37" t="n">
        <v>0</v>
      </c>
      <c r="I184" s="37" t="n">
        <v>0</v>
      </c>
      <c r="J184" s="37" t="n">
        <v>0</v>
      </c>
      <c r="K184" s="37" t="n">
        <v>0</v>
      </c>
      <c r="L184" s="37" t="n">
        <v>0</v>
      </c>
      <c r="M184" s="37" t="n">
        <v>0</v>
      </c>
      <c r="N184" s="37" t="n">
        <v>0</v>
      </c>
      <c r="O184" s="37" t="n">
        <v>0</v>
      </c>
      <c r="P184" s="37" t="n">
        <v>0</v>
      </c>
      <c r="Q184" s="37" t="n">
        <v>0</v>
      </c>
      <c r="R184" s="37" t="n">
        <v>0</v>
      </c>
      <c r="S184" s="37" t="n">
        <v>0</v>
      </c>
      <c r="T184" s="37" t="n">
        <v>0</v>
      </c>
      <c r="U184" s="37" t="n">
        <v>0</v>
      </c>
      <c r="V184" s="37" t="n">
        <v>0</v>
      </c>
      <c r="W184" s="37" t="n">
        <v>0</v>
      </c>
      <c r="X184" s="37" t="n">
        <v>0</v>
      </c>
      <c r="Y184" s="37" t="n">
        <v>0</v>
      </c>
      <c r="Z184" s="37" t="n">
        <v>0</v>
      </c>
      <c r="AA184" s="37" t="n">
        <v>0</v>
      </c>
      <c r="AB184" s="37" t="n">
        <v>0</v>
      </c>
      <c r="AC184" s="37" t="n">
        <v>0</v>
      </c>
      <c r="AD184" s="37" t="n">
        <v>0</v>
      </c>
      <c r="AE184" s="37" t="n">
        <v>0</v>
      </c>
      <c r="AF184" s="37" t="n">
        <v>0</v>
      </c>
      <c r="AG184" s="37" t="n">
        <v>0</v>
      </c>
      <c r="AH184" s="37" t="n">
        <v>0</v>
      </c>
      <c r="AI184" s="37" t="n">
        <v>0</v>
      </c>
      <c r="AJ184" s="37" t="n">
        <v>0</v>
      </c>
      <c r="AK184" s="37" t="n">
        <v>0</v>
      </c>
      <c r="AL184" s="37" t="n">
        <v>0</v>
      </c>
      <c r="AM184" s="37" t="n">
        <v>0</v>
      </c>
      <c r="AN184" s="37" t="n">
        <v>0</v>
      </c>
      <c r="AO184" s="37" t="n">
        <v>0</v>
      </c>
      <c r="AP184" s="37" t="n">
        <v>0</v>
      </c>
      <c r="AQ184" s="37" t="n">
        <v>0</v>
      </c>
      <c r="AR184" s="37" t="n">
        <v>0</v>
      </c>
      <c r="AS184" s="37" t="n">
        <v>0</v>
      </c>
      <c r="AT184" s="37" t="n">
        <v>0</v>
      </c>
      <c r="AU184" s="37" t="n">
        <v>0</v>
      </c>
      <c r="AV184" s="37" t="n">
        <v>0</v>
      </c>
      <c r="AW184" s="37" t="n">
        <v>0</v>
      </c>
      <c r="AX184" s="37" t="n">
        <v>0</v>
      </c>
      <c r="AY184" s="37" t="n">
        <v>0</v>
      </c>
      <c r="AZ184" s="37" t="n">
        <v>0</v>
      </c>
      <c r="BA184" s="37" t="n">
        <v>0</v>
      </c>
      <c r="BB184" s="37" t="n">
        <v>0</v>
      </c>
      <c r="BC184" s="37" t="n">
        <v>0</v>
      </c>
      <c r="BD184" s="37" t="n">
        <v>0</v>
      </c>
      <c r="BE184" s="37" t="n">
        <v>0</v>
      </c>
      <c r="BF184" s="37" t="n">
        <v>0</v>
      </c>
      <c r="BG184" s="37" t="n">
        <v>0</v>
      </c>
      <c r="BH184" s="37" t="n">
        <v>0</v>
      </c>
      <c r="BI184" s="37" t="n">
        <v>0</v>
      </c>
      <c r="BJ184" s="37" t="n">
        <v>0</v>
      </c>
      <c r="BK184" s="37" t="n">
        <v>0</v>
      </c>
      <c r="BL184" s="37" t="n">
        <v>0</v>
      </c>
      <c r="BM184" s="37" t="n">
        <v>0</v>
      </c>
      <c r="BN184" s="37" t="n">
        <v>0</v>
      </c>
      <c r="BO184" s="37" t="n">
        <v>0</v>
      </c>
      <c r="BP184" s="37" t="n">
        <v>0</v>
      </c>
      <c r="BQ184" s="37" t="n">
        <v>0</v>
      </c>
      <c r="BR184" s="37" t="n">
        <v>0</v>
      </c>
      <c r="BS184" s="37" t="n">
        <v>0</v>
      </c>
      <c r="BT184" s="37" t="n">
        <v>0</v>
      </c>
      <c r="BU184" s="37" t="n">
        <v>0</v>
      </c>
      <c r="BV184" s="37" t="n">
        <v>0</v>
      </c>
      <c r="BW184" s="37" t="n">
        <v>0</v>
      </c>
      <c r="BX184" s="37" t="n">
        <v>0</v>
      </c>
      <c r="BY184" s="42" t="n">
        <v>0</v>
      </c>
      <c r="BZ184" s="42" t="n">
        <v>0</v>
      </c>
      <c r="CA184" s="44" t="n">
        <f aca="false">SUM(BW184,BX184,BY184,BZ184)</f>
        <v>0</v>
      </c>
      <c r="CB184" s="42" t="n">
        <v>0</v>
      </c>
      <c r="CC184" s="42" t="n">
        <v>0</v>
      </c>
      <c r="CD184" s="42" t="n">
        <v>0</v>
      </c>
      <c r="CE184" s="42" t="n">
        <v>0</v>
      </c>
      <c r="CF184" s="21"/>
    </row>
    <row r="185" customFormat="false" ht="15" hidden="false" customHeight="false" outlineLevel="0" collapsed="false">
      <c r="B185" s="23" t="s">
        <v>346</v>
      </c>
      <c r="C185" s="61" t="n">
        <f aca="false">N(C180)+N(C181)+N(C182)+N(C183)+N(C184)</f>
        <v>330.91</v>
      </c>
      <c r="D185" s="61" t="n">
        <f aca="false">N(D180)+N(D181)+N(D182)+N(D183)+N(D184)</f>
        <v>662.5</v>
      </c>
      <c r="E185" s="61" t="n">
        <f aca="false">N(E180)+N(E181)+N(E182)+N(E183)+N(E184)</f>
        <v>639.7</v>
      </c>
      <c r="F185" s="61" t="n">
        <f aca="false">N(F180)+N(F181)+N(F182)+N(F183)+N(F184)</f>
        <v>666</v>
      </c>
      <c r="G185" s="61" t="n">
        <f aca="false">N(G180)+N(G181)+N(G182)+N(G183)+N(G184)</f>
        <v>651.1</v>
      </c>
      <c r="H185" s="61" t="n">
        <f aca="false">N(H180)+N(H181)+N(H182)+N(H183)+N(H184)</f>
        <v>882.6</v>
      </c>
      <c r="I185" s="61" t="n">
        <f aca="false">N(I180)+N(I181)+N(I182)+N(I183)+N(I184)</f>
        <v>897.8</v>
      </c>
      <c r="J185" s="61" t="n">
        <f aca="false">N(J180)+N(J181)+N(J182)+N(J183)+N(J184)</f>
        <v>228</v>
      </c>
      <c r="K185" s="61" t="n">
        <f aca="false">N(K180)+N(K181)+N(K182)+N(K183)+N(K184)</f>
        <v>248.4</v>
      </c>
      <c r="L185" s="61" t="n">
        <f aca="false">N(L180)+N(L181)+N(L182)+N(L183)+N(L184)</f>
        <v>227.3</v>
      </c>
      <c r="M185" s="61" t="n">
        <f aca="false">N(M180)+N(M181)+N(M182)+N(M183)+N(M184)</f>
        <v>239.2</v>
      </c>
      <c r="N185" s="61" t="n">
        <f aca="false">N(N180)+N(N181)+N(N182)+N(N183)+N(N184)</f>
        <v>942.9</v>
      </c>
      <c r="O185" s="61" t="n">
        <f aca="false">N(O180)+N(O181)+N(O182)+N(O183)+N(O184)</f>
        <v>-45.0000000000001</v>
      </c>
      <c r="P185" s="61" t="n">
        <f aca="false">N(P180)+N(P181)+N(P182)+N(P183)+N(P184)</f>
        <v>575.5</v>
      </c>
      <c r="Q185" s="61" t="n">
        <f aca="false">N(Q180)+N(Q181)+N(Q182)+N(Q183)+N(Q184)</f>
        <v>274.7</v>
      </c>
      <c r="R185" s="61" t="n">
        <f aca="false">N(R180)+N(R181)+N(R182)+N(R183)+N(R184)</f>
        <v>386.6</v>
      </c>
      <c r="S185" s="61" t="n">
        <f aca="false">N(S180)+N(S181)+N(S182)+N(S183)+N(S184)</f>
        <v>1191.8</v>
      </c>
      <c r="T185" s="61" t="n">
        <f aca="false">N(T180)+N(T181)+N(T182)+N(T183)+N(T184)</f>
        <v>369.3</v>
      </c>
      <c r="U185" s="61" t="n">
        <f aca="false">N(U180)+N(U181)+N(U182)+N(U183)+N(U184)</f>
        <v>354.5</v>
      </c>
      <c r="V185" s="61" t="n">
        <f aca="false">N(V180)+N(V181)+N(V182)+N(V183)+N(V184)</f>
        <v>370.8</v>
      </c>
      <c r="W185" s="61" t="n">
        <f aca="false">N(W180)+N(W181)+N(W182)+N(W183)+N(W184)</f>
        <v>390.9</v>
      </c>
      <c r="X185" s="61" t="n">
        <f aca="false">N(X180)+N(X181)+N(X182)+N(X183)+N(X184)</f>
        <v>1485.5</v>
      </c>
      <c r="Y185" s="61" t="n">
        <f aca="false">N(Y180)+N(Y181)+N(Y182)+N(Y183)+N(Y184)</f>
        <v>412.1</v>
      </c>
      <c r="Z185" s="61" t="n">
        <f aca="false">N(Z180)+N(Z181)+N(Z182)+N(Z183)+N(Z184)</f>
        <v>394.6</v>
      </c>
      <c r="AA185" s="61" t="n">
        <f aca="false">N(AA180)+N(AA181)+N(AA182)+N(AA183)+N(AA184)</f>
        <v>491.4</v>
      </c>
      <c r="AB185" s="61" t="n">
        <f aca="false">N(AB180)+N(AB181)+N(AB182)+N(AB183)+N(AB184)</f>
        <v>474.5</v>
      </c>
      <c r="AC185" s="61" t="n">
        <f aca="false">N(AC180)+N(AC181)+N(AC182)+N(AC183)+N(AC184)</f>
        <v>1772.6</v>
      </c>
      <c r="AD185" s="61" t="n">
        <f aca="false">N(AD180)+N(AD181)+N(AD182)+N(AD183)+N(AD184)</f>
        <v>453.4</v>
      </c>
      <c r="AE185" s="61" t="n">
        <f aca="false">N(AE180)+N(AE181)+N(AE182)+N(AE183)+N(AE184)</f>
        <v>410.9</v>
      </c>
      <c r="AF185" s="61" t="n">
        <f aca="false">N(AF180)+N(AF181)+N(AF182)+N(AF183)+N(AF184)</f>
        <v>535.6</v>
      </c>
      <c r="AG185" s="61" t="n">
        <f aca="false">N(AG180)+N(AG181)+N(AG182)+N(AG183)+N(AG184)</f>
        <v>492</v>
      </c>
      <c r="AH185" s="61" t="n">
        <f aca="false">N(AH180)+N(AH181)+N(AH182)+N(AH183)+N(AH184)</f>
        <v>1892</v>
      </c>
      <c r="AI185" s="61" t="n">
        <f aca="false">N(AI180)+N(AI181)+N(AI182)+N(AI183)+N(AI184)</f>
        <v>500</v>
      </c>
      <c r="AJ185" s="61" t="n">
        <f aca="false">N(AJ180)+N(AJ181)+N(AJ182)+N(AJ183)+N(AJ184)</f>
        <v>466</v>
      </c>
      <c r="AK185" s="61" t="n">
        <f aca="false">N(AK180)+N(AK181)+N(AK182)+N(AK183)+N(AK184)</f>
        <v>399</v>
      </c>
      <c r="AL185" s="61" t="n">
        <f aca="false">N(AL180)+N(AL181)+N(AL182)+N(AL183)+N(AL184)</f>
        <v>467</v>
      </c>
      <c r="AM185" s="61" t="n">
        <f aca="false">N(AM180)+N(AM181)+N(AM182)+N(AM183)+N(AM184)</f>
        <v>1832</v>
      </c>
      <c r="AN185" s="61" t="n">
        <f aca="false">N(AN180)+N(AN181)+N(AN182)+N(AN183)+N(AN184)</f>
        <v>450</v>
      </c>
      <c r="AO185" s="61" t="n">
        <f aca="false">N(AO180)+N(AO181)+N(AO182)+N(AO183)+N(AO184)</f>
        <v>-14</v>
      </c>
      <c r="AP185" s="61" t="n">
        <f aca="false">N(AP180)+N(AP181)+N(AP182)+N(AP183)+N(AP184)</f>
        <v>477</v>
      </c>
      <c r="AQ185" s="61" t="n">
        <f aca="false">N(AQ180)+N(AQ181)+N(AQ182)+N(AQ183)+N(AQ184)</f>
        <v>466</v>
      </c>
      <c r="AR185" s="61" t="n">
        <f aca="false">N(AR180)+N(AR181)+N(AR182)+N(AR183)+N(AR184)</f>
        <v>1379</v>
      </c>
      <c r="AS185" s="61" t="n">
        <f aca="false">N(AS180)+N(AS181)+N(AS182)+N(AS183)+N(AS184)</f>
        <v>471</v>
      </c>
      <c r="AT185" s="61" t="n">
        <f aca="false">N(AT180)+N(AT181)+N(AT182)+N(AT183)+N(AT184)</f>
        <v>473</v>
      </c>
      <c r="AU185" s="61" t="n">
        <f aca="false">N(AU180)+N(AU181)+N(AU182)+N(AU183)+N(AU184)</f>
        <v>377</v>
      </c>
      <c r="AV185" s="61" t="n">
        <f aca="false">N(AV180)+N(AV181)+N(AV182)+N(AV183)+N(AV184)</f>
        <v>441</v>
      </c>
      <c r="AW185" s="61" t="n">
        <f aca="false">N(AW180)+N(AW181)+N(AW182)+N(AW183)+N(AW184)</f>
        <v>1762</v>
      </c>
      <c r="AX185" s="61" t="n">
        <f aca="false">N(AX180)+N(AX181)+N(AX182)+N(AX183)+N(AX184)</f>
        <v>461</v>
      </c>
      <c r="AY185" s="61" t="n">
        <f aca="false">N(AY180)+N(AY181)+N(AY182)+N(AY183)+N(AY184)</f>
        <v>526</v>
      </c>
      <c r="AZ185" s="61" t="n">
        <f aca="false">N(AZ180)+N(AZ181)+N(AZ182)+N(AZ183)+N(AZ184)</f>
        <v>500</v>
      </c>
      <c r="BA185" s="61" t="n">
        <f aca="false">N(BA180)+N(BA181)+N(BA182)+N(BA183)+N(BA184)</f>
        <v>623</v>
      </c>
      <c r="BB185" s="61" t="n">
        <f aca="false">N(BB180)+N(BB181)+N(BB182)+N(BB183)+N(BB184)</f>
        <v>2110</v>
      </c>
      <c r="BC185" s="61" t="n">
        <f aca="false">N(BC180)+N(BC181)+N(BC182)+N(BC183)+N(BC184)</f>
        <v>629</v>
      </c>
      <c r="BD185" s="61" t="n">
        <f aca="false">N(BD180)+N(BD181)+N(BD182)+N(BD183)+N(BD184)</f>
        <v>604</v>
      </c>
      <c r="BE185" s="61" t="n">
        <f aca="false">N(BE180)+N(BE181)+N(BE182)+N(BE183)+N(BE184)</f>
        <v>660</v>
      </c>
      <c r="BF185" s="61" t="n">
        <f aca="false">N(BF180)+N(BF181)+N(BF182)+N(BF183)+N(BF184)</f>
        <v>699</v>
      </c>
      <c r="BG185" s="61" t="n">
        <f aca="false">N(BG180)+N(BG181)+N(BG182)+N(BG183)+N(BG184)</f>
        <v>2592</v>
      </c>
      <c r="BH185" s="61" t="n">
        <f aca="false">N(BH180)+N(BH181)+N(BH182)+N(BH183)+N(BH184)</f>
        <v>767</v>
      </c>
      <c r="BI185" s="61" t="n">
        <f aca="false">N(BI180)+N(BI181)+N(BI182)+N(BI183)+N(BI184)</f>
        <v>792</v>
      </c>
      <c r="BJ185" s="61" t="n">
        <f aca="false">N(BJ180)+N(BJ181)+N(BJ182)+N(BJ183)+N(BJ184)</f>
        <v>696</v>
      </c>
      <c r="BK185" s="61" t="n">
        <f aca="false">N(BK180)+N(BK181)+N(BK182)+N(BK183)+N(BK184)</f>
        <v>696</v>
      </c>
      <c r="BL185" s="61" t="n">
        <f aca="false">N(BL180)+N(BL181)+N(BL182)+N(BL183)+N(BL184)</f>
        <v>2951</v>
      </c>
      <c r="BM185" s="61" t="n">
        <f aca="false">N(BM180)+N(BM181)+N(BM182)+N(BM183)+N(BM184)</f>
        <v>614</v>
      </c>
      <c r="BN185" s="61" t="n">
        <f aca="false">N(BN180)+N(BN181)+N(BN182)+N(BN183)+N(BN184)</f>
        <v>527</v>
      </c>
      <c r="BO185" s="61" t="n">
        <f aca="false">N(BO180)+N(BO181)+N(BO182)+N(BO183)+N(BO184)</f>
        <v>525</v>
      </c>
      <c r="BP185" s="61" t="n">
        <f aca="false">N(BP180)+N(BP181)+N(BP182)+N(BP183)+N(BP184)</f>
        <v>704</v>
      </c>
      <c r="BQ185" s="61" t="n">
        <f aca="false">N(BQ180)+N(BQ181)+N(BQ182)+N(BQ183)+N(BQ184)</f>
        <v>2370</v>
      </c>
      <c r="BR185" s="61" t="n">
        <f aca="false">N(BR180)+N(BR181)+N(BR182)+N(BR183)+N(BR184)</f>
        <v>552</v>
      </c>
      <c r="BS185" s="61" t="n">
        <f aca="false">N(BS180)+N(BS181)+N(BS182)+N(BS183)+N(BS184)</f>
        <v>541</v>
      </c>
      <c r="BT185" s="61" t="n">
        <f aca="false">N(BT180)+N(BT181)+N(BT182)+N(BT183)+N(BT184)</f>
        <v>646</v>
      </c>
      <c r="BU185" s="61" t="n">
        <f aca="false">N(BU180)+N(BU181)+N(BU182)+N(BU183)+N(BU184)</f>
        <v>622</v>
      </c>
      <c r="BV185" s="61" t="n">
        <f aca="false">N(BV180)+N(BV181)+N(BV182)+N(BV183)+N(BV184)</f>
        <v>2363</v>
      </c>
      <c r="BW185" s="61" t="n">
        <f aca="false">N(BW180)+N(BW181)+N(BW182)+N(BW183)+N(BW184)</f>
        <v>536</v>
      </c>
      <c r="BX185" s="61" t="n">
        <f aca="false">N(BX180)+N(BX181)+N(BX182)+N(BX183)+N(BX184)</f>
        <v>647</v>
      </c>
      <c r="BY185" s="44" t="n">
        <f aca="false">N(BY180)+N(BY181)+N(BY182)+N(BY183)+N(BY184)</f>
        <v>417</v>
      </c>
      <c r="BZ185" s="44" t="n">
        <f aca="false">N(BZ180)+N(BZ181)+N(BZ182)+N(BZ183)+N(BZ184)</f>
        <v>620</v>
      </c>
      <c r="CA185" s="44" t="n">
        <f aca="false">N(CA180)+N(CA181)+N(CA182)+N(CA183)+N(CA184)</f>
        <v>2220</v>
      </c>
      <c r="CB185" s="44" t="n">
        <f aca="false">N(CB180)+N(CB181)+N(CB182)+N(CB183)+N(CB184)</f>
        <v>2462.03071428392</v>
      </c>
      <c r="CC185" s="44" t="n">
        <f aca="false">N(CC180)+N(CC181)+N(CC182)+N(CC183)+N(CC184)</f>
        <v>2544.3515230926</v>
      </c>
      <c r="CD185" s="44" t="n">
        <f aca="false">N(CD180)+N(CD181)+N(CD182)+N(CD183)+N(CD184)</f>
        <v>2562.5372193661</v>
      </c>
      <c r="CE185" s="44" t="n">
        <f aca="false">N(CE180)+N(CE181)+N(CE182)+N(CE183)+N(CE184)</f>
        <v>2404.65335466647</v>
      </c>
      <c r="CF185" s="21"/>
    </row>
    <row r="186" customFormat="false" ht="15" hidden="false" customHeight="false" outlineLevel="0" collapsed="false">
      <c r="B186" s="58" t="s">
        <v>347</v>
      </c>
      <c r="C186" s="59" t="n">
        <f aca="false">C179+C185</f>
        <v>572.869</v>
      </c>
      <c r="D186" s="59" t="n">
        <f aca="false">D179+D185</f>
        <v>1636.9</v>
      </c>
      <c r="E186" s="59" t="n">
        <f aca="false">E179+E185</f>
        <v>1869.1</v>
      </c>
      <c r="F186" s="59" t="n">
        <f aca="false">F179+F185</f>
        <v>1714.9</v>
      </c>
      <c r="G186" s="59" t="n">
        <f aca="false">G179+G185</f>
        <v>1916</v>
      </c>
      <c r="H186" s="59" t="n">
        <f aca="false">H179+H185</f>
        <v>2127.8</v>
      </c>
      <c r="I186" s="59" t="n">
        <f aca="false">I179+I185</f>
        <v>2379.9</v>
      </c>
      <c r="J186" s="59" t="n">
        <f aca="false">J179+J185</f>
        <v>615.1</v>
      </c>
      <c r="K186" s="59" t="n">
        <f aca="false">K179+K185</f>
        <v>623.8</v>
      </c>
      <c r="L186" s="59" t="n">
        <f aca="false">L179+L185</f>
        <v>619.4</v>
      </c>
      <c r="M186" s="59" t="n">
        <f aca="false">M179+M185</f>
        <v>694.2</v>
      </c>
      <c r="N186" s="59" t="n">
        <f aca="false">N179+N185</f>
        <v>2552.5</v>
      </c>
      <c r="O186" s="59" t="n">
        <f aca="false">O179+O185</f>
        <v>830.5</v>
      </c>
      <c r="P186" s="59" t="n">
        <f aca="false">P179+P185</f>
        <v>923.6</v>
      </c>
      <c r="Q186" s="59" t="n">
        <f aca="false">Q179+Q185</f>
        <v>915</v>
      </c>
      <c r="R186" s="59" t="n">
        <f aca="false">R179+R185</f>
        <v>1025.7</v>
      </c>
      <c r="S186" s="59" t="n">
        <f aca="false">S179+S185</f>
        <v>3694.8</v>
      </c>
      <c r="T186" s="59" t="n">
        <f aca="false">T179+T185</f>
        <v>856.6</v>
      </c>
      <c r="U186" s="59" t="n">
        <f aca="false">U179+U185</f>
        <v>950.299999999999</v>
      </c>
      <c r="V186" s="59" t="n">
        <f aca="false">V179+V185</f>
        <v>933.7</v>
      </c>
      <c r="W186" s="59" t="n">
        <f aca="false">W179+W185</f>
        <v>1081.1</v>
      </c>
      <c r="X186" s="59" t="n">
        <f aca="false">X179+X185</f>
        <v>3821.7</v>
      </c>
      <c r="Y186" s="59" t="n">
        <f aca="false">Y179+Y185</f>
        <v>930</v>
      </c>
      <c r="Z186" s="59" t="n">
        <f aca="false">Z179+Z185</f>
        <v>1032.2</v>
      </c>
      <c r="AA186" s="59" t="n">
        <f aca="false">AA179+AA185</f>
        <v>1032.5</v>
      </c>
      <c r="AB186" s="59" t="n">
        <f aca="false">AB179+AB185</f>
        <v>1227.1</v>
      </c>
      <c r="AC186" s="59" t="n">
        <f aca="false">AC179+AC185</f>
        <v>4221.8</v>
      </c>
      <c r="AD186" s="59" t="n">
        <f aca="false">AD179+AD185</f>
        <v>1075.8</v>
      </c>
      <c r="AE186" s="59" t="n">
        <f aca="false">AE179+AE185</f>
        <v>1162.4</v>
      </c>
      <c r="AF186" s="59" t="n">
        <f aca="false">AF179+AF185</f>
        <v>1171.8</v>
      </c>
      <c r="AG186" s="59" t="n">
        <f aca="false">AG179+AG185</f>
        <v>1450</v>
      </c>
      <c r="AH186" s="59" t="n">
        <f aca="false">AH179+AH185</f>
        <v>4860</v>
      </c>
      <c r="AI186" s="59" t="n">
        <f aca="false">AI179+AI185</f>
        <v>1286</v>
      </c>
      <c r="AJ186" s="59" t="n">
        <f aca="false">AJ179+AJ185</f>
        <v>1403</v>
      </c>
      <c r="AK186" s="59" t="n">
        <f aca="false">AK179+AK185</f>
        <v>1311</v>
      </c>
      <c r="AL186" s="59" t="n">
        <f aca="false">AL179+AL185</f>
        <v>1615</v>
      </c>
      <c r="AM186" s="59" t="n">
        <f aca="false">AM179+AM185</f>
        <v>5615</v>
      </c>
      <c r="AN186" s="59" t="n">
        <f aca="false">AN179+AN185</f>
        <v>1370</v>
      </c>
      <c r="AO186" s="59" t="n">
        <f aca="false">AO179+AO185</f>
        <v>1482</v>
      </c>
      <c r="AP186" s="59" t="n">
        <f aca="false">AP179+AP185</f>
        <v>1423</v>
      </c>
      <c r="AQ186" s="59" t="n">
        <f aca="false">AQ179+AQ185</f>
        <v>1698</v>
      </c>
      <c r="AR186" s="59" t="n">
        <f aca="false">AR179+AR185</f>
        <v>5973</v>
      </c>
      <c r="AS186" s="59" t="n">
        <f aca="false">AS179+AS185</f>
        <v>1377</v>
      </c>
      <c r="AT186" s="59" t="n">
        <f aca="false">AT179+AT185</f>
        <v>1864</v>
      </c>
      <c r="AU186" s="59" t="n">
        <f aca="false">AU179+AU185</f>
        <v>2803</v>
      </c>
      <c r="AV186" s="59" t="n">
        <f aca="false">AV179+AV185</f>
        <v>3512</v>
      </c>
      <c r="AW186" s="59" t="n">
        <f aca="false">AW179+AW185</f>
        <v>9556</v>
      </c>
      <c r="AX186" s="59" t="n">
        <f aca="false">AX179+AX185</f>
        <v>3510</v>
      </c>
      <c r="AY186" s="59" t="n">
        <f aca="false">AY179+AY185</f>
        <v>2689</v>
      </c>
      <c r="AZ186" s="59" t="n">
        <f aca="false">AZ179+AZ185</f>
        <v>2778</v>
      </c>
      <c r="BA186" s="59" t="n">
        <f aca="false">BA179+BA185</f>
        <v>3161</v>
      </c>
      <c r="BB186" s="59" t="n">
        <f aca="false">BB179+BB185</f>
        <v>12138</v>
      </c>
      <c r="BC186" s="59" t="n">
        <f aca="false">BC179+BC185</f>
        <v>3450</v>
      </c>
      <c r="BD186" s="59" t="n">
        <f aca="false">BD179+BD185</f>
        <v>2605</v>
      </c>
      <c r="BE186" s="59" t="n">
        <f aca="false">BE179+BE185</f>
        <v>2370</v>
      </c>
      <c r="BF186" s="59" t="n">
        <f aca="false">BF179+BF185</f>
        <v>2560</v>
      </c>
      <c r="BG186" s="59" t="n">
        <f aca="false">BG179+BG185</f>
        <v>10985</v>
      </c>
      <c r="BH186" s="59" t="n">
        <f aca="false">BH179+BH185</f>
        <v>2330</v>
      </c>
      <c r="BI186" s="59" t="n">
        <f aca="false">BI179+BI185</f>
        <v>2370</v>
      </c>
      <c r="BJ186" s="59" t="n">
        <f aca="false">BJ179+BJ185</f>
        <v>2560</v>
      </c>
      <c r="BK186" s="59" t="n">
        <f aca="false">BK179+BK185</f>
        <v>2550</v>
      </c>
      <c r="BL186" s="59" t="n">
        <f aca="false">BL179+BL185</f>
        <v>9810</v>
      </c>
      <c r="BM186" s="59" t="n">
        <f aca="false">BM179+BM185</f>
        <v>2277</v>
      </c>
      <c r="BN186" s="59" t="n">
        <f aca="false">BN179+BN185</f>
        <v>2346</v>
      </c>
      <c r="BO186" s="59" t="n">
        <f aca="false">BO179+BO185</f>
        <v>2363</v>
      </c>
      <c r="BP186" s="59" t="n">
        <f aca="false">BP179+BP185</f>
        <v>2721</v>
      </c>
      <c r="BQ186" s="59" t="n">
        <f aca="false">BQ179+BQ185</f>
        <v>9707</v>
      </c>
      <c r="BR186" s="59" t="n">
        <f aca="false">BR179+BR185</f>
        <v>2270</v>
      </c>
      <c r="BS186" s="59" t="n">
        <f aca="false">BS179+BS185</f>
        <v>2376</v>
      </c>
      <c r="BT186" s="59" t="n">
        <f aca="false">BT179+BT185</f>
        <v>2587</v>
      </c>
      <c r="BU186" s="59" t="n">
        <f aca="false">BU179+BU185</f>
        <v>2878</v>
      </c>
      <c r="BV186" s="59" t="n">
        <f aca="false">BV179+BV185</f>
        <v>10110</v>
      </c>
      <c r="BW186" s="59" t="n">
        <f aca="false">BW179+BW185</f>
        <v>2399</v>
      </c>
      <c r="BX186" s="59" t="n">
        <f aca="false">BX179+BX185</f>
        <v>2734</v>
      </c>
      <c r="BY186" s="59" t="n">
        <f aca="false">BY179+BY185</f>
        <v>2931.2599807075</v>
      </c>
      <c r="BZ186" s="59" t="n">
        <f aca="false">BZ179+BZ185</f>
        <v>3154.9900192925</v>
      </c>
      <c r="CA186" s="59" t="n">
        <f aca="false">CA179+CA185</f>
        <v>11219.25</v>
      </c>
      <c r="CB186" s="59" t="n">
        <f aca="false">CB179+CB185</f>
        <v>12084.794198135</v>
      </c>
      <c r="CC186" s="59" t="n">
        <f aca="false">CC179+CC185</f>
        <v>13222.2186888485</v>
      </c>
      <c r="CD186" s="59" t="n">
        <f aca="false">CD179+CD185</f>
        <v>14466.0398850873</v>
      </c>
      <c r="CE186" s="59" t="n">
        <f aca="false">CE179+CE185</f>
        <v>15801.5487010655</v>
      </c>
      <c r="CF186" s="21" t="s">
        <v>348</v>
      </c>
      <c r="CH186" s="22" t="n">
        <f aca="false">IFERROR((CE186/BV186)^(1/5)-1,"n/m")</f>
        <v>0.0934267632295949</v>
      </c>
      <c r="CI186" s="22" t="n">
        <f aca="false">IFERROR((BV186/AW186)^(1/5)-1,"n/m")</f>
        <v>0.0113349195659394</v>
      </c>
      <c r="CJ186" s="22" t="n">
        <f aca="false">IFERROR((BV186/X186)^(1/10)-1,"n/m")</f>
        <v>0.102172209320919</v>
      </c>
      <c r="CK186" s="22" t="n">
        <f aca="false">IFERROR((BV186/C186)^(1/19)-1,"n/m")</f>
        <v>0.163096021582533</v>
      </c>
    </row>
    <row r="187" customFormat="false" ht="15" hidden="false" customHeight="false" outlineLevel="0" collapsed="false">
      <c r="B187" s="23" t="s">
        <v>233</v>
      </c>
      <c r="C187" s="25" t="n">
        <f aca="false">IF(AND(ISNUMBER(C186),ISNUMBER(C136)),C186/C136,"")</f>
        <v>0.151088308761143</v>
      </c>
      <c r="D187" s="25" t="n">
        <f aca="false">IF(AND(ISNUMBER(D186),ISNUMBER(D136)),D186/D136,"")</f>
        <v>0.167949191496347</v>
      </c>
      <c r="E187" s="25" t="n">
        <f aca="false">IF(AND(ISNUMBER(E186),ISNUMBER(E136)),E186/E136,"")</f>
        <v>0.178043436845113</v>
      </c>
      <c r="F187" s="25" t="n">
        <f aca="false">IF(AND(ISNUMBER(F186),ISNUMBER(F136)),F186/F136,"")</f>
        <v>0.169629168026747</v>
      </c>
      <c r="G187" s="25" t="n">
        <f aca="false">IF(AND(ISNUMBER(G186),ISNUMBER(G136)),G186/G136,"")</f>
        <v>0.177593222538397</v>
      </c>
      <c r="H187" s="25" t="n">
        <f aca="false">IF(AND(ISNUMBER(H186),ISNUMBER(H136)),H186/H136,"")</f>
        <v>0.181461550925729</v>
      </c>
      <c r="I187" s="25" t="n">
        <f aca="false">IF(AND(ISNUMBER(I186),ISNUMBER(I136)),I186/I136,"")</f>
        <v>0.190241328867537</v>
      </c>
      <c r="J187" s="25" t="n">
        <f aca="false">IF(AND(ISNUMBER(J186),ISNUMBER(J136)),J186/J136,"")</f>
        <v>0.192730690897697</v>
      </c>
      <c r="K187" s="25" t="n">
        <f aca="false">IF(AND(ISNUMBER(K186),ISNUMBER(K136)),K186/K136,"")</f>
        <v>0.192524922070307</v>
      </c>
      <c r="L187" s="25" t="n">
        <f aca="false">IF(AND(ISNUMBER(L186),ISNUMBER(L136)),L186/L136,"")</f>
        <v>0.19405977818159</v>
      </c>
      <c r="M187" s="25" t="n">
        <f aca="false">IF(AND(ISNUMBER(M186),ISNUMBER(M136)),M186/M136,"")</f>
        <v>0.200236522541752</v>
      </c>
      <c r="N187" s="25" t="n">
        <f aca="false">IF(AND(ISNUMBER(N186),ISNUMBER(N136)),N186/N136,"")</f>
        <v>0.194991711419906</v>
      </c>
      <c r="O187" s="25" t="n">
        <f aca="false">IF(AND(ISNUMBER(O186),ISNUMBER(O136)),O186/O136,"")</f>
        <v>0.212757781478161</v>
      </c>
      <c r="P187" s="25" t="n">
        <f aca="false">IF(AND(ISNUMBER(P186),ISNUMBER(P136)),P186/P136,"")</f>
        <v>0.213702306855781</v>
      </c>
      <c r="Q187" s="25" t="n">
        <f aca="false">IF(AND(ISNUMBER(Q186),ISNUMBER(Q136)),Q186/Q136,"")</f>
        <v>0.219350817471353</v>
      </c>
      <c r="R187" s="25" t="n">
        <f aca="false">IF(AND(ISNUMBER(R186),ISNUMBER(R136)),R186/R136,"")</f>
        <v>0.228298611111111</v>
      </c>
      <c r="S187" s="25" t="n">
        <f aca="false">IF(AND(ISNUMBER(S186),ISNUMBER(S136)),S186/S136,"")</f>
        <v>0.218761841606669</v>
      </c>
      <c r="T187" s="25" t="n">
        <f aca="false">IF(AND(ISNUMBER(T186),ISNUMBER(T136)),T186/T136,"")</f>
        <v>0.218587322649791</v>
      </c>
      <c r="U187" s="25" t="n">
        <f aca="false">IF(AND(ISNUMBER(U186),ISNUMBER(U136)),U186/U136,"")</f>
        <v>0.222505795031492</v>
      </c>
      <c r="V187" s="25" t="n">
        <f aca="false">IF(AND(ISNUMBER(V186),ISNUMBER(V136)),V186/V136,"")</f>
        <v>0.2264503298409</v>
      </c>
      <c r="W187" s="25" t="n">
        <f aca="false">IF(AND(ISNUMBER(W186),ISNUMBER(W136)),W186/W136,"")</f>
        <v>0.232369693713057</v>
      </c>
      <c r="X187" s="25" t="n">
        <f aca="false">IF(AND(ISNUMBER(X186),ISNUMBER(X136)),X186/X136,"")</f>
        <v>0.225264361582987</v>
      </c>
      <c r="Y187" s="25" t="n">
        <f aca="false">IF(AND(ISNUMBER(Y186),ISNUMBER(Y136)),Y186/Y136,"")</f>
        <v>0.21654093322157</v>
      </c>
      <c r="Z187" s="25" t="n">
        <f aca="false">IF(AND(ISNUMBER(Z186),ISNUMBER(Z136)),Z186/Z136,"")</f>
        <v>0.227597459869465</v>
      </c>
      <c r="AA187" s="25" t="n">
        <f aca="false">IF(AND(ISNUMBER(AA186),ISNUMBER(AA136)),AA186/AA136,"")</f>
        <v>0.229909372286179</v>
      </c>
      <c r="AB187" s="25" t="n">
        <f aca="false">IF(AND(ISNUMBER(AB186),ISNUMBER(AB136)),AB186/AB136,"")</f>
        <v>0.247738835500283</v>
      </c>
      <c r="AC187" s="25" t="n">
        <f aca="false">IF(AND(ISNUMBER(AC186),ISNUMBER(AC136)),AC186/AC136,"")</f>
        <v>0.231026425377994</v>
      </c>
      <c r="AD187" s="25" t="n">
        <f aca="false">IF(AND(ISNUMBER(AD186),ISNUMBER(AD136)),AD186/AD136,"")</f>
        <v>0.225771248688353</v>
      </c>
      <c r="AE187" s="25" t="n">
        <f aca="false">IF(AND(ISNUMBER(AE186),ISNUMBER(AE136)),AE186/AE136,"")</f>
        <v>0.232945891783567</v>
      </c>
      <c r="AF187" s="25" t="n">
        <f aca="false">IF(AND(ISNUMBER(AF186),ISNUMBER(AF136)),AF186/AF136,"")</f>
        <v>0.229037176029084</v>
      </c>
      <c r="AG187" s="25" t="n">
        <f aca="false">IF(AND(ISNUMBER(AG186),ISNUMBER(AG136)),AG186/AG136,"")</f>
        <v>0.239788324789152</v>
      </c>
      <c r="AH187" s="25" t="n">
        <f aca="false">IF(AND(ISNUMBER(AH186),ISNUMBER(AH136)),AH186/AH136,"")</f>
        <v>0.232335787360168</v>
      </c>
      <c r="AI187" s="25" t="n">
        <f aca="false">IF(AND(ISNUMBER(AI186),ISNUMBER(AI136)),AI186/AI136,"")</f>
        <v>0.219716384759952</v>
      </c>
      <c r="AJ187" s="25" t="n">
        <f aca="false">IF(AND(ISNUMBER(AJ186),ISNUMBER(AJ136)),AJ186/AJ136,"")</f>
        <v>0.230832510694307</v>
      </c>
      <c r="AK187" s="25" t="n">
        <f aca="false">IF(AND(ISNUMBER(AK186),ISNUMBER(AK136)),AK186/AK136,"")</f>
        <v>0.221452702702703</v>
      </c>
      <c r="AL187" s="25" t="n">
        <f aca="false">IF(AND(ISNUMBER(AL186),ISNUMBER(AL136)),AL186/AL136,"")</f>
        <v>0.24819425234363</v>
      </c>
      <c r="AM187" s="25" t="n">
        <f aca="false">IF(AND(ISNUMBER(AM186),ISNUMBER(AM136)),AM186/AM136,"")</f>
        <v>0.230519747105674</v>
      </c>
      <c r="AN187" s="25" t="n">
        <f aca="false">IF(AND(ISNUMBER(AN186),ISNUMBER(AN136)),AN186/AN136,"")</f>
        <v>0.223673469387755</v>
      </c>
      <c r="AO187" s="25" t="n">
        <f aca="false">IF(AND(ISNUMBER(AO186),ISNUMBER(AO136)),AO186/AO136,"")</f>
        <v>0.234642178594047</v>
      </c>
      <c r="AP187" s="25" t="n">
        <f aca="false">IF(AND(ISNUMBER(AP186),ISNUMBER(AP136)),AP186/AP136,"")</f>
        <v>0.22688137755102</v>
      </c>
      <c r="AQ187" s="25" t="n">
        <f aca="false">IF(AND(ISNUMBER(AQ186),ISNUMBER(AQ136)),AQ186/AQ136,"")</f>
        <v>0.248645482501098</v>
      </c>
      <c r="AR187" s="25" t="n">
        <f aca="false">IF(AND(ISNUMBER(AR186),ISNUMBER(AR136)),AR186/AR136,"")</f>
        <v>0.233850129198966</v>
      </c>
      <c r="AS187" s="25" t="n">
        <f aca="false">IF(AND(ISNUMBER(AS186),ISNUMBER(AS136)),AS186/AS136,"")</f>
        <v>0.221027287319422</v>
      </c>
      <c r="AT187" s="25" t="n">
        <f aca="false">IF(AND(ISNUMBER(AT186),ISNUMBER(AT136)),AT186/AT136,"")</f>
        <v>0.269480988868006</v>
      </c>
      <c r="AU187" s="25" t="n">
        <f aca="false">IF(AND(ISNUMBER(AU186),ISNUMBER(AU136)),AU186/AU136,"")</f>
        <v>0.328952000938857</v>
      </c>
      <c r="AV187" s="25" t="n">
        <f aca="false">IF(AND(ISNUMBER(AV186),ISNUMBER(AV136)),AV186/AV136,"")</f>
        <v>0.332890995260664</v>
      </c>
      <c r="AW187" s="25" t="n">
        <f aca="false">IF(AND(ISNUMBER(AW186),ISNUMBER(AW136)),AW186/AW136,"")</f>
        <v>0.296604382643243</v>
      </c>
      <c r="AX187" s="25" t="n">
        <f aca="false">IF(AND(ISNUMBER(AX186),ISNUMBER(AX136)),AX186/AX136,"")</f>
        <v>0.354330708661417</v>
      </c>
      <c r="AY187" s="25" t="n">
        <f aca="false">IF(AND(ISNUMBER(AY186),ISNUMBER(AY136)),AY186/AY136,"")</f>
        <v>0.289981667205867</v>
      </c>
      <c r="AZ187" s="25" t="n">
        <f aca="false">IF(AND(ISNUMBER(AZ186),ISNUMBER(AZ136)),AZ186/AZ136,"")</f>
        <v>0.297749196141479</v>
      </c>
      <c r="BA187" s="25" t="n">
        <f aca="false">IF(AND(ISNUMBER(BA186),ISNUMBER(BA136)),BA186/BA136,"")</f>
        <v>0.295365352270604</v>
      </c>
      <c r="BB187" s="25" t="n">
        <f aca="false">IF(AND(ISNUMBER(BB186),ISNUMBER(BB136)),BB186/BB136,"")</f>
        <v>0.309555991941037</v>
      </c>
      <c r="BC187" s="25" t="n">
        <f aca="false">IF(AND(ISNUMBER(BC186),ISNUMBER(BC136)),BC186/BC136,"")</f>
        <v>0.291927568116433</v>
      </c>
      <c r="BD187" s="25" t="n">
        <f aca="false">IF(AND(ISNUMBER(BD186),ISNUMBER(BD136)),BD186/BD136,"")</f>
        <v>0.23746581586144</v>
      </c>
      <c r="BE187" s="25" t="n">
        <f aca="false">IF(AND(ISNUMBER(BE186),ISNUMBER(BE136)),BE186/BE136,"")</f>
        <v>0.22197246417533</v>
      </c>
      <c r="BF187" s="25" t="n">
        <f aca="false">IF(AND(ISNUMBER(BF186),ISNUMBER(BF136)),BF186/BF136,"")</f>
        <v>0.223580786026201</v>
      </c>
      <c r="BG187" s="25" t="n">
        <f aca="false">IF(AND(ISNUMBER(BG186),ISNUMBER(BG136)),BG186/BG136,"")</f>
        <v>0.244573082489146</v>
      </c>
      <c r="BH187" s="25" t="n">
        <f aca="false">IF(AND(ISNUMBER(BH186),ISNUMBER(BH136)),BH186/BH136,"")</f>
        <v>0.217553688141923</v>
      </c>
      <c r="BI187" s="25" t="n">
        <f aca="false">IF(AND(ISNUMBER(BI186),ISNUMBER(BI136)),BI186/BI136,"")</f>
        <v>0.221764760924488</v>
      </c>
      <c r="BJ187" s="25" t="n">
        <f aca="false">IF(AND(ISNUMBER(BJ186),ISNUMBER(BJ136)),BJ186/BJ136,"")</f>
        <v>0.242103272177038</v>
      </c>
      <c r="BK187" s="25" t="n">
        <f aca="false">IF(AND(ISNUMBER(BK186),ISNUMBER(BK136)),BK186/BK136,"")</f>
        <v>0.234245820319677</v>
      </c>
      <c r="BL187" s="25" t="n">
        <f aca="false">IF(AND(ISNUMBER(BL186),ISNUMBER(BL136)),BL186/BL136,"")</f>
        <v>0.228900763002543</v>
      </c>
      <c r="BM187" s="25" t="n">
        <f aca="false">IF(AND(ISNUMBER(BM186),ISNUMBER(BM136)),BM186/BM136,"")</f>
        <v>0.220106331561141</v>
      </c>
      <c r="BN187" s="25" t="n">
        <f aca="false">IF(AND(ISNUMBER(BN186),ISNUMBER(BN136)),BN186/BN136,"")</f>
        <v>0.222559529456408</v>
      </c>
      <c r="BO187" s="25" t="n">
        <f aca="false">IF(AND(ISNUMBER(BO186),ISNUMBER(BO136)),BO186/BO136,"")</f>
        <v>0.222966597471221</v>
      </c>
      <c r="BP187" s="25" t="n">
        <f aca="false">IF(AND(ISNUMBER(BP186),ISNUMBER(BP136)),BP186/BP136,"")</f>
        <v>0.238788942518649</v>
      </c>
      <c r="BQ187" s="25" t="n">
        <f aca="false">IF(AND(ISNUMBER(BQ186),ISNUMBER(BQ136)),BQ186/BQ136,"")</f>
        <v>0.22638121224842</v>
      </c>
      <c r="BR187" s="25" t="n">
        <f aca="false">IF(AND(ISNUMBER(BR186),ISNUMBER(BR136)),BR186/BR136,"")</f>
        <v>0.219027402547279</v>
      </c>
      <c r="BS187" s="25" t="n">
        <f aca="false">IF(AND(ISNUMBER(BS186),ISNUMBER(BS136)),BS186/BS136,"")</f>
        <v>0.218885306310456</v>
      </c>
      <c r="BT187" s="25" t="n">
        <f aca="false">IF(AND(ISNUMBER(BT186),ISNUMBER(BT136)),BT186/BT136,"")</f>
        <v>0.232602049991009</v>
      </c>
      <c r="BU187" s="25" t="n">
        <f aca="false">IF(AND(ISNUMBER(BU186),ISNUMBER(BU136)),BU186/BU136,"")</f>
        <v>0.235611952517397</v>
      </c>
      <c r="BV187" s="25" t="n">
        <f aca="false">IF(AND(ISNUMBER(BV186),ISNUMBER(BV136)),BV186/BV136,"")</f>
        <v>0.226905467277134</v>
      </c>
      <c r="BW187" s="25" t="n">
        <f aca="false">IF(AND(ISNUMBER(BW186),ISNUMBER(BW136)),BW186/BW136,"")</f>
        <v>0.217991821899137</v>
      </c>
      <c r="BX187" s="25" t="n">
        <f aca="false">IF(AND(ISNUMBER(BX186),ISNUMBER(BX136)),BX186/BX136,"")</f>
        <v>0.227947306986827</v>
      </c>
      <c r="BY187" s="26" t="n">
        <f aca="false">IFERROR(BY186/BY136,"")</f>
        <v>0.245270480218468</v>
      </c>
      <c r="BZ187" s="26" t="n">
        <f aca="false">IFERROR(BZ186/BZ136,"")</f>
        <v>0.246524664553201</v>
      </c>
      <c r="CA187" s="26" t="n">
        <f aca="false">IFERROR(CA186/CA136,"")</f>
        <v>0.234958115183246</v>
      </c>
      <c r="CB187" s="26" t="n">
        <f aca="false">IFERROR(CB186/CB136,"")</f>
        <v>0.238528939026843</v>
      </c>
      <c r="CC187" s="26" t="n">
        <f aca="false">IFERROR(CC186/CC136,"")</f>
        <v>0.242596022537744</v>
      </c>
      <c r="CD187" s="26" t="n">
        <f aca="false">IFERROR(CD186/CD136,"")</f>
        <v>0.246724027282201</v>
      </c>
      <c r="CE187" s="26" t="n">
        <f aca="false">IFERROR(CE186/CE136,"")</f>
        <v>0.250763883864051</v>
      </c>
      <c r="CF187" s="21"/>
    </row>
    <row r="188" customFormat="false" ht="15" hidden="false" customHeight="false" outlineLevel="0" collapsed="false">
      <c r="B188" s="43" t="s">
        <v>349</v>
      </c>
      <c r="C188" s="37" t="n">
        <v>572.869</v>
      </c>
      <c r="D188" s="37" t="n">
        <v>1636.9</v>
      </c>
      <c r="E188" s="37" t="n">
        <v>1869.1</v>
      </c>
      <c r="F188" s="37" t="n">
        <v>1714.9</v>
      </c>
      <c r="G188" s="37" t="n">
        <v>1916</v>
      </c>
      <c r="H188" s="37" t="n">
        <v>2127.8</v>
      </c>
      <c r="I188" s="37" t="n">
        <v>2379.9</v>
      </c>
      <c r="J188" s="37" t="n">
        <v>615.1</v>
      </c>
      <c r="K188" s="37" t="n">
        <v>623.8</v>
      </c>
      <c r="L188" s="37" t="n">
        <v>619.4</v>
      </c>
      <c r="M188" s="37" t="n">
        <v>694.2</v>
      </c>
      <c r="N188" s="37" t="n">
        <v>2552.5</v>
      </c>
      <c r="O188" s="37" t="n">
        <v>830.5</v>
      </c>
      <c r="P188" s="37" t="n">
        <v>923.6</v>
      </c>
      <c r="Q188" s="37" t="n">
        <v>915</v>
      </c>
      <c r="R188" s="37" t="n">
        <v>1025.7</v>
      </c>
      <c r="S188" s="37" t="n">
        <v>3694.8</v>
      </c>
      <c r="T188" s="37" t="n">
        <v>856.6</v>
      </c>
      <c r="U188" s="37" t="n">
        <v>950.3</v>
      </c>
      <c r="V188" s="37" t="n">
        <v>933.7</v>
      </c>
      <c r="W188" s="37" t="n">
        <v>1081.1</v>
      </c>
      <c r="X188" s="37" t="n">
        <v>3821.7</v>
      </c>
      <c r="Y188" s="37" t="n">
        <v>930</v>
      </c>
      <c r="Z188" s="37" t="n">
        <v>1032.2</v>
      </c>
      <c r="AA188" s="37" t="n">
        <v>1032.5</v>
      </c>
      <c r="AB188" s="37" t="n">
        <v>1227.1</v>
      </c>
      <c r="AC188" s="37" t="n">
        <v>4221.8</v>
      </c>
      <c r="AD188" s="37" t="n">
        <v>1075.8</v>
      </c>
      <c r="AE188" s="37" t="n">
        <v>1162.4</v>
      </c>
      <c r="AF188" s="37" t="n">
        <v>1171.8</v>
      </c>
      <c r="AG188" s="37" t="n">
        <v>1450</v>
      </c>
      <c r="AH188" s="37" t="n">
        <v>4860</v>
      </c>
      <c r="AI188" s="37" t="n">
        <v>1286</v>
      </c>
      <c r="AJ188" s="37" t="n">
        <v>1403</v>
      </c>
      <c r="AK188" s="37" t="n">
        <v>1311</v>
      </c>
      <c r="AL188" s="37" t="n">
        <v>1615</v>
      </c>
      <c r="AM188" s="37" t="n">
        <v>5615</v>
      </c>
      <c r="AN188" s="37" t="n">
        <v>1370</v>
      </c>
      <c r="AO188" s="37" t="n">
        <v>1482</v>
      </c>
      <c r="AP188" s="37" t="n">
        <v>1423</v>
      </c>
      <c r="AQ188" s="37" t="n">
        <v>1698</v>
      </c>
      <c r="AR188" s="37" t="n">
        <v>5973</v>
      </c>
      <c r="AS188" s="37" t="n">
        <v>1377</v>
      </c>
      <c r="AT188" s="37" t="n">
        <v>1864</v>
      </c>
      <c r="AU188" s="37" t="n">
        <v>2803</v>
      </c>
      <c r="AV188" s="37" t="n">
        <v>3512</v>
      </c>
      <c r="AW188" s="37" t="n">
        <v>9556</v>
      </c>
      <c r="AX188" s="37" t="n">
        <v>3510</v>
      </c>
      <c r="AY188" s="37" t="n">
        <v>2689</v>
      </c>
      <c r="AZ188" s="37" t="n">
        <v>2778</v>
      </c>
      <c r="BA188" s="37" t="n">
        <v>3161</v>
      </c>
      <c r="BB188" s="37" t="n">
        <v>12138</v>
      </c>
      <c r="BC188" s="37" t="n">
        <v>3450</v>
      </c>
      <c r="BD188" s="37" t="n">
        <v>2605</v>
      </c>
      <c r="BE188" s="37" t="n">
        <v>2370</v>
      </c>
      <c r="BF188" s="37" t="n">
        <v>2560</v>
      </c>
      <c r="BG188" s="37" t="n">
        <v>10985</v>
      </c>
      <c r="BH188" s="37" t="n">
        <v>2330</v>
      </c>
      <c r="BI188" s="37" t="n">
        <v>2370</v>
      </c>
      <c r="BJ188" s="37" t="n">
        <v>2560</v>
      </c>
      <c r="BK188" s="37" t="n">
        <v>2550</v>
      </c>
      <c r="BL188" s="37" t="n">
        <v>9810</v>
      </c>
      <c r="BM188" s="37" t="n">
        <v>2278</v>
      </c>
      <c r="BN188" s="37" t="n">
        <v>2347</v>
      </c>
      <c r="BO188" s="37" t="n">
        <v>2362</v>
      </c>
      <c r="BP188" s="37" t="n">
        <v>2720</v>
      </c>
      <c r="BQ188" s="37" t="n">
        <v>9707</v>
      </c>
      <c r="BR188" s="37" t="n">
        <v>2269</v>
      </c>
      <c r="BS188" s="37" t="n">
        <v>2375</v>
      </c>
      <c r="BT188" s="37" t="n">
        <v>2587</v>
      </c>
      <c r="BU188" s="37" t="n">
        <v>2878</v>
      </c>
      <c r="BV188" s="37" t="n">
        <v>10109</v>
      </c>
      <c r="BW188" s="37" t="n">
        <v>2399</v>
      </c>
      <c r="BX188" s="37" t="n">
        <v>2735</v>
      </c>
      <c r="BY188" s="39"/>
      <c r="BZ188" s="39"/>
      <c r="CA188" s="39"/>
      <c r="CB188" s="39"/>
      <c r="CC188" s="39"/>
      <c r="CD188" s="39"/>
      <c r="CE188" s="39"/>
      <c r="CF188" s="21"/>
    </row>
    <row r="189" customFormat="false" ht="15" hidden="false" customHeight="false" outlineLevel="0" collapsed="false">
      <c r="B189" s="60" t="s">
        <v>350</v>
      </c>
      <c r="C189" s="61" t="n">
        <f aca="false">IF(ISNUMBER(C188),IF(ABS(C186-C188)&lt;=1.001,0,ROUND(C186-C188,1)),"")</f>
        <v>0</v>
      </c>
      <c r="D189" s="61" t="n">
        <f aca="false">IF(ISNUMBER(D188),IF(ABS(D186-D188)&lt;=1.001,0,ROUND(D186-D188,1)),"")</f>
        <v>0</v>
      </c>
      <c r="E189" s="61" t="n">
        <f aca="false">IF(ISNUMBER(E188),IF(ABS(E186-E188)&lt;=1.001,0,ROUND(E186-E188,1)),"")</f>
        <v>0</v>
      </c>
      <c r="F189" s="61" t="n">
        <f aca="false">IF(ISNUMBER(F188),IF(ABS(F186-F188)&lt;=1.001,0,ROUND(F186-F188,1)),"")</f>
        <v>0</v>
      </c>
      <c r="G189" s="61" t="n">
        <f aca="false">IF(ISNUMBER(G188),IF(ABS(G186-G188)&lt;=1.001,0,ROUND(G186-G188,1)),"")</f>
        <v>0</v>
      </c>
      <c r="H189" s="61" t="n">
        <f aca="false">IF(ISNUMBER(H188),IF(ABS(H186-H188)&lt;=1.001,0,ROUND(H186-H188,1)),"")</f>
        <v>0</v>
      </c>
      <c r="I189" s="61" t="n">
        <f aca="false">IF(ISNUMBER(I188),IF(ABS(I186-I188)&lt;=1.001,0,ROUND(I186-I188,1)),"")</f>
        <v>0</v>
      </c>
      <c r="J189" s="61" t="n">
        <f aca="false">IF(ISNUMBER(J188),IF(ABS(J186-J188)&lt;=1.001,0,ROUND(J186-J188,1)),"")</f>
        <v>0</v>
      </c>
      <c r="K189" s="61" t="n">
        <f aca="false">IF(ISNUMBER(K188),IF(ABS(K186-K188)&lt;=1.001,0,ROUND(K186-K188,1)),"")</f>
        <v>0</v>
      </c>
      <c r="L189" s="61" t="n">
        <f aca="false">IF(ISNUMBER(L188),IF(ABS(L186-L188)&lt;=1.001,0,ROUND(L186-L188,1)),"")</f>
        <v>0</v>
      </c>
      <c r="M189" s="61" t="n">
        <f aca="false">IF(ISNUMBER(M188),IF(ABS(M186-M188)&lt;=1.001,0,ROUND(M186-M188,1)),"")</f>
        <v>0</v>
      </c>
      <c r="N189" s="61" t="n">
        <f aca="false">IF(ISNUMBER(N188),IF(ABS(N186-N188)&lt;=1.001,0,ROUND(N186-N188,1)),"")</f>
        <v>0</v>
      </c>
      <c r="O189" s="61" t="n">
        <f aca="false">IF(ISNUMBER(O188),IF(ABS(O186-O188)&lt;=1.001,0,ROUND(O186-O188,1)),"")</f>
        <v>0</v>
      </c>
      <c r="P189" s="61" t="n">
        <f aca="false">IF(ISNUMBER(P188),IF(ABS(P186-P188)&lt;=1.001,0,ROUND(P186-P188,1)),"")</f>
        <v>0</v>
      </c>
      <c r="Q189" s="61" t="n">
        <f aca="false">IF(ISNUMBER(Q188),IF(ABS(Q186-Q188)&lt;=1.001,0,ROUND(Q186-Q188,1)),"")</f>
        <v>0</v>
      </c>
      <c r="R189" s="61" t="n">
        <f aca="false">IF(ISNUMBER(R188),IF(ABS(R186-R188)&lt;=1.001,0,ROUND(R186-R188,1)),"")</f>
        <v>0</v>
      </c>
      <c r="S189" s="61" t="n">
        <f aca="false">IF(ISNUMBER(S188),IF(ABS(S186-S188)&lt;=1.001,0,ROUND(S186-S188,1)),"")</f>
        <v>0</v>
      </c>
      <c r="T189" s="61" t="n">
        <f aca="false">IF(ISNUMBER(T188),IF(ABS(T186-T188)&lt;=1.001,0,ROUND(T186-T188,1)),"")</f>
        <v>0</v>
      </c>
      <c r="U189" s="61" t="n">
        <f aca="false">IF(ISNUMBER(U188),IF(ABS(U186-U188)&lt;=1.001,0,ROUND(U186-U188,1)),"")</f>
        <v>0</v>
      </c>
      <c r="V189" s="61" t="n">
        <f aca="false">IF(ISNUMBER(V188),IF(ABS(V186-V188)&lt;=1.001,0,ROUND(V186-V188,1)),"")</f>
        <v>0</v>
      </c>
      <c r="W189" s="61" t="n">
        <f aca="false">IF(ISNUMBER(W188),IF(ABS(W186-W188)&lt;=1.001,0,ROUND(W186-W188,1)),"")</f>
        <v>0</v>
      </c>
      <c r="X189" s="61" t="n">
        <f aca="false">IF(ISNUMBER(X188),IF(ABS(X186-X188)&lt;=1.001,0,ROUND(X186-X188,1)),"")</f>
        <v>0</v>
      </c>
      <c r="Y189" s="61" t="n">
        <f aca="false">IF(ISNUMBER(Y188),IF(ABS(Y186-Y188)&lt;=1.001,0,ROUND(Y186-Y188,1)),"")</f>
        <v>0</v>
      </c>
      <c r="Z189" s="61" t="n">
        <f aca="false">IF(ISNUMBER(Z188),IF(ABS(Z186-Z188)&lt;=1.001,0,ROUND(Z186-Z188,1)),"")</f>
        <v>0</v>
      </c>
      <c r="AA189" s="61" t="n">
        <f aca="false">IF(ISNUMBER(AA188),IF(ABS(AA186-AA188)&lt;=1.001,0,ROUND(AA186-AA188,1)),"")</f>
        <v>0</v>
      </c>
      <c r="AB189" s="61" t="n">
        <f aca="false">IF(ISNUMBER(AB188),IF(ABS(AB186-AB188)&lt;=1.001,0,ROUND(AB186-AB188,1)),"")</f>
        <v>0</v>
      </c>
      <c r="AC189" s="61" t="n">
        <f aca="false">IF(ISNUMBER(AC188),IF(ABS(AC186-AC188)&lt;=1.001,0,ROUND(AC186-AC188,1)),"")</f>
        <v>0</v>
      </c>
      <c r="AD189" s="61" t="n">
        <f aca="false">IF(ISNUMBER(AD188),IF(ABS(AD186-AD188)&lt;=1.001,0,ROUND(AD186-AD188,1)),"")</f>
        <v>0</v>
      </c>
      <c r="AE189" s="61" t="n">
        <f aca="false">IF(ISNUMBER(AE188),IF(ABS(AE186-AE188)&lt;=1.001,0,ROUND(AE186-AE188,1)),"")</f>
        <v>0</v>
      </c>
      <c r="AF189" s="61" t="n">
        <f aca="false">IF(ISNUMBER(AF188),IF(ABS(AF186-AF188)&lt;=1.001,0,ROUND(AF186-AF188,1)),"")</f>
        <v>0</v>
      </c>
      <c r="AG189" s="61" t="n">
        <f aca="false">IF(ISNUMBER(AG188),IF(ABS(AG186-AG188)&lt;=1.001,0,ROUND(AG186-AG188,1)),"")</f>
        <v>0</v>
      </c>
      <c r="AH189" s="61" t="n">
        <f aca="false">IF(ISNUMBER(AH188),IF(ABS(AH186-AH188)&lt;=1.001,0,ROUND(AH186-AH188,1)),"")</f>
        <v>0</v>
      </c>
      <c r="AI189" s="61" t="n">
        <f aca="false">IF(ISNUMBER(AI188),IF(ABS(AI186-AI188)&lt;=1.001,0,ROUND(AI186-AI188,1)),"")</f>
        <v>0</v>
      </c>
      <c r="AJ189" s="61" t="n">
        <f aca="false">IF(ISNUMBER(AJ188),IF(ABS(AJ186-AJ188)&lt;=1.001,0,ROUND(AJ186-AJ188,1)),"")</f>
        <v>0</v>
      </c>
      <c r="AK189" s="61" t="n">
        <f aca="false">IF(ISNUMBER(AK188),IF(ABS(AK186-AK188)&lt;=1.001,0,ROUND(AK186-AK188,1)),"")</f>
        <v>0</v>
      </c>
      <c r="AL189" s="61" t="n">
        <f aca="false">IF(ISNUMBER(AL188),IF(ABS(AL186-AL188)&lt;=1.001,0,ROUND(AL186-AL188,1)),"")</f>
        <v>0</v>
      </c>
      <c r="AM189" s="61" t="n">
        <f aca="false">IF(ISNUMBER(AM188),IF(ABS(AM186-AM188)&lt;=1.001,0,ROUND(AM186-AM188,1)),"")</f>
        <v>0</v>
      </c>
      <c r="AN189" s="61" t="n">
        <f aca="false">IF(ISNUMBER(AN188),IF(ABS(AN186-AN188)&lt;=1.001,0,ROUND(AN186-AN188,1)),"")</f>
        <v>0</v>
      </c>
      <c r="AO189" s="61" t="n">
        <f aca="false">IF(ISNUMBER(AO188),IF(ABS(AO186-AO188)&lt;=1.001,0,ROUND(AO186-AO188,1)),"")</f>
        <v>0</v>
      </c>
      <c r="AP189" s="61" t="n">
        <f aca="false">IF(ISNUMBER(AP188),IF(ABS(AP186-AP188)&lt;=1.001,0,ROUND(AP186-AP188,1)),"")</f>
        <v>0</v>
      </c>
      <c r="AQ189" s="61" t="n">
        <f aca="false">IF(ISNUMBER(AQ188),IF(ABS(AQ186-AQ188)&lt;=1.001,0,ROUND(AQ186-AQ188,1)),"")</f>
        <v>0</v>
      </c>
      <c r="AR189" s="61" t="n">
        <f aca="false">IF(ISNUMBER(AR188),IF(ABS(AR186-AR188)&lt;=1.001,0,ROUND(AR186-AR188,1)),"")</f>
        <v>0</v>
      </c>
      <c r="AS189" s="61" t="n">
        <f aca="false">IF(ISNUMBER(AS188),IF(ABS(AS186-AS188)&lt;=1.001,0,ROUND(AS186-AS188,1)),"")</f>
        <v>0</v>
      </c>
      <c r="AT189" s="61" t="n">
        <f aca="false">IF(ISNUMBER(AT188),IF(ABS(AT186-AT188)&lt;=1.001,0,ROUND(AT186-AT188,1)),"")</f>
        <v>0</v>
      </c>
      <c r="AU189" s="61" t="n">
        <f aca="false">IF(ISNUMBER(AU188),IF(ABS(AU186-AU188)&lt;=1.001,0,ROUND(AU186-AU188,1)),"")</f>
        <v>0</v>
      </c>
      <c r="AV189" s="61" t="n">
        <f aca="false">IF(ISNUMBER(AV188),IF(ABS(AV186-AV188)&lt;=1.001,0,ROUND(AV186-AV188,1)),"")</f>
        <v>0</v>
      </c>
      <c r="AW189" s="61" t="n">
        <f aca="false">IF(ISNUMBER(AW188),IF(ABS(AW186-AW188)&lt;=1.001,0,ROUND(AW186-AW188,1)),"")</f>
        <v>0</v>
      </c>
      <c r="AX189" s="61" t="n">
        <f aca="false">IF(ISNUMBER(AX188),IF(ABS(AX186-AX188)&lt;=1.001,0,ROUND(AX186-AX188,1)),"")</f>
        <v>0</v>
      </c>
      <c r="AY189" s="61" t="n">
        <f aca="false">IF(ISNUMBER(AY188),IF(ABS(AY186-AY188)&lt;=1.001,0,ROUND(AY186-AY188,1)),"")</f>
        <v>0</v>
      </c>
      <c r="AZ189" s="61" t="n">
        <f aca="false">IF(ISNUMBER(AZ188),IF(ABS(AZ186-AZ188)&lt;=1.001,0,ROUND(AZ186-AZ188,1)),"")</f>
        <v>0</v>
      </c>
      <c r="BA189" s="61" t="n">
        <f aca="false">IF(ISNUMBER(BA188),IF(ABS(BA186-BA188)&lt;=1.001,0,ROUND(BA186-BA188,1)),"")</f>
        <v>0</v>
      </c>
      <c r="BB189" s="61" t="n">
        <f aca="false">IF(ISNUMBER(BB188),IF(ABS(BB186-BB188)&lt;=1.001,0,ROUND(BB186-BB188,1)),"")</f>
        <v>0</v>
      </c>
      <c r="BC189" s="61" t="n">
        <f aca="false">IF(ISNUMBER(BC188),IF(ABS(BC186-BC188)&lt;=1.001,0,ROUND(BC186-BC188,1)),"")</f>
        <v>0</v>
      </c>
      <c r="BD189" s="61" t="n">
        <f aca="false">IF(ISNUMBER(BD188),IF(ABS(BD186-BD188)&lt;=1.001,0,ROUND(BD186-BD188,1)),"")</f>
        <v>0</v>
      </c>
      <c r="BE189" s="61" t="n">
        <f aca="false">IF(ISNUMBER(BE188),IF(ABS(BE186-BE188)&lt;=1.001,0,ROUND(BE186-BE188,1)),"")</f>
        <v>0</v>
      </c>
      <c r="BF189" s="61" t="n">
        <f aca="false">IF(ISNUMBER(BF188),IF(ABS(BF186-BF188)&lt;=1.001,0,ROUND(BF186-BF188,1)),"")</f>
        <v>0</v>
      </c>
      <c r="BG189" s="61" t="n">
        <f aca="false">IF(ISNUMBER(BG188),IF(ABS(BG186-BG188)&lt;=1.001,0,ROUND(BG186-BG188,1)),"")</f>
        <v>0</v>
      </c>
      <c r="BH189" s="61" t="n">
        <f aca="false">IF(ISNUMBER(BH188),IF(ABS(BH186-BH188)&lt;=1.001,0,ROUND(BH186-BH188,1)),"")</f>
        <v>0</v>
      </c>
      <c r="BI189" s="61" t="n">
        <f aca="false">IF(ISNUMBER(BI188),IF(ABS(BI186-BI188)&lt;=1.001,0,ROUND(BI186-BI188,1)),"")</f>
        <v>0</v>
      </c>
      <c r="BJ189" s="61" t="n">
        <f aca="false">IF(ISNUMBER(BJ188),IF(ABS(BJ186-BJ188)&lt;=1.001,0,ROUND(BJ186-BJ188,1)),"")</f>
        <v>0</v>
      </c>
      <c r="BK189" s="61" t="n">
        <f aca="false">IF(ISNUMBER(BK188),IF(ABS(BK186-BK188)&lt;=1.001,0,ROUND(BK186-BK188,1)),"")</f>
        <v>0</v>
      </c>
      <c r="BL189" s="61" t="n">
        <f aca="false">IF(ISNUMBER(BL188),IF(ABS(BL186-BL188)&lt;=1.001,0,ROUND(BL186-BL188,1)),"")</f>
        <v>0</v>
      </c>
      <c r="BM189" s="61" t="n">
        <f aca="false">IF(ISNUMBER(BM188),IF(ABS(BM186-BM188)&lt;=1.001,0,ROUND(BM186-BM188,1)),"")</f>
        <v>0</v>
      </c>
      <c r="BN189" s="61" t="n">
        <f aca="false">IF(ISNUMBER(BN188),IF(ABS(BN186-BN188)&lt;=1.001,0,ROUND(BN186-BN188,1)),"")</f>
        <v>0</v>
      </c>
      <c r="BO189" s="61" t="n">
        <f aca="false">IF(ISNUMBER(BO188),IF(ABS(BO186-BO188)&lt;=1.001,0,ROUND(BO186-BO188,1)),"")</f>
        <v>0</v>
      </c>
      <c r="BP189" s="61" t="n">
        <f aca="false">IF(ISNUMBER(BP188),IF(ABS(BP186-BP188)&lt;=1.001,0,ROUND(BP186-BP188,1)),"")</f>
        <v>0</v>
      </c>
      <c r="BQ189" s="61" t="n">
        <f aca="false">IF(ISNUMBER(BQ188),IF(ABS(BQ186-BQ188)&lt;=1.001,0,ROUND(BQ186-BQ188,1)),"")</f>
        <v>0</v>
      </c>
      <c r="BR189" s="61" t="n">
        <f aca="false">IF(ISNUMBER(BR188),IF(ABS(BR186-BR188)&lt;=1.001,0,ROUND(BR186-BR188,1)),"")</f>
        <v>0</v>
      </c>
      <c r="BS189" s="61" t="n">
        <f aca="false">IF(ISNUMBER(BS188),IF(ABS(BS186-BS188)&lt;=1.001,0,ROUND(BS186-BS188,1)),"")</f>
        <v>0</v>
      </c>
      <c r="BT189" s="61" t="n">
        <f aca="false">IF(ISNUMBER(BT188),IF(ABS(BT186-BT188)&lt;=1.001,0,ROUND(BT186-BT188,1)),"")</f>
        <v>0</v>
      </c>
      <c r="BU189" s="61" t="n">
        <f aca="false">IF(ISNUMBER(BU188),IF(ABS(BU186-BU188)&lt;=1.001,0,ROUND(BU186-BU188,1)),"")</f>
        <v>0</v>
      </c>
      <c r="BV189" s="61" t="n">
        <f aca="false">IF(ISNUMBER(BV188),IF(ABS(BV186-BV188)&lt;=1.001,0,ROUND(BV186-BV188,1)),"")</f>
        <v>0</v>
      </c>
      <c r="BW189" s="61" t="n">
        <f aca="false">IF(ISNUMBER(BW188),IF(ABS(BW186-BW188)&lt;=1.001,0,ROUND(BW186-BW188,1)),"")</f>
        <v>0</v>
      </c>
      <c r="BX189" s="61" t="n">
        <f aca="false">IF(ISNUMBER(BX188),IF(ABS(BX186-BX188)&lt;=1.001,0,ROUND(BX186-BX188,1)),"")</f>
        <v>0</v>
      </c>
      <c r="BY189" s="39"/>
      <c r="BZ189" s="39"/>
      <c r="CA189" s="39"/>
      <c r="CB189" s="39"/>
      <c r="CC189" s="39"/>
      <c r="CD189" s="39"/>
      <c r="CE189" s="39"/>
      <c r="CF189" s="21"/>
    </row>
    <row r="190" customFormat="false" ht="15" hidden="false" customHeight="false" outlineLevel="0" collapsed="false">
      <c r="B190" s="17" t="s">
        <v>351</v>
      </c>
      <c r="CF190" s="64"/>
    </row>
    <row r="191" customFormat="false" ht="15" hidden="false" customHeight="false" outlineLevel="0" collapsed="false">
      <c r="B191" s="23" t="s">
        <v>352</v>
      </c>
      <c r="C191" s="61" t="n">
        <f aca="false">C126</f>
        <v>69.947</v>
      </c>
      <c r="D191" s="61" t="n">
        <f aca="false">D126</f>
        <v>185.7</v>
      </c>
      <c r="E191" s="61" t="n">
        <f aca="false">E126</f>
        <v>189.9</v>
      </c>
      <c r="F191" s="61" t="n">
        <f aca="false">F126</f>
        <v>190.3</v>
      </c>
      <c r="G191" s="61" t="n">
        <f aca="false">G126</f>
        <v>198.3</v>
      </c>
      <c r="H191" s="61" t="n">
        <f aca="false">H126</f>
        <v>215.6</v>
      </c>
      <c r="I191" s="61" t="n">
        <f aca="false">I126</f>
        <v>236.1</v>
      </c>
      <c r="J191" s="61" t="n">
        <f aca="false">J126</f>
        <v>59</v>
      </c>
      <c r="K191" s="61" t="n">
        <f aca="false">K126</f>
        <v>58</v>
      </c>
      <c r="L191" s="61" t="n">
        <f aca="false">L126</f>
        <v>59.4</v>
      </c>
      <c r="M191" s="61" t="n">
        <f aca="false">M126</f>
        <v>60.4</v>
      </c>
      <c r="N191" s="61" t="n">
        <f aca="false">N126</f>
        <v>236.8</v>
      </c>
      <c r="O191" s="61" t="n">
        <f aca="false">O126</f>
        <v>79.7</v>
      </c>
      <c r="P191" s="61" t="n">
        <f aca="false">P126</f>
        <v>91.2</v>
      </c>
      <c r="Q191" s="61" t="n">
        <f aca="false">Q126</f>
        <v>92.8</v>
      </c>
      <c r="R191" s="61" t="n">
        <f aca="false">R126</f>
        <v>89.4</v>
      </c>
      <c r="S191" s="61" t="n">
        <f aca="false">S126</f>
        <v>353.1</v>
      </c>
      <c r="T191" s="61" t="n">
        <f aca="false">T126</f>
        <v>87.2</v>
      </c>
      <c r="U191" s="61" t="n">
        <f aca="false">U126</f>
        <v>89.9</v>
      </c>
      <c r="V191" s="61" t="n">
        <f aca="false">V126</f>
        <v>97.8</v>
      </c>
      <c r="W191" s="61" t="n">
        <f aca="false">W126</f>
        <v>98.5</v>
      </c>
      <c r="X191" s="61" t="n">
        <f aca="false">X126</f>
        <v>373.4</v>
      </c>
      <c r="Y191" s="61" t="n">
        <f aca="false">Y126</f>
        <v>94.1</v>
      </c>
      <c r="Z191" s="61" t="n">
        <f aca="false">Z126</f>
        <v>97.1</v>
      </c>
      <c r="AA191" s="61" t="n">
        <f aca="false">AA126</f>
        <v>91.4</v>
      </c>
      <c r="AB191" s="61" t="n">
        <f aca="false">AB126</f>
        <v>97.4</v>
      </c>
      <c r="AC191" s="61" t="n">
        <f aca="false">AC126</f>
        <v>380</v>
      </c>
      <c r="AD191" s="61" t="n">
        <f aca="false">AD126</f>
        <v>97</v>
      </c>
      <c r="AE191" s="61" t="n">
        <f aca="false">AE126</f>
        <v>97.3</v>
      </c>
      <c r="AF191" s="61" t="n">
        <f aca="false">AF126</f>
        <v>111.8</v>
      </c>
      <c r="AG191" s="61" t="n">
        <f aca="false">AG126</f>
        <v>133</v>
      </c>
      <c r="AH191" s="61" t="n">
        <f aca="false">AH126</f>
        <v>439</v>
      </c>
      <c r="AI191" s="61" t="n">
        <f aca="false">AI126</f>
        <v>131</v>
      </c>
      <c r="AJ191" s="61" t="n">
        <f aca="false">AJ126</f>
        <v>130</v>
      </c>
      <c r="AK191" s="61" t="n">
        <f aca="false">AK126</f>
        <v>132</v>
      </c>
      <c r="AL191" s="61" t="n">
        <f aca="false">AL126</f>
        <v>133</v>
      </c>
      <c r="AM191" s="61" t="n">
        <f aca="false">AM126</f>
        <v>526</v>
      </c>
      <c r="AN191" s="61" t="n">
        <f aca="false">AN126</f>
        <v>133</v>
      </c>
      <c r="AO191" s="61" t="n">
        <f aca="false">AO126</f>
        <v>142</v>
      </c>
      <c r="AP191" s="61" t="n">
        <f aca="false">AP126</f>
        <v>141</v>
      </c>
      <c r="AQ191" s="61" t="n">
        <f aca="false">AQ126</f>
        <v>148</v>
      </c>
      <c r="AR191" s="61" t="n">
        <f aca="false">AR126</f>
        <v>564</v>
      </c>
      <c r="AS191" s="61" t="n">
        <f aca="false">AS126</f>
        <v>149</v>
      </c>
      <c r="AT191" s="61" t="n">
        <f aca="false">AT126</f>
        <v>157</v>
      </c>
      <c r="AU191" s="61" t="n">
        <f aca="false">AU126</f>
        <v>161</v>
      </c>
      <c r="AV191" s="61" t="n">
        <f aca="false">AV126</f>
        <v>191</v>
      </c>
      <c r="AW191" s="61" t="n">
        <f aca="false">AW126</f>
        <v>658</v>
      </c>
      <c r="AX191" s="61" t="n">
        <f aca="false">AX126</f>
        <v>198</v>
      </c>
      <c r="AY191" s="61" t="n">
        <f aca="false">AY126</f>
        <v>211</v>
      </c>
      <c r="AZ191" s="61" t="n">
        <f aca="false">AZ126</f>
        <v>205</v>
      </c>
      <c r="BA191" s="61" t="n">
        <f aca="false">BA126</f>
        <v>217</v>
      </c>
      <c r="BB191" s="61" t="n">
        <f aca="false">BB126</f>
        <v>831</v>
      </c>
      <c r="BC191" s="61" t="n">
        <f aca="false">BC126</f>
        <v>250</v>
      </c>
      <c r="BD191" s="61" t="n">
        <f aca="false">BD126</f>
        <v>236</v>
      </c>
      <c r="BE191" s="61" t="n">
        <f aca="false">BE126</f>
        <v>244</v>
      </c>
      <c r="BF191" s="61" t="n">
        <f aca="false">BF126</f>
        <v>256</v>
      </c>
      <c r="BG191" s="61" t="n">
        <f aca="false">BG126</f>
        <v>986</v>
      </c>
      <c r="BH191" s="61" t="n">
        <f aca="false">BH126</f>
        <v>253</v>
      </c>
      <c r="BI191" s="61" t="n">
        <f aca="false">BI126</f>
        <v>270</v>
      </c>
      <c r="BJ191" s="61" t="n">
        <f aca="false">BJ126</f>
        <v>269</v>
      </c>
      <c r="BK191" s="61" t="n">
        <f aca="false">BK126</f>
        <v>276</v>
      </c>
      <c r="BL191" s="61" t="n">
        <f aca="false">BL126</f>
        <v>1068</v>
      </c>
      <c r="BM191" s="61" t="n">
        <f aca="false">BM126</f>
        <v>285</v>
      </c>
      <c r="BN191" s="61" t="n">
        <f aca="false">BN126</f>
        <v>276</v>
      </c>
      <c r="BO191" s="61" t="n">
        <f aca="false">BO126</f>
        <v>291</v>
      </c>
      <c r="BP191" s="61" t="n">
        <f aca="false">BP126</f>
        <v>304</v>
      </c>
      <c r="BQ191" s="61" t="n">
        <f aca="false">BQ126</f>
        <v>1156</v>
      </c>
      <c r="BR191" s="61" t="n">
        <f aca="false">BR126</f>
        <v>276</v>
      </c>
      <c r="BS191" s="61" t="n">
        <f aca="false">BS126</f>
        <v>256</v>
      </c>
      <c r="BT191" s="61" t="n">
        <f aca="false">BT126</f>
        <v>227</v>
      </c>
      <c r="BU191" s="61" t="n">
        <f aca="false">BU126</f>
        <v>291</v>
      </c>
      <c r="BV191" s="61" t="n">
        <f aca="false">BV126</f>
        <v>1050</v>
      </c>
      <c r="BW191" s="61" t="n">
        <f aca="false">BW126</f>
        <v>306</v>
      </c>
      <c r="BX191" s="61" t="n">
        <f aca="false">BX126</f>
        <v>331</v>
      </c>
      <c r="BY191" s="44" t="n">
        <f aca="false">BY126</f>
        <v>331.008797473772</v>
      </c>
      <c r="BZ191" s="44" t="n">
        <f aca="false">BZ126</f>
        <v>354.460701200083</v>
      </c>
      <c r="CA191" s="44" t="n">
        <f aca="false">CA126</f>
        <v>1322.46949867386</v>
      </c>
      <c r="CB191" s="44" t="n">
        <f aca="false">CB126</f>
        <v>1367.92392856334</v>
      </c>
      <c r="CC191" s="44" t="n">
        <f aca="false">CC126</f>
        <v>1471.5818539167</v>
      </c>
      <c r="CD191" s="44" t="n">
        <f aca="false">CD126</f>
        <v>1583.07677286174</v>
      </c>
      <c r="CE191" s="44" t="n">
        <f aca="false">CE126</f>
        <v>1701.36866742767</v>
      </c>
      <c r="CF191" s="21"/>
    </row>
    <row r="192" customFormat="false" ht="15" hidden="false" customHeight="false" outlineLevel="0" collapsed="false">
      <c r="B192" s="58" t="s">
        <v>353</v>
      </c>
      <c r="C192" s="59" t="n">
        <f aca="false">IF(ISNUMBER(C126),C186+C126,"")</f>
        <v>642.816</v>
      </c>
      <c r="D192" s="59" t="n">
        <f aca="false">IF(ISNUMBER(D126),D186+D126,"")</f>
        <v>1822.6</v>
      </c>
      <c r="E192" s="59" t="n">
        <f aca="false">IF(ISNUMBER(E126),E186+E126,"")</f>
        <v>2059</v>
      </c>
      <c r="F192" s="59" t="n">
        <f aca="false">IF(ISNUMBER(F126),F186+F126,"")</f>
        <v>1905.2</v>
      </c>
      <c r="G192" s="59" t="n">
        <f aca="false">IF(ISNUMBER(G126),G186+G126,"")</f>
        <v>2114.3</v>
      </c>
      <c r="H192" s="59" t="n">
        <f aca="false">IF(ISNUMBER(H126),H186+H126,"")</f>
        <v>2343.4</v>
      </c>
      <c r="I192" s="59" t="n">
        <f aca="false">IF(ISNUMBER(I126),I186+I126,"")</f>
        <v>2616</v>
      </c>
      <c r="J192" s="59" t="n">
        <f aca="false">IF(ISNUMBER(J126),J186+J126,"")</f>
        <v>674.1</v>
      </c>
      <c r="K192" s="59" t="n">
        <f aca="false">IF(ISNUMBER(K126),K186+K126,"")</f>
        <v>681.8</v>
      </c>
      <c r="L192" s="59" t="n">
        <f aca="false">IF(ISNUMBER(L126),L186+L126,"")</f>
        <v>678.8</v>
      </c>
      <c r="M192" s="59" t="n">
        <f aca="false">IF(ISNUMBER(M126),M186+M126,"")</f>
        <v>754.6</v>
      </c>
      <c r="N192" s="59" t="n">
        <f aca="false">IF(ISNUMBER(N126),N186+N126,"")</f>
        <v>2789.3</v>
      </c>
      <c r="O192" s="59" t="n">
        <f aca="false">IF(ISNUMBER(O126),O186+O126,"")</f>
        <v>910.2</v>
      </c>
      <c r="P192" s="59" t="n">
        <f aca="false">IF(ISNUMBER(P126),P186+P126,"")</f>
        <v>1014.8</v>
      </c>
      <c r="Q192" s="59" t="n">
        <f aca="false">IF(ISNUMBER(Q126),Q186+Q126,"")</f>
        <v>1007.8</v>
      </c>
      <c r="R192" s="59" t="n">
        <f aca="false">IF(ISNUMBER(R126),R186+R126,"")</f>
        <v>1115.1</v>
      </c>
      <c r="S192" s="59" t="n">
        <f aca="false">IF(ISNUMBER(S126),S186+S126,"")</f>
        <v>4047.9</v>
      </c>
      <c r="T192" s="59" t="n">
        <f aca="false">IF(ISNUMBER(T126),T186+T126,"")</f>
        <v>943.8</v>
      </c>
      <c r="U192" s="59" t="n">
        <f aca="false">IF(ISNUMBER(U126),U186+U126,"")</f>
        <v>1040.2</v>
      </c>
      <c r="V192" s="59" t="n">
        <f aca="false">IF(ISNUMBER(V126),V186+V126,"")</f>
        <v>1031.5</v>
      </c>
      <c r="W192" s="59" t="n">
        <f aca="false">IF(ISNUMBER(W126),W186+W126,"")</f>
        <v>1179.6</v>
      </c>
      <c r="X192" s="59" t="n">
        <f aca="false">IF(ISNUMBER(X126),X186+X126,"")</f>
        <v>4195.1</v>
      </c>
      <c r="Y192" s="59" t="n">
        <f aca="false">IF(ISNUMBER(Y126),Y186+Y126,"")</f>
        <v>1024.1</v>
      </c>
      <c r="Z192" s="59" t="n">
        <f aca="false">IF(ISNUMBER(Z126),Z186+Z126,"")</f>
        <v>1129.3</v>
      </c>
      <c r="AA192" s="59" t="n">
        <f aca="false">IF(ISNUMBER(AA126),AA186+AA126,"")</f>
        <v>1123.9</v>
      </c>
      <c r="AB192" s="59" t="n">
        <f aca="false">IF(ISNUMBER(AB126),AB186+AB126,"")</f>
        <v>1324.5</v>
      </c>
      <c r="AC192" s="59" t="n">
        <f aca="false">IF(ISNUMBER(AC126),AC186+AC126,"")</f>
        <v>4601.8</v>
      </c>
      <c r="AD192" s="59" t="n">
        <f aca="false">IF(ISNUMBER(AD126),AD186+AD126,"")</f>
        <v>1172.8</v>
      </c>
      <c r="AE192" s="59" t="n">
        <f aca="false">IF(ISNUMBER(AE126),AE186+AE126,"")</f>
        <v>1259.7</v>
      </c>
      <c r="AF192" s="59" t="n">
        <f aca="false">IF(ISNUMBER(AF126),AF186+AF126,"")</f>
        <v>1283.6</v>
      </c>
      <c r="AG192" s="59" t="n">
        <f aca="false">IF(ISNUMBER(AG126),AG186+AG126,"")</f>
        <v>1583</v>
      </c>
      <c r="AH192" s="59" t="n">
        <f aca="false">IF(ISNUMBER(AH126),AH186+AH126,"")</f>
        <v>5299</v>
      </c>
      <c r="AI192" s="59" t="n">
        <f aca="false">IF(ISNUMBER(AI126),AI186+AI126,"")</f>
        <v>1417</v>
      </c>
      <c r="AJ192" s="59" t="n">
        <f aca="false">IF(ISNUMBER(AJ126),AJ186+AJ126,"")</f>
        <v>1533</v>
      </c>
      <c r="AK192" s="59" t="n">
        <f aca="false">IF(ISNUMBER(AK126),AK186+AK126,"")</f>
        <v>1443</v>
      </c>
      <c r="AL192" s="59" t="n">
        <f aca="false">IF(ISNUMBER(AL126),AL186+AL126,"")</f>
        <v>1748</v>
      </c>
      <c r="AM192" s="59" t="n">
        <f aca="false">IF(ISNUMBER(AM126),AM186+AM126,"")</f>
        <v>6141</v>
      </c>
      <c r="AN192" s="59" t="n">
        <f aca="false">IF(ISNUMBER(AN126),AN186+AN126,"")</f>
        <v>1503</v>
      </c>
      <c r="AO192" s="59" t="n">
        <f aca="false">IF(ISNUMBER(AO126),AO186+AO126,"")</f>
        <v>1624</v>
      </c>
      <c r="AP192" s="59" t="n">
        <f aca="false">IF(ISNUMBER(AP126),AP186+AP126,"")</f>
        <v>1564</v>
      </c>
      <c r="AQ192" s="59" t="n">
        <f aca="false">IF(ISNUMBER(AQ126),AQ186+AQ126,"")</f>
        <v>1846</v>
      </c>
      <c r="AR192" s="59" t="n">
        <f aca="false">IF(ISNUMBER(AR126),AR186+AR126,"")</f>
        <v>6537</v>
      </c>
      <c r="AS192" s="59" t="n">
        <f aca="false">IF(ISNUMBER(AS126),AS186+AS126,"")</f>
        <v>1526</v>
      </c>
      <c r="AT192" s="59" t="n">
        <f aca="false">IF(ISNUMBER(AT126),AT186+AT126,"")</f>
        <v>2021</v>
      </c>
      <c r="AU192" s="59" t="n">
        <f aca="false">IF(ISNUMBER(AU126),AU186+AU126,"")</f>
        <v>2964</v>
      </c>
      <c r="AV192" s="59" t="n">
        <f aca="false">IF(ISNUMBER(AV126),AV186+AV126,"")</f>
        <v>3703</v>
      </c>
      <c r="AW192" s="59" t="n">
        <f aca="false">IF(ISNUMBER(AW126),AW186+AW126,"")</f>
        <v>10214</v>
      </c>
      <c r="AX192" s="59" t="n">
        <f aca="false">IF(ISNUMBER(AX126),AX186+AX126,"")</f>
        <v>3708</v>
      </c>
      <c r="AY192" s="59" t="n">
        <f aca="false">IF(ISNUMBER(AY126),AY186+AY126,"")</f>
        <v>2900</v>
      </c>
      <c r="AZ192" s="59" t="n">
        <f aca="false">IF(ISNUMBER(AZ126),AZ186+AZ126,"")</f>
        <v>2983</v>
      </c>
      <c r="BA192" s="59" t="n">
        <f aca="false">IF(ISNUMBER(BA126),BA186+BA126,"")</f>
        <v>3378</v>
      </c>
      <c r="BB192" s="59" t="n">
        <f aca="false">IF(ISNUMBER(BB126),BB186+BB126,"")</f>
        <v>12969</v>
      </c>
      <c r="BC192" s="59" t="n">
        <f aca="false">IF(ISNUMBER(BC126),BC186+BC126,"")</f>
        <v>3700</v>
      </c>
      <c r="BD192" s="59" t="n">
        <f aca="false">IF(ISNUMBER(BD126),BD186+BD126,"")</f>
        <v>2841</v>
      </c>
      <c r="BE192" s="59" t="n">
        <f aca="false">IF(ISNUMBER(BE126),BE186+BE126,"")</f>
        <v>2614</v>
      </c>
      <c r="BF192" s="59" t="n">
        <f aca="false">IF(ISNUMBER(BF126),BF186+BF126,"")</f>
        <v>2816</v>
      </c>
      <c r="BG192" s="59" t="n">
        <f aca="false">IF(ISNUMBER(BG126),BG186+BG126,"")</f>
        <v>11971</v>
      </c>
      <c r="BH192" s="59" t="n">
        <f aca="false">IF(ISNUMBER(BH126),BH186+BH126,"")</f>
        <v>2583</v>
      </c>
      <c r="BI192" s="59" t="n">
        <f aca="false">IF(ISNUMBER(BI126),BI186+BI126,"")</f>
        <v>2640</v>
      </c>
      <c r="BJ192" s="59" t="n">
        <f aca="false">IF(ISNUMBER(BJ126),BJ186+BJ126,"")</f>
        <v>2829</v>
      </c>
      <c r="BK192" s="59" t="n">
        <f aca="false">IF(ISNUMBER(BK126),BK186+BK126,"")</f>
        <v>2826</v>
      </c>
      <c r="BL192" s="59" t="n">
        <f aca="false">IF(ISNUMBER(BL126),BL186+BL126,"")</f>
        <v>10878</v>
      </c>
      <c r="BM192" s="59" t="n">
        <f aca="false">IF(ISNUMBER(BM126),BM186+BM126,"")</f>
        <v>2562</v>
      </c>
      <c r="BN192" s="59" t="n">
        <f aca="false">IF(ISNUMBER(BN126),BN186+BN126,"")</f>
        <v>2622</v>
      </c>
      <c r="BO192" s="59" t="n">
        <f aca="false">IF(ISNUMBER(BO126),BO186+BO126,"")</f>
        <v>2654</v>
      </c>
      <c r="BP192" s="59" t="n">
        <f aca="false">IF(ISNUMBER(BP126),BP186+BP126,"")</f>
        <v>3025</v>
      </c>
      <c r="BQ192" s="59" t="n">
        <f aca="false">IF(ISNUMBER(BQ126),BQ186+BQ126,"")</f>
        <v>10863</v>
      </c>
      <c r="BR192" s="59" t="n">
        <f aca="false">IF(ISNUMBER(BR126),BR186+BR126,"")</f>
        <v>2546</v>
      </c>
      <c r="BS192" s="59" t="n">
        <f aca="false">IF(ISNUMBER(BS126),BS186+BS126,"")</f>
        <v>2632</v>
      </c>
      <c r="BT192" s="59" t="n">
        <f aca="false">IF(ISNUMBER(BT126),BT186+BT126,"")</f>
        <v>2814</v>
      </c>
      <c r="BU192" s="59" t="n">
        <f aca="false">IF(ISNUMBER(BU126),BU186+BU126,"")</f>
        <v>3169</v>
      </c>
      <c r="BV192" s="59" t="n">
        <f aca="false">IF(ISNUMBER(BV126),BV186+BV126,"")</f>
        <v>11160</v>
      </c>
      <c r="BW192" s="59" t="n">
        <f aca="false">IF(ISNUMBER(BW126),BW186+BW126,"")</f>
        <v>2705</v>
      </c>
      <c r="BX192" s="59" t="n">
        <f aca="false">IF(ISNUMBER(BX126),BX186+BX126,"")</f>
        <v>3065</v>
      </c>
      <c r="BY192" s="59" t="n">
        <f aca="false">BY186+BY126</f>
        <v>3262.26877818127</v>
      </c>
      <c r="BZ192" s="59" t="n">
        <f aca="false">BZ186+BZ126</f>
        <v>3509.45072049259</v>
      </c>
      <c r="CA192" s="59" t="n">
        <f aca="false">CA186+CA126</f>
        <v>12541.7194986739</v>
      </c>
      <c r="CB192" s="59" t="n">
        <f aca="false">CB186+CB126</f>
        <v>13452.7181266983</v>
      </c>
      <c r="CC192" s="59" t="n">
        <f aca="false">CC186+CC126</f>
        <v>14693.8005427652</v>
      </c>
      <c r="CD192" s="59" t="n">
        <f aca="false">CD186+CD126</f>
        <v>16049.1166579491</v>
      </c>
      <c r="CE192" s="59" t="n">
        <f aca="false">CE186+CE126</f>
        <v>17502.9173684931</v>
      </c>
      <c r="CF192" s="21"/>
      <c r="CH192" s="22" t="n">
        <f aca="false">IFERROR((CE192/BV192)^(1/5)-1,"n/m")</f>
        <v>0.0941812025966506</v>
      </c>
      <c r="CI192" s="22" t="n">
        <f aca="false">IFERROR((BV192/AW192)^(1/5)-1,"n/m")</f>
        <v>0.0178731728553334</v>
      </c>
      <c r="CJ192" s="22" t="n">
        <f aca="false">IFERROR((BV192/X192)^(1/10)-1,"n/m")</f>
        <v>0.102788396150305</v>
      </c>
      <c r="CK192" s="22" t="n">
        <f aca="false">IFERROR((BV192/C192)^(1/19)-1,"n/m")</f>
        <v>0.162093098344874</v>
      </c>
    </row>
    <row r="193" customFormat="false" ht="15" hidden="false" customHeight="false" outlineLevel="0" collapsed="false">
      <c r="B193" s="23" t="s">
        <v>354</v>
      </c>
      <c r="C193" s="25" t="n">
        <f aca="false">IF(AND(ISNUMBER(C192),ISNUMBER(C136)),C192/C136,"")</f>
        <v>0.169536110846639</v>
      </c>
      <c r="D193" s="25" t="n">
        <f aca="false">IF(AND(ISNUMBER(D192),ISNUMBER(D136)),D192/D136,"")</f>
        <v>0.187002380366084</v>
      </c>
      <c r="E193" s="25" t="n">
        <f aca="false">IF(AND(ISNUMBER(E192),ISNUMBER(E136)),E192/E136,"")</f>
        <v>0.196132596685083</v>
      </c>
      <c r="F193" s="25" t="n">
        <f aca="false">IF(AND(ISNUMBER(F192),ISNUMBER(F136)),F192/F136,"")</f>
        <v>0.188452674164416</v>
      </c>
      <c r="G193" s="25" t="n">
        <f aca="false">IF(AND(ISNUMBER(G192),ISNUMBER(G136)),G192/G136,"")</f>
        <v>0.195973564933681</v>
      </c>
      <c r="H193" s="25" t="n">
        <f aca="false">IF(AND(ISNUMBER(H192),ISNUMBER(H136)),H192/H136,"")</f>
        <v>0.199848199285343</v>
      </c>
      <c r="I193" s="25" t="n">
        <f aca="false">IF(AND(ISNUMBER(I192),ISNUMBER(I136)),I192/I136,"")</f>
        <v>0.209114381409923</v>
      </c>
      <c r="J193" s="25" t="n">
        <f aca="false">IF(AND(ISNUMBER(J192),ISNUMBER(J136)),J192/J136,"")</f>
        <v>0.211217295942347</v>
      </c>
      <c r="K193" s="25" t="n">
        <f aca="false">IF(AND(ISNUMBER(K192),ISNUMBER(K136)),K192/K136,"")</f>
        <v>0.21042560414802</v>
      </c>
      <c r="L193" s="25" t="n">
        <f aca="false">IF(AND(ISNUMBER(L192),ISNUMBER(L136)),L192/L136,"")</f>
        <v>0.212669966789899</v>
      </c>
      <c r="M193" s="25" t="n">
        <f aca="false">IF(AND(ISNUMBER(M192),ISNUMBER(M136)),M192/M136,"")</f>
        <v>0.217658426836655</v>
      </c>
      <c r="N193" s="25" t="n">
        <f aca="false">IF(AND(ISNUMBER(N192),ISNUMBER(N136)),N192/N136,"")</f>
        <v>0.213081441983759</v>
      </c>
      <c r="O193" s="25" t="n">
        <f aca="false">IF(AND(ISNUMBER(O192),ISNUMBER(O136)),O192/O136,"")</f>
        <v>0.233175355450237</v>
      </c>
      <c r="P193" s="25" t="n">
        <f aca="false">IF(AND(ISNUMBER(P192),ISNUMBER(P136)),P192/P136,"")</f>
        <v>0.234804137069345</v>
      </c>
      <c r="Q193" s="25" t="n">
        <f aca="false">IF(AND(ISNUMBER(Q192),ISNUMBER(Q136)),Q192/Q136,"")</f>
        <v>0.241597545188666</v>
      </c>
      <c r="R193" s="25" t="n">
        <f aca="false">IF(AND(ISNUMBER(R192),ISNUMBER(R136)),R192/R136,"")</f>
        <v>0.248197115384615</v>
      </c>
      <c r="S193" s="25" t="n">
        <f aca="false">IF(AND(ISNUMBER(S192),ISNUMBER(S136)),S192/S136,"")</f>
        <v>0.239668198181129</v>
      </c>
      <c r="T193" s="25" t="n">
        <f aca="false">IF(AND(ISNUMBER(T192),ISNUMBER(T136)),T192/T136,"")</f>
        <v>0.240839032356844</v>
      </c>
      <c r="U193" s="25" t="n">
        <f aca="false">IF(AND(ISNUMBER(U192),ISNUMBER(U136)),U192/U136,"")</f>
        <v>0.243555222552623</v>
      </c>
      <c r="V193" s="25" t="n">
        <f aca="false">IF(AND(ISNUMBER(V192),ISNUMBER(V136)),V192/V136,"")</f>
        <v>0.25016977105161</v>
      </c>
      <c r="W193" s="25" t="n">
        <f aca="false">IF(AND(ISNUMBER(W192),ISNUMBER(W136)),W192/W136,"")</f>
        <v>0.253541106931757</v>
      </c>
      <c r="X193" s="25" t="n">
        <f aca="false">IF(AND(ISNUMBER(X192),ISNUMBER(X136)),X192/X136,"")</f>
        <v>0.247273863274665</v>
      </c>
      <c r="Y193" s="25" t="n">
        <f aca="false">IF(AND(ISNUMBER(Y192),ISNUMBER(Y136)),Y192/Y136,"")</f>
        <v>0.238451150228183</v>
      </c>
      <c r="Z193" s="25" t="n">
        <f aca="false">IF(AND(ISNUMBER(Z192),ISNUMBER(Z136)),Z192/Z136,"")</f>
        <v>0.249007761509966</v>
      </c>
      <c r="AA193" s="25" t="n">
        <f aca="false">IF(AND(ISNUMBER(AA192),ISNUMBER(AA136)),AA192/AA136,"")</f>
        <v>0.250261640205749</v>
      </c>
      <c r="AB193" s="25" t="n">
        <f aca="false">IF(AND(ISNUMBER(AB192),ISNUMBER(AB136)),AB192/AB136,"")</f>
        <v>0.267402891060325</v>
      </c>
      <c r="AC193" s="25" t="n">
        <f aca="false">IF(AND(ISNUMBER(AC192),ISNUMBER(AC136)),AC192/AC136,"")</f>
        <v>0.251820883107786</v>
      </c>
      <c r="AD193" s="25" t="n">
        <f aca="false">IF(AND(ISNUMBER(AD192),ISNUMBER(AD136)),AD192/AD136,"")</f>
        <v>0.246128016789087</v>
      </c>
      <c r="AE193" s="25" t="n">
        <f aca="false">IF(AND(ISNUMBER(AE192),ISNUMBER(AE136)),AE192/AE136,"")</f>
        <v>0.252444889779559</v>
      </c>
      <c r="AF193" s="25" t="n">
        <f aca="false">IF(AND(ISNUMBER(AF192),ISNUMBER(AF136)),AF192/AF136,"")</f>
        <v>0.250889331926039</v>
      </c>
      <c r="AG193" s="25" t="n">
        <f aca="false">IF(AND(ISNUMBER(AG192),ISNUMBER(AG136)),AG192/AG136,"")</f>
        <v>0.261782702166364</v>
      </c>
      <c r="AH193" s="25" t="n">
        <f aca="false">IF(AND(ISNUMBER(AH192),ISNUMBER(AH136)),AH192/AH136,"")</f>
        <v>0.253322497370686</v>
      </c>
      <c r="AI193" s="25" t="n">
        <f aca="false">IF(AND(ISNUMBER(AI192),ISNUMBER(AI136)),AI192/AI136,"")</f>
        <v>0.242098069366137</v>
      </c>
      <c r="AJ193" s="25" t="n">
        <f aca="false">IF(AND(ISNUMBER(AJ192),ISNUMBER(AJ136)),AJ192/AJ136,"")</f>
        <v>0.252221125370188</v>
      </c>
      <c r="AK193" s="25" t="n">
        <f aca="false">IF(AND(ISNUMBER(AK192),ISNUMBER(AK136)),AK192/AK136,"")</f>
        <v>0.24375</v>
      </c>
      <c r="AL193" s="25" t="n">
        <f aca="false">IF(AND(ISNUMBER(AL192),ISNUMBER(AL136)),AL192/AL136,"")</f>
        <v>0.268633779007223</v>
      </c>
      <c r="AM193" s="25" t="n">
        <f aca="false">IF(AND(ISNUMBER(AM192),ISNUMBER(AM136)),AM192/AM136,"")</f>
        <v>0.25211429509812</v>
      </c>
      <c r="AN193" s="25" t="n">
        <f aca="false">IF(AND(ISNUMBER(AN192),ISNUMBER(AN136)),AN192/AN136,"")</f>
        <v>0.245387755102041</v>
      </c>
      <c r="AO193" s="25" t="n">
        <f aca="false">IF(AND(ISNUMBER(AO192),ISNUMBER(AO136)),AO192/AO136,"")</f>
        <v>0.257124762507916</v>
      </c>
      <c r="AP193" s="25" t="n">
        <f aca="false">IF(AND(ISNUMBER(AP192),ISNUMBER(AP136)),AP192/AP136,"")</f>
        <v>0.249362244897959</v>
      </c>
      <c r="AQ193" s="25" t="n">
        <f aca="false">IF(AND(ISNUMBER(AQ192),ISNUMBER(AQ136)),AQ192/AQ136,"")</f>
        <v>0.270317762483526</v>
      </c>
      <c r="AR193" s="25" t="n">
        <f aca="false">IF(AND(ISNUMBER(AR192),ISNUMBER(AR136)),AR192/AR136,"")</f>
        <v>0.255931407094198</v>
      </c>
      <c r="AS193" s="25" t="n">
        <f aca="false">IF(AND(ISNUMBER(AS192),ISNUMBER(AS136)),AS192/AS136,"")</f>
        <v>0.244943820224719</v>
      </c>
      <c r="AT193" s="25" t="n">
        <f aca="false">IF(AND(ISNUMBER(AT192),ISNUMBER(AT136)),AT192/AT136,"")</f>
        <v>0.292178690183606</v>
      </c>
      <c r="AU193" s="25" t="n">
        <f aca="false">IF(AND(ISNUMBER(AU192),ISNUMBER(AU136)),AU192/AU136,"")</f>
        <v>0.347846496890036</v>
      </c>
      <c r="AV193" s="25" t="n">
        <f aca="false">IF(AND(ISNUMBER(AV192),ISNUMBER(AV136)),AV192/AV136,"")</f>
        <v>0.350995260663507</v>
      </c>
      <c r="AW193" s="25" t="n">
        <f aca="false">IF(AND(ISNUMBER(AW192),ISNUMBER(AW136)),AW192/AW136,"")</f>
        <v>0.317027748463592</v>
      </c>
      <c r="AX193" s="25" t="n">
        <f aca="false">IF(AND(ISNUMBER(AX192),ISNUMBER(AX136)),AX192/AX136,"")</f>
        <v>0.374318594791036</v>
      </c>
      <c r="AY193" s="25" t="n">
        <f aca="false">IF(AND(ISNUMBER(AY192),ISNUMBER(AY136)),AY192/AY136,"")</f>
        <v>0.312735899924512</v>
      </c>
      <c r="AZ193" s="25" t="n">
        <f aca="false">IF(AND(ISNUMBER(AZ192),ISNUMBER(AZ136)),AZ192/AZ136,"")</f>
        <v>0.319721329046088</v>
      </c>
      <c r="BA193" s="25" t="n">
        <f aca="false">IF(AND(ISNUMBER(BA192),ISNUMBER(BA136)),BA192/BA136,"")</f>
        <v>0.315641936086713</v>
      </c>
      <c r="BB193" s="25" t="n">
        <f aca="false">IF(AND(ISNUMBER(BB192),ISNUMBER(BB136)),BB192/BB136,"")</f>
        <v>0.330749024508429</v>
      </c>
      <c r="BC193" s="25" t="n">
        <f aca="false">IF(AND(ISNUMBER(BC192),ISNUMBER(BC136)),BC192/BC136,"")</f>
        <v>0.313081739719073</v>
      </c>
      <c r="BD193" s="25" t="n">
        <f aca="false">IF(AND(ISNUMBER(BD192),ISNUMBER(BD136)),BD192/BD136,"")</f>
        <v>0.25897903372835</v>
      </c>
      <c r="BE193" s="25" t="n">
        <f aca="false">IF(AND(ISNUMBER(BE192),ISNUMBER(BE136)),BE192/BE136,"")</f>
        <v>0.244825325465955</v>
      </c>
      <c r="BF193" s="25" t="n">
        <f aca="false">IF(AND(ISNUMBER(BF192),ISNUMBER(BF136)),BF192/BF136,"")</f>
        <v>0.245938864628821</v>
      </c>
      <c r="BG193" s="25" t="n">
        <f aca="false">IF(AND(ISNUMBER(BG192),ISNUMBER(BG136)),BG192/BG136,"")</f>
        <v>0.266525659579205</v>
      </c>
      <c r="BH193" s="25" t="n">
        <f aca="false">IF(AND(ISNUMBER(BH192),ISNUMBER(BH136)),BH192/BH136,"")</f>
        <v>0.241176470588235</v>
      </c>
      <c r="BI193" s="25" t="n">
        <f aca="false">IF(AND(ISNUMBER(BI192),ISNUMBER(BI136)),BI192/BI136,"")</f>
        <v>0.247029100776645</v>
      </c>
      <c r="BJ193" s="25" t="n">
        <f aca="false">IF(AND(ISNUMBER(BJ192),ISNUMBER(BJ136)),BJ192/BJ136,"")</f>
        <v>0.267543030073766</v>
      </c>
      <c r="BK193" s="25" t="n">
        <f aca="false">IF(AND(ISNUMBER(BK192),ISNUMBER(BK136)),BK192/BK136,"")</f>
        <v>0.259599485577806</v>
      </c>
      <c r="BL193" s="25" t="n">
        <f aca="false">IF(AND(ISNUMBER(BL192),ISNUMBER(BL136)),BL192/BL136,"")</f>
        <v>0.253820846069487</v>
      </c>
      <c r="BM193" s="25" t="n">
        <f aca="false">IF(AND(ISNUMBER(BM192),ISNUMBER(BM136)),BM192/BM136,"")</f>
        <v>0.247655872402127</v>
      </c>
      <c r="BN193" s="25" t="n">
        <f aca="false">IF(AND(ISNUMBER(BN192),ISNUMBER(BN136)),BN192/BN136,"")</f>
        <v>0.248743003510103</v>
      </c>
      <c r="BO193" s="25" t="n">
        <f aca="false">IF(AND(ISNUMBER(BO192),ISNUMBER(BO136)),BO192/BO136,"")</f>
        <v>0.250424608416682</v>
      </c>
      <c r="BP193" s="25" t="n">
        <f aca="false">IF(AND(ISNUMBER(BP192),ISNUMBER(BP136)),BP192/BP136,"")</f>
        <v>0.265467310223782</v>
      </c>
      <c r="BQ193" s="25" t="n">
        <f aca="false">IF(AND(ISNUMBER(BQ192),ISNUMBER(BQ136)),BQ192/BQ136,"")</f>
        <v>0.253340796193941</v>
      </c>
      <c r="BR193" s="25" t="n">
        <f aca="false">IF(AND(ISNUMBER(BR192),ISNUMBER(BR136)),BR192/BR136,"")</f>
        <v>0.245658047086067</v>
      </c>
      <c r="BS193" s="25" t="n">
        <f aca="false">IF(AND(ISNUMBER(BS192),ISNUMBER(BS136)),BS192/BS136,"")</f>
        <v>0.242468908337172</v>
      </c>
      <c r="BT193" s="25" t="n">
        <f aca="false">IF(AND(ISNUMBER(BT192),ISNUMBER(BT136)),BT192/BT136,"")</f>
        <v>0.253012048192771</v>
      </c>
      <c r="BU193" s="25" t="n">
        <f aca="false">IF(AND(ISNUMBER(BU192),ISNUMBER(BU136)),BU192/BU136,"")</f>
        <v>0.259435120753172</v>
      </c>
      <c r="BV193" s="25" t="n">
        <f aca="false">IF(AND(ISNUMBER(BV192),ISNUMBER(BV136)),BV192/BV136,"")</f>
        <v>0.250471316994344</v>
      </c>
      <c r="BW193" s="25" t="n">
        <f aca="false">IF(AND(ISNUMBER(BW192),ISNUMBER(BW136)),BW192/BW136,"")</f>
        <v>0.245797364834166</v>
      </c>
      <c r="BX193" s="25" t="n">
        <f aca="false">IF(AND(ISNUMBER(BX192),ISNUMBER(BX136)),BX192/BX136,"")</f>
        <v>0.25554443888611</v>
      </c>
      <c r="BY193" s="26" t="n">
        <f aca="false">IFERROR(BY192/BY136,"")</f>
        <v>0.272967336603529</v>
      </c>
      <c r="BZ193" s="26" t="n">
        <f aca="false">IFERROR(BZ192/BZ136,"")</f>
        <v>0.274221520938261</v>
      </c>
      <c r="CA193" s="26" t="n">
        <f aca="false">IFERROR(CA192/CA136,"")</f>
        <v>0.262653811490552</v>
      </c>
      <c r="CB193" s="26" t="n">
        <f aca="false">IFERROR(CB192/CB136,"")</f>
        <v>0.265528939026843</v>
      </c>
      <c r="CC193" s="26" t="n">
        <f aca="false">IFERROR(CC192/CC136,"")</f>
        <v>0.269596022537744</v>
      </c>
      <c r="CD193" s="26" t="n">
        <f aca="false">IFERROR(CD192/CD136,"")</f>
        <v>0.273724027282201</v>
      </c>
      <c r="CE193" s="26" t="n">
        <f aca="false">IFERROR(CE192/CE136,"")</f>
        <v>0.277763883864051</v>
      </c>
      <c r="CF193" s="21"/>
    </row>
    <row r="194" customFormat="false" ht="15" hidden="false" customHeight="false" outlineLevel="0" collapsed="false">
      <c r="B194" s="23" t="s">
        <v>355</v>
      </c>
      <c r="C194" s="61" t="n">
        <f aca="false">IF(ISNUMBER(C164),C145+C164,"")</f>
        <v>482.659</v>
      </c>
      <c r="D194" s="61" t="n">
        <f aca="false">IF(ISNUMBER(D164),D145+D164,"")</f>
        <v>1731.2</v>
      </c>
      <c r="E194" s="61" t="n">
        <f aca="false">IF(ISNUMBER(E164),E145+E164,"")</f>
        <v>2022.1</v>
      </c>
      <c r="F194" s="61" t="n">
        <f aca="false">IF(ISNUMBER(F164),F145+F164,"")</f>
        <v>1836.2</v>
      </c>
      <c r="G194" s="61" t="n">
        <f aca="false">IF(ISNUMBER(G164),G145+G164,"")</f>
        <v>2034.9</v>
      </c>
      <c r="H194" s="61" t="n">
        <f aca="false">IF(ISNUMBER(H164),H145+H164,"")</f>
        <v>2108.7</v>
      </c>
      <c r="I194" s="61" t="n">
        <f aca="false">IF(ISNUMBER(I164),I145+I164,"")</f>
        <v>2465.8</v>
      </c>
      <c r="J194" s="61" t="n">
        <f aca="false">IF(ISNUMBER(J164),J145+J164,"")</f>
        <v>638.1</v>
      </c>
      <c r="K194" s="61" t="n">
        <f aca="false">IF(ISNUMBER(K164),K145+K164,"")</f>
        <v>624.6</v>
      </c>
      <c r="L194" s="61" t="n">
        <f aca="false">IF(ISNUMBER(L164),L145+L164,"")</f>
        <v>642.5</v>
      </c>
      <c r="M194" s="61" t="n">
        <f aca="false">IF(ISNUMBER(M164),M145+M164,"")</f>
        <v>704.3</v>
      </c>
      <c r="N194" s="61" t="n">
        <f aca="false">IF(ISNUMBER(N164),N145+N164,"")</f>
        <v>2609.5</v>
      </c>
      <c r="O194" s="61" t="n">
        <f aca="false">IF(ISNUMBER(O164),O145+O164,"")</f>
        <v>1241.1</v>
      </c>
      <c r="P194" s="61" t="n">
        <f aca="false">IF(ISNUMBER(P164),P145+P164,"")</f>
        <v>782.9</v>
      </c>
      <c r="Q194" s="61" t="n">
        <f aca="false">IF(ISNUMBER(Q164),Q145+Q164,"")</f>
        <v>1096</v>
      </c>
      <c r="R194" s="61" t="n">
        <f aca="false">IF(ISNUMBER(R164),R145+R164,"")</f>
        <v>1067.8</v>
      </c>
      <c r="S194" s="61" t="n">
        <f aca="false">IF(ISNUMBER(S164),S145+S164,"")</f>
        <v>4187.8</v>
      </c>
      <c r="T194" s="61" t="n">
        <f aca="false">IF(ISNUMBER(T164),T145+T164,"")</f>
        <v>903.6</v>
      </c>
      <c r="U194" s="61" t="n">
        <f aca="false">IF(ISNUMBER(U164),U145+U164,"")</f>
        <v>1015.5</v>
      </c>
      <c r="V194" s="61" t="n">
        <f aca="false">IF(ISNUMBER(V164),V145+V164,"")</f>
        <v>990.6</v>
      </c>
      <c r="W194" s="61" t="n">
        <f aca="false">IF(ISNUMBER(W164),W145+W164,"")</f>
        <v>1114.7</v>
      </c>
      <c r="X194" s="61" t="n">
        <f aca="false">IF(ISNUMBER(X164),X145+X164,"")</f>
        <v>4024.4</v>
      </c>
      <c r="Y194" s="61" t="n">
        <f aca="false">IF(ISNUMBER(Y164),Y145+Y164,"")</f>
        <v>934</v>
      </c>
      <c r="Z194" s="61" t="n">
        <f aca="false">IF(ISNUMBER(Z164),Z145+Z164,"")</f>
        <v>1072.7</v>
      </c>
      <c r="AA194" s="61" t="n">
        <f aca="false">IF(ISNUMBER(AA164),AA145+AA164,"")</f>
        <v>974.1</v>
      </c>
      <c r="AB194" s="61" t="n">
        <f aca="false">IF(ISNUMBER(AB164),AB145+AB164,"")</f>
        <v>1226.4</v>
      </c>
      <c r="AC194" s="61" t="n">
        <f aca="false">IF(ISNUMBER(AC164),AC145+AC164,"")</f>
        <v>4207.2</v>
      </c>
      <c r="AD194" s="61" t="n">
        <f aca="false">IF(ISNUMBER(AD164),AD145+AD164,"")</f>
        <v>1086.9</v>
      </c>
      <c r="AE194" s="61" t="n">
        <f aca="false">IF(ISNUMBER(AE164),AE145+AE164,"")</f>
        <v>1229.7</v>
      </c>
      <c r="AF194" s="61" t="n">
        <f aca="false">IF(ISNUMBER(AF164),AF145+AF164,"")</f>
        <v>1153</v>
      </c>
      <c r="AG194" s="61" t="n">
        <f aca="false">IF(ISNUMBER(AG164),AG145+AG164,"")</f>
        <v>1531.5</v>
      </c>
      <c r="AH194" s="61" t="n">
        <f aca="false">IF(ISNUMBER(AH164),AH145+AH164,"")</f>
        <v>5001</v>
      </c>
      <c r="AI194" s="61" t="n">
        <f aca="false">IF(ISNUMBER(AI164),AI145+AI164,"")</f>
        <v>1361</v>
      </c>
      <c r="AJ194" s="61" t="n">
        <f aca="false">IF(ISNUMBER(AJ164),AJ145+AJ164,"")</f>
        <v>1508</v>
      </c>
      <c r="AK194" s="61" t="n">
        <f aca="false">IF(ISNUMBER(AK164),AK145+AK164,"")</f>
        <v>1475</v>
      </c>
      <c r="AL194" s="61" t="n">
        <f aca="false">IF(ISNUMBER(AL164),AL145+AL164,"")</f>
        <v>1706</v>
      </c>
      <c r="AM194" s="61" t="n">
        <f aca="false">IF(ISNUMBER(AM164),AM145+AM164,"")</f>
        <v>6050</v>
      </c>
      <c r="AN194" s="61" t="n">
        <f aca="false">IF(ISNUMBER(AN164),AN145+AN164,"")</f>
        <v>1475</v>
      </c>
      <c r="AO194" s="61" t="n">
        <f aca="false">IF(ISNUMBER(AO164),AO145+AO164,"")</f>
        <v>2067</v>
      </c>
      <c r="AP194" s="61" t="n">
        <f aca="false">IF(ISNUMBER(AP164),AP145+AP164,"")</f>
        <v>1521</v>
      </c>
      <c r="AQ194" s="61" t="n">
        <f aca="false">IF(ISNUMBER(AQ164),AQ145+AQ164,"")</f>
        <v>1808</v>
      </c>
      <c r="AR194" s="61" t="n">
        <f aca="false">IF(ISNUMBER(AR164),AR145+AR164,"")</f>
        <v>6871</v>
      </c>
      <c r="AS194" s="61" t="n">
        <f aca="false">IF(ISNUMBER(AS164),AS145+AS164,"")</f>
        <v>1480</v>
      </c>
      <c r="AT194" s="61" t="n">
        <f aca="false">IF(ISNUMBER(AT164),AT145+AT164,"")</f>
        <v>1965</v>
      </c>
      <c r="AU194" s="61" t="n">
        <f aca="false">IF(ISNUMBER(AU164),AU145+AU164,"")</f>
        <v>3001</v>
      </c>
      <c r="AV194" s="61" t="n">
        <f aca="false">IF(ISNUMBER(AV164),AV145+AV164,"")</f>
        <v>3673</v>
      </c>
      <c r="AW194" s="61" t="n">
        <f aca="false">IF(ISNUMBER(AW164),AW145+AW164,"")</f>
        <v>10119</v>
      </c>
      <c r="AX194" s="61" t="n">
        <f aca="false">IF(ISNUMBER(AX164),AX145+AX164,"")</f>
        <v>3670</v>
      </c>
      <c r="AY194" s="61" t="n">
        <f aca="false">IF(ISNUMBER(AY164),AY145+AY164,"")</f>
        <v>2823</v>
      </c>
      <c r="AZ194" s="61" t="n">
        <f aca="false">IF(ISNUMBER(AZ164),AZ145+AZ164,"")</f>
        <v>2906</v>
      </c>
      <c r="BA194" s="61" t="n">
        <f aca="false">IF(ISNUMBER(BA164),BA145+BA164,"")</f>
        <v>3221</v>
      </c>
      <c r="BB194" s="61" t="n">
        <f aca="false">IF(ISNUMBER(BB164),BB145+BB164,"")</f>
        <v>12620</v>
      </c>
      <c r="BC194" s="61" t="n">
        <f aca="false">IF(ISNUMBER(BC164),BC145+BC164,"")</f>
        <v>3680</v>
      </c>
      <c r="BD194" s="61" t="n">
        <f aca="false">IF(ISNUMBER(BD164),BD145+BD164,"")</f>
        <v>2837</v>
      </c>
      <c r="BE194" s="61" t="n">
        <f aca="false">IF(ISNUMBER(BE164),BE145+BE164,"")</f>
        <v>2548</v>
      </c>
      <c r="BF194" s="61" t="n">
        <f aca="false">IF(ISNUMBER(BF164),BF145+BF164,"")</f>
        <v>2709</v>
      </c>
      <c r="BG194" s="61" t="n">
        <f aca="false">IF(ISNUMBER(BG164),BG145+BG164,"")</f>
        <v>11774</v>
      </c>
      <c r="BH194" s="61" t="n">
        <f aca="false">IF(ISNUMBER(BH164),BH145+BH164,"")</f>
        <v>2422</v>
      </c>
      <c r="BI194" s="61" t="n">
        <f aca="false">IF(ISNUMBER(BI164),BI145+BI164,"")</f>
        <v>2433</v>
      </c>
      <c r="BJ194" s="61" t="n">
        <f aca="false">IF(ISNUMBER(BJ164),BJ145+BJ164,"")</f>
        <v>2717</v>
      </c>
      <c r="BK194" s="61" t="n">
        <f aca="false">IF(ISNUMBER(BK164),BK145+BK164,"")</f>
        <v>2693</v>
      </c>
      <c r="BL194" s="61" t="n">
        <f aca="false">IF(ISNUMBER(BL164),BL145+BL164,"")</f>
        <v>10265</v>
      </c>
      <c r="BM194" s="61" t="n">
        <f aca="false">IF(ISNUMBER(BM164),BM145+BM164,"")</f>
        <v>2500</v>
      </c>
      <c r="BN194" s="61" t="n">
        <f aca="false">IF(ISNUMBER(BN164),BN145+BN164,"")</f>
        <v>2608</v>
      </c>
      <c r="BO194" s="61" t="n">
        <f aca="false">IF(ISNUMBER(BO164),BO145+BO164,"")</f>
        <v>2579</v>
      </c>
      <c r="BP194" s="61" t="n">
        <f aca="false">IF(ISNUMBER(BP164),BP145+BP164,"")</f>
        <v>2758</v>
      </c>
      <c r="BQ194" s="61" t="n">
        <f aca="false">IF(ISNUMBER(BQ164),BQ145+BQ164,"")</f>
        <v>10445</v>
      </c>
      <c r="BR194" s="61" t="n">
        <f aca="false">IF(ISNUMBER(BR164),BR145+BR164,"")</f>
        <v>2424</v>
      </c>
      <c r="BS194" s="61" t="n">
        <f aca="false">IF(ISNUMBER(BS164),BS145+BS164,"")</f>
        <v>2520</v>
      </c>
      <c r="BT194" s="61" t="n">
        <f aca="false">IF(ISNUMBER(BT164),BT145+BT164,"")</f>
        <v>2603</v>
      </c>
      <c r="BU194" s="61" t="n">
        <f aca="false">IF(ISNUMBER(BU164),BU145+BU164,"")</f>
        <v>2983</v>
      </c>
      <c r="BV194" s="61" t="n">
        <f aca="false">IF(ISNUMBER(BV164),BV145+BV164,"")</f>
        <v>10527</v>
      </c>
      <c r="BW194" s="61" t="n">
        <f aca="false">IF(ISNUMBER(BW164),BW145+BW164,"")</f>
        <v>2599</v>
      </c>
      <c r="BX194" s="61" t="n">
        <f aca="false">IF(ISNUMBER(BX164),BX145+BX164,"")</f>
        <v>2903</v>
      </c>
      <c r="BY194" s="44" t="n">
        <f aca="false">BY145+BY164</f>
        <v>3330.26877818127</v>
      </c>
      <c r="BZ194" s="44" t="n">
        <f aca="false">BZ145+BZ164</f>
        <v>3374.45072049259</v>
      </c>
      <c r="CA194" s="44" t="n">
        <f aca="false">CA145+CA164</f>
        <v>12206.7194986739</v>
      </c>
      <c r="CB194" s="44" t="n">
        <f aca="false">CB145+CB164</f>
        <v>12978.735031462</v>
      </c>
      <c r="CC194" s="44" t="n">
        <f aca="false">CC145+CC164</f>
        <v>14216.7823530059</v>
      </c>
      <c r="CD194" s="44" t="n">
        <f aca="false">CD145+CD164</f>
        <v>15547.3218195354</v>
      </c>
      <c r="CE194" s="44" t="n">
        <f aca="false">CE145+CE164</f>
        <v>16974.8354423981</v>
      </c>
      <c r="CF194" s="21"/>
    </row>
    <row r="195" customFormat="false" ht="15" hidden="false" customHeight="false" outlineLevel="0" collapsed="false">
      <c r="B195" s="23" t="s">
        <v>356</v>
      </c>
      <c r="C195" s="61" t="n">
        <f aca="false">C192</f>
        <v>642.816</v>
      </c>
      <c r="D195" s="61" t="n">
        <f aca="false">D192</f>
        <v>1822.6</v>
      </c>
      <c r="E195" s="61" t="n">
        <f aca="false">E192</f>
        <v>2059</v>
      </c>
      <c r="F195" s="61" t="n">
        <f aca="false">F192</f>
        <v>1905.2</v>
      </c>
      <c r="G195" s="61" t="n">
        <f aca="false">G192</f>
        <v>2114.3</v>
      </c>
      <c r="H195" s="61" t="n">
        <f aca="false">H192</f>
        <v>2343.4</v>
      </c>
      <c r="I195" s="61" t="n">
        <f aca="false">I192</f>
        <v>2616</v>
      </c>
      <c r="J195" s="61" t="n">
        <f aca="false">J192</f>
        <v>674.1</v>
      </c>
      <c r="K195" s="61" t="n">
        <f aca="false">K192</f>
        <v>681.8</v>
      </c>
      <c r="L195" s="61" t="n">
        <f aca="false">L192</f>
        <v>678.8</v>
      </c>
      <c r="M195" s="61" t="n">
        <f aca="false">M192</f>
        <v>754.6</v>
      </c>
      <c r="N195" s="61" t="n">
        <f aca="false">N192</f>
        <v>2789.3</v>
      </c>
      <c r="O195" s="61" t="n">
        <f aca="false">O192</f>
        <v>910.2</v>
      </c>
      <c r="P195" s="61" t="n">
        <f aca="false">P192</f>
        <v>1014.8</v>
      </c>
      <c r="Q195" s="61" t="n">
        <f aca="false">Q192</f>
        <v>1007.8</v>
      </c>
      <c r="R195" s="61" t="n">
        <f aca="false">R192</f>
        <v>1115.1</v>
      </c>
      <c r="S195" s="61" t="n">
        <f aca="false">S192</f>
        <v>4047.9</v>
      </c>
      <c r="T195" s="61" t="n">
        <f aca="false">T192</f>
        <v>943.8</v>
      </c>
      <c r="U195" s="61" t="n">
        <f aca="false">U192</f>
        <v>1040.2</v>
      </c>
      <c r="V195" s="61" t="n">
        <f aca="false">V192</f>
        <v>1031.5</v>
      </c>
      <c r="W195" s="61" t="n">
        <f aca="false">W192</f>
        <v>1179.6</v>
      </c>
      <c r="X195" s="61" t="n">
        <f aca="false">X192</f>
        <v>4195.1</v>
      </c>
      <c r="Y195" s="61" t="n">
        <f aca="false">Y192</f>
        <v>1024.1</v>
      </c>
      <c r="Z195" s="61" t="n">
        <f aca="false">Z192</f>
        <v>1129.3</v>
      </c>
      <c r="AA195" s="61" t="n">
        <f aca="false">AA192</f>
        <v>1123.9</v>
      </c>
      <c r="AB195" s="61" t="n">
        <f aca="false">AB192</f>
        <v>1324.5</v>
      </c>
      <c r="AC195" s="61" t="n">
        <f aca="false">AC192</f>
        <v>4601.8</v>
      </c>
      <c r="AD195" s="61" t="n">
        <f aca="false">AD192</f>
        <v>1172.8</v>
      </c>
      <c r="AE195" s="61" t="n">
        <f aca="false">AE192</f>
        <v>1259.7</v>
      </c>
      <c r="AF195" s="61" t="n">
        <f aca="false">AF192</f>
        <v>1283.6</v>
      </c>
      <c r="AG195" s="61" t="n">
        <f aca="false">AG192</f>
        <v>1583</v>
      </c>
      <c r="AH195" s="61" t="n">
        <f aca="false">AH192</f>
        <v>5299</v>
      </c>
      <c r="AI195" s="61" t="n">
        <f aca="false">AI192</f>
        <v>1417</v>
      </c>
      <c r="AJ195" s="61" t="n">
        <f aca="false">AJ192</f>
        <v>1533</v>
      </c>
      <c r="AK195" s="61" t="n">
        <f aca="false">AK192</f>
        <v>1443</v>
      </c>
      <c r="AL195" s="61" t="n">
        <f aca="false">AL192</f>
        <v>1748</v>
      </c>
      <c r="AM195" s="61" t="n">
        <f aca="false">AM192</f>
        <v>6141</v>
      </c>
      <c r="AN195" s="61" t="n">
        <f aca="false">AN192</f>
        <v>1503</v>
      </c>
      <c r="AO195" s="61" t="n">
        <f aca="false">AO192</f>
        <v>1624</v>
      </c>
      <c r="AP195" s="61" t="n">
        <f aca="false">AP192</f>
        <v>1564</v>
      </c>
      <c r="AQ195" s="61" t="n">
        <f aca="false">AQ192</f>
        <v>1846</v>
      </c>
      <c r="AR195" s="61" t="n">
        <f aca="false">AR192</f>
        <v>6537</v>
      </c>
      <c r="AS195" s="61" t="n">
        <f aca="false">AS192</f>
        <v>1526</v>
      </c>
      <c r="AT195" s="61" t="n">
        <f aca="false">AT192</f>
        <v>2021</v>
      </c>
      <c r="AU195" s="61" t="n">
        <f aca="false">AU192</f>
        <v>2964</v>
      </c>
      <c r="AV195" s="61" t="n">
        <f aca="false">AV192</f>
        <v>3703</v>
      </c>
      <c r="AW195" s="61" t="n">
        <f aca="false">AW192</f>
        <v>10214</v>
      </c>
      <c r="AX195" s="61" t="n">
        <f aca="false">AX192</f>
        <v>3708</v>
      </c>
      <c r="AY195" s="61" t="n">
        <f aca="false">AY192</f>
        <v>2900</v>
      </c>
      <c r="AZ195" s="61" t="n">
        <f aca="false">AZ192</f>
        <v>2983</v>
      </c>
      <c r="BA195" s="61" t="n">
        <f aca="false">BA192</f>
        <v>3378</v>
      </c>
      <c r="BB195" s="61" t="n">
        <f aca="false">BB192</f>
        <v>12969</v>
      </c>
      <c r="BC195" s="61" t="n">
        <f aca="false">BC192</f>
        <v>3700</v>
      </c>
      <c r="BD195" s="61" t="n">
        <f aca="false">BD192</f>
        <v>2841</v>
      </c>
      <c r="BE195" s="61" t="n">
        <f aca="false">BE192</f>
        <v>2614</v>
      </c>
      <c r="BF195" s="61" t="n">
        <f aca="false">BF192</f>
        <v>2816</v>
      </c>
      <c r="BG195" s="61" t="n">
        <f aca="false">BG192</f>
        <v>11971</v>
      </c>
      <c r="BH195" s="61" t="n">
        <f aca="false">BH192</f>
        <v>2583</v>
      </c>
      <c r="BI195" s="61" t="n">
        <f aca="false">BI192</f>
        <v>2640</v>
      </c>
      <c r="BJ195" s="61" t="n">
        <f aca="false">BJ192</f>
        <v>2829</v>
      </c>
      <c r="BK195" s="61" t="n">
        <f aca="false">BK192</f>
        <v>2826</v>
      </c>
      <c r="BL195" s="61" t="n">
        <f aca="false">BL192</f>
        <v>10878</v>
      </c>
      <c r="BM195" s="61" t="n">
        <f aca="false">BM192</f>
        <v>2562</v>
      </c>
      <c r="BN195" s="61" t="n">
        <f aca="false">BN192</f>
        <v>2622</v>
      </c>
      <c r="BO195" s="61" t="n">
        <f aca="false">BO192</f>
        <v>2654</v>
      </c>
      <c r="BP195" s="61" t="n">
        <f aca="false">BP192</f>
        <v>3025</v>
      </c>
      <c r="BQ195" s="61" t="n">
        <f aca="false">BQ192</f>
        <v>10863</v>
      </c>
      <c r="BR195" s="61" t="n">
        <f aca="false">BR192</f>
        <v>2546</v>
      </c>
      <c r="BS195" s="61" t="n">
        <f aca="false">BS192</f>
        <v>2632</v>
      </c>
      <c r="BT195" s="61" t="n">
        <f aca="false">BT192</f>
        <v>2814</v>
      </c>
      <c r="BU195" s="61" t="n">
        <f aca="false">BU192</f>
        <v>3169</v>
      </c>
      <c r="BV195" s="61" t="n">
        <f aca="false">BV192</f>
        <v>11160</v>
      </c>
      <c r="BW195" s="61" t="n">
        <f aca="false">BW192</f>
        <v>2705</v>
      </c>
      <c r="BX195" s="61" t="n">
        <f aca="false">BX192</f>
        <v>3065</v>
      </c>
      <c r="BY195" s="39"/>
      <c r="BZ195" s="39"/>
      <c r="CA195" s="44" t="n">
        <f aca="false">CA192+$CA$72*$CA$74*83/365</f>
        <v>12639.9551151122</v>
      </c>
      <c r="CB195" s="44" t="n">
        <f aca="false">CB192</f>
        <v>13452.7181266983</v>
      </c>
      <c r="CC195" s="44" t="n">
        <f aca="false">CC192</f>
        <v>14693.8005427652</v>
      </c>
      <c r="CD195" s="44" t="n">
        <f aca="false">CD192</f>
        <v>16049.1166579491</v>
      </c>
      <c r="CE195" s="44" t="n">
        <f aca="false">CE192</f>
        <v>17502.9173684931</v>
      </c>
      <c r="CF195" s="21" t="s">
        <v>357</v>
      </c>
    </row>
    <row r="196" customFormat="false" ht="15" hidden="false" customHeight="false" outlineLevel="0" collapsed="false">
      <c r="B196" s="23" t="s">
        <v>358</v>
      </c>
      <c r="C196" s="61" t="n">
        <f aca="false">C186</f>
        <v>572.869</v>
      </c>
      <c r="D196" s="61" t="n">
        <f aca="false">D186</f>
        <v>1636.9</v>
      </c>
      <c r="E196" s="61" t="n">
        <f aca="false">E186</f>
        <v>1869.1</v>
      </c>
      <c r="F196" s="61" t="n">
        <f aca="false">F186</f>
        <v>1714.9</v>
      </c>
      <c r="G196" s="61" t="n">
        <f aca="false">G186</f>
        <v>1916</v>
      </c>
      <c r="H196" s="61" t="n">
        <f aca="false">H186</f>
        <v>2127.8</v>
      </c>
      <c r="I196" s="61" t="n">
        <f aca="false">I186</f>
        <v>2379.9</v>
      </c>
      <c r="J196" s="61" t="n">
        <f aca="false">J186</f>
        <v>615.1</v>
      </c>
      <c r="K196" s="61" t="n">
        <f aca="false">K186</f>
        <v>623.8</v>
      </c>
      <c r="L196" s="61" t="n">
        <f aca="false">L186</f>
        <v>619.4</v>
      </c>
      <c r="M196" s="61" t="n">
        <f aca="false">M186</f>
        <v>694.2</v>
      </c>
      <c r="N196" s="61" t="n">
        <f aca="false">N186</f>
        <v>2552.5</v>
      </c>
      <c r="O196" s="61" t="n">
        <f aca="false">O186</f>
        <v>830.5</v>
      </c>
      <c r="P196" s="61" t="n">
        <f aca="false">P186</f>
        <v>923.6</v>
      </c>
      <c r="Q196" s="61" t="n">
        <f aca="false">Q186</f>
        <v>915</v>
      </c>
      <c r="R196" s="61" t="n">
        <f aca="false">R186</f>
        <v>1025.7</v>
      </c>
      <c r="S196" s="61" t="n">
        <f aca="false">S186</f>
        <v>3694.8</v>
      </c>
      <c r="T196" s="61" t="n">
        <f aca="false">T186</f>
        <v>856.6</v>
      </c>
      <c r="U196" s="61" t="n">
        <f aca="false">U186</f>
        <v>950.299999999999</v>
      </c>
      <c r="V196" s="61" t="n">
        <f aca="false">V186</f>
        <v>933.7</v>
      </c>
      <c r="W196" s="61" t="n">
        <f aca="false">W186</f>
        <v>1081.1</v>
      </c>
      <c r="X196" s="61" t="n">
        <f aca="false">X186</f>
        <v>3821.7</v>
      </c>
      <c r="Y196" s="61" t="n">
        <f aca="false">Y186</f>
        <v>930</v>
      </c>
      <c r="Z196" s="61" t="n">
        <f aca="false">Z186</f>
        <v>1032.2</v>
      </c>
      <c r="AA196" s="61" t="n">
        <f aca="false">AA186</f>
        <v>1032.5</v>
      </c>
      <c r="AB196" s="61" t="n">
        <f aca="false">AB186</f>
        <v>1227.1</v>
      </c>
      <c r="AC196" s="61" t="n">
        <f aca="false">AC186</f>
        <v>4221.8</v>
      </c>
      <c r="AD196" s="61" t="n">
        <f aca="false">AD186</f>
        <v>1075.8</v>
      </c>
      <c r="AE196" s="61" t="n">
        <f aca="false">AE186</f>
        <v>1162.4</v>
      </c>
      <c r="AF196" s="61" t="n">
        <f aca="false">AF186</f>
        <v>1171.8</v>
      </c>
      <c r="AG196" s="61" t="n">
        <f aca="false">AG186</f>
        <v>1450</v>
      </c>
      <c r="AH196" s="61" t="n">
        <f aca="false">AH186</f>
        <v>4860</v>
      </c>
      <c r="AI196" s="61" t="n">
        <f aca="false">AI186</f>
        <v>1286</v>
      </c>
      <c r="AJ196" s="61" t="n">
        <f aca="false">AJ186</f>
        <v>1403</v>
      </c>
      <c r="AK196" s="61" t="n">
        <f aca="false">AK186</f>
        <v>1311</v>
      </c>
      <c r="AL196" s="61" t="n">
        <f aca="false">AL186</f>
        <v>1615</v>
      </c>
      <c r="AM196" s="61" t="n">
        <f aca="false">AM186</f>
        <v>5615</v>
      </c>
      <c r="AN196" s="61" t="n">
        <f aca="false">AN186</f>
        <v>1370</v>
      </c>
      <c r="AO196" s="61" t="n">
        <f aca="false">AO186</f>
        <v>1482</v>
      </c>
      <c r="AP196" s="61" t="n">
        <f aca="false">AP186</f>
        <v>1423</v>
      </c>
      <c r="AQ196" s="61" t="n">
        <f aca="false">AQ186</f>
        <v>1698</v>
      </c>
      <c r="AR196" s="61" t="n">
        <f aca="false">AR186</f>
        <v>5973</v>
      </c>
      <c r="AS196" s="61" t="n">
        <f aca="false">AS186</f>
        <v>1377</v>
      </c>
      <c r="AT196" s="61" t="n">
        <f aca="false">AT186</f>
        <v>1864</v>
      </c>
      <c r="AU196" s="61" t="n">
        <f aca="false">AU186</f>
        <v>2803</v>
      </c>
      <c r="AV196" s="61" t="n">
        <f aca="false">AV186</f>
        <v>3512</v>
      </c>
      <c r="AW196" s="61" t="n">
        <f aca="false">AW186</f>
        <v>9556</v>
      </c>
      <c r="AX196" s="61" t="n">
        <f aca="false">AX186</f>
        <v>3510</v>
      </c>
      <c r="AY196" s="61" t="n">
        <f aca="false">AY186</f>
        <v>2689</v>
      </c>
      <c r="AZ196" s="61" t="n">
        <f aca="false">AZ186</f>
        <v>2778</v>
      </c>
      <c r="BA196" s="61" t="n">
        <f aca="false">BA186</f>
        <v>3161</v>
      </c>
      <c r="BB196" s="61" t="n">
        <f aca="false">BB186</f>
        <v>12138</v>
      </c>
      <c r="BC196" s="61" t="n">
        <f aca="false">BC186</f>
        <v>3450</v>
      </c>
      <c r="BD196" s="61" t="n">
        <f aca="false">BD186</f>
        <v>2605</v>
      </c>
      <c r="BE196" s="61" t="n">
        <f aca="false">BE186</f>
        <v>2370</v>
      </c>
      <c r="BF196" s="61" t="n">
        <f aca="false">BF186</f>
        <v>2560</v>
      </c>
      <c r="BG196" s="61" t="n">
        <f aca="false">BG186</f>
        <v>10985</v>
      </c>
      <c r="BH196" s="61" t="n">
        <f aca="false">BH186</f>
        <v>2330</v>
      </c>
      <c r="BI196" s="61" t="n">
        <f aca="false">BI186</f>
        <v>2370</v>
      </c>
      <c r="BJ196" s="61" t="n">
        <f aca="false">BJ186</f>
        <v>2560</v>
      </c>
      <c r="BK196" s="61" t="n">
        <f aca="false">BK186</f>
        <v>2550</v>
      </c>
      <c r="BL196" s="61" t="n">
        <f aca="false">BL186</f>
        <v>9810</v>
      </c>
      <c r="BM196" s="61" t="n">
        <f aca="false">BM186</f>
        <v>2277</v>
      </c>
      <c r="BN196" s="61" t="n">
        <f aca="false">BN186</f>
        <v>2346</v>
      </c>
      <c r="BO196" s="61" t="n">
        <f aca="false">BO186</f>
        <v>2363</v>
      </c>
      <c r="BP196" s="61" t="n">
        <f aca="false">BP186</f>
        <v>2721</v>
      </c>
      <c r="BQ196" s="61" t="n">
        <f aca="false">BQ186</f>
        <v>9707</v>
      </c>
      <c r="BR196" s="61" t="n">
        <f aca="false">BR186</f>
        <v>2270</v>
      </c>
      <c r="BS196" s="61" t="n">
        <f aca="false">BS186</f>
        <v>2376</v>
      </c>
      <c r="BT196" s="61" t="n">
        <f aca="false">BT186</f>
        <v>2587</v>
      </c>
      <c r="BU196" s="61" t="n">
        <f aca="false">BU186</f>
        <v>2878</v>
      </c>
      <c r="BV196" s="61" t="n">
        <f aca="false">BV186</f>
        <v>10110</v>
      </c>
      <c r="BW196" s="61" t="n">
        <f aca="false">BW186</f>
        <v>2399</v>
      </c>
      <c r="BX196" s="61" t="n">
        <f aca="false">BX186</f>
        <v>2734</v>
      </c>
      <c r="BY196" s="44" t="n">
        <f aca="false">BY186</f>
        <v>2931.2599807075</v>
      </c>
      <c r="BZ196" s="44" t="n">
        <f aca="false">BZ186</f>
        <v>3154.9900192925</v>
      </c>
      <c r="CA196" s="44" t="n">
        <f aca="false">CA186</f>
        <v>11219.25</v>
      </c>
      <c r="CB196" s="44" t="n">
        <f aca="false">CB186</f>
        <v>12084.794198135</v>
      </c>
      <c r="CC196" s="44" t="n">
        <f aca="false">CC186</f>
        <v>13222.2186888485</v>
      </c>
      <c r="CD196" s="44" t="n">
        <f aca="false">CD186</f>
        <v>14466.0398850873</v>
      </c>
      <c r="CE196" s="44" t="n">
        <f aca="false">CE186</f>
        <v>15801.5487010655</v>
      </c>
      <c r="CF196" s="21"/>
    </row>
    <row r="198" customFormat="false" ht="15" hidden="false" customHeight="false" outlineLevel="0" collapsed="false">
      <c r="B198" s="11" t="s">
        <v>359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 t="s">
        <v>360</v>
      </c>
    </row>
    <row r="199" customFormat="false" ht="15" hidden="false" customHeight="false" outlineLevel="0" collapsed="false">
      <c r="B199" s="17" t="s">
        <v>361</v>
      </c>
      <c r="C199" s="63" t="n">
        <f aca="false">C159</f>
        <v>168.935</v>
      </c>
      <c r="D199" s="63" t="n">
        <f aca="false">D159</f>
        <v>761.099999999998</v>
      </c>
      <c r="E199" s="63" t="n">
        <f aca="false">E159</f>
        <v>994.200000000002</v>
      </c>
      <c r="F199" s="63" t="n">
        <f aca="false">F159</f>
        <v>850.300000000001</v>
      </c>
      <c r="G199" s="63" t="n">
        <f aca="false">G159</f>
        <v>1035.6</v>
      </c>
      <c r="H199" s="63" t="n">
        <f aca="false">H159</f>
        <v>1329.9</v>
      </c>
      <c r="I199" s="63" t="n">
        <f aca="false">I159</f>
        <v>1177.9</v>
      </c>
      <c r="J199" s="63" t="n">
        <f aca="false">J159</f>
        <v>336.2</v>
      </c>
      <c r="K199" s="63" t="n">
        <f aca="false">K159</f>
        <v>277.4</v>
      </c>
      <c r="L199" s="63" t="n">
        <f aca="false">L159</f>
        <v>317.6</v>
      </c>
      <c r="M199" s="63" t="n">
        <f aca="false">M159</f>
        <v>342.1</v>
      </c>
      <c r="N199" s="63" t="n">
        <f aca="false">N159</f>
        <v>1273.3</v>
      </c>
      <c r="O199" s="63" t="n">
        <f aca="false">O159</f>
        <v>543.1</v>
      </c>
      <c r="P199" s="63" t="n">
        <f aca="false">P159</f>
        <v>278.5</v>
      </c>
      <c r="Q199" s="63" t="n">
        <f aca="false">Q159</f>
        <v>471.6</v>
      </c>
      <c r="R199" s="63" t="n">
        <f aca="false">R159</f>
        <v>601.2</v>
      </c>
      <c r="S199" s="63" t="n">
        <f aca="false">S159</f>
        <v>1894.4</v>
      </c>
      <c r="T199" s="63" t="n">
        <f aca="false">T159</f>
        <v>385.1</v>
      </c>
      <c r="U199" s="63" t="n">
        <f aca="false">U159</f>
        <v>511.599999999999</v>
      </c>
      <c r="V199" s="63" t="n">
        <f aca="false">V159</f>
        <v>476.1</v>
      </c>
      <c r="W199" s="63" t="n">
        <f aca="false">W159</f>
        <v>602.599999999999</v>
      </c>
      <c r="X199" s="63" t="n">
        <f aca="false">X159</f>
        <v>1975.4</v>
      </c>
      <c r="Y199" s="63" t="n">
        <f aca="false">Y159</f>
        <v>402.2</v>
      </c>
      <c r="Z199" s="63" t="n">
        <f aca="false">Z159</f>
        <v>516.6</v>
      </c>
      <c r="AA199" s="63" t="n">
        <f aca="false">AA159</f>
        <v>473.499999999999</v>
      </c>
      <c r="AB199" s="63" t="n">
        <f aca="false">AB159</f>
        <v>629.499999999999</v>
      </c>
      <c r="AC199" s="63" t="n">
        <f aca="false">AC159</f>
        <v>2021.8</v>
      </c>
      <c r="AD199" s="63" t="n">
        <f aca="false">AD159</f>
        <v>551.400000000001</v>
      </c>
      <c r="AE199" s="63" t="n">
        <f aca="false">AE159</f>
        <v>611.6</v>
      </c>
      <c r="AF199" s="63" t="n">
        <f aca="false">AF159</f>
        <v>533.9</v>
      </c>
      <c r="AG199" s="63" t="n">
        <f aca="false">AG159</f>
        <v>528</v>
      </c>
      <c r="AH199" s="63" t="n">
        <f aca="false">AH159</f>
        <v>2225</v>
      </c>
      <c r="AI199" s="63" t="n">
        <f aca="false">AI159</f>
        <v>579</v>
      </c>
      <c r="AJ199" s="63" t="n">
        <f aca="false">AJ159</f>
        <v>752</v>
      </c>
      <c r="AK199" s="63" t="n">
        <f aca="false">AK159</f>
        <v>709</v>
      </c>
      <c r="AL199" s="63" t="n">
        <f aca="false">AL159</f>
        <v>898</v>
      </c>
      <c r="AM199" s="63" t="n">
        <f aca="false">AM159</f>
        <v>2938</v>
      </c>
      <c r="AN199" s="63" t="n">
        <f aca="false">AN159</f>
        <v>815</v>
      </c>
      <c r="AO199" s="63" t="n">
        <f aca="false">AO159</f>
        <v>1119</v>
      </c>
      <c r="AP199" s="63" t="n">
        <f aca="false">AP159</f>
        <v>760</v>
      </c>
      <c r="AQ199" s="63" t="n">
        <f aca="false">AQ159</f>
        <v>1002</v>
      </c>
      <c r="AR199" s="63" t="n">
        <f aca="false">AR159</f>
        <v>3696</v>
      </c>
      <c r="AS199" s="63" t="n">
        <f aca="false">AS159</f>
        <v>788</v>
      </c>
      <c r="AT199" s="63" t="n">
        <f aca="false">AT159</f>
        <v>1156</v>
      </c>
      <c r="AU199" s="63" t="n">
        <f aca="false">AU159</f>
        <v>1933</v>
      </c>
      <c r="AV199" s="63" t="n">
        <f aca="false">AV159</f>
        <v>2498</v>
      </c>
      <c r="AW199" s="63" t="n">
        <f aca="false">AW159</f>
        <v>6375</v>
      </c>
      <c r="AX199" s="63" t="n">
        <f aca="false">AX159</f>
        <v>2337</v>
      </c>
      <c r="AY199" s="63" t="n">
        <f aca="false">AY159</f>
        <v>1828</v>
      </c>
      <c r="AZ199" s="63" t="n">
        <f aca="false">AZ159</f>
        <v>1902</v>
      </c>
      <c r="BA199" s="63" t="n">
        <f aca="false">BA159</f>
        <v>1658</v>
      </c>
      <c r="BB199" s="63" t="n">
        <f aca="false">BB159</f>
        <v>7725</v>
      </c>
      <c r="BC199" s="63" t="n">
        <f aca="false">BC159</f>
        <v>2215</v>
      </c>
      <c r="BD199" s="63" t="n">
        <f aca="false">BD159</f>
        <v>1664</v>
      </c>
      <c r="BE199" s="63" t="n">
        <f aca="false">BE159</f>
        <v>1495</v>
      </c>
      <c r="BF199" s="63" t="n">
        <f aca="false">BF159</f>
        <v>1576</v>
      </c>
      <c r="BG199" s="63" t="n">
        <f aca="false">BG159</f>
        <v>6950</v>
      </c>
      <c r="BH199" s="63" t="n">
        <f aca="false">BH159</f>
        <v>1289</v>
      </c>
      <c r="BI199" s="63" t="n">
        <f aca="false">BI159</f>
        <v>1361</v>
      </c>
      <c r="BJ199" s="63" t="n">
        <f aca="false">BJ159</f>
        <v>1715</v>
      </c>
      <c r="BK199" s="63" t="n">
        <f aca="false">BK159</f>
        <v>1630</v>
      </c>
      <c r="BL199" s="63" t="n">
        <f aca="false">BL159</f>
        <v>5995</v>
      </c>
      <c r="BM199" s="63" t="n">
        <f aca="false">BM159</f>
        <v>1327</v>
      </c>
      <c r="BN199" s="63" t="n">
        <f aca="false">BN159</f>
        <v>1547</v>
      </c>
      <c r="BO199" s="63" t="n">
        <f aca="false">BO159</f>
        <v>1630</v>
      </c>
      <c r="BP199" s="63" t="n">
        <f aca="false">BP159</f>
        <v>1831</v>
      </c>
      <c r="BQ199" s="63" t="n">
        <f aca="false">BQ159</f>
        <v>6335</v>
      </c>
      <c r="BR199" s="63" t="n">
        <f aca="false">BR159</f>
        <v>1508</v>
      </c>
      <c r="BS199" s="63" t="n">
        <f aca="false">BS159</f>
        <v>1617</v>
      </c>
      <c r="BT199" s="63" t="n">
        <f aca="false">BT159</f>
        <v>1616</v>
      </c>
      <c r="BU199" s="63" t="n">
        <f aca="false">BU159</f>
        <v>1965</v>
      </c>
      <c r="BV199" s="63" t="n">
        <f aca="false">BV159</f>
        <v>6704</v>
      </c>
      <c r="BW199" s="63" t="n">
        <f aca="false">BW159</f>
        <v>1650</v>
      </c>
      <c r="BX199" s="63" t="n">
        <f aca="false">BX159</f>
        <v>1737</v>
      </c>
      <c r="BY199" s="20" t="n">
        <f aca="false">BY159</f>
        <v>2097.07258292613</v>
      </c>
      <c r="BZ199" s="20" t="n">
        <f aca="false">BZ159</f>
        <v>2134.70366707387</v>
      </c>
      <c r="CA199" s="20" t="n">
        <f aca="false">CA159</f>
        <v>7618.77625</v>
      </c>
      <c r="CB199" s="20" t="n">
        <f aca="false">CB159</f>
        <v>7907.71599807448</v>
      </c>
      <c r="CC199" s="20" t="n">
        <f aca="false">CC159</f>
        <v>8730.23879292395</v>
      </c>
      <c r="CD199" s="20" t="n">
        <f aca="false">CD159</f>
        <v>9605.01421040877</v>
      </c>
      <c r="CE199" s="20" t="n">
        <f aca="false">CE159</f>
        <v>10744.7372704989</v>
      </c>
      <c r="CF199" s="21"/>
    </row>
    <row r="200" customFormat="false" ht="15" hidden="false" customHeight="false" outlineLevel="0" collapsed="false">
      <c r="B200" s="43" t="s">
        <v>362</v>
      </c>
      <c r="C200" s="37" t="n">
        <v>168.935</v>
      </c>
      <c r="D200" s="37" t="n">
        <v>761.1</v>
      </c>
      <c r="E200" s="37" t="n">
        <v>994.2</v>
      </c>
      <c r="F200" s="37" t="n">
        <v>850.3</v>
      </c>
      <c r="G200" s="37" t="n">
        <v>1035.6</v>
      </c>
      <c r="H200" s="37" t="n">
        <v>1329.9</v>
      </c>
      <c r="I200" s="37" t="n">
        <v>1177.9</v>
      </c>
      <c r="J200" s="37" t="n">
        <v>336.2</v>
      </c>
      <c r="K200" s="37" t="n">
        <v>277.4</v>
      </c>
      <c r="L200" s="37" t="n">
        <v>317.6</v>
      </c>
      <c r="M200" s="37" t="n">
        <v>342.1</v>
      </c>
      <c r="N200" s="37" t="n">
        <v>1273.3</v>
      </c>
      <c r="O200" s="37" t="n">
        <v>543.1</v>
      </c>
      <c r="P200" s="37" t="n">
        <v>278.5</v>
      </c>
      <c r="Q200" s="37" t="n">
        <v>471.6</v>
      </c>
      <c r="R200" s="37" t="n">
        <v>601.2</v>
      </c>
      <c r="S200" s="37" t="n">
        <v>1894.4</v>
      </c>
      <c r="T200" s="37" t="n">
        <v>385.1</v>
      </c>
      <c r="U200" s="37" t="n">
        <v>511.6</v>
      </c>
      <c r="V200" s="37" t="n">
        <v>476.1</v>
      </c>
      <c r="W200" s="37" t="n">
        <v>602.6</v>
      </c>
      <c r="X200" s="37" t="n">
        <v>1975.4</v>
      </c>
      <c r="Y200" s="37" t="n">
        <v>402.2</v>
      </c>
      <c r="Z200" s="37" t="n">
        <v>516.6</v>
      </c>
      <c r="AA200" s="37" t="n">
        <v>473.5</v>
      </c>
      <c r="AB200" s="37" t="n">
        <v>629.5</v>
      </c>
      <c r="AC200" s="37" t="n">
        <v>2021.8</v>
      </c>
      <c r="AD200" s="37" t="n">
        <v>551.4</v>
      </c>
      <c r="AE200" s="37" t="n">
        <v>611.6</v>
      </c>
      <c r="AF200" s="37" t="n">
        <v>533.9</v>
      </c>
      <c r="AG200" s="37" t="n">
        <v>528</v>
      </c>
      <c r="AH200" s="37" t="n">
        <v>2225</v>
      </c>
      <c r="AI200" s="37" t="n">
        <v>579</v>
      </c>
      <c r="AJ200" s="37" t="n">
        <v>752</v>
      </c>
      <c r="AK200" s="37" t="n">
        <v>709</v>
      </c>
      <c r="AL200" s="37" t="n">
        <v>898</v>
      </c>
      <c r="AM200" s="37" t="n">
        <v>2938</v>
      </c>
      <c r="AN200" s="37" t="n">
        <v>815</v>
      </c>
      <c r="AO200" s="37" t="n">
        <v>1119</v>
      </c>
      <c r="AP200" s="37" t="n">
        <v>760</v>
      </c>
      <c r="AQ200" s="37" t="n">
        <v>1002</v>
      </c>
      <c r="AR200" s="37" t="n">
        <v>3696</v>
      </c>
      <c r="AS200" s="37" t="n">
        <v>788</v>
      </c>
      <c r="AT200" s="37" t="n">
        <v>1156</v>
      </c>
      <c r="AU200" s="37" t="n">
        <v>1933</v>
      </c>
      <c r="AV200" s="37" t="n">
        <v>2498</v>
      </c>
      <c r="AW200" s="37" t="n">
        <v>6375</v>
      </c>
      <c r="AX200" s="37" t="n">
        <v>2337</v>
      </c>
      <c r="AY200" s="37" t="n">
        <v>1828</v>
      </c>
      <c r="AZ200" s="37" t="n">
        <v>1902</v>
      </c>
      <c r="BA200" s="37" t="n">
        <v>1658</v>
      </c>
      <c r="BB200" s="37" t="n">
        <v>7725</v>
      </c>
      <c r="BC200" s="37" t="n">
        <v>2215</v>
      </c>
      <c r="BD200" s="37" t="n">
        <v>1664</v>
      </c>
      <c r="BE200" s="37" t="n">
        <v>1495</v>
      </c>
      <c r="BF200" s="37" t="n">
        <v>1576</v>
      </c>
      <c r="BG200" s="37" t="n">
        <v>6950</v>
      </c>
      <c r="BH200" s="37" t="n">
        <v>1289</v>
      </c>
      <c r="BI200" s="37" t="n">
        <v>1361</v>
      </c>
      <c r="BJ200" s="37" t="n">
        <v>1715</v>
      </c>
      <c r="BK200" s="37" t="n">
        <v>1630</v>
      </c>
      <c r="BL200" s="37" t="n">
        <v>5995</v>
      </c>
      <c r="BM200" s="37" t="n">
        <v>1328</v>
      </c>
      <c r="BN200" s="37" t="n">
        <v>1548</v>
      </c>
      <c r="BO200" s="37" t="n">
        <v>1630</v>
      </c>
      <c r="BP200" s="37" t="n">
        <v>1830</v>
      </c>
      <c r="BQ200" s="37" t="n">
        <v>6335</v>
      </c>
      <c r="BR200" s="37" t="n">
        <v>1507</v>
      </c>
      <c r="BS200" s="37" t="n">
        <v>1617</v>
      </c>
      <c r="BT200" s="37" t="n">
        <v>1616</v>
      </c>
      <c r="BU200" s="37" t="n">
        <v>1964</v>
      </c>
      <c r="BV200" s="37" t="n">
        <v>6704</v>
      </c>
      <c r="BW200" s="37" t="n">
        <v>1651</v>
      </c>
      <c r="BX200" s="37" t="n">
        <v>1736</v>
      </c>
      <c r="BY200" s="44" t="n">
        <f aca="false">BY199</f>
        <v>2097.07258292613</v>
      </c>
      <c r="BZ200" s="44" t="n">
        <f aca="false">BZ199</f>
        <v>2134.70366707387</v>
      </c>
      <c r="CA200" s="44" t="n">
        <f aca="false">CA199</f>
        <v>7618.77625</v>
      </c>
      <c r="CB200" s="44" t="n">
        <f aca="false">CB199</f>
        <v>7907.71599807448</v>
      </c>
      <c r="CC200" s="44" t="n">
        <f aca="false">CC199</f>
        <v>8730.23879292395</v>
      </c>
      <c r="CD200" s="44" t="n">
        <f aca="false">CD199</f>
        <v>9605.01421040877</v>
      </c>
      <c r="CE200" s="44" t="n">
        <f aca="false">CE199</f>
        <v>10744.7372704989</v>
      </c>
      <c r="CF200" s="21"/>
    </row>
    <row r="201" customFormat="false" ht="15" hidden="false" customHeight="false" outlineLevel="0" collapsed="false">
      <c r="B201" s="23" t="s">
        <v>363</v>
      </c>
      <c r="C201" s="61" t="n">
        <f aca="false">C200-C199</f>
        <v>0</v>
      </c>
      <c r="D201" s="61" t="n">
        <f aca="false">D200-D199</f>
        <v>0</v>
      </c>
      <c r="E201" s="61" t="n">
        <f aca="false">E200-E199</f>
        <v>0</v>
      </c>
      <c r="F201" s="61" t="n">
        <f aca="false">F200-F199</f>
        <v>0</v>
      </c>
      <c r="G201" s="61" t="n">
        <f aca="false">G200-G199</f>
        <v>0</v>
      </c>
      <c r="H201" s="61" t="n">
        <f aca="false">H200-H199</f>
        <v>0</v>
      </c>
      <c r="I201" s="61" t="n">
        <f aca="false">I200-I199</f>
        <v>0</v>
      </c>
      <c r="J201" s="61" t="n">
        <f aca="false">J200-J199</f>
        <v>0</v>
      </c>
      <c r="K201" s="61" t="n">
        <f aca="false">K200-K199</f>
        <v>0</v>
      </c>
      <c r="L201" s="61" t="n">
        <f aca="false">L200-L199</f>
        <v>0</v>
      </c>
      <c r="M201" s="61" t="n">
        <f aca="false">M200-M199</f>
        <v>0</v>
      </c>
      <c r="N201" s="61" t="n">
        <f aca="false">N200-N199</f>
        <v>0</v>
      </c>
      <c r="O201" s="61" t="n">
        <f aca="false">O200-O199</f>
        <v>0</v>
      </c>
      <c r="P201" s="61" t="n">
        <f aca="false">P200-P199</f>
        <v>0</v>
      </c>
      <c r="Q201" s="61" t="n">
        <f aca="false">Q200-Q199</f>
        <v>0</v>
      </c>
      <c r="R201" s="61" t="n">
        <f aca="false">R200-R199</f>
        <v>0</v>
      </c>
      <c r="S201" s="61" t="n">
        <f aca="false">S200-S199</f>
        <v>0</v>
      </c>
      <c r="T201" s="61" t="n">
        <f aca="false">T200-T199</f>
        <v>0</v>
      </c>
      <c r="U201" s="61" t="n">
        <f aca="false">U200-U199</f>
        <v>0</v>
      </c>
      <c r="V201" s="61" t="n">
        <f aca="false">V200-V199</f>
        <v>0</v>
      </c>
      <c r="W201" s="61" t="n">
        <f aca="false">W200-W199</f>
        <v>0</v>
      </c>
      <c r="X201" s="61" t="n">
        <f aca="false">X200-X199</f>
        <v>0</v>
      </c>
      <c r="Y201" s="61" t="n">
        <f aca="false">Y200-Y199</f>
        <v>0</v>
      </c>
      <c r="Z201" s="61" t="n">
        <f aca="false">Z200-Z199</f>
        <v>0</v>
      </c>
      <c r="AA201" s="61" t="n">
        <f aca="false">AA200-AA199</f>
        <v>0</v>
      </c>
      <c r="AB201" s="61" t="n">
        <f aca="false">AB200-AB199</f>
        <v>0</v>
      </c>
      <c r="AC201" s="61" t="n">
        <f aca="false">AC200-AC199</f>
        <v>0</v>
      </c>
      <c r="AD201" s="61" t="n">
        <f aca="false">AD200-AD199</f>
        <v>0</v>
      </c>
      <c r="AE201" s="61" t="n">
        <f aca="false">AE200-AE199</f>
        <v>0</v>
      </c>
      <c r="AF201" s="61" t="n">
        <f aca="false">AF200-AF199</f>
        <v>0</v>
      </c>
      <c r="AG201" s="61" t="n">
        <f aca="false">AG200-AG199</f>
        <v>0</v>
      </c>
      <c r="AH201" s="61" t="n">
        <f aca="false">AH200-AH199</f>
        <v>0</v>
      </c>
      <c r="AI201" s="61" t="n">
        <f aca="false">AI200-AI199</f>
        <v>0</v>
      </c>
      <c r="AJ201" s="61" t="n">
        <f aca="false">AJ200-AJ199</f>
        <v>0</v>
      </c>
      <c r="AK201" s="61" t="n">
        <f aca="false">AK200-AK199</f>
        <v>0</v>
      </c>
      <c r="AL201" s="61" t="n">
        <f aca="false">AL200-AL199</f>
        <v>0</v>
      </c>
      <c r="AM201" s="61" t="n">
        <f aca="false">AM200-AM199</f>
        <v>0</v>
      </c>
      <c r="AN201" s="61" t="n">
        <f aca="false">AN200-AN199</f>
        <v>0</v>
      </c>
      <c r="AO201" s="61" t="n">
        <f aca="false">AO200-AO199</f>
        <v>0</v>
      </c>
      <c r="AP201" s="61" t="n">
        <f aca="false">AP200-AP199</f>
        <v>0</v>
      </c>
      <c r="AQ201" s="61" t="n">
        <f aca="false">AQ200-AQ199</f>
        <v>0</v>
      </c>
      <c r="AR201" s="61" t="n">
        <f aca="false">AR200-AR199</f>
        <v>0</v>
      </c>
      <c r="AS201" s="61" t="n">
        <f aca="false">AS200-AS199</f>
        <v>0</v>
      </c>
      <c r="AT201" s="61" t="n">
        <f aca="false">AT200-AT199</f>
        <v>0</v>
      </c>
      <c r="AU201" s="61" t="n">
        <f aca="false">AU200-AU199</f>
        <v>0</v>
      </c>
      <c r="AV201" s="61" t="n">
        <f aca="false">AV200-AV199</f>
        <v>0</v>
      </c>
      <c r="AW201" s="61" t="n">
        <f aca="false">AW200-AW199</f>
        <v>0</v>
      </c>
      <c r="AX201" s="61" t="n">
        <f aca="false">AX200-AX199</f>
        <v>0</v>
      </c>
      <c r="AY201" s="61" t="n">
        <f aca="false">AY200-AY199</f>
        <v>0</v>
      </c>
      <c r="AZ201" s="61" t="n">
        <f aca="false">AZ200-AZ199</f>
        <v>0</v>
      </c>
      <c r="BA201" s="61" t="n">
        <f aca="false">BA200-BA199</f>
        <v>0</v>
      </c>
      <c r="BB201" s="61" t="n">
        <f aca="false">BB200-BB199</f>
        <v>0</v>
      </c>
      <c r="BC201" s="61" t="n">
        <f aca="false">BC200-BC199</f>
        <v>0</v>
      </c>
      <c r="BD201" s="61" t="n">
        <f aca="false">BD200-BD199</f>
        <v>0</v>
      </c>
      <c r="BE201" s="61" t="n">
        <f aca="false">BE200-BE199</f>
        <v>0</v>
      </c>
      <c r="BF201" s="61" t="n">
        <f aca="false">BF200-BF199</f>
        <v>0</v>
      </c>
      <c r="BG201" s="61" t="n">
        <f aca="false">BG200-BG199</f>
        <v>0</v>
      </c>
      <c r="BH201" s="61" t="n">
        <f aca="false">BH200-BH199</f>
        <v>0</v>
      </c>
      <c r="BI201" s="61" t="n">
        <f aca="false">BI200-BI199</f>
        <v>0</v>
      </c>
      <c r="BJ201" s="61" t="n">
        <f aca="false">BJ200-BJ199</f>
        <v>0</v>
      </c>
      <c r="BK201" s="61" t="n">
        <f aca="false">BK200-BK199</f>
        <v>0</v>
      </c>
      <c r="BL201" s="61" t="n">
        <f aca="false">BL200-BL199</f>
        <v>0</v>
      </c>
      <c r="BM201" s="61" t="n">
        <f aca="false">BM200-BM199</f>
        <v>1</v>
      </c>
      <c r="BN201" s="61" t="n">
        <f aca="false">BN200-BN199</f>
        <v>1</v>
      </c>
      <c r="BO201" s="61" t="n">
        <f aca="false">BO200-BO199</f>
        <v>0</v>
      </c>
      <c r="BP201" s="61" t="n">
        <f aca="false">BP200-BP199</f>
        <v>-1</v>
      </c>
      <c r="BQ201" s="61" t="n">
        <f aca="false">BQ200-BQ199</f>
        <v>0</v>
      </c>
      <c r="BR201" s="61" t="n">
        <f aca="false">BR200-BR199</f>
        <v>-1</v>
      </c>
      <c r="BS201" s="61" t="n">
        <f aca="false">BS200-BS199</f>
        <v>0</v>
      </c>
      <c r="BT201" s="61" t="n">
        <f aca="false">BT200-BT199</f>
        <v>0</v>
      </c>
      <c r="BU201" s="61" t="n">
        <f aca="false">BU200-BU199</f>
        <v>-1</v>
      </c>
      <c r="BV201" s="61" t="n">
        <f aca="false">BV200-BV199</f>
        <v>0</v>
      </c>
      <c r="BW201" s="61" t="n">
        <f aca="false">BW200-BW199</f>
        <v>1</v>
      </c>
      <c r="BX201" s="61" t="n">
        <f aca="false">BX200-BX199</f>
        <v>-1</v>
      </c>
      <c r="BY201" s="44" t="n">
        <f aca="false">BY200-BY199</f>
        <v>0</v>
      </c>
      <c r="BZ201" s="44" t="n">
        <f aca="false">BZ200-BZ199</f>
        <v>0</v>
      </c>
      <c r="CA201" s="44" t="n">
        <f aca="false">CA200-CA199</f>
        <v>0</v>
      </c>
      <c r="CB201" s="44" t="n">
        <f aca="false">CB200-CB199</f>
        <v>0</v>
      </c>
      <c r="CC201" s="44" t="n">
        <f aca="false">CC200-CC199</f>
        <v>0</v>
      </c>
      <c r="CD201" s="44" t="n">
        <f aca="false">CD200-CD199</f>
        <v>0</v>
      </c>
      <c r="CE201" s="44" t="n">
        <f aca="false">CE200-CE199</f>
        <v>0</v>
      </c>
      <c r="CF201" s="21"/>
    </row>
    <row r="202" customFormat="false" ht="15" hidden="false" customHeight="false" outlineLevel="0" collapsed="false">
      <c r="B202" s="23" t="s">
        <v>364</v>
      </c>
      <c r="C202" s="61" t="n">
        <f aca="false">C185</f>
        <v>330.91</v>
      </c>
      <c r="D202" s="61" t="n">
        <f aca="false">D185</f>
        <v>662.5</v>
      </c>
      <c r="E202" s="61" t="n">
        <f aca="false">E185</f>
        <v>639.7</v>
      </c>
      <c r="F202" s="61" t="n">
        <f aca="false">F185</f>
        <v>666</v>
      </c>
      <c r="G202" s="61" t="n">
        <f aca="false">G185</f>
        <v>651.1</v>
      </c>
      <c r="H202" s="61" t="n">
        <f aca="false">H185</f>
        <v>882.6</v>
      </c>
      <c r="I202" s="61" t="n">
        <f aca="false">I185</f>
        <v>897.8</v>
      </c>
      <c r="J202" s="61" t="n">
        <f aca="false">J185</f>
        <v>228</v>
      </c>
      <c r="K202" s="61" t="n">
        <f aca="false">K185</f>
        <v>248.4</v>
      </c>
      <c r="L202" s="61" t="n">
        <f aca="false">L185</f>
        <v>227.3</v>
      </c>
      <c r="M202" s="61" t="n">
        <f aca="false">M185</f>
        <v>239.2</v>
      </c>
      <c r="N202" s="61" t="n">
        <f aca="false">N185</f>
        <v>942.9</v>
      </c>
      <c r="O202" s="61" t="n">
        <f aca="false">O185</f>
        <v>-45.0000000000001</v>
      </c>
      <c r="P202" s="61" t="n">
        <f aca="false">P185</f>
        <v>575.5</v>
      </c>
      <c r="Q202" s="61" t="n">
        <f aca="false">Q185</f>
        <v>274.7</v>
      </c>
      <c r="R202" s="61" t="n">
        <f aca="false">R185</f>
        <v>386.6</v>
      </c>
      <c r="S202" s="61" t="n">
        <f aca="false">S185</f>
        <v>1191.8</v>
      </c>
      <c r="T202" s="61" t="n">
        <f aca="false">T185</f>
        <v>369.3</v>
      </c>
      <c r="U202" s="61" t="n">
        <f aca="false">U185</f>
        <v>354.5</v>
      </c>
      <c r="V202" s="61" t="n">
        <f aca="false">V185</f>
        <v>370.8</v>
      </c>
      <c r="W202" s="61" t="n">
        <f aca="false">W185</f>
        <v>390.9</v>
      </c>
      <c r="X202" s="61" t="n">
        <f aca="false">X185</f>
        <v>1485.5</v>
      </c>
      <c r="Y202" s="61" t="n">
        <f aca="false">Y185</f>
        <v>412.1</v>
      </c>
      <c r="Z202" s="61" t="n">
        <f aca="false">Z185</f>
        <v>394.6</v>
      </c>
      <c r="AA202" s="61" t="n">
        <f aca="false">AA185</f>
        <v>491.4</v>
      </c>
      <c r="AB202" s="61" t="n">
        <f aca="false">AB185</f>
        <v>474.5</v>
      </c>
      <c r="AC202" s="61" t="n">
        <f aca="false">AC185</f>
        <v>1772.6</v>
      </c>
      <c r="AD202" s="61" t="n">
        <f aca="false">AD185</f>
        <v>453.4</v>
      </c>
      <c r="AE202" s="61" t="n">
        <f aca="false">AE185</f>
        <v>410.9</v>
      </c>
      <c r="AF202" s="61" t="n">
        <f aca="false">AF185</f>
        <v>535.6</v>
      </c>
      <c r="AG202" s="61" t="n">
        <f aca="false">AG185</f>
        <v>492</v>
      </c>
      <c r="AH202" s="61" t="n">
        <f aca="false">AH185</f>
        <v>1892</v>
      </c>
      <c r="AI202" s="61" t="n">
        <f aca="false">AI185</f>
        <v>500</v>
      </c>
      <c r="AJ202" s="61" t="n">
        <f aca="false">AJ185</f>
        <v>466</v>
      </c>
      <c r="AK202" s="61" t="n">
        <f aca="false">AK185</f>
        <v>399</v>
      </c>
      <c r="AL202" s="61" t="n">
        <f aca="false">AL185</f>
        <v>467</v>
      </c>
      <c r="AM202" s="61" t="n">
        <f aca="false">AM185</f>
        <v>1832</v>
      </c>
      <c r="AN202" s="61" t="n">
        <f aca="false">AN185</f>
        <v>450</v>
      </c>
      <c r="AO202" s="61" t="n">
        <f aca="false">AO185</f>
        <v>-14</v>
      </c>
      <c r="AP202" s="61" t="n">
        <f aca="false">AP185</f>
        <v>477</v>
      </c>
      <c r="AQ202" s="61" t="n">
        <f aca="false">AQ185</f>
        <v>466</v>
      </c>
      <c r="AR202" s="61" t="n">
        <f aca="false">AR185</f>
        <v>1379</v>
      </c>
      <c r="AS202" s="61" t="n">
        <f aca="false">AS185</f>
        <v>471</v>
      </c>
      <c r="AT202" s="61" t="n">
        <f aca="false">AT185</f>
        <v>473</v>
      </c>
      <c r="AU202" s="61" t="n">
        <f aca="false">AU185</f>
        <v>377</v>
      </c>
      <c r="AV202" s="61" t="n">
        <f aca="false">AV185</f>
        <v>441</v>
      </c>
      <c r="AW202" s="61" t="n">
        <f aca="false">AW185</f>
        <v>1762</v>
      </c>
      <c r="AX202" s="61" t="n">
        <f aca="false">AX185</f>
        <v>461</v>
      </c>
      <c r="AY202" s="61" t="n">
        <f aca="false">AY185</f>
        <v>526</v>
      </c>
      <c r="AZ202" s="61" t="n">
        <f aca="false">AZ185</f>
        <v>500</v>
      </c>
      <c r="BA202" s="61" t="n">
        <f aca="false">BA185</f>
        <v>623</v>
      </c>
      <c r="BB202" s="61" t="n">
        <f aca="false">BB185</f>
        <v>2110</v>
      </c>
      <c r="BC202" s="61" t="n">
        <f aca="false">BC185</f>
        <v>629</v>
      </c>
      <c r="BD202" s="61" t="n">
        <f aca="false">BD185</f>
        <v>604</v>
      </c>
      <c r="BE202" s="61" t="n">
        <f aca="false">BE185</f>
        <v>660</v>
      </c>
      <c r="BF202" s="61" t="n">
        <f aca="false">BF185</f>
        <v>699</v>
      </c>
      <c r="BG202" s="61" t="n">
        <f aca="false">BG185</f>
        <v>2592</v>
      </c>
      <c r="BH202" s="61" t="n">
        <f aca="false">BH185</f>
        <v>767</v>
      </c>
      <c r="BI202" s="61" t="n">
        <f aca="false">BI185</f>
        <v>792</v>
      </c>
      <c r="BJ202" s="61" t="n">
        <f aca="false">BJ185</f>
        <v>696</v>
      </c>
      <c r="BK202" s="61" t="n">
        <f aca="false">BK185</f>
        <v>696</v>
      </c>
      <c r="BL202" s="61" t="n">
        <f aca="false">BL185</f>
        <v>2951</v>
      </c>
      <c r="BM202" s="61" t="n">
        <f aca="false">BM185</f>
        <v>614</v>
      </c>
      <c r="BN202" s="61" t="n">
        <f aca="false">BN185</f>
        <v>527</v>
      </c>
      <c r="BO202" s="61" t="n">
        <f aca="false">BO185</f>
        <v>525</v>
      </c>
      <c r="BP202" s="61" t="n">
        <f aca="false">BP185</f>
        <v>704</v>
      </c>
      <c r="BQ202" s="61" t="n">
        <f aca="false">BQ185</f>
        <v>2370</v>
      </c>
      <c r="BR202" s="61" t="n">
        <f aca="false">BR185</f>
        <v>552</v>
      </c>
      <c r="BS202" s="61" t="n">
        <f aca="false">BS185</f>
        <v>541</v>
      </c>
      <c r="BT202" s="61" t="n">
        <f aca="false">BT185</f>
        <v>646</v>
      </c>
      <c r="BU202" s="61" t="n">
        <f aca="false">BU185</f>
        <v>622</v>
      </c>
      <c r="BV202" s="61" t="n">
        <f aca="false">BV185</f>
        <v>2363</v>
      </c>
      <c r="BW202" s="61" t="n">
        <f aca="false">BW185</f>
        <v>536</v>
      </c>
      <c r="BX202" s="61" t="n">
        <f aca="false">BX185</f>
        <v>647</v>
      </c>
      <c r="BY202" s="44" t="n">
        <f aca="false">BY185</f>
        <v>417</v>
      </c>
      <c r="BZ202" s="44" t="n">
        <f aca="false">BZ185</f>
        <v>620</v>
      </c>
      <c r="CA202" s="44" t="n">
        <f aca="false">CA185</f>
        <v>2220</v>
      </c>
      <c r="CB202" s="44" t="n">
        <f aca="false">CB185</f>
        <v>2462.03071428392</v>
      </c>
      <c r="CC202" s="44" t="n">
        <f aca="false">CC185</f>
        <v>2544.3515230926</v>
      </c>
      <c r="CD202" s="44" t="n">
        <f aca="false">CD185</f>
        <v>2562.5372193661</v>
      </c>
      <c r="CE202" s="44" t="n">
        <f aca="false">CE185</f>
        <v>2404.65335466647</v>
      </c>
      <c r="CF202" s="21"/>
    </row>
    <row r="203" customFormat="false" ht="15" hidden="false" customHeight="false" outlineLevel="0" collapsed="false">
      <c r="B203" s="23" t="s">
        <v>365</v>
      </c>
      <c r="C203" s="37" t="n">
        <v>0.93</v>
      </c>
      <c r="D203" s="37" t="n">
        <v>4.5</v>
      </c>
      <c r="E203" s="37" t="n">
        <v>-6</v>
      </c>
      <c r="F203" s="37" t="n">
        <v>17.6</v>
      </c>
      <c r="G203" s="37" t="n">
        <v>24.5</v>
      </c>
      <c r="H203" s="37" t="n">
        <v>-35.1</v>
      </c>
      <c r="I203" s="37" t="n">
        <v>0.5</v>
      </c>
      <c r="J203" s="37" t="n">
        <v>-10.5</v>
      </c>
      <c r="K203" s="37" t="n">
        <v>38.4</v>
      </c>
      <c r="L203" s="37" t="n">
        <v>16.7</v>
      </c>
      <c r="M203" s="37" t="n">
        <v>13.4</v>
      </c>
      <c r="N203" s="37" t="n">
        <v>58</v>
      </c>
      <c r="O203" s="37" t="n">
        <v>-2.8</v>
      </c>
      <c r="P203" s="37" t="n">
        <v>-0.9</v>
      </c>
      <c r="Q203" s="37" t="n">
        <v>-3.6</v>
      </c>
      <c r="R203" s="37" t="n">
        <v>3.7</v>
      </c>
      <c r="S203" s="37" t="n">
        <v>-3.1</v>
      </c>
      <c r="T203" s="37" t="n">
        <v>11</v>
      </c>
      <c r="U203" s="37" t="n">
        <v>0.6</v>
      </c>
      <c r="V203" s="37" t="n">
        <v>3.6</v>
      </c>
      <c r="W203" s="37" t="n">
        <v>6.3</v>
      </c>
      <c r="X203" s="37" t="n">
        <v>21.5</v>
      </c>
      <c r="Y203" s="37" t="n">
        <v>-1.3</v>
      </c>
      <c r="Z203" s="37" t="n">
        <v>16.8</v>
      </c>
      <c r="AA203" s="37" t="n">
        <v>11.1</v>
      </c>
      <c r="AB203" s="37" t="n">
        <v>-6</v>
      </c>
      <c r="AC203" s="37" t="n">
        <v>20.6</v>
      </c>
      <c r="AD203" s="37" t="n">
        <v>-2.6</v>
      </c>
      <c r="AE203" s="37" t="n">
        <v>2.8</v>
      </c>
      <c r="AF203" s="37" t="n">
        <v>30.3</v>
      </c>
      <c r="AG203" s="37" t="n">
        <v>-11</v>
      </c>
      <c r="AH203" s="37" t="n">
        <v>19</v>
      </c>
      <c r="AI203" s="37" t="n">
        <v>8</v>
      </c>
      <c r="AJ203" s="37" t="n">
        <v>1</v>
      </c>
      <c r="AK203" s="37" t="n">
        <v>-5</v>
      </c>
      <c r="AL203" s="37" t="n">
        <v>21</v>
      </c>
      <c r="AM203" s="37" t="n">
        <v>25</v>
      </c>
      <c r="AN203" s="37" t="n">
        <v>-7</v>
      </c>
      <c r="AO203" s="37" t="n">
        <v>0</v>
      </c>
      <c r="AP203" s="37" t="n">
        <v>38</v>
      </c>
      <c r="AQ203" s="37" t="n">
        <v>113</v>
      </c>
      <c r="AR203" s="37" t="n">
        <v>144</v>
      </c>
      <c r="AS203" s="37" t="n">
        <v>14</v>
      </c>
      <c r="AT203" s="37" t="n">
        <v>25</v>
      </c>
      <c r="AU203" s="37" t="n">
        <v>40</v>
      </c>
      <c r="AV203" s="37" t="n">
        <v>42</v>
      </c>
      <c r="AW203" s="37" t="n">
        <v>121</v>
      </c>
      <c r="AX203" s="37" t="n">
        <v>197</v>
      </c>
      <c r="AY203" s="37" t="n">
        <v>8</v>
      </c>
      <c r="AZ203" s="37" t="n">
        <v>-5</v>
      </c>
      <c r="BA203" s="37" t="n">
        <v>532</v>
      </c>
      <c r="BB203" s="37" t="n">
        <v>732</v>
      </c>
      <c r="BC203" s="37" t="n">
        <v>167</v>
      </c>
      <c r="BD203" s="37" t="n">
        <v>-18</v>
      </c>
      <c r="BE203" s="37" t="n">
        <v>14</v>
      </c>
      <c r="BF203" s="37" t="n">
        <v>-46</v>
      </c>
      <c r="BG203" s="37" t="n">
        <v>117</v>
      </c>
      <c r="BH203" s="37" t="n">
        <v>46</v>
      </c>
      <c r="BI203" s="37" t="n">
        <v>-1</v>
      </c>
      <c r="BJ203" s="37" t="n">
        <v>-9</v>
      </c>
      <c r="BK203" s="37" t="n">
        <v>14</v>
      </c>
      <c r="BL203" s="37" t="n">
        <v>50</v>
      </c>
      <c r="BM203" s="37" t="n">
        <v>-11</v>
      </c>
      <c r="BN203" s="37" t="n">
        <v>0</v>
      </c>
      <c r="BO203" s="37" t="n">
        <v>3</v>
      </c>
      <c r="BP203" s="37" t="n">
        <v>-11</v>
      </c>
      <c r="BQ203" s="37" t="n">
        <v>-19</v>
      </c>
      <c r="BR203" s="37" t="n">
        <v>-1</v>
      </c>
      <c r="BS203" s="37" t="n">
        <v>5</v>
      </c>
      <c r="BT203" s="37" t="n">
        <v>-5</v>
      </c>
      <c r="BU203" s="37" t="n">
        <v>-5</v>
      </c>
      <c r="BV203" s="37" t="n">
        <v>-6</v>
      </c>
      <c r="BW203" s="37" t="n">
        <v>1</v>
      </c>
      <c r="BX203" s="37" t="n">
        <v>-31</v>
      </c>
      <c r="BY203" s="42" t="n">
        <v>0</v>
      </c>
      <c r="BZ203" s="42" t="n">
        <v>0</v>
      </c>
      <c r="CA203" s="44" t="n">
        <f aca="false">SUM(BW203,BX203,BY203,BZ203)</f>
        <v>-30</v>
      </c>
      <c r="CB203" s="42" t="n">
        <v>0</v>
      </c>
      <c r="CC203" s="42" t="n">
        <v>0</v>
      </c>
      <c r="CD203" s="42" t="n">
        <v>0</v>
      </c>
      <c r="CE203" s="42" t="n">
        <v>0</v>
      </c>
      <c r="CF203" s="21"/>
    </row>
    <row r="204" customFormat="false" ht="15" hidden="false" customHeight="false" outlineLevel="0" collapsed="false">
      <c r="B204" s="23" t="s">
        <v>366</v>
      </c>
      <c r="C204" s="37" t="n">
        <v>0</v>
      </c>
      <c r="D204" s="37" t="n">
        <v>1.5</v>
      </c>
      <c r="E204" s="37" t="n">
        <v>2.8</v>
      </c>
      <c r="F204" s="37" t="n">
        <v>2.8</v>
      </c>
      <c r="G204" s="37" t="n">
        <v>3.8</v>
      </c>
      <c r="H204" s="37" t="n">
        <v>3.3</v>
      </c>
      <c r="I204" s="37" t="n">
        <v>4.8</v>
      </c>
      <c r="J204" s="37" t="n">
        <v>0.7</v>
      </c>
      <c r="K204" s="37" t="n">
        <v>0.6</v>
      </c>
      <c r="L204" s="37" t="n">
        <v>0.5</v>
      </c>
      <c r="M204" s="37" t="n">
        <v>0.6</v>
      </c>
      <c r="N204" s="37" t="n">
        <v>2.4</v>
      </c>
      <c r="O204" s="37" t="n">
        <v>0.5</v>
      </c>
      <c r="P204" s="37" t="n">
        <v>0</v>
      </c>
      <c r="Q204" s="37" t="n">
        <v>0</v>
      </c>
      <c r="R204" s="37" t="n">
        <v>0</v>
      </c>
      <c r="S204" s="37" t="n">
        <v>0</v>
      </c>
      <c r="T204" s="37" t="n">
        <v>0</v>
      </c>
      <c r="U204" s="37" t="n">
        <v>0</v>
      </c>
      <c r="V204" s="37" t="n">
        <v>0</v>
      </c>
      <c r="W204" s="37" t="n">
        <v>0</v>
      </c>
      <c r="X204" s="37" t="n">
        <v>0</v>
      </c>
      <c r="Y204" s="37" t="n">
        <v>0</v>
      </c>
      <c r="Z204" s="37" t="n">
        <v>0</v>
      </c>
      <c r="AA204" s="37" t="n">
        <v>0</v>
      </c>
      <c r="AB204" s="37" t="n">
        <v>0</v>
      </c>
      <c r="AC204" s="37" t="n">
        <v>0</v>
      </c>
      <c r="AD204" s="37" t="n">
        <v>0</v>
      </c>
      <c r="AE204" s="37" t="n">
        <v>0</v>
      </c>
      <c r="AF204" s="37" t="n">
        <v>0</v>
      </c>
      <c r="AG204" s="37" t="n">
        <v>0</v>
      </c>
      <c r="AH204" s="37" t="n">
        <v>0</v>
      </c>
      <c r="AI204" s="37" t="n">
        <v>0</v>
      </c>
      <c r="AJ204" s="37" t="n">
        <v>0</v>
      </c>
      <c r="AK204" s="37" t="n">
        <v>0</v>
      </c>
      <c r="AL204" s="37" t="n">
        <v>0</v>
      </c>
      <c r="AM204" s="37" t="n">
        <v>0</v>
      </c>
      <c r="AN204" s="37" t="n">
        <v>0</v>
      </c>
      <c r="AO204" s="37" t="n">
        <v>0</v>
      </c>
      <c r="AP204" s="37" t="n">
        <v>0</v>
      </c>
      <c r="AQ204" s="37" t="n">
        <v>0</v>
      </c>
      <c r="AR204" s="37" t="n">
        <v>0</v>
      </c>
      <c r="AS204" s="37" t="n">
        <v>0</v>
      </c>
      <c r="AT204" s="37" t="n">
        <v>0</v>
      </c>
      <c r="AU204" s="37" t="n">
        <v>0</v>
      </c>
      <c r="AV204" s="37" t="n">
        <v>0</v>
      </c>
      <c r="AW204" s="37" t="n">
        <v>0</v>
      </c>
      <c r="AX204" s="37" t="n">
        <v>0</v>
      </c>
      <c r="AY204" s="37" t="n">
        <v>0</v>
      </c>
      <c r="AZ204" s="37" t="n">
        <v>0</v>
      </c>
      <c r="BA204" s="37" t="n">
        <v>1</v>
      </c>
      <c r="BB204" s="37" t="n">
        <v>4</v>
      </c>
      <c r="BC204" s="37" t="n">
        <v>19</v>
      </c>
      <c r="BD204" s="37" t="n">
        <v>51</v>
      </c>
      <c r="BE204" s="37" t="n">
        <v>72</v>
      </c>
      <c r="BF204" s="37" t="n">
        <v>30</v>
      </c>
      <c r="BG204" s="37" t="n">
        <v>172</v>
      </c>
      <c r="BH204" s="37" t="n">
        <v>25</v>
      </c>
      <c r="BI204" s="37" t="n">
        <v>16</v>
      </c>
      <c r="BJ204" s="37" t="n">
        <v>17</v>
      </c>
      <c r="BK204" s="37" t="n">
        <v>1</v>
      </c>
      <c r="BL204" s="37" t="n">
        <v>59</v>
      </c>
      <c r="BM204" s="37" t="n">
        <v>-23</v>
      </c>
      <c r="BN204" s="37" t="n">
        <v>84</v>
      </c>
      <c r="BO204" s="37" t="n">
        <v>14</v>
      </c>
      <c r="BP204" s="37" t="n">
        <v>-33</v>
      </c>
      <c r="BQ204" s="37" t="n">
        <v>42</v>
      </c>
      <c r="BR204" s="37" t="n">
        <v>14</v>
      </c>
      <c r="BS204" s="37" t="n">
        <v>-2</v>
      </c>
      <c r="BT204" s="37" t="n">
        <v>-2</v>
      </c>
      <c r="BU204" s="37" t="n">
        <v>31</v>
      </c>
      <c r="BV204" s="37" t="n">
        <v>41</v>
      </c>
      <c r="BW204" s="37" t="n">
        <v>8</v>
      </c>
      <c r="BX204" s="37" t="n">
        <v>15</v>
      </c>
      <c r="BY204" s="44" t="n">
        <f aca="false">-N(BY154)</f>
        <v>10</v>
      </c>
      <c r="BZ204" s="44" t="n">
        <f aca="false">-N(BZ154)</f>
        <v>10</v>
      </c>
      <c r="CA204" s="44" t="n">
        <f aca="false">SUM(BW204,BX204,BY204,BZ204)</f>
        <v>43</v>
      </c>
      <c r="CB204" s="44" t="n">
        <f aca="false">-N(CB154)</f>
        <v>-0</v>
      </c>
      <c r="CC204" s="44" t="n">
        <f aca="false">-N(CC154)</f>
        <v>-0</v>
      </c>
      <c r="CD204" s="44" t="n">
        <f aca="false">-N(CD154)</f>
        <v>-0</v>
      </c>
      <c r="CE204" s="44" t="n">
        <f aca="false">-N(CE154)</f>
        <v>-0</v>
      </c>
      <c r="CF204" s="21"/>
    </row>
    <row r="205" customFormat="false" ht="15" hidden="false" customHeight="false" outlineLevel="0" collapsed="false">
      <c r="B205" s="23" t="s">
        <v>367</v>
      </c>
      <c r="C205" s="37" t="n">
        <v>-110.5</v>
      </c>
      <c r="D205" s="37" t="n">
        <v>-270.7</v>
      </c>
      <c r="E205" s="37" t="n">
        <v>-249.9</v>
      </c>
      <c r="F205" s="37" t="n">
        <v>-247</v>
      </c>
      <c r="G205" s="37" t="n">
        <v>-250.3</v>
      </c>
      <c r="H205" s="37" t="n">
        <v>-270.7</v>
      </c>
      <c r="I205" s="37" t="n">
        <v>-351.7</v>
      </c>
      <c r="J205" s="37" t="n">
        <v>-63.3</v>
      </c>
      <c r="K205" s="37" t="n">
        <v>-86.3</v>
      </c>
      <c r="L205" s="37" t="n">
        <v>-85.2</v>
      </c>
      <c r="M205" s="37" t="n">
        <v>-65.9</v>
      </c>
      <c r="N205" s="37" t="n">
        <v>-300.7</v>
      </c>
      <c r="O205" s="37" t="n">
        <v>115</v>
      </c>
      <c r="P205" s="37" t="n">
        <v>-158</v>
      </c>
      <c r="Q205" s="37" t="n">
        <v>-50.7</v>
      </c>
      <c r="R205" s="37" t="n">
        <v>-189.6</v>
      </c>
      <c r="S205" s="37" t="n">
        <v>-283.3</v>
      </c>
      <c r="T205" s="37" t="n">
        <v>-109.8</v>
      </c>
      <c r="U205" s="37" t="n">
        <v>-128.2</v>
      </c>
      <c r="V205" s="37" t="n">
        <v>-127.2</v>
      </c>
      <c r="W205" s="37" t="n">
        <v>-150.6</v>
      </c>
      <c r="X205" s="37" t="n">
        <v>-515.8</v>
      </c>
      <c r="Y205" s="37" t="n">
        <v>-96</v>
      </c>
      <c r="Z205" s="37" t="n">
        <v>-121.7</v>
      </c>
      <c r="AA205" s="37" t="n">
        <v>-167.5</v>
      </c>
      <c r="AB205" s="37" t="n">
        <v>-144.7</v>
      </c>
      <c r="AC205" s="37" t="n">
        <v>-529.9</v>
      </c>
      <c r="AD205" s="37" t="n">
        <v>-182</v>
      </c>
      <c r="AE205" s="37" t="n">
        <v>-123.1</v>
      </c>
      <c r="AF205" s="37" t="n">
        <v>-176.3</v>
      </c>
      <c r="AG205" s="37" t="n">
        <v>117</v>
      </c>
      <c r="AH205" s="37" t="n">
        <v>-364</v>
      </c>
      <c r="AI205" s="37" t="n">
        <v>-75</v>
      </c>
      <c r="AJ205" s="37" t="n">
        <v>-103</v>
      </c>
      <c r="AK205" s="37" t="n">
        <v>-37</v>
      </c>
      <c r="AL205" s="37" t="n">
        <v>-69</v>
      </c>
      <c r="AM205" s="37" t="n">
        <v>-284</v>
      </c>
      <c r="AN205" s="37" t="n">
        <v>-125</v>
      </c>
      <c r="AO205" s="37" t="n">
        <v>122</v>
      </c>
      <c r="AP205" s="37" t="n">
        <v>-88</v>
      </c>
      <c r="AQ205" s="37" t="n">
        <v>-153</v>
      </c>
      <c r="AR205" s="37" t="n">
        <v>-244</v>
      </c>
      <c r="AS205" s="37" t="n">
        <v>-98</v>
      </c>
      <c r="AT205" s="37" t="n">
        <v>-104</v>
      </c>
      <c r="AU205" s="37" t="n">
        <v>-100</v>
      </c>
      <c r="AV205" s="37" t="n">
        <v>-146</v>
      </c>
      <c r="AW205" s="37" t="n">
        <v>-448</v>
      </c>
      <c r="AX205" s="37" t="n">
        <v>-130</v>
      </c>
      <c r="AY205" s="37" t="n">
        <v>-142</v>
      </c>
      <c r="AZ205" s="37" t="n">
        <v>-108</v>
      </c>
      <c r="BA205" s="37" t="n">
        <v>-213</v>
      </c>
      <c r="BB205" s="37" t="n">
        <v>-593</v>
      </c>
      <c r="BC205" s="37" t="n">
        <v>-169</v>
      </c>
      <c r="BD205" s="37" t="n">
        <v>-127</v>
      </c>
      <c r="BE205" s="37" t="n">
        <v>-238</v>
      </c>
      <c r="BF205" s="37" t="n">
        <v>-138</v>
      </c>
      <c r="BG205" s="37" t="n">
        <v>-672</v>
      </c>
      <c r="BH205" s="37" t="n">
        <v>-171</v>
      </c>
      <c r="BI205" s="37" t="n">
        <v>-171</v>
      </c>
      <c r="BJ205" s="37" t="n">
        <v>-192</v>
      </c>
      <c r="BK205" s="37" t="n">
        <v>-111</v>
      </c>
      <c r="BL205" s="37" t="n">
        <v>-645</v>
      </c>
      <c r="BM205" s="37" t="n">
        <v>50</v>
      </c>
      <c r="BN205" s="37" t="n">
        <v>-102</v>
      </c>
      <c r="BO205" s="37" t="n">
        <v>-139</v>
      </c>
      <c r="BP205" s="37" t="n">
        <v>-138</v>
      </c>
      <c r="BQ205" s="37" t="n">
        <v>-329</v>
      </c>
      <c r="BR205" s="37" t="n">
        <v>-122</v>
      </c>
      <c r="BS205" s="37" t="n">
        <v>-133</v>
      </c>
      <c r="BT205" s="37" t="n">
        <v>-64</v>
      </c>
      <c r="BU205" s="37" t="n">
        <v>-138</v>
      </c>
      <c r="BV205" s="37" t="n">
        <v>-458</v>
      </c>
      <c r="BW205" s="37" t="n">
        <v>-168</v>
      </c>
      <c r="BX205" s="37" t="n">
        <v>-127</v>
      </c>
      <c r="BY205" s="44" t="n">
        <f aca="false">-BY216*(BY202+BY203)</f>
        <v>-87.57</v>
      </c>
      <c r="BZ205" s="44" t="n">
        <f aca="false">-BZ216*(BZ202+BZ203)</f>
        <v>-130.2</v>
      </c>
      <c r="CA205" s="44" t="n">
        <f aca="false">SUM(BW205,BX205,BY205,BZ205)</f>
        <v>-512.77</v>
      </c>
      <c r="CB205" s="44" t="n">
        <f aca="false">-CB216*(CB202+CB203)</f>
        <v>-517.026449999622</v>
      </c>
      <c r="CC205" s="44" t="n">
        <f aca="false">-CC216*(CC202+CC203)</f>
        <v>-534.313819849446</v>
      </c>
      <c r="CD205" s="44" t="n">
        <f aca="false">-CD216*(CD202+CD203)</f>
        <v>-538.132816066881</v>
      </c>
      <c r="CE205" s="44" t="n">
        <f aca="false">-CE216*(CE202+CE203)</f>
        <v>-504.977204479958</v>
      </c>
      <c r="CF205" s="21"/>
    </row>
    <row r="206" customFormat="false" ht="15" hidden="false" customHeight="false" outlineLevel="0" collapsed="false">
      <c r="B206" s="23" t="s">
        <v>368</v>
      </c>
      <c r="C206" s="37" t="n">
        <v>-2.619</v>
      </c>
      <c r="D206" s="37" t="n">
        <v>18.5</v>
      </c>
      <c r="E206" s="37" t="n">
        <v>-5.5</v>
      </c>
      <c r="F206" s="37" t="n">
        <v>1</v>
      </c>
      <c r="G206" s="37" t="n">
        <v>-2.5</v>
      </c>
      <c r="H206" s="37" t="n">
        <v>-310.3</v>
      </c>
      <c r="I206" s="37" t="n">
        <v>80.5</v>
      </c>
      <c r="J206" s="37" t="n">
        <v>4.6</v>
      </c>
      <c r="K206" s="37" t="n">
        <v>0.2</v>
      </c>
      <c r="L206" s="37" t="n">
        <v>0.1</v>
      </c>
      <c r="M206" s="37" t="n">
        <v>0.9</v>
      </c>
      <c r="N206" s="37" t="n">
        <v>5.8</v>
      </c>
      <c r="O206" s="37" t="n">
        <v>0</v>
      </c>
      <c r="P206" s="37" t="n">
        <v>0</v>
      </c>
      <c r="Q206" s="37" t="n">
        <v>-1.7</v>
      </c>
      <c r="R206" s="37" t="n">
        <v>2.8</v>
      </c>
      <c r="S206" s="37" t="n">
        <v>1.1</v>
      </c>
      <c r="T206" s="37" t="n">
        <v>0</v>
      </c>
      <c r="U206" s="37" t="n">
        <v>0</v>
      </c>
      <c r="V206" s="37" t="n">
        <v>1.2</v>
      </c>
      <c r="W206" s="37" t="n">
        <v>3.7</v>
      </c>
      <c r="X206" s="37" t="n">
        <v>4.9</v>
      </c>
      <c r="Y206" s="37" t="n">
        <v>0.1</v>
      </c>
      <c r="Z206" s="37" t="n">
        <v>0.2</v>
      </c>
      <c r="AA206" s="37" t="n">
        <v>0</v>
      </c>
      <c r="AB206" s="37" t="n">
        <v>3.2</v>
      </c>
      <c r="AC206" s="37" t="n">
        <v>3.5</v>
      </c>
      <c r="AD206" s="37" t="n">
        <v>0</v>
      </c>
      <c r="AE206" s="37" t="n">
        <v>0.6</v>
      </c>
      <c r="AF206" s="37" t="n">
        <v>0</v>
      </c>
      <c r="AG206" s="37" t="n">
        <v>2</v>
      </c>
      <c r="AH206" s="37" t="n">
        <v>3</v>
      </c>
      <c r="AI206" s="37" t="n">
        <v>0</v>
      </c>
      <c r="AJ206" s="37" t="n">
        <v>0</v>
      </c>
      <c r="AK206" s="37" t="n">
        <v>0</v>
      </c>
      <c r="AL206" s="37" t="n">
        <v>0</v>
      </c>
      <c r="AM206" s="37" t="n">
        <v>0</v>
      </c>
      <c r="AN206" s="37" t="n">
        <v>0</v>
      </c>
      <c r="AO206" s="37" t="n">
        <v>0</v>
      </c>
      <c r="AP206" s="37" t="n">
        <v>0</v>
      </c>
      <c r="AQ206" s="37" t="n">
        <v>0</v>
      </c>
      <c r="AR206" s="37" t="n">
        <v>0</v>
      </c>
      <c r="AS206" s="37" t="n">
        <v>0</v>
      </c>
      <c r="AT206" s="37" t="n">
        <v>0</v>
      </c>
      <c r="AU206" s="37" t="n">
        <v>0</v>
      </c>
      <c r="AV206" s="37" t="n">
        <v>0</v>
      </c>
      <c r="AW206" s="37" t="n">
        <v>0</v>
      </c>
      <c r="AX206" s="37" t="n">
        <v>0</v>
      </c>
      <c r="AY206" s="37" t="n">
        <v>0</v>
      </c>
      <c r="AZ206" s="37" t="n">
        <v>0</v>
      </c>
      <c r="BA206" s="37" t="n">
        <v>0</v>
      </c>
      <c r="BB206" s="37" t="n">
        <v>0</v>
      </c>
      <c r="BC206" s="37" t="n">
        <v>0</v>
      </c>
      <c r="BD206" s="37" t="n">
        <v>0</v>
      </c>
      <c r="BE206" s="37" t="n">
        <v>0</v>
      </c>
      <c r="BF206" s="37" t="n">
        <v>0</v>
      </c>
      <c r="BG206" s="37" t="n">
        <v>0</v>
      </c>
      <c r="BH206" s="37" t="n">
        <v>0</v>
      </c>
      <c r="BI206" s="37" t="n">
        <v>0</v>
      </c>
      <c r="BJ206" s="37" t="n">
        <v>0</v>
      </c>
      <c r="BK206" s="37" t="n">
        <v>0</v>
      </c>
      <c r="BL206" s="37" t="n">
        <v>0</v>
      </c>
      <c r="BM206" s="37" t="n">
        <v>0</v>
      </c>
      <c r="BN206" s="37" t="n">
        <v>0</v>
      </c>
      <c r="BO206" s="37" t="n">
        <v>0</v>
      </c>
      <c r="BP206" s="37" t="n">
        <v>0</v>
      </c>
      <c r="BQ206" s="37" t="n">
        <v>0</v>
      </c>
      <c r="BR206" s="37" t="n">
        <v>0</v>
      </c>
      <c r="BS206" s="37" t="n">
        <v>0</v>
      </c>
      <c r="BT206" s="37" t="n">
        <v>0</v>
      </c>
      <c r="BU206" s="37" t="n">
        <v>0</v>
      </c>
      <c r="BV206" s="37" t="n">
        <v>0</v>
      </c>
      <c r="BW206" s="37" t="n">
        <v>0</v>
      </c>
      <c r="BX206" s="37" t="n">
        <v>0</v>
      </c>
      <c r="BY206" s="44" t="n">
        <f aca="false">-BY156</f>
        <v>-0</v>
      </c>
      <c r="BZ206" s="44" t="n">
        <f aca="false">-BZ156</f>
        <v>-0</v>
      </c>
      <c r="CA206" s="44" t="n">
        <f aca="false">SUM(BW206,BX206,BY206,BZ206)</f>
        <v>0</v>
      </c>
      <c r="CB206" s="44" t="n">
        <f aca="false">-CB156</f>
        <v>-0</v>
      </c>
      <c r="CC206" s="44" t="n">
        <f aca="false">-CC156</f>
        <v>-0</v>
      </c>
      <c r="CD206" s="44" t="n">
        <f aca="false">-CD156</f>
        <v>-0</v>
      </c>
      <c r="CE206" s="44" t="n">
        <f aca="false">-CE156</f>
        <v>-0</v>
      </c>
      <c r="CF206" s="21"/>
    </row>
    <row r="207" customFormat="false" ht="15" hidden="false" customHeight="false" outlineLevel="0" collapsed="false">
      <c r="B207" s="23" t="s">
        <v>369</v>
      </c>
      <c r="C207" s="37" t="n">
        <v>0</v>
      </c>
      <c r="D207" s="37" t="n">
        <v>0</v>
      </c>
      <c r="E207" s="37" t="n">
        <v>0</v>
      </c>
      <c r="F207" s="37" t="n">
        <v>0</v>
      </c>
      <c r="G207" s="37" t="n">
        <v>0</v>
      </c>
      <c r="H207" s="37" t="n">
        <v>0</v>
      </c>
      <c r="I207" s="37" t="n">
        <v>0</v>
      </c>
      <c r="J207" s="37" t="n">
        <v>0</v>
      </c>
      <c r="K207" s="37" t="n">
        <v>0</v>
      </c>
      <c r="L207" s="37" t="n">
        <v>0</v>
      </c>
      <c r="M207" s="37" t="n">
        <v>0</v>
      </c>
      <c r="N207" s="37" t="n">
        <v>0</v>
      </c>
      <c r="O207" s="37" t="n">
        <v>0</v>
      </c>
      <c r="P207" s="37" t="n">
        <v>0</v>
      </c>
      <c r="Q207" s="37" t="n">
        <v>0</v>
      </c>
      <c r="R207" s="37" t="n">
        <v>0</v>
      </c>
      <c r="S207" s="37" t="n">
        <v>0</v>
      </c>
      <c r="T207" s="37" t="n">
        <v>0</v>
      </c>
      <c r="U207" s="37" t="n">
        <v>0</v>
      </c>
      <c r="V207" s="37" t="n">
        <v>0</v>
      </c>
      <c r="W207" s="37" t="n">
        <v>0</v>
      </c>
      <c r="X207" s="37" t="n">
        <v>0</v>
      </c>
      <c r="Y207" s="37" t="n">
        <v>0</v>
      </c>
      <c r="Z207" s="37" t="n">
        <v>0</v>
      </c>
      <c r="AA207" s="37" t="n">
        <v>0</v>
      </c>
      <c r="AB207" s="37" t="n">
        <v>0</v>
      </c>
      <c r="AC207" s="37" t="n">
        <v>0</v>
      </c>
      <c r="AD207" s="37" t="n">
        <v>0</v>
      </c>
      <c r="AE207" s="37" t="n">
        <v>0</v>
      </c>
      <c r="AF207" s="37" t="n">
        <v>0</v>
      </c>
      <c r="AG207" s="37" t="n">
        <v>0</v>
      </c>
      <c r="AH207" s="37" t="n">
        <v>0</v>
      </c>
      <c r="AI207" s="37" t="n">
        <v>0</v>
      </c>
      <c r="AJ207" s="37" t="n">
        <v>0</v>
      </c>
      <c r="AK207" s="37" t="n">
        <v>0</v>
      </c>
      <c r="AL207" s="37" t="n">
        <v>0</v>
      </c>
      <c r="AM207" s="37" t="n">
        <v>0</v>
      </c>
      <c r="AN207" s="37" t="n">
        <v>0</v>
      </c>
      <c r="AO207" s="37" t="n">
        <v>0</v>
      </c>
      <c r="AP207" s="37" t="n">
        <v>0</v>
      </c>
      <c r="AQ207" s="37" t="n">
        <v>0</v>
      </c>
      <c r="AR207" s="37" t="n">
        <v>0</v>
      </c>
      <c r="AS207" s="37" t="n">
        <v>0</v>
      </c>
      <c r="AT207" s="37" t="n">
        <v>0</v>
      </c>
      <c r="AU207" s="37" t="n">
        <v>0</v>
      </c>
      <c r="AV207" s="37" t="n">
        <v>0</v>
      </c>
      <c r="AW207" s="37" t="n">
        <v>0</v>
      </c>
      <c r="AX207" s="37" t="n">
        <v>0</v>
      </c>
      <c r="AY207" s="37" t="n">
        <v>0</v>
      </c>
      <c r="AZ207" s="37" t="n">
        <v>0</v>
      </c>
      <c r="BA207" s="37" t="n">
        <v>0</v>
      </c>
      <c r="BB207" s="37" t="n">
        <v>0</v>
      </c>
      <c r="BC207" s="37" t="n">
        <v>0</v>
      </c>
      <c r="BD207" s="37" t="n">
        <v>0</v>
      </c>
      <c r="BE207" s="37" t="n">
        <v>0</v>
      </c>
      <c r="BF207" s="37" t="n">
        <v>0</v>
      </c>
      <c r="BG207" s="37" t="n">
        <v>0</v>
      </c>
      <c r="BH207" s="37" t="n">
        <v>0</v>
      </c>
      <c r="BI207" s="37" t="n">
        <v>0</v>
      </c>
      <c r="BJ207" s="37" t="n">
        <v>-19</v>
      </c>
      <c r="BK207" s="37" t="n">
        <v>-27</v>
      </c>
      <c r="BL207" s="37" t="n">
        <v>-46</v>
      </c>
      <c r="BM207" s="37" t="n">
        <v>0</v>
      </c>
      <c r="BN207" s="37" t="n">
        <v>-1</v>
      </c>
      <c r="BO207" s="37" t="n">
        <v>-6</v>
      </c>
      <c r="BP207" s="37" t="n">
        <v>-14</v>
      </c>
      <c r="BQ207" s="37" t="n">
        <v>-19</v>
      </c>
      <c r="BR207" s="37" t="n">
        <v>0</v>
      </c>
      <c r="BS207" s="37" t="n">
        <v>-1</v>
      </c>
      <c r="BT207" s="37" t="n">
        <v>0</v>
      </c>
      <c r="BU207" s="37" t="n">
        <v>0</v>
      </c>
      <c r="BV207" s="37" t="n">
        <v>-1</v>
      </c>
      <c r="BW207" s="37" t="n">
        <v>0</v>
      </c>
      <c r="BX207" s="37" t="n">
        <v>0</v>
      </c>
      <c r="BY207" s="42" t="n">
        <v>0</v>
      </c>
      <c r="BZ207" s="42" t="n">
        <v>0</v>
      </c>
      <c r="CA207" s="44" t="n">
        <f aca="false">SUM(BW207,BX207,BY207,BZ207)</f>
        <v>0</v>
      </c>
      <c r="CB207" s="42" t="n">
        <v>0</v>
      </c>
      <c r="CC207" s="42" t="n">
        <v>0</v>
      </c>
      <c r="CD207" s="42" t="n">
        <v>0</v>
      </c>
      <c r="CE207" s="42" t="n">
        <v>0</v>
      </c>
      <c r="CF207" s="21"/>
    </row>
    <row r="208" customFormat="false" ht="15" hidden="false" customHeight="false" outlineLevel="0" collapsed="false">
      <c r="B208" s="58" t="s">
        <v>370</v>
      </c>
      <c r="C208" s="59" t="n">
        <f aca="false">C199+C201+C202+C203+C204+C205+C206+C207</f>
        <v>387.656</v>
      </c>
      <c r="D208" s="59" t="n">
        <f aca="false">D199+D201+D202+D203+D204+D205+D206+D207</f>
        <v>1177.4</v>
      </c>
      <c r="E208" s="59" t="n">
        <f aca="false">E199+E201+E202+E203+E204+E205+E206+E207</f>
        <v>1375.3</v>
      </c>
      <c r="F208" s="59" t="n">
        <f aca="false">F199+F201+F202+F203+F204+F205+F206+F207</f>
        <v>1290.7</v>
      </c>
      <c r="G208" s="59" t="n">
        <f aca="false">G199+G201+G202+G203+G204+G205+G206+G207</f>
        <v>1462.2</v>
      </c>
      <c r="H208" s="59" t="n">
        <f aca="false">H199+H201+H202+H203+H204+H205+H206+H207</f>
        <v>1599.7</v>
      </c>
      <c r="I208" s="59" t="n">
        <f aca="false">I199+I201+I202+I203+I204+I205+I206+I207</f>
        <v>1809.8</v>
      </c>
      <c r="J208" s="59" t="n">
        <f aca="false">J199+J201+J202+J203+J204+J205+J206+J207</f>
        <v>495.7</v>
      </c>
      <c r="K208" s="59" t="n">
        <f aca="false">K199+K201+K202+K203+K204+K205+K206+K207</f>
        <v>478.7</v>
      </c>
      <c r="L208" s="59" t="n">
        <f aca="false">L199+L201+L202+L203+L204+L205+L206+L207</f>
        <v>477</v>
      </c>
      <c r="M208" s="59" t="n">
        <f aca="false">M199+M201+M202+M203+M204+M205+M206+M207</f>
        <v>530.3</v>
      </c>
      <c r="N208" s="59" t="n">
        <f aca="false">N199+N201+N202+N203+N204+N205+N206+N207</f>
        <v>1981.7</v>
      </c>
      <c r="O208" s="59" t="n">
        <f aca="false">O199+O201+O202+O203+O204+O205+O206+O207</f>
        <v>610.8</v>
      </c>
      <c r="P208" s="59" t="n">
        <f aca="false">P199+P201+P202+P203+P204+P205+P206+P207</f>
        <v>695.1</v>
      </c>
      <c r="Q208" s="59" t="n">
        <f aca="false">Q199+Q201+Q202+Q203+Q204+Q205+Q206+Q207</f>
        <v>690.3</v>
      </c>
      <c r="R208" s="59" t="n">
        <f aca="false">R199+R201+R202+R203+R204+R205+R206+R207</f>
        <v>804.7</v>
      </c>
      <c r="S208" s="59" t="n">
        <f aca="false">S199+S201+S202+S203+S204+S205+S206+S207</f>
        <v>2800.9</v>
      </c>
      <c r="T208" s="59" t="n">
        <f aca="false">T199+T201+T202+T203+T204+T205+T206+T207</f>
        <v>655.6</v>
      </c>
      <c r="U208" s="59" t="n">
        <f aca="false">U199+U201+U202+U203+U204+U205+U206+U207</f>
        <v>738.499999999999</v>
      </c>
      <c r="V208" s="59" t="n">
        <f aca="false">V199+V201+V202+V203+V204+V205+V206+V207</f>
        <v>724.5</v>
      </c>
      <c r="W208" s="59" t="n">
        <f aca="false">W199+W201+W202+W203+W204+W205+W206+W207</f>
        <v>852.899999999999</v>
      </c>
      <c r="X208" s="59" t="n">
        <f aca="false">X199+X201+X202+X203+X204+X205+X206+X207</f>
        <v>2971.5</v>
      </c>
      <c r="Y208" s="59" t="n">
        <f aca="false">Y199+Y201+Y202+Y203+Y204+Y205+Y206+Y207</f>
        <v>717.1</v>
      </c>
      <c r="Z208" s="59" t="n">
        <f aca="false">Z199+Z201+Z202+Z203+Z204+Z205+Z206+Z207</f>
        <v>806.5</v>
      </c>
      <c r="AA208" s="59" t="n">
        <f aca="false">AA199+AA201+AA202+AA203+AA204+AA205+AA206+AA207</f>
        <v>808.499999999999</v>
      </c>
      <c r="AB208" s="59" t="n">
        <f aca="false">AB199+AB201+AB202+AB203+AB204+AB205+AB206+AB207</f>
        <v>956.5</v>
      </c>
      <c r="AC208" s="59" t="n">
        <f aca="false">AC199+AC201+AC202+AC203+AC204+AC205+AC206+AC207</f>
        <v>3288.6</v>
      </c>
      <c r="AD208" s="59" t="n">
        <f aca="false">AD199+AD201+AD202+AD203+AD204+AD205+AD206+AD207</f>
        <v>820.200000000001</v>
      </c>
      <c r="AE208" s="59" t="n">
        <f aca="false">AE199+AE201+AE202+AE203+AE204+AE205+AE206+AE207</f>
        <v>902.8</v>
      </c>
      <c r="AF208" s="59" t="n">
        <f aca="false">AF199+AF201+AF202+AF203+AF204+AF205+AF206+AF207</f>
        <v>923.5</v>
      </c>
      <c r="AG208" s="59" t="n">
        <f aca="false">AG199+AG201+AG202+AG203+AG204+AG205+AG206+AG207</f>
        <v>1128</v>
      </c>
      <c r="AH208" s="59" t="n">
        <f aca="false">AH199+AH201+AH202+AH203+AH204+AH205+AH206+AH207</f>
        <v>3775</v>
      </c>
      <c r="AI208" s="59" t="n">
        <f aca="false">AI199+AI201+AI202+AI203+AI204+AI205+AI206+AI207</f>
        <v>1012</v>
      </c>
      <c r="AJ208" s="59" t="n">
        <f aca="false">AJ199+AJ201+AJ202+AJ203+AJ204+AJ205+AJ206+AJ207</f>
        <v>1116</v>
      </c>
      <c r="AK208" s="59" t="n">
        <f aca="false">AK199+AK201+AK202+AK203+AK204+AK205+AK206+AK207</f>
        <v>1066</v>
      </c>
      <c r="AL208" s="59" t="n">
        <f aca="false">AL199+AL201+AL202+AL203+AL204+AL205+AL206+AL207</f>
        <v>1317</v>
      </c>
      <c r="AM208" s="59" t="n">
        <f aca="false">AM199+AM201+AM202+AM203+AM204+AM205+AM206+AM207</f>
        <v>4511</v>
      </c>
      <c r="AN208" s="59" t="n">
        <f aca="false">AN199+AN201+AN202+AN203+AN204+AN205+AN206+AN207</f>
        <v>1133</v>
      </c>
      <c r="AO208" s="59" t="n">
        <f aca="false">AO199+AO201+AO202+AO203+AO204+AO205+AO206+AO207</f>
        <v>1227</v>
      </c>
      <c r="AP208" s="59" t="n">
        <f aca="false">AP199+AP201+AP202+AP203+AP204+AP205+AP206+AP207</f>
        <v>1187</v>
      </c>
      <c r="AQ208" s="59" t="n">
        <f aca="false">AQ199+AQ201+AQ202+AQ203+AQ204+AQ205+AQ206+AQ207</f>
        <v>1428</v>
      </c>
      <c r="AR208" s="59" t="n">
        <f aca="false">AR199+AR201+AR202+AR203+AR204+AR205+AR206+AR207</f>
        <v>4975</v>
      </c>
      <c r="AS208" s="59" t="n">
        <f aca="false">AS199+AS201+AS202+AS203+AS204+AS205+AS206+AS207</f>
        <v>1175</v>
      </c>
      <c r="AT208" s="59" t="n">
        <f aca="false">AT199+AT201+AT202+AT203+AT204+AT205+AT206+AT207</f>
        <v>1550</v>
      </c>
      <c r="AU208" s="59" t="n">
        <f aca="false">AU199+AU201+AU202+AU203+AU204+AU205+AU206+AU207</f>
        <v>2250</v>
      </c>
      <c r="AV208" s="59" t="n">
        <f aca="false">AV199+AV201+AV202+AV203+AV204+AV205+AV206+AV207</f>
        <v>2835</v>
      </c>
      <c r="AW208" s="59" t="n">
        <f aca="false">AW199+AW201+AW202+AW203+AW204+AW205+AW206+AW207</f>
        <v>7810</v>
      </c>
      <c r="AX208" s="59" t="n">
        <f aca="false">AX199+AX201+AX202+AX203+AX204+AX205+AX206+AX207</f>
        <v>2865</v>
      </c>
      <c r="AY208" s="59" t="n">
        <f aca="false">AY199+AY201+AY202+AY203+AY204+AY205+AY206+AY207</f>
        <v>2220</v>
      </c>
      <c r="AZ208" s="59" t="n">
        <f aca="false">AZ199+AZ201+AZ202+AZ203+AZ204+AZ205+AZ206+AZ207</f>
        <v>2289</v>
      </c>
      <c r="BA208" s="59" t="n">
        <f aca="false">BA199+BA201+BA202+BA203+BA204+BA205+BA206+BA207</f>
        <v>2601</v>
      </c>
      <c r="BB208" s="59" t="n">
        <f aca="false">BB199+BB201+BB202+BB203+BB204+BB205+BB206+BB207</f>
        <v>9978</v>
      </c>
      <c r="BC208" s="59" t="n">
        <f aca="false">BC199+BC201+BC202+BC203+BC204+BC205+BC206+BC207</f>
        <v>2861</v>
      </c>
      <c r="BD208" s="59" t="n">
        <f aca="false">BD199+BD201+BD202+BD203+BD204+BD205+BD206+BD207</f>
        <v>2174</v>
      </c>
      <c r="BE208" s="59" t="n">
        <f aca="false">BE199+BE201+BE202+BE203+BE204+BE205+BE206+BE207</f>
        <v>2003</v>
      </c>
      <c r="BF208" s="59" t="n">
        <f aca="false">BF199+BF201+BF202+BF203+BF204+BF205+BF206+BF207</f>
        <v>2121</v>
      </c>
      <c r="BG208" s="59" t="n">
        <f aca="false">BG199+BG201+BG202+BG203+BG204+BG205+BG206+BG207</f>
        <v>9159</v>
      </c>
      <c r="BH208" s="59" t="n">
        <f aca="false">BH199+BH201+BH202+BH203+BH204+BH205+BH206+BH207</f>
        <v>1956</v>
      </c>
      <c r="BI208" s="59" t="n">
        <f aca="false">BI199+BI201+BI202+BI203+BI204+BI205+BI206+BI207</f>
        <v>1997</v>
      </c>
      <c r="BJ208" s="59" t="n">
        <f aca="false">BJ199+BJ201+BJ202+BJ203+BJ204+BJ205+BJ206+BJ207</f>
        <v>2208</v>
      </c>
      <c r="BK208" s="59" t="n">
        <f aca="false">BK199+BK201+BK202+BK203+BK204+BK205+BK206+BK207</f>
        <v>2203</v>
      </c>
      <c r="BL208" s="59" t="n">
        <f aca="false">BL199+BL201+BL202+BL203+BL204+BL205+BL206+BL207</f>
        <v>8364</v>
      </c>
      <c r="BM208" s="59" t="n">
        <f aca="false">BM199+BM201+BM202+BM203+BM204+BM205+BM206+BM207</f>
        <v>1958</v>
      </c>
      <c r="BN208" s="59" t="n">
        <f aca="false">BN199+BN201+BN202+BN203+BN204+BN205+BN206+BN207</f>
        <v>2056</v>
      </c>
      <c r="BO208" s="59" t="n">
        <f aca="false">BO199+BO201+BO202+BO203+BO204+BO205+BO206+BO207</f>
        <v>2027</v>
      </c>
      <c r="BP208" s="59" t="n">
        <f aca="false">BP199+BP201+BP202+BP203+BP204+BP205+BP206+BP207</f>
        <v>2338</v>
      </c>
      <c r="BQ208" s="59" t="n">
        <f aca="false">BQ199+BQ201+BQ202+BQ203+BQ204+BQ205+BQ206+BQ207</f>
        <v>8380</v>
      </c>
      <c r="BR208" s="59" t="n">
        <f aca="false">BR199+BR201+BR202+BR203+BR204+BR205+BR206+BR207</f>
        <v>1950</v>
      </c>
      <c r="BS208" s="59" t="n">
        <f aca="false">BS199+BS201+BS202+BS203+BS204+BS205+BS206+BS207</f>
        <v>2027</v>
      </c>
      <c r="BT208" s="59" t="n">
        <f aca="false">BT199+BT201+BT202+BT203+BT204+BT205+BT206+BT207</f>
        <v>2191</v>
      </c>
      <c r="BU208" s="59" t="n">
        <f aca="false">BU199+BU201+BU202+BU203+BU204+BU205+BU206+BU207</f>
        <v>2474</v>
      </c>
      <c r="BV208" s="59" t="n">
        <f aca="false">BV199+BV201+BV202+BV203+BV204+BV205+BV206+BV207</f>
        <v>8643</v>
      </c>
      <c r="BW208" s="59" t="n">
        <f aca="false">BW199+BW201+BW202+BW203+BW204+BW205+BW206+BW207</f>
        <v>2028</v>
      </c>
      <c r="BX208" s="59" t="n">
        <f aca="false">BX199+BX201+BX202+BX203+BX204+BX205+BX206+BX207</f>
        <v>2240</v>
      </c>
      <c r="BY208" s="59" t="n">
        <f aca="false">BY199+BY201+BY202+BY203+BY204+BY205+BY206+BY207</f>
        <v>2436.50258292613</v>
      </c>
      <c r="BZ208" s="59" t="n">
        <f aca="false">BZ199+BZ201+BZ202+BZ203+BZ204+BZ205+BZ206+BZ207</f>
        <v>2634.50366707387</v>
      </c>
      <c r="CA208" s="59" t="n">
        <f aca="false">CA199+CA201+CA202+CA203+CA204+CA205+CA206+CA207</f>
        <v>9339.00625</v>
      </c>
      <c r="CB208" s="59" t="n">
        <f aca="false">CB199+CB201+CB202+CB203+CB204+CB205+CB206+CB207</f>
        <v>9852.72026235878</v>
      </c>
      <c r="CC208" s="59" t="n">
        <f aca="false">CC199+CC201+CC202+CC203+CC204+CC205+CC206+CC207</f>
        <v>10740.2764961671</v>
      </c>
      <c r="CD208" s="59" t="n">
        <f aca="false">CD199+CD201+CD202+CD203+CD204+CD205+CD206+CD207</f>
        <v>11629.418613708</v>
      </c>
      <c r="CE208" s="59" t="n">
        <f aca="false">CE199+CE201+CE202+CE203+CE204+CE205+CE206+CE207</f>
        <v>12644.4134206854</v>
      </c>
      <c r="CF208" s="21" t="s">
        <v>371</v>
      </c>
      <c r="CH208" s="22" t="n">
        <f aca="false">IFERROR((CE208/BV208)^(1/5)-1,"n/m")</f>
        <v>0.0790630833463133</v>
      </c>
      <c r="CI208" s="22" t="n">
        <f aca="false">IFERROR((BV208/AW208)^(1/5)-1,"n/m")</f>
        <v>0.0204757663885373</v>
      </c>
      <c r="CJ208" s="22" t="n">
        <f aca="false">IFERROR((BV208/X208)^(1/10)-1,"n/m")</f>
        <v>0.112676402902054</v>
      </c>
      <c r="CK208" s="22" t="n">
        <f aca="false">IFERROR((BV208/C208)^(1/19)-1,"n/m")</f>
        <v>0.177494378012876</v>
      </c>
    </row>
    <row r="209" customFormat="false" ht="15" hidden="false" customHeight="false" outlineLevel="0" collapsed="false">
      <c r="B209" s="43" t="s">
        <v>372</v>
      </c>
      <c r="C209" s="37" t="n">
        <v>387.656</v>
      </c>
      <c r="D209" s="37" t="n">
        <v>1177.4</v>
      </c>
      <c r="E209" s="37" t="n">
        <v>1375.3</v>
      </c>
      <c r="F209" s="37" t="n">
        <v>1290.7</v>
      </c>
      <c r="G209" s="37" t="n">
        <v>1462.2</v>
      </c>
      <c r="H209" s="37" t="n">
        <v>1599.7</v>
      </c>
      <c r="I209" s="37" t="n">
        <v>1809.8</v>
      </c>
      <c r="J209" s="37" t="n">
        <v>495.7</v>
      </c>
      <c r="K209" s="37" t="n">
        <v>478.7</v>
      </c>
      <c r="L209" s="37" t="n">
        <v>477</v>
      </c>
      <c r="M209" s="37" t="n">
        <v>530.3</v>
      </c>
      <c r="N209" s="37" t="n">
        <v>1981.7</v>
      </c>
      <c r="O209" s="37" t="n">
        <v>610.8</v>
      </c>
      <c r="P209" s="37" t="n">
        <v>695.1</v>
      </c>
      <c r="Q209" s="37" t="n">
        <v>690.3</v>
      </c>
      <c r="R209" s="37" t="n">
        <v>804.7</v>
      </c>
      <c r="S209" s="37" t="n">
        <v>2800.9</v>
      </c>
      <c r="T209" s="37" t="n">
        <v>655.6</v>
      </c>
      <c r="U209" s="37" t="n">
        <v>738.5</v>
      </c>
      <c r="V209" s="37" t="n">
        <v>724.5</v>
      </c>
      <c r="W209" s="37" t="n">
        <v>852.9</v>
      </c>
      <c r="X209" s="37" t="n">
        <v>2971.5</v>
      </c>
      <c r="Y209" s="37" t="n">
        <v>717.1</v>
      </c>
      <c r="Z209" s="37" t="n">
        <v>806.5</v>
      </c>
      <c r="AA209" s="37" t="n">
        <v>808.5</v>
      </c>
      <c r="AB209" s="37" t="n">
        <v>956.5</v>
      </c>
      <c r="AC209" s="37" t="n">
        <v>3288.6</v>
      </c>
      <c r="AD209" s="37" t="n">
        <v>820.2</v>
      </c>
      <c r="AE209" s="37" t="n">
        <v>902.8</v>
      </c>
      <c r="AF209" s="37" t="n">
        <v>923.5</v>
      </c>
      <c r="AG209" s="37" t="n">
        <v>1128</v>
      </c>
      <c r="AH209" s="37" t="n">
        <v>3775</v>
      </c>
      <c r="AI209" s="37" t="n">
        <v>1012</v>
      </c>
      <c r="AJ209" s="37" t="n">
        <v>1116</v>
      </c>
      <c r="AK209" s="37" t="n">
        <v>1066</v>
      </c>
      <c r="AL209" s="37" t="n">
        <v>1317</v>
      </c>
      <c r="AM209" s="37" t="n">
        <v>4511</v>
      </c>
      <c r="AN209" s="37" t="n">
        <v>1133</v>
      </c>
      <c r="AO209" s="37" t="n">
        <v>1227</v>
      </c>
      <c r="AP209" s="37" t="n">
        <v>1187</v>
      </c>
      <c r="AQ209" s="37" t="n">
        <v>1428</v>
      </c>
      <c r="AR209" s="37" t="n">
        <v>4975</v>
      </c>
      <c r="AS209" s="37" t="n">
        <v>1175</v>
      </c>
      <c r="AT209" s="37" t="n">
        <v>1550</v>
      </c>
      <c r="AU209" s="37" t="n">
        <v>2250</v>
      </c>
      <c r="AV209" s="37" t="n">
        <v>2835</v>
      </c>
      <c r="AW209" s="37" t="n">
        <v>7810</v>
      </c>
      <c r="AX209" s="37" t="n">
        <v>2865</v>
      </c>
      <c r="AY209" s="37" t="n">
        <v>2220</v>
      </c>
      <c r="AZ209" s="37" t="n">
        <v>2289</v>
      </c>
      <c r="BA209" s="37" t="n">
        <v>2601</v>
      </c>
      <c r="BB209" s="37" t="n">
        <v>9978</v>
      </c>
      <c r="BC209" s="37" t="n">
        <v>2861</v>
      </c>
      <c r="BD209" s="37" t="n">
        <v>2174</v>
      </c>
      <c r="BE209" s="37" t="n">
        <v>2003</v>
      </c>
      <c r="BF209" s="37" t="n">
        <v>2121</v>
      </c>
      <c r="BG209" s="37" t="n">
        <v>9159</v>
      </c>
      <c r="BH209" s="37" t="n">
        <v>1956</v>
      </c>
      <c r="BI209" s="37" t="n">
        <v>1997</v>
      </c>
      <c r="BJ209" s="37" t="n">
        <v>2208</v>
      </c>
      <c r="BK209" s="37" t="n">
        <v>2203</v>
      </c>
      <c r="BL209" s="37" t="n">
        <v>8364</v>
      </c>
      <c r="BM209" s="37" t="n">
        <v>1959</v>
      </c>
      <c r="BN209" s="37" t="n">
        <v>2057</v>
      </c>
      <c r="BO209" s="37" t="n">
        <v>2026</v>
      </c>
      <c r="BP209" s="37" t="n">
        <v>2338</v>
      </c>
      <c r="BQ209" s="37" t="n">
        <v>8380</v>
      </c>
      <c r="BR209" s="37" t="n">
        <v>1950</v>
      </c>
      <c r="BS209" s="37" t="n">
        <v>2026</v>
      </c>
      <c r="BT209" s="37" t="n">
        <v>2190</v>
      </c>
      <c r="BU209" s="37" t="n">
        <v>2475</v>
      </c>
      <c r="BV209" s="37" t="n">
        <v>8642</v>
      </c>
      <c r="BW209" s="37" t="n">
        <v>2027</v>
      </c>
      <c r="BX209" s="37" t="n">
        <v>2241</v>
      </c>
      <c r="BY209" s="39"/>
      <c r="BZ209" s="39"/>
      <c r="CA209" s="39"/>
      <c r="CB209" s="39"/>
      <c r="CC209" s="39"/>
      <c r="CD209" s="39"/>
      <c r="CE209" s="39"/>
      <c r="CF209" s="21"/>
    </row>
    <row r="210" customFormat="false" ht="15" hidden="false" customHeight="false" outlineLevel="0" collapsed="false">
      <c r="B210" s="60" t="s">
        <v>350</v>
      </c>
      <c r="C210" s="61" t="n">
        <f aca="false">IF(ISNUMBER(C209),IF(ABS(C208-C209)&lt;=1.001,0,ROUND(C208-C209,1)),"")</f>
        <v>0</v>
      </c>
      <c r="D210" s="61" t="n">
        <f aca="false">IF(ISNUMBER(D209),IF(ABS(D208-D209)&lt;=1.001,0,ROUND(D208-D209,1)),"")</f>
        <v>0</v>
      </c>
      <c r="E210" s="61" t="n">
        <f aca="false">IF(ISNUMBER(E209),IF(ABS(E208-E209)&lt;=1.001,0,ROUND(E208-E209,1)),"")</f>
        <v>0</v>
      </c>
      <c r="F210" s="61" t="n">
        <f aca="false">IF(ISNUMBER(F209),IF(ABS(F208-F209)&lt;=1.001,0,ROUND(F208-F209,1)),"")</f>
        <v>0</v>
      </c>
      <c r="G210" s="61" t="n">
        <f aca="false">IF(ISNUMBER(G209),IF(ABS(G208-G209)&lt;=1.001,0,ROUND(G208-G209,1)),"")</f>
        <v>0</v>
      </c>
      <c r="H210" s="61" t="n">
        <f aca="false">IF(ISNUMBER(H209),IF(ABS(H208-H209)&lt;=1.001,0,ROUND(H208-H209,1)),"")</f>
        <v>0</v>
      </c>
      <c r="I210" s="61" t="n">
        <f aca="false">IF(ISNUMBER(I209),IF(ABS(I208-I209)&lt;=1.001,0,ROUND(I208-I209,1)),"")</f>
        <v>0</v>
      </c>
      <c r="J210" s="61" t="n">
        <f aca="false">IF(ISNUMBER(J209),IF(ABS(J208-J209)&lt;=1.001,0,ROUND(J208-J209,1)),"")</f>
        <v>0</v>
      </c>
      <c r="K210" s="61" t="n">
        <f aca="false">IF(ISNUMBER(K209),IF(ABS(K208-K209)&lt;=1.001,0,ROUND(K208-K209,1)),"")</f>
        <v>0</v>
      </c>
      <c r="L210" s="61" t="n">
        <f aca="false">IF(ISNUMBER(L209),IF(ABS(L208-L209)&lt;=1.001,0,ROUND(L208-L209,1)),"")</f>
        <v>0</v>
      </c>
      <c r="M210" s="61" t="n">
        <f aca="false">IF(ISNUMBER(M209),IF(ABS(M208-M209)&lt;=1.001,0,ROUND(M208-M209,1)),"")</f>
        <v>0</v>
      </c>
      <c r="N210" s="61" t="n">
        <f aca="false">IF(ISNUMBER(N209),IF(ABS(N208-N209)&lt;=1.001,0,ROUND(N208-N209,1)),"")</f>
        <v>0</v>
      </c>
      <c r="O210" s="61" t="n">
        <f aca="false">IF(ISNUMBER(O209),IF(ABS(O208-O209)&lt;=1.001,0,ROUND(O208-O209,1)),"")</f>
        <v>0</v>
      </c>
      <c r="P210" s="61" t="n">
        <f aca="false">IF(ISNUMBER(P209),IF(ABS(P208-P209)&lt;=1.001,0,ROUND(P208-P209,1)),"")</f>
        <v>0</v>
      </c>
      <c r="Q210" s="61" t="n">
        <f aca="false">IF(ISNUMBER(Q209),IF(ABS(Q208-Q209)&lt;=1.001,0,ROUND(Q208-Q209,1)),"")</f>
        <v>0</v>
      </c>
      <c r="R210" s="61" t="n">
        <f aca="false">IF(ISNUMBER(R209),IF(ABS(R208-R209)&lt;=1.001,0,ROUND(R208-R209,1)),"")</f>
        <v>0</v>
      </c>
      <c r="S210" s="61" t="n">
        <f aca="false">IF(ISNUMBER(S209),IF(ABS(S208-S209)&lt;=1.001,0,ROUND(S208-S209,1)),"")</f>
        <v>0</v>
      </c>
      <c r="T210" s="61" t="n">
        <f aca="false">IF(ISNUMBER(T209),IF(ABS(T208-T209)&lt;=1.001,0,ROUND(T208-T209,1)),"")</f>
        <v>0</v>
      </c>
      <c r="U210" s="61" t="n">
        <f aca="false">IF(ISNUMBER(U209),IF(ABS(U208-U209)&lt;=1.001,0,ROUND(U208-U209,1)),"")</f>
        <v>0</v>
      </c>
      <c r="V210" s="61" t="n">
        <f aca="false">IF(ISNUMBER(V209),IF(ABS(V208-V209)&lt;=1.001,0,ROUND(V208-V209,1)),"")</f>
        <v>0</v>
      </c>
      <c r="W210" s="61" t="n">
        <f aca="false">IF(ISNUMBER(W209),IF(ABS(W208-W209)&lt;=1.001,0,ROUND(W208-W209,1)),"")</f>
        <v>0</v>
      </c>
      <c r="X210" s="61" t="n">
        <f aca="false">IF(ISNUMBER(X209),IF(ABS(X208-X209)&lt;=1.001,0,ROUND(X208-X209,1)),"")</f>
        <v>0</v>
      </c>
      <c r="Y210" s="61" t="n">
        <f aca="false">IF(ISNUMBER(Y209),IF(ABS(Y208-Y209)&lt;=1.001,0,ROUND(Y208-Y209,1)),"")</f>
        <v>0</v>
      </c>
      <c r="Z210" s="61" t="n">
        <f aca="false">IF(ISNUMBER(Z209),IF(ABS(Z208-Z209)&lt;=1.001,0,ROUND(Z208-Z209,1)),"")</f>
        <v>0</v>
      </c>
      <c r="AA210" s="61" t="n">
        <f aca="false">IF(ISNUMBER(AA209),IF(ABS(AA208-AA209)&lt;=1.001,0,ROUND(AA208-AA209,1)),"")</f>
        <v>0</v>
      </c>
      <c r="AB210" s="61" t="n">
        <f aca="false">IF(ISNUMBER(AB209),IF(ABS(AB208-AB209)&lt;=1.001,0,ROUND(AB208-AB209,1)),"")</f>
        <v>0</v>
      </c>
      <c r="AC210" s="61" t="n">
        <f aca="false">IF(ISNUMBER(AC209),IF(ABS(AC208-AC209)&lt;=1.001,0,ROUND(AC208-AC209,1)),"")</f>
        <v>0</v>
      </c>
      <c r="AD210" s="61" t="n">
        <f aca="false">IF(ISNUMBER(AD209),IF(ABS(AD208-AD209)&lt;=1.001,0,ROUND(AD208-AD209,1)),"")</f>
        <v>0</v>
      </c>
      <c r="AE210" s="61" t="n">
        <f aca="false">IF(ISNUMBER(AE209),IF(ABS(AE208-AE209)&lt;=1.001,0,ROUND(AE208-AE209,1)),"")</f>
        <v>0</v>
      </c>
      <c r="AF210" s="61" t="n">
        <f aca="false">IF(ISNUMBER(AF209),IF(ABS(AF208-AF209)&lt;=1.001,0,ROUND(AF208-AF209,1)),"")</f>
        <v>0</v>
      </c>
      <c r="AG210" s="61" t="n">
        <f aca="false">IF(ISNUMBER(AG209),IF(ABS(AG208-AG209)&lt;=1.001,0,ROUND(AG208-AG209,1)),"")</f>
        <v>0</v>
      </c>
      <c r="AH210" s="61" t="n">
        <f aca="false">IF(ISNUMBER(AH209),IF(ABS(AH208-AH209)&lt;=1.001,0,ROUND(AH208-AH209,1)),"")</f>
        <v>0</v>
      </c>
      <c r="AI210" s="61" t="n">
        <f aca="false">IF(ISNUMBER(AI209),IF(ABS(AI208-AI209)&lt;=1.001,0,ROUND(AI208-AI209,1)),"")</f>
        <v>0</v>
      </c>
      <c r="AJ210" s="61" t="n">
        <f aca="false">IF(ISNUMBER(AJ209),IF(ABS(AJ208-AJ209)&lt;=1.001,0,ROUND(AJ208-AJ209,1)),"")</f>
        <v>0</v>
      </c>
      <c r="AK210" s="61" t="n">
        <f aca="false">IF(ISNUMBER(AK209),IF(ABS(AK208-AK209)&lt;=1.001,0,ROUND(AK208-AK209,1)),"")</f>
        <v>0</v>
      </c>
      <c r="AL210" s="61" t="n">
        <f aca="false">IF(ISNUMBER(AL209),IF(ABS(AL208-AL209)&lt;=1.001,0,ROUND(AL208-AL209,1)),"")</f>
        <v>0</v>
      </c>
      <c r="AM210" s="61" t="n">
        <f aca="false">IF(ISNUMBER(AM209),IF(ABS(AM208-AM209)&lt;=1.001,0,ROUND(AM208-AM209,1)),"")</f>
        <v>0</v>
      </c>
      <c r="AN210" s="61" t="n">
        <f aca="false">IF(ISNUMBER(AN209),IF(ABS(AN208-AN209)&lt;=1.001,0,ROUND(AN208-AN209,1)),"")</f>
        <v>0</v>
      </c>
      <c r="AO210" s="61" t="n">
        <f aca="false">IF(ISNUMBER(AO209),IF(ABS(AO208-AO209)&lt;=1.001,0,ROUND(AO208-AO209,1)),"")</f>
        <v>0</v>
      </c>
      <c r="AP210" s="61" t="n">
        <f aca="false">IF(ISNUMBER(AP209),IF(ABS(AP208-AP209)&lt;=1.001,0,ROUND(AP208-AP209,1)),"")</f>
        <v>0</v>
      </c>
      <c r="AQ210" s="61" t="n">
        <f aca="false">IF(ISNUMBER(AQ209),IF(ABS(AQ208-AQ209)&lt;=1.001,0,ROUND(AQ208-AQ209,1)),"")</f>
        <v>0</v>
      </c>
      <c r="AR210" s="61" t="n">
        <f aca="false">IF(ISNUMBER(AR209),IF(ABS(AR208-AR209)&lt;=1.001,0,ROUND(AR208-AR209,1)),"")</f>
        <v>0</v>
      </c>
      <c r="AS210" s="61" t="n">
        <f aca="false">IF(ISNUMBER(AS209),IF(ABS(AS208-AS209)&lt;=1.001,0,ROUND(AS208-AS209,1)),"")</f>
        <v>0</v>
      </c>
      <c r="AT210" s="61" t="n">
        <f aca="false">IF(ISNUMBER(AT209),IF(ABS(AT208-AT209)&lt;=1.001,0,ROUND(AT208-AT209,1)),"")</f>
        <v>0</v>
      </c>
      <c r="AU210" s="61" t="n">
        <f aca="false">IF(ISNUMBER(AU209),IF(ABS(AU208-AU209)&lt;=1.001,0,ROUND(AU208-AU209,1)),"")</f>
        <v>0</v>
      </c>
      <c r="AV210" s="61" t="n">
        <f aca="false">IF(ISNUMBER(AV209),IF(ABS(AV208-AV209)&lt;=1.001,0,ROUND(AV208-AV209,1)),"")</f>
        <v>0</v>
      </c>
      <c r="AW210" s="61" t="n">
        <f aca="false">IF(ISNUMBER(AW209),IF(ABS(AW208-AW209)&lt;=1.001,0,ROUND(AW208-AW209,1)),"")</f>
        <v>0</v>
      </c>
      <c r="AX210" s="61" t="n">
        <f aca="false">IF(ISNUMBER(AX209),IF(ABS(AX208-AX209)&lt;=1.001,0,ROUND(AX208-AX209,1)),"")</f>
        <v>0</v>
      </c>
      <c r="AY210" s="61" t="n">
        <f aca="false">IF(ISNUMBER(AY209),IF(ABS(AY208-AY209)&lt;=1.001,0,ROUND(AY208-AY209,1)),"")</f>
        <v>0</v>
      </c>
      <c r="AZ210" s="61" t="n">
        <f aca="false">IF(ISNUMBER(AZ209),IF(ABS(AZ208-AZ209)&lt;=1.001,0,ROUND(AZ208-AZ209,1)),"")</f>
        <v>0</v>
      </c>
      <c r="BA210" s="61" t="n">
        <f aca="false">IF(ISNUMBER(BA209),IF(ABS(BA208-BA209)&lt;=1.001,0,ROUND(BA208-BA209,1)),"")</f>
        <v>0</v>
      </c>
      <c r="BB210" s="61" t="n">
        <f aca="false">IF(ISNUMBER(BB209),IF(ABS(BB208-BB209)&lt;=1.001,0,ROUND(BB208-BB209,1)),"")</f>
        <v>0</v>
      </c>
      <c r="BC210" s="61" t="n">
        <f aca="false">IF(ISNUMBER(BC209),IF(ABS(BC208-BC209)&lt;=1.001,0,ROUND(BC208-BC209,1)),"")</f>
        <v>0</v>
      </c>
      <c r="BD210" s="61" t="n">
        <f aca="false">IF(ISNUMBER(BD209),IF(ABS(BD208-BD209)&lt;=1.001,0,ROUND(BD208-BD209,1)),"")</f>
        <v>0</v>
      </c>
      <c r="BE210" s="61" t="n">
        <f aca="false">IF(ISNUMBER(BE209),IF(ABS(BE208-BE209)&lt;=1.001,0,ROUND(BE208-BE209,1)),"")</f>
        <v>0</v>
      </c>
      <c r="BF210" s="61" t="n">
        <f aca="false">IF(ISNUMBER(BF209),IF(ABS(BF208-BF209)&lt;=1.001,0,ROUND(BF208-BF209,1)),"")</f>
        <v>0</v>
      </c>
      <c r="BG210" s="61" t="n">
        <f aca="false">IF(ISNUMBER(BG209),IF(ABS(BG208-BG209)&lt;=1.001,0,ROUND(BG208-BG209,1)),"")</f>
        <v>0</v>
      </c>
      <c r="BH210" s="61" t="n">
        <f aca="false">IF(ISNUMBER(BH209),IF(ABS(BH208-BH209)&lt;=1.001,0,ROUND(BH208-BH209,1)),"")</f>
        <v>0</v>
      </c>
      <c r="BI210" s="61" t="n">
        <f aca="false">IF(ISNUMBER(BI209),IF(ABS(BI208-BI209)&lt;=1.001,0,ROUND(BI208-BI209,1)),"")</f>
        <v>0</v>
      </c>
      <c r="BJ210" s="61" t="n">
        <f aca="false">IF(ISNUMBER(BJ209),IF(ABS(BJ208-BJ209)&lt;=1.001,0,ROUND(BJ208-BJ209,1)),"")</f>
        <v>0</v>
      </c>
      <c r="BK210" s="61" t="n">
        <f aca="false">IF(ISNUMBER(BK209),IF(ABS(BK208-BK209)&lt;=1.001,0,ROUND(BK208-BK209,1)),"")</f>
        <v>0</v>
      </c>
      <c r="BL210" s="61" t="n">
        <f aca="false">IF(ISNUMBER(BL209),IF(ABS(BL208-BL209)&lt;=1.001,0,ROUND(BL208-BL209,1)),"")</f>
        <v>0</v>
      </c>
      <c r="BM210" s="61" t="n">
        <f aca="false">IF(ISNUMBER(BM209),IF(ABS(BM208-BM209)&lt;=1.001,0,ROUND(BM208-BM209,1)),"")</f>
        <v>0</v>
      </c>
      <c r="BN210" s="61" t="n">
        <f aca="false">IF(ISNUMBER(BN209),IF(ABS(BN208-BN209)&lt;=1.001,0,ROUND(BN208-BN209,1)),"")</f>
        <v>0</v>
      </c>
      <c r="BO210" s="61" t="n">
        <f aca="false">IF(ISNUMBER(BO209),IF(ABS(BO208-BO209)&lt;=1.001,0,ROUND(BO208-BO209,1)),"")</f>
        <v>0</v>
      </c>
      <c r="BP210" s="61" t="n">
        <f aca="false">IF(ISNUMBER(BP209),IF(ABS(BP208-BP209)&lt;=1.001,0,ROUND(BP208-BP209,1)),"")</f>
        <v>0</v>
      </c>
      <c r="BQ210" s="61" t="n">
        <f aca="false">IF(ISNUMBER(BQ209),IF(ABS(BQ208-BQ209)&lt;=1.001,0,ROUND(BQ208-BQ209,1)),"")</f>
        <v>0</v>
      </c>
      <c r="BR210" s="61" t="n">
        <f aca="false">IF(ISNUMBER(BR209),IF(ABS(BR208-BR209)&lt;=1.001,0,ROUND(BR208-BR209,1)),"")</f>
        <v>0</v>
      </c>
      <c r="BS210" s="61" t="n">
        <f aca="false">IF(ISNUMBER(BS209),IF(ABS(BS208-BS209)&lt;=1.001,0,ROUND(BS208-BS209,1)),"")</f>
        <v>0</v>
      </c>
      <c r="BT210" s="61" t="n">
        <f aca="false">IF(ISNUMBER(BT209),IF(ABS(BT208-BT209)&lt;=1.001,0,ROUND(BT208-BT209,1)),"")</f>
        <v>0</v>
      </c>
      <c r="BU210" s="61" t="n">
        <f aca="false">IF(ISNUMBER(BU209),IF(ABS(BU208-BU209)&lt;=1.001,0,ROUND(BU208-BU209,1)),"")</f>
        <v>0</v>
      </c>
      <c r="BV210" s="61" t="n">
        <f aca="false">IF(ISNUMBER(BV209),IF(ABS(BV208-BV209)&lt;=1.001,0,ROUND(BV208-BV209,1)),"")</f>
        <v>0</v>
      </c>
      <c r="BW210" s="61" t="n">
        <f aca="false">IF(ISNUMBER(BW209),IF(ABS(BW208-BW209)&lt;=1.001,0,ROUND(BW208-BW209,1)),"")</f>
        <v>0</v>
      </c>
      <c r="BX210" s="61" t="n">
        <f aca="false">IF(ISNUMBER(BX209),IF(ABS(BX208-BX209)&lt;=1.001,0,ROUND(BX208-BX209,1)),"")</f>
        <v>0</v>
      </c>
      <c r="BY210" s="39"/>
      <c r="BZ210" s="39"/>
      <c r="CA210" s="39"/>
      <c r="CB210" s="39"/>
      <c r="CC210" s="39"/>
      <c r="CD210" s="39"/>
      <c r="CE210" s="39"/>
      <c r="CF210" s="21"/>
    </row>
    <row r="211" customFormat="false" ht="15" hidden="false" customHeight="false" outlineLevel="0" collapsed="false">
      <c r="B211" s="23" t="s">
        <v>325</v>
      </c>
      <c r="C211" s="73" t="n">
        <f aca="false">C168</f>
        <v>203.672</v>
      </c>
      <c r="D211" s="73" t="n">
        <f aca="false">D168</f>
        <v>443.7</v>
      </c>
      <c r="E211" s="73" t="n">
        <f aca="false">E168</f>
        <v>434.8</v>
      </c>
      <c r="F211" s="73" t="n">
        <f aca="false">F168</f>
        <v>422.8</v>
      </c>
      <c r="G211" s="73" t="n">
        <f aca="false">G168</f>
        <v>409.4</v>
      </c>
      <c r="H211" s="73" t="n">
        <f aca="false">H168</f>
        <v>384.8</v>
      </c>
      <c r="I211" s="73" t="n">
        <f aca="false">I168</f>
        <v>366.6</v>
      </c>
      <c r="J211" s="73" t="n">
        <f aca="false">J168</f>
        <v>361.7</v>
      </c>
      <c r="K211" s="73" t="n">
        <f aca="false">K168</f>
        <v>363.5</v>
      </c>
      <c r="L211" s="73" t="n">
        <f aca="false">L168</f>
        <v>367.3</v>
      </c>
      <c r="M211" s="73" t="n">
        <f aca="false">M168</f>
        <v>370.9</v>
      </c>
      <c r="N211" s="73" t="n">
        <f aca="false">N168</f>
        <v>365.8</v>
      </c>
      <c r="O211" s="73" t="n">
        <f aca="false">O168</f>
        <v>398.4</v>
      </c>
      <c r="P211" s="73" t="n">
        <f aca="false">P168</f>
        <v>403.1</v>
      </c>
      <c r="Q211" s="73" t="n">
        <f aca="false">Q168</f>
        <v>403.7</v>
      </c>
      <c r="R211" s="73" t="n">
        <f aca="false">R168</f>
        <v>404.1</v>
      </c>
      <c r="S211" s="73" t="n">
        <f aca="false">S168</f>
        <v>402.3</v>
      </c>
      <c r="T211" s="73" t="n">
        <f aca="false">T168</f>
        <v>401.4</v>
      </c>
      <c r="U211" s="73" t="n">
        <f aca="false">U168</f>
        <v>401.5</v>
      </c>
      <c r="V211" s="73" t="n">
        <f aca="false">V168</f>
        <v>402</v>
      </c>
      <c r="W211" s="73" t="n">
        <f aca="false">W168</f>
        <v>402.4</v>
      </c>
      <c r="X211" s="73" t="n">
        <f aca="false">X168</f>
        <v>401.9</v>
      </c>
      <c r="Y211" s="73" t="n">
        <f aca="false">Y168</f>
        <v>398.7</v>
      </c>
      <c r="Z211" s="73" t="n">
        <f aca="false">Z168</f>
        <v>396.7</v>
      </c>
      <c r="AA211" s="73" t="n">
        <f aca="false">AA168</f>
        <v>397.4</v>
      </c>
      <c r="AB211" s="73" t="n">
        <f aca="false">AB168</f>
        <v>397</v>
      </c>
      <c r="AC211" s="73" t="n">
        <f aca="false">AC168</f>
        <v>397.4</v>
      </c>
      <c r="AD211" s="73" t="n">
        <f aca="false">AD168</f>
        <v>394.1</v>
      </c>
      <c r="AE211" s="73" t="n">
        <f aca="false">AE168</f>
        <v>393.3</v>
      </c>
      <c r="AF211" s="73" t="n">
        <f aca="false">AF168</f>
        <v>399.6</v>
      </c>
      <c r="AG211" s="73" t="n">
        <f aca="false">AG168</f>
        <v>405</v>
      </c>
      <c r="AH211" s="73" t="n">
        <f aca="false">AH168</f>
        <v>398</v>
      </c>
      <c r="AI211" s="73" t="n">
        <f aca="false">AI168</f>
        <v>406</v>
      </c>
      <c r="AJ211" s="73" t="n">
        <f aca="false">AJ168</f>
        <v>406</v>
      </c>
      <c r="AK211" s="73" t="n">
        <f aca="false">AK168</f>
        <v>406</v>
      </c>
      <c r="AL211" s="73" t="n">
        <f aca="false">AL168</f>
        <v>405</v>
      </c>
      <c r="AM211" s="73" t="n">
        <f aca="false">AM168</f>
        <v>406</v>
      </c>
      <c r="AN211" s="73" t="n">
        <f aca="false">AN168</f>
        <v>403</v>
      </c>
      <c r="AO211" s="73" t="n">
        <f aca="false">AO168</f>
        <v>403</v>
      </c>
      <c r="AP211" s="73" t="n">
        <f aca="false">AP168</f>
        <v>404</v>
      </c>
      <c r="AQ211" s="73" t="n">
        <f aca="false">AQ168</f>
        <v>402</v>
      </c>
      <c r="AR211" s="73" t="n">
        <f aca="false">AR168</f>
        <v>403</v>
      </c>
      <c r="AS211" s="73" t="n">
        <f aca="false">AS168</f>
        <v>400</v>
      </c>
      <c r="AT211" s="73" t="n">
        <f aca="false">AT168</f>
        <v>398</v>
      </c>
      <c r="AU211" s="73" t="n">
        <f aca="false">AU168</f>
        <v>399</v>
      </c>
      <c r="AV211" s="73" t="n">
        <f aca="false">AV168</f>
        <v>400</v>
      </c>
      <c r="AW211" s="73" t="n">
        <f aca="false">AW168</f>
        <v>399</v>
      </c>
      <c r="AX211" s="73" t="n">
        <f aca="false">AX168</f>
        <v>397</v>
      </c>
      <c r="AY211" s="73" t="n">
        <f aca="false">AY168</f>
        <v>396</v>
      </c>
      <c r="AZ211" s="73" t="n">
        <f aca="false">AZ168</f>
        <v>397</v>
      </c>
      <c r="BA211" s="73" t="n">
        <f aca="false">BA168</f>
        <v>398</v>
      </c>
      <c r="BB211" s="73" t="n">
        <f aca="false">BB168</f>
        <v>397</v>
      </c>
      <c r="BC211" s="73" t="n">
        <f aca="false">BC168</f>
        <v>395</v>
      </c>
      <c r="BD211" s="73" t="n">
        <f aca="false">BD168</f>
        <v>394</v>
      </c>
      <c r="BE211" s="73" t="n">
        <f aca="false">BE168</f>
        <v>395</v>
      </c>
      <c r="BF211" s="73" t="n">
        <f aca="false">BF168</f>
        <v>393</v>
      </c>
      <c r="BG211" s="73" t="n">
        <f aca="false">BG168</f>
        <v>394</v>
      </c>
      <c r="BH211" s="73" t="n">
        <f aca="false">BH168</f>
        <v>388</v>
      </c>
      <c r="BI211" s="73" t="n">
        <f aca="false">BI168</f>
        <v>388</v>
      </c>
      <c r="BJ211" s="73" t="n">
        <f aca="false">BJ168</f>
        <v>388</v>
      </c>
      <c r="BK211" s="73" t="n">
        <f aca="false">BK168</f>
        <v>388</v>
      </c>
      <c r="BL211" s="73" t="n">
        <f aca="false">BL168</f>
        <v>388</v>
      </c>
      <c r="BM211" s="73" t="n">
        <f aca="false">BM168</f>
        <v>384</v>
      </c>
      <c r="BN211" s="73" t="n">
        <f aca="false">BN168</f>
        <v>383</v>
      </c>
      <c r="BO211" s="73" t="n">
        <f aca="false">BO168</f>
        <v>384</v>
      </c>
      <c r="BP211" s="73" t="n">
        <f aca="false">BP168</f>
        <v>383</v>
      </c>
      <c r="BQ211" s="73" t="n">
        <f aca="false">BQ168</f>
        <v>383</v>
      </c>
      <c r="BR211" s="73" t="n">
        <f aca="false">BR168</f>
        <v>379</v>
      </c>
      <c r="BS211" s="73" t="n">
        <f aca="false">BS168</f>
        <v>378</v>
      </c>
      <c r="BT211" s="73" t="n">
        <f aca="false">BT168</f>
        <v>378</v>
      </c>
      <c r="BU211" s="73" t="n">
        <f aca="false">BU168</f>
        <v>377</v>
      </c>
      <c r="BV211" s="73" t="n">
        <f aca="false">BV168</f>
        <v>378</v>
      </c>
      <c r="BW211" s="73" t="n">
        <f aca="false">BW168</f>
        <v>373</v>
      </c>
      <c r="BX211" s="73" t="n">
        <f aca="false">BX168</f>
        <v>371</v>
      </c>
      <c r="BY211" s="57" t="n">
        <f aca="false">BY168</f>
        <v>371</v>
      </c>
      <c r="BZ211" s="57" t="n">
        <f aca="false">BZ168</f>
        <v>371</v>
      </c>
      <c r="CA211" s="57" t="n">
        <f aca="false">CA168</f>
        <v>371.5</v>
      </c>
      <c r="CB211" s="57" t="n">
        <f aca="false">CB168</f>
        <v>369.028232787657</v>
      </c>
      <c r="CC211" s="57" t="n">
        <f aca="false">CC168</f>
        <v>362.732205654702</v>
      </c>
      <c r="CD211" s="57" t="n">
        <f aca="false">CD168</f>
        <v>354.337202434538</v>
      </c>
      <c r="CE211" s="57" t="n">
        <f aca="false">CE168</f>
        <v>345.471984967386</v>
      </c>
      <c r="CF211" s="21"/>
    </row>
    <row r="212" customFormat="false" ht="15" hidden="false" customHeight="false" outlineLevel="0" collapsed="false">
      <c r="B212" s="58" t="s">
        <v>373</v>
      </c>
      <c r="C212" s="74" t="n">
        <f aca="false">IF(AND(ISNUMBER(C208),ISNUMBER(C211)),C208/C211,"")</f>
        <v>1.90333477355749</v>
      </c>
      <c r="D212" s="74" t="n">
        <f aca="false">IF(AND(ISNUMBER(D208),ISNUMBER(D211)),D208/D211,"")</f>
        <v>2.65359477124183</v>
      </c>
      <c r="E212" s="74" t="n">
        <f aca="false">IF(AND(ISNUMBER(E208),ISNUMBER(E211)),E208/E211,"")</f>
        <v>3.1630634774609</v>
      </c>
      <c r="F212" s="74" t="n">
        <f aca="false">IF(AND(ISNUMBER(F208),ISNUMBER(F211)),F208/F211,"")</f>
        <v>3.0527436140019</v>
      </c>
      <c r="G212" s="74" t="n">
        <f aca="false">IF(AND(ISNUMBER(G208),ISNUMBER(G211)),G208/G211,"")</f>
        <v>3.57156814851001</v>
      </c>
      <c r="H212" s="74" t="n">
        <f aca="false">IF(AND(ISNUMBER(H208),ISNUMBER(H211)),H208/H211,"")</f>
        <v>4.15722453222454</v>
      </c>
      <c r="I212" s="74" t="n">
        <f aca="false">IF(AND(ISNUMBER(I208),ISNUMBER(I211)),I208/I211,"")</f>
        <v>4.936715766503</v>
      </c>
      <c r="J212" s="74" t="n">
        <f aca="false">IF(AND(ISNUMBER(J208),ISNUMBER(J211)),J208/J211,"")</f>
        <v>1.37047276748687</v>
      </c>
      <c r="K212" s="74" t="n">
        <f aca="false">IF(AND(ISNUMBER(K208),ISNUMBER(K211)),K208/K211,"")</f>
        <v>1.31691884456671</v>
      </c>
      <c r="L212" s="74" t="n">
        <f aca="false">IF(AND(ISNUMBER(L208),ISNUMBER(L211)),L208/L211,"")</f>
        <v>1.29866594064797</v>
      </c>
      <c r="M212" s="74" t="n">
        <f aca="false">IF(AND(ISNUMBER(M208),ISNUMBER(M211)),M208/M211,"")</f>
        <v>1.42976543542734</v>
      </c>
      <c r="N212" s="74" t="n">
        <f aca="false">IF(AND(ISNUMBER(N208),ISNUMBER(N211)),N208/N211,"")</f>
        <v>5.41744122471296</v>
      </c>
      <c r="O212" s="74" t="n">
        <f aca="false">IF(AND(ISNUMBER(O208),ISNUMBER(O211)),O208/O211,"")</f>
        <v>1.53313253012048</v>
      </c>
      <c r="P212" s="74" t="n">
        <f aca="false">IF(AND(ISNUMBER(P208),ISNUMBER(P211)),P208/P211,"")</f>
        <v>1.72438600843463</v>
      </c>
      <c r="Q212" s="74" t="n">
        <f aca="false">IF(AND(ISNUMBER(Q208),ISNUMBER(Q211)),Q208/Q211,"")</f>
        <v>1.70993311865246</v>
      </c>
      <c r="R212" s="74" t="n">
        <f aca="false">IF(AND(ISNUMBER(R208),ISNUMBER(R211)),R208/R211,"")</f>
        <v>1.99133877753031</v>
      </c>
      <c r="S212" s="74" t="n">
        <f aca="false">IF(AND(ISNUMBER(S208),ISNUMBER(S211)),S208/S211,"")</f>
        <v>6.96221725080785</v>
      </c>
      <c r="T212" s="74" t="n">
        <f aca="false">IF(AND(ISNUMBER(T208),ISNUMBER(T211)),T208/T211,"")</f>
        <v>1.63328350772297</v>
      </c>
      <c r="U212" s="74" t="n">
        <f aca="false">IF(AND(ISNUMBER(U208),ISNUMBER(U211)),U208/U211,"")</f>
        <v>1.83935242839352</v>
      </c>
      <c r="V212" s="74" t="n">
        <f aca="false">IF(AND(ISNUMBER(V208),ISNUMBER(V211)),V208/V211,"")</f>
        <v>1.80223880597015</v>
      </c>
      <c r="W212" s="74" t="n">
        <f aca="false">IF(AND(ISNUMBER(W208),ISNUMBER(W211)),W208/W211,"")</f>
        <v>2.11953280318091</v>
      </c>
      <c r="X212" s="74" t="n">
        <f aca="false">IF(AND(ISNUMBER(X208),ISNUMBER(X211)),X208/X211,"")</f>
        <v>7.39363025628266</v>
      </c>
      <c r="Y212" s="74" t="n">
        <f aca="false">IF(AND(ISNUMBER(Y208),ISNUMBER(Y211)),Y208/Y211,"")</f>
        <v>1.79859543516428</v>
      </c>
      <c r="Z212" s="74" t="n">
        <f aca="false">IF(AND(ISNUMBER(Z208),ISNUMBER(Z211)),Z208/Z211,"")</f>
        <v>2.03302243508949</v>
      </c>
      <c r="AA212" s="74" t="n">
        <f aca="false">IF(AND(ISNUMBER(AA208),ISNUMBER(AA211)),AA208/AA211,"")</f>
        <v>2.03447408152994</v>
      </c>
      <c r="AB212" s="74" t="n">
        <f aca="false">IF(AND(ISNUMBER(AB208),ISNUMBER(AB211)),AB208/AB211,"")</f>
        <v>2.40931989924433</v>
      </c>
      <c r="AC212" s="74" t="n">
        <f aca="false">IF(AND(ISNUMBER(AC208),ISNUMBER(AC211)),AC208/AC211,"")</f>
        <v>8.27528938097634</v>
      </c>
      <c r="AD212" s="74" t="n">
        <f aca="false">IF(AND(ISNUMBER(AD208),ISNUMBER(AD211)),AD208/AD211,"")</f>
        <v>2.08119766556712</v>
      </c>
      <c r="AE212" s="74" t="n">
        <f aca="false">IF(AND(ISNUMBER(AE208),ISNUMBER(AE211)),AE208/AE211,"")</f>
        <v>2.29544876684465</v>
      </c>
      <c r="AF212" s="74" t="n">
        <f aca="false">IF(AND(ISNUMBER(AF208),ISNUMBER(AF211)),AF208/AF211,"")</f>
        <v>2.31106106106106</v>
      </c>
      <c r="AG212" s="74" t="n">
        <f aca="false">IF(AND(ISNUMBER(AG208),ISNUMBER(AG211)),AG208/AG211,"")</f>
        <v>2.78518518518519</v>
      </c>
      <c r="AH212" s="74" t="n">
        <f aca="false">IF(AND(ISNUMBER(AH208),ISNUMBER(AH211)),AH208/AH211,"")</f>
        <v>9.48492462311558</v>
      </c>
      <c r="AI212" s="74" t="n">
        <f aca="false">IF(AND(ISNUMBER(AI208),ISNUMBER(AI211)),AI208/AI211,"")</f>
        <v>2.49261083743842</v>
      </c>
      <c r="AJ212" s="74" t="n">
        <f aca="false">IF(AND(ISNUMBER(AJ208),ISNUMBER(AJ211)),AJ208/AJ211,"")</f>
        <v>2.7487684729064</v>
      </c>
      <c r="AK212" s="74" t="n">
        <f aca="false">IF(AND(ISNUMBER(AK208),ISNUMBER(AK211)),AK208/AK211,"")</f>
        <v>2.6256157635468</v>
      </c>
      <c r="AL212" s="74" t="n">
        <f aca="false">IF(AND(ISNUMBER(AL208),ISNUMBER(AL211)),AL208/AL211,"")</f>
        <v>3.25185185185185</v>
      </c>
      <c r="AM212" s="74" t="n">
        <f aca="false">IF(AND(ISNUMBER(AM208),ISNUMBER(AM211)),AM208/AM211,"")</f>
        <v>11.1108374384236</v>
      </c>
      <c r="AN212" s="74" t="n">
        <f aca="false">IF(AND(ISNUMBER(AN208),ISNUMBER(AN211)),AN208/AN211,"")</f>
        <v>2.81141439205955</v>
      </c>
      <c r="AO212" s="74" t="n">
        <f aca="false">IF(AND(ISNUMBER(AO208),ISNUMBER(AO211)),AO208/AO211,"")</f>
        <v>3.04466501240695</v>
      </c>
      <c r="AP212" s="74" t="n">
        <f aca="false">IF(AND(ISNUMBER(AP208),ISNUMBER(AP211)),AP208/AP211,"")</f>
        <v>2.93811881188119</v>
      </c>
      <c r="AQ212" s="74" t="n">
        <f aca="false">IF(AND(ISNUMBER(AQ208),ISNUMBER(AQ211)),AQ208/AQ211,"")</f>
        <v>3.55223880597015</v>
      </c>
      <c r="AR212" s="74" t="n">
        <f aca="false">IF(AND(ISNUMBER(AR208),ISNUMBER(AR211)),AR208/AR211,"")</f>
        <v>12.3449131513648</v>
      </c>
      <c r="AS212" s="74" t="n">
        <f aca="false">IF(AND(ISNUMBER(AS208),ISNUMBER(AS211)),AS208/AS211,"")</f>
        <v>2.9375</v>
      </c>
      <c r="AT212" s="74" t="n">
        <f aca="false">IF(AND(ISNUMBER(AT208),ISNUMBER(AT211)),AT208/AT211,"")</f>
        <v>3.89447236180905</v>
      </c>
      <c r="AU212" s="74" t="n">
        <f aca="false">IF(AND(ISNUMBER(AU208),ISNUMBER(AU211)),AU208/AU211,"")</f>
        <v>5.6390977443609</v>
      </c>
      <c r="AV212" s="74" t="n">
        <f aca="false">IF(AND(ISNUMBER(AV208),ISNUMBER(AV211)),AV208/AV211,"")</f>
        <v>7.0875</v>
      </c>
      <c r="AW212" s="74" t="n">
        <f aca="false">IF(AND(ISNUMBER(AW208),ISNUMBER(AW211)),AW208/AW211,"")</f>
        <v>19.5739348370927</v>
      </c>
      <c r="AX212" s="74" t="n">
        <f aca="false">IF(AND(ISNUMBER(AX208),ISNUMBER(AX211)),AX208/AX211,"")</f>
        <v>7.21662468513854</v>
      </c>
      <c r="AY212" s="74" t="n">
        <f aca="false">IF(AND(ISNUMBER(AY208),ISNUMBER(AY211)),AY208/AY211,"")</f>
        <v>5.60606060606061</v>
      </c>
      <c r="AZ212" s="74" t="n">
        <f aca="false">IF(AND(ISNUMBER(AZ208),ISNUMBER(AZ211)),AZ208/AZ211,"")</f>
        <v>5.76574307304786</v>
      </c>
      <c r="BA212" s="74" t="n">
        <f aca="false">IF(AND(ISNUMBER(BA208),ISNUMBER(BA211)),BA208/BA211,"")</f>
        <v>6.53517587939699</v>
      </c>
      <c r="BB212" s="74" t="n">
        <f aca="false">IF(AND(ISNUMBER(BB208),ISNUMBER(BB211)),BB208/BB211,"")</f>
        <v>25.1335012594458</v>
      </c>
      <c r="BC212" s="74" t="n">
        <f aca="false">IF(AND(ISNUMBER(BC208),ISNUMBER(BC211)),BC208/BC211,"")</f>
        <v>7.24303797468355</v>
      </c>
      <c r="BD212" s="74" t="n">
        <f aca="false">IF(AND(ISNUMBER(BD208),ISNUMBER(BD211)),BD208/BD211,"")</f>
        <v>5.51776649746193</v>
      </c>
      <c r="BE212" s="74" t="n">
        <f aca="false">IF(AND(ISNUMBER(BE208),ISNUMBER(BE211)),BE208/BE211,"")</f>
        <v>5.07088607594937</v>
      </c>
      <c r="BF212" s="74" t="n">
        <f aca="false">IF(AND(ISNUMBER(BF208),ISNUMBER(BF211)),BF208/BF211,"")</f>
        <v>5.3969465648855</v>
      </c>
      <c r="BG212" s="74" t="n">
        <f aca="false">IF(AND(ISNUMBER(BG208),ISNUMBER(BG211)),BG208/BG211,"")</f>
        <v>23.246192893401</v>
      </c>
      <c r="BH212" s="74" t="n">
        <f aca="false">IF(AND(ISNUMBER(BH208),ISNUMBER(BH211)),BH208/BH211,"")</f>
        <v>5.04123711340206</v>
      </c>
      <c r="BI212" s="74" t="n">
        <f aca="false">IF(AND(ISNUMBER(BI208),ISNUMBER(BI211)),BI208/BI211,"")</f>
        <v>5.14690721649485</v>
      </c>
      <c r="BJ212" s="74" t="n">
        <f aca="false">IF(AND(ISNUMBER(BJ208),ISNUMBER(BJ211)),BJ208/BJ211,"")</f>
        <v>5.69072164948454</v>
      </c>
      <c r="BK212" s="74" t="n">
        <f aca="false">IF(AND(ISNUMBER(BK208),ISNUMBER(BK211)),BK208/BK211,"")</f>
        <v>5.67783505154639</v>
      </c>
      <c r="BL212" s="74" t="n">
        <f aca="false">IF(AND(ISNUMBER(BL208),ISNUMBER(BL211)),BL208/BL211,"")</f>
        <v>21.5567010309278</v>
      </c>
      <c r="BM212" s="74" t="n">
        <f aca="false">IF(AND(ISNUMBER(BM208),ISNUMBER(BM211)),BM208/BM211,"")</f>
        <v>5.09895833333333</v>
      </c>
      <c r="BN212" s="74" t="n">
        <f aca="false">IF(AND(ISNUMBER(BN208),ISNUMBER(BN211)),BN208/BN211,"")</f>
        <v>5.36814621409922</v>
      </c>
      <c r="BO212" s="74" t="n">
        <f aca="false">IF(AND(ISNUMBER(BO208),ISNUMBER(BO211)),BO208/BO211,"")</f>
        <v>5.27864583333333</v>
      </c>
      <c r="BP212" s="74" t="n">
        <f aca="false">IF(AND(ISNUMBER(BP208),ISNUMBER(BP211)),BP208/BP211,"")</f>
        <v>6.10443864229765</v>
      </c>
      <c r="BQ212" s="74" t="n">
        <f aca="false">IF(AND(ISNUMBER(BQ208),ISNUMBER(BQ211)),BQ208/BQ211,"")</f>
        <v>21.8798955613577</v>
      </c>
      <c r="BR212" s="74" t="n">
        <f aca="false">IF(AND(ISNUMBER(BR208),ISNUMBER(BR211)),BR208/BR211,"")</f>
        <v>5.14511873350924</v>
      </c>
      <c r="BS212" s="74" t="n">
        <f aca="false">IF(AND(ISNUMBER(BS208),ISNUMBER(BS211)),BS208/BS211,"")</f>
        <v>5.36243386243386</v>
      </c>
      <c r="BT212" s="74" t="n">
        <f aca="false">IF(AND(ISNUMBER(BT208),ISNUMBER(BT211)),BT208/BT211,"")</f>
        <v>5.7962962962963</v>
      </c>
      <c r="BU212" s="74" t="n">
        <f aca="false">IF(AND(ISNUMBER(BU208),ISNUMBER(BU211)),BU208/BU211,"")</f>
        <v>6.56233421750663</v>
      </c>
      <c r="BV212" s="74" t="n">
        <f aca="false">IF(AND(ISNUMBER(BV208),ISNUMBER(BV211)),BV208/BV211,"")</f>
        <v>22.8650793650794</v>
      </c>
      <c r="BW212" s="74" t="n">
        <f aca="false">IF(AND(ISNUMBER(BW208),ISNUMBER(BW211)),BW208/BW211,"")</f>
        <v>5.43699731903485</v>
      </c>
      <c r="BX212" s="74" t="n">
        <f aca="false">IF(AND(ISNUMBER(BX208),ISNUMBER(BX211)),BX208/BX211,"")</f>
        <v>6.0377358490566</v>
      </c>
      <c r="BY212" s="74" t="n">
        <f aca="false">IFERROR(BY208/BY211,"")</f>
        <v>6.56739240680898</v>
      </c>
      <c r="BZ212" s="74" t="n">
        <f aca="false">IFERROR(BZ208/BZ211,"")</f>
        <v>7.10108805141204</v>
      </c>
      <c r="CA212" s="74" t="n">
        <f aca="false">IFERROR(CA208/CA211,"")</f>
        <v>25.1386440107672</v>
      </c>
      <c r="CB212" s="74" t="n">
        <f aca="false">IFERROR(CB208/CB211,"")</f>
        <v>26.6990961312929</v>
      </c>
      <c r="CC212" s="74" t="n">
        <f aca="false">IFERROR(CC208/CC211,"")</f>
        <v>29.6093821522734</v>
      </c>
      <c r="CD212" s="74" t="n">
        <f aca="false">IFERROR(CD208/CD211,"")</f>
        <v>32.8202021515268</v>
      </c>
      <c r="CE212" s="74" t="n">
        <f aca="false">IFERROR(CE208/CE211,"")</f>
        <v>36.600401684898</v>
      </c>
      <c r="CF212" s="21"/>
      <c r="CH212" s="22" t="n">
        <f aca="false">IFERROR((CE212/BV212)^(1/5)-1,"n/m")</f>
        <v>0.0986582663628133</v>
      </c>
      <c r="CI212" s="22" t="n">
        <f aca="false">IFERROR((BV212/AW212)^(1/5)-1,"n/m")</f>
        <v>0.0315705022455679</v>
      </c>
      <c r="CJ212" s="22" t="n">
        <f aca="false">IFERROR((BV212/X212)^(1/10)-1,"n/m")</f>
        <v>0.119519076914382</v>
      </c>
      <c r="CK212" s="22" t="n">
        <f aca="false">IFERROR((BV212/C212)^(1/19)-1,"n/m")</f>
        <v>0.139788000758183</v>
      </c>
    </row>
    <row r="213" customFormat="false" ht="15" hidden="false" customHeight="false" outlineLevel="0" collapsed="false">
      <c r="B213" s="43" t="s">
        <v>374</v>
      </c>
      <c r="C213" s="70" t="n">
        <v>1.91</v>
      </c>
      <c r="D213" s="70" t="n">
        <v>2.65</v>
      </c>
      <c r="E213" s="70" t="n">
        <v>3.16</v>
      </c>
      <c r="F213" s="70" t="n">
        <v>3.05</v>
      </c>
      <c r="G213" s="70" t="n">
        <v>3.57</v>
      </c>
      <c r="H213" s="70" t="n">
        <v>4.16</v>
      </c>
      <c r="I213" s="70" t="n">
        <v>4.94</v>
      </c>
      <c r="J213" s="70" t="n">
        <v>1.37</v>
      </c>
      <c r="K213" s="70" t="n">
        <v>1.32</v>
      </c>
      <c r="L213" s="70" t="n">
        <v>1.3</v>
      </c>
      <c r="M213" s="70" t="n">
        <v>1.43</v>
      </c>
      <c r="N213" s="70" t="n">
        <v>5.42</v>
      </c>
      <c r="O213" s="70" t="n">
        <v>1.53</v>
      </c>
      <c r="P213" s="70" t="n">
        <v>1.72</v>
      </c>
      <c r="Q213" s="70" t="n">
        <v>1.71</v>
      </c>
      <c r="R213" s="70" t="n">
        <v>1.99</v>
      </c>
      <c r="S213" s="70" t="n">
        <v>6.96</v>
      </c>
      <c r="T213" s="70" t="n">
        <v>1.63</v>
      </c>
      <c r="U213" s="70" t="n">
        <v>1.84</v>
      </c>
      <c r="V213" s="70" t="n">
        <v>1.8</v>
      </c>
      <c r="W213" s="70" t="n">
        <v>2.12</v>
      </c>
      <c r="X213" s="70" t="n">
        <v>7.39</v>
      </c>
      <c r="Y213" s="70" t="n">
        <v>1.8</v>
      </c>
      <c r="Z213" s="70" t="n">
        <v>2.03</v>
      </c>
      <c r="AA213" s="70" t="n">
        <v>2.03</v>
      </c>
      <c r="AB213" s="70" t="n">
        <v>2.41</v>
      </c>
      <c r="AC213" s="70" t="n">
        <v>8.27</v>
      </c>
      <c r="AD213" s="70" t="n">
        <v>2.08</v>
      </c>
      <c r="AE213" s="70" t="n">
        <v>2.3</v>
      </c>
      <c r="AF213" s="70" t="n">
        <v>2.31</v>
      </c>
      <c r="AG213" s="70" t="n">
        <v>2.79</v>
      </c>
      <c r="AH213" s="70" t="n">
        <v>9.49</v>
      </c>
      <c r="AI213" s="70" t="n">
        <v>2.5</v>
      </c>
      <c r="AJ213" s="70" t="n">
        <v>2.75</v>
      </c>
      <c r="AK213" s="70" t="n">
        <v>2.62</v>
      </c>
      <c r="AL213" s="70" t="n">
        <v>3.25</v>
      </c>
      <c r="AM213" s="70" t="n">
        <v>11.12</v>
      </c>
      <c r="AN213" s="70" t="n">
        <v>2.81</v>
      </c>
      <c r="AO213" s="70" t="n">
        <v>3.04</v>
      </c>
      <c r="AP213" s="70" t="n">
        <v>2.94</v>
      </c>
      <c r="AQ213" s="70" t="n">
        <v>3.55</v>
      </c>
      <c r="AR213" s="70" t="n">
        <v>12.35</v>
      </c>
      <c r="AS213" s="70" t="n">
        <v>2.94</v>
      </c>
      <c r="AT213" s="70" t="n">
        <v>3.89</v>
      </c>
      <c r="AU213" s="70" t="n">
        <v>5.63</v>
      </c>
      <c r="AV213" s="70" t="n">
        <v>7.09</v>
      </c>
      <c r="AW213" s="70" t="n">
        <v>19.55</v>
      </c>
      <c r="AX213" s="70" t="n">
        <v>7.21</v>
      </c>
      <c r="AY213" s="70" t="n">
        <v>5.6</v>
      </c>
      <c r="AZ213" s="70" t="n">
        <v>5.76</v>
      </c>
      <c r="BA213" s="70" t="n">
        <v>6.54</v>
      </c>
      <c r="BB213" s="70" t="n">
        <v>25.13</v>
      </c>
      <c r="BC213" s="70" t="n">
        <v>7.25</v>
      </c>
      <c r="BD213" s="70" t="n">
        <v>5.51</v>
      </c>
      <c r="BE213" s="70" t="n">
        <v>5.08</v>
      </c>
      <c r="BF213" s="70" t="n">
        <v>5.4</v>
      </c>
      <c r="BG213" s="70" t="n">
        <v>23.24</v>
      </c>
      <c r="BH213" s="70" t="n">
        <v>5.03</v>
      </c>
      <c r="BI213" s="70" t="n">
        <v>5.15</v>
      </c>
      <c r="BJ213" s="70" t="n">
        <v>5.69</v>
      </c>
      <c r="BK213" s="70" t="n">
        <v>5.67</v>
      </c>
      <c r="BL213" s="70" t="n">
        <v>21.55</v>
      </c>
      <c r="BM213" s="70" t="n">
        <v>5.11</v>
      </c>
      <c r="BN213" s="70" t="n">
        <v>5.37</v>
      </c>
      <c r="BO213" s="70" t="n">
        <v>5.28</v>
      </c>
      <c r="BP213" s="70" t="n">
        <v>6.1</v>
      </c>
      <c r="BQ213" s="70" t="n">
        <v>21.86</v>
      </c>
      <c r="BR213" s="70" t="n">
        <v>5.15</v>
      </c>
      <c r="BS213" s="70" t="n">
        <v>5.36</v>
      </c>
      <c r="BT213" s="70" t="n">
        <v>5.79</v>
      </c>
      <c r="BU213" s="70" t="n">
        <v>6.57</v>
      </c>
      <c r="BV213" s="70" t="n">
        <v>22.87</v>
      </c>
      <c r="BW213" s="70" t="n">
        <v>5.44</v>
      </c>
      <c r="BX213" s="70" t="n">
        <v>6.03</v>
      </c>
      <c r="BY213" s="71"/>
      <c r="BZ213" s="71"/>
      <c r="CA213" s="71"/>
      <c r="CB213" s="71"/>
      <c r="CC213" s="71"/>
      <c r="CD213" s="71"/>
      <c r="CE213" s="71"/>
      <c r="CF213" s="21"/>
    </row>
    <row r="214" customFormat="false" ht="15" hidden="false" customHeight="false" outlineLevel="0" collapsed="false">
      <c r="B214" s="60" t="s">
        <v>375</v>
      </c>
      <c r="C214" s="66" t="n">
        <f aca="false">IF(ISNUMBER(C213),ROUND(C212-C213,2),"")</f>
        <v>-0.01</v>
      </c>
      <c r="D214" s="66" t="n">
        <f aca="false">IF(ISNUMBER(D213),ROUND(D212-D213,2),"")</f>
        <v>0</v>
      </c>
      <c r="E214" s="66" t="n">
        <f aca="false">IF(ISNUMBER(E213),ROUND(E212-E213,2),"")</f>
        <v>0</v>
      </c>
      <c r="F214" s="66" t="n">
        <f aca="false">IF(ISNUMBER(F213),ROUND(F212-F213,2),"")</f>
        <v>0</v>
      </c>
      <c r="G214" s="66" t="n">
        <f aca="false">IF(ISNUMBER(G213),ROUND(G212-G213,2),"")</f>
        <v>0</v>
      </c>
      <c r="H214" s="66" t="n">
        <f aca="false">IF(ISNUMBER(H213),ROUND(H212-H213,2),"")</f>
        <v>-0</v>
      </c>
      <c r="I214" s="66" t="n">
        <f aca="false">IF(ISNUMBER(I213),ROUND(I212-I213,2),"")</f>
        <v>-0</v>
      </c>
      <c r="J214" s="66" t="n">
        <f aca="false">IF(ISNUMBER(J213),ROUND(J212-J213,2),"")</f>
        <v>0</v>
      </c>
      <c r="K214" s="66" t="n">
        <f aca="false">IF(ISNUMBER(K213),ROUND(K212-K213,2),"")</f>
        <v>-0</v>
      </c>
      <c r="L214" s="66" t="n">
        <f aca="false">IF(ISNUMBER(L213),ROUND(L212-L213,2),"")</f>
        <v>-0</v>
      </c>
      <c r="M214" s="66" t="n">
        <f aca="false">IF(ISNUMBER(M213),ROUND(M212-M213,2),"")</f>
        <v>-0</v>
      </c>
      <c r="N214" s="66" t="n">
        <f aca="false">IF(ISNUMBER(N213),ROUND(N212-N213,2),"")</f>
        <v>-0</v>
      </c>
      <c r="O214" s="66" t="n">
        <f aca="false">IF(ISNUMBER(O213),ROUND(O212-O213,2),"")</f>
        <v>0</v>
      </c>
      <c r="P214" s="66" t="n">
        <f aca="false">IF(ISNUMBER(P213),ROUND(P212-P213,2),"")</f>
        <v>0</v>
      </c>
      <c r="Q214" s="66" t="n">
        <f aca="false">IF(ISNUMBER(Q213),ROUND(Q212-Q213,2),"")</f>
        <v>-0</v>
      </c>
      <c r="R214" s="66" t="n">
        <f aca="false">IF(ISNUMBER(R213),ROUND(R212-R213,2),"")</f>
        <v>0</v>
      </c>
      <c r="S214" s="66" t="n">
        <f aca="false">IF(ISNUMBER(S213),ROUND(S212-S213,2),"")</f>
        <v>0</v>
      </c>
      <c r="T214" s="66" t="n">
        <f aca="false">IF(ISNUMBER(T213),ROUND(T212-T213,2),"")</f>
        <v>0</v>
      </c>
      <c r="U214" s="66" t="n">
        <f aca="false">IF(ISNUMBER(U213),ROUND(U212-U213,2),"")</f>
        <v>-0</v>
      </c>
      <c r="V214" s="66" t="n">
        <f aca="false">IF(ISNUMBER(V213),ROUND(V212-V213,2),"")</f>
        <v>0</v>
      </c>
      <c r="W214" s="66" t="n">
        <f aca="false">IF(ISNUMBER(W213),ROUND(W212-W213,2),"")</f>
        <v>-0</v>
      </c>
      <c r="X214" s="66" t="n">
        <f aca="false">IF(ISNUMBER(X213),ROUND(X212-X213,2),"")</f>
        <v>0</v>
      </c>
      <c r="Y214" s="66" t="n">
        <f aca="false">IF(ISNUMBER(Y213),ROUND(Y212-Y213,2),"")</f>
        <v>-0</v>
      </c>
      <c r="Z214" s="66" t="n">
        <f aca="false">IF(ISNUMBER(Z213),ROUND(Z212-Z213,2),"")</f>
        <v>0</v>
      </c>
      <c r="AA214" s="66" t="n">
        <f aca="false">IF(ISNUMBER(AA213),ROUND(AA212-AA213,2),"")</f>
        <v>0</v>
      </c>
      <c r="AB214" s="66" t="n">
        <f aca="false">IF(ISNUMBER(AB213),ROUND(AB212-AB213,2),"")</f>
        <v>-0</v>
      </c>
      <c r="AC214" s="66" t="n">
        <f aca="false">IF(ISNUMBER(AC213),ROUND(AC212-AC213,2),"")</f>
        <v>0.01</v>
      </c>
      <c r="AD214" s="66" t="n">
        <f aca="false">IF(ISNUMBER(AD213),ROUND(AD212-AD213,2),"")</f>
        <v>0</v>
      </c>
      <c r="AE214" s="66" t="n">
        <f aca="false">IF(ISNUMBER(AE213),ROUND(AE212-AE213,2),"")</f>
        <v>-0</v>
      </c>
      <c r="AF214" s="66" t="n">
        <f aca="false">IF(ISNUMBER(AF213),ROUND(AF212-AF213,2),"")</f>
        <v>0</v>
      </c>
      <c r="AG214" s="66" t="n">
        <f aca="false">IF(ISNUMBER(AG213),ROUND(AG212-AG213,2),"")</f>
        <v>-0</v>
      </c>
      <c r="AH214" s="66" t="n">
        <f aca="false">IF(ISNUMBER(AH213),ROUND(AH212-AH213,2),"")</f>
        <v>-0.01</v>
      </c>
      <c r="AI214" s="66" t="n">
        <f aca="false">IF(ISNUMBER(AI213),ROUND(AI212-AI213,2),"")</f>
        <v>-0.01</v>
      </c>
      <c r="AJ214" s="66" t="n">
        <f aca="false">IF(ISNUMBER(AJ213),ROUND(AJ212-AJ213,2),"")</f>
        <v>-0</v>
      </c>
      <c r="AK214" s="66" t="n">
        <f aca="false">IF(ISNUMBER(AK213),ROUND(AK212-AK213,2),"")</f>
        <v>0.01</v>
      </c>
      <c r="AL214" s="66" t="n">
        <f aca="false">IF(ISNUMBER(AL213),ROUND(AL212-AL213,2),"")</f>
        <v>0</v>
      </c>
      <c r="AM214" s="66" t="n">
        <f aca="false">IF(ISNUMBER(AM213),ROUND(AM212-AM213,2),"")</f>
        <v>-0.01</v>
      </c>
      <c r="AN214" s="66" t="n">
        <f aca="false">IF(ISNUMBER(AN213),ROUND(AN212-AN213,2),"")</f>
        <v>0</v>
      </c>
      <c r="AO214" s="66" t="n">
        <f aca="false">IF(ISNUMBER(AO213),ROUND(AO212-AO213,2),"")</f>
        <v>0</v>
      </c>
      <c r="AP214" s="66" t="n">
        <f aca="false">IF(ISNUMBER(AP213),ROUND(AP212-AP213,2),"")</f>
        <v>-0</v>
      </c>
      <c r="AQ214" s="66" t="n">
        <f aca="false">IF(ISNUMBER(AQ213),ROUND(AQ212-AQ213,2),"")</f>
        <v>0</v>
      </c>
      <c r="AR214" s="66" t="n">
        <f aca="false">IF(ISNUMBER(AR213),ROUND(AR212-AR213,2),"")</f>
        <v>-0.01</v>
      </c>
      <c r="AS214" s="66" t="n">
        <f aca="false">IF(ISNUMBER(AS213),ROUND(AS212-AS213,2),"")</f>
        <v>-0</v>
      </c>
      <c r="AT214" s="66" t="n">
        <f aca="false">IF(ISNUMBER(AT213),ROUND(AT212-AT213,2),"")</f>
        <v>0</v>
      </c>
      <c r="AU214" s="66" t="n">
        <f aca="false">IF(ISNUMBER(AU213),ROUND(AU212-AU213,2),"")</f>
        <v>0.01</v>
      </c>
      <c r="AV214" s="66" t="n">
        <f aca="false">IF(ISNUMBER(AV213),ROUND(AV212-AV213,2),"")</f>
        <v>-0</v>
      </c>
      <c r="AW214" s="66" t="n">
        <f aca="false">IF(ISNUMBER(AW213),ROUND(AW212-AW213,2),"")</f>
        <v>0.02</v>
      </c>
      <c r="AX214" s="66" t="n">
        <f aca="false">IF(ISNUMBER(AX213),ROUND(AX212-AX213,2),"")</f>
        <v>0.01</v>
      </c>
      <c r="AY214" s="66" t="n">
        <f aca="false">IF(ISNUMBER(AY213),ROUND(AY212-AY213,2),"")</f>
        <v>0.01</v>
      </c>
      <c r="AZ214" s="66" t="n">
        <f aca="false">IF(ISNUMBER(AZ213),ROUND(AZ212-AZ213,2),"")</f>
        <v>0.01</v>
      </c>
      <c r="BA214" s="66" t="n">
        <f aca="false">IF(ISNUMBER(BA213),ROUND(BA212-BA213,2),"")</f>
        <v>-0</v>
      </c>
      <c r="BB214" s="66" t="n">
        <f aca="false">IF(ISNUMBER(BB213),ROUND(BB212-BB213,2),"")</f>
        <v>0</v>
      </c>
      <c r="BC214" s="66" t="n">
        <f aca="false">IF(ISNUMBER(BC213),ROUND(BC212-BC213,2),"")</f>
        <v>-0.01</v>
      </c>
      <c r="BD214" s="66" t="n">
        <f aca="false">IF(ISNUMBER(BD213),ROUND(BD212-BD213,2),"")</f>
        <v>0.01</v>
      </c>
      <c r="BE214" s="66" t="n">
        <f aca="false">IF(ISNUMBER(BE213),ROUND(BE212-BE213,2),"")</f>
        <v>-0.01</v>
      </c>
      <c r="BF214" s="66" t="n">
        <f aca="false">IF(ISNUMBER(BF213),ROUND(BF212-BF213,2),"")</f>
        <v>-0</v>
      </c>
      <c r="BG214" s="66" t="n">
        <f aca="false">IF(ISNUMBER(BG213),ROUND(BG212-BG213,2),"")</f>
        <v>0.01</v>
      </c>
      <c r="BH214" s="66" t="n">
        <f aca="false">IF(ISNUMBER(BH213),ROUND(BH212-BH213,2),"")</f>
        <v>0.01</v>
      </c>
      <c r="BI214" s="66" t="n">
        <f aca="false">IF(ISNUMBER(BI213),ROUND(BI212-BI213,2),"")</f>
        <v>-0</v>
      </c>
      <c r="BJ214" s="66" t="n">
        <f aca="false">IF(ISNUMBER(BJ213),ROUND(BJ212-BJ213,2),"")</f>
        <v>0</v>
      </c>
      <c r="BK214" s="66" t="n">
        <f aca="false">IF(ISNUMBER(BK213),ROUND(BK212-BK213,2),"")</f>
        <v>0.01</v>
      </c>
      <c r="BL214" s="66" t="n">
        <f aca="false">IF(ISNUMBER(BL213),ROUND(BL212-BL213,2),"")</f>
        <v>0.01</v>
      </c>
      <c r="BM214" s="66" t="n">
        <f aca="false">IF(ISNUMBER(BM213),ROUND(BM212-BM213,2),"")</f>
        <v>-0.01</v>
      </c>
      <c r="BN214" s="66" t="n">
        <f aca="false">IF(ISNUMBER(BN213),ROUND(BN212-BN213,2),"")</f>
        <v>-0</v>
      </c>
      <c r="BO214" s="66" t="n">
        <f aca="false">IF(ISNUMBER(BO213),ROUND(BO212-BO213,2),"")</f>
        <v>-0</v>
      </c>
      <c r="BP214" s="66" t="n">
        <f aca="false">IF(ISNUMBER(BP213),ROUND(BP212-BP213,2),"")</f>
        <v>0</v>
      </c>
      <c r="BQ214" s="66" t="n">
        <f aca="false">IF(ISNUMBER(BQ213),ROUND(BQ212-BQ213,2),"")</f>
        <v>0.02</v>
      </c>
      <c r="BR214" s="66" t="n">
        <f aca="false">IF(ISNUMBER(BR213),ROUND(BR212-BR213,2),"")</f>
        <v>-0</v>
      </c>
      <c r="BS214" s="66" t="n">
        <f aca="false">IF(ISNUMBER(BS213),ROUND(BS212-BS213,2),"")</f>
        <v>0</v>
      </c>
      <c r="BT214" s="66" t="n">
        <f aca="false">IF(ISNUMBER(BT213),ROUND(BT212-BT213,2),"")</f>
        <v>0.01</v>
      </c>
      <c r="BU214" s="66" t="n">
        <f aca="false">IF(ISNUMBER(BU213),ROUND(BU212-BU213,2),"")</f>
        <v>-0.01</v>
      </c>
      <c r="BV214" s="66" t="n">
        <f aca="false">IF(ISNUMBER(BV213),ROUND(BV212-BV213,2),"")</f>
        <v>-0</v>
      </c>
      <c r="BW214" s="66" t="n">
        <f aca="false">IF(ISNUMBER(BW213),ROUND(BW212-BW213,2),"")</f>
        <v>-0</v>
      </c>
      <c r="BX214" s="66" t="n">
        <f aca="false">IF(ISNUMBER(BX213),ROUND(BX212-BX213,2),"")</f>
        <v>0.01</v>
      </c>
      <c r="BY214" s="71"/>
      <c r="BZ214" s="71"/>
      <c r="CA214" s="71"/>
      <c r="CB214" s="71"/>
      <c r="CC214" s="71"/>
      <c r="CD214" s="71"/>
      <c r="CE214" s="71"/>
      <c r="CF214" s="21"/>
    </row>
    <row r="215" customFormat="false" ht="15" hidden="false" customHeight="false" outlineLevel="0" collapsed="false">
      <c r="B215" s="23" t="s">
        <v>376</v>
      </c>
      <c r="C215" s="25" t="n">
        <f aca="false">IFERROR((C152-C205)/(C151+C202+C203),"")</f>
        <v>0.283723508434803</v>
      </c>
      <c r="D215" s="25" t="n">
        <f aca="false">IFERROR((D152-D205)/(D151+D202+D203),"")</f>
        <v>0.24052186268811</v>
      </c>
      <c r="E215" s="25" t="n">
        <f aca="false">IFERROR((E152-E205)/(E151+E202+E203),"")</f>
        <v>0.230359445970953</v>
      </c>
      <c r="F215" s="25" t="n">
        <f aca="false">IFERROR((F152-F205)/(F151+F202+F203),"")</f>
        <v>0.200409759731793</v>
      </c>
      <c r="G215" s="25" t="n">
        <f aca="false">IFERROR((G152-G205)/(G151+G202+G203),"")</f>
        <v>0.207477448103467</v>
      </c>
      <c r="H215" s="25" t="n">
        <f aca="false">IFERROR((H152-H205)/(H151+H202+H203),"")</f>
        <v>0.191327693632541</v>
      </c>
      <c r="I215" s="25" t="n">
        <f aca="false">IFERROR((I152-I205)/(I151+I202+I203),"")</f>
        <v>0.167320201134843</v>
      </c>
      <c r="J215" s="25" t="n">
        <f aca="false">IFERROR((J152-J205)/(J151+J202+J203),"")</f>
        <v>0.116702355460385</v>
      </c>
      <c r="K215" s="25" t="n">
        <f aca="false">IFERROR((K152-K205)/(K151+K202+K203),"")</f>
        <v>0.156492589978829</v>
      </c>
      <c r="L215" s="25" t="n">
        <f aca="false">IFERROR((L152-L205)/(L151+L202+L203),"")</f>
        <v>0.153641207815275</v>
      </c>
      <c r="M215" s="25" t="n">
        <f aca="false">IFERROR((M152-M205)/(M151+M202+M203),"")</f>
        <v>0.159473183116471</v>
      </c>
      <c r="N215" s="25" t="n">
        <f aca="false">IFERROR((N152-N205)/(N151+N202+N203),"")</f>
        <v>0.147000517152215</v>
      </c>
      <c r="O215" s="25" t="n">
        <f aca="false">IFERROR((O152-O205)/(O151+O202+O203),"")</f>
        <v>0.160060556014313</v>
      </c>
      <c r="P215" s="25" t="n">
        <f aca="false">IFERROR((P152-P205)/(P151+P202+P203),"")</f>
        <v>0.143015657748736</v>
      </c>
      <c r="Q215" s="25" t="n">
        <f aca="false">IFERROR((Q152-Q205)/(Q151+Q202+Q203),"")</f>
        <v>0.14809329877823</v>
      </c>
      <c r="R215" s="25" t="n">
        <f aca="false">IFERROR((R152-R205)/(R151+R202+R203),"")</f>
        <v>0.132305369851197</v>
      </c>
      <c r="S215" s="25" t="n">
        <f aca="false">IFERROR((S152-S205)/(S151+S202+S203),"")</f>
        <v>0.144998321072072</v>
      </c>
      <c r="T215" s="25" t="n">
        <f aca="false">IFERROR((T152-T205)/(T151+T202+T203),"")</f>
        <v>0.13997113997114</v>
      </c>
      <c r="U215" s="25" t="n">
        <f aca="false">IFERROR((U152-U205)/(U151+U202+U203),"")</f>
        <v>0.13997903808082</v>
      </c>
      <c r="V215" s="25" t="n">
        <f aca="false">IFERROR((V152-V205)/(V151+V202+V203),"")</f>
        <v>0.140059347181009</v>
      </c>
      <c r="W215" s="25" t="n">
        <f aca="false">IFERROR((W152-W205)/(W151+W202+W203),"")</f>
        <v>0.129605061740994</v>
      </c>
      <c r="X215" s="25" t="n">
        <f aca="false">IFERROR((X152-X205)/(X151+X202+X203),"")</f>
        <v>0.137044781320787</v>
      </c>
      <c r="Y215" s="25" t="n">
        <f aca="false">IFERROR((Y152-Y205)/(Y151+Y202+Y203),"")</f>
        <v>0.139961621491964</v>
      </c>
      <c r="Z215" s="25" t="n">
        <f aca="false">IFERROR((Z152-Z205)/(Z151+Z202+Z203),"")</f>
        <v>0.135120643431635</v>
      </c>
      <c r="AA215" s="25" t="n">
        <f aca="false">IFERROR((AA152-AA205)/(AA151+AA202+AA203),"")</f>
        <v>0.131018916595013</v>
      </c>
      <c r="AB215" s="25" t="n">
        <f aca="false">IFERROR((AB152-AB205)/(AB151+AB202+AB203),"")</f>
        <v>0.146287040342735</v>
      </c>
      <c r="AC215" s="25" t="n">
        <f aca="false">IFERROR((AC152-AC205)/(AC151+AC202+AC203),"")</f>
        <v>0.138455895837154</v>
      </c>
      <c r="AD215" s="25" t="n">
        <f aca="false">IFERROR((AD152-AD205)/(AD151+AD202+AD203),"")</f>
        <v>0.139981126140296</v>
      </c>
      <c r="AE215" s="25" t="n">
        <f aca="false">IFERROR((AE152-AE205)/(AE151+AE202+AE203),"")</f>
        <v>0.131338400846724</v>
      </c>
      <c r="AF215" s="25" t="n">
        <f aca="false">IFERROR((AF152-AF205)/(AF151+AF202+AF203),"")</f>
        <v>0.11753463927377</v>
      </c>
      <c r="AG215" s="25" t="n">
        <f aca="false">IFERROR((AG152-AG205)/(AG151+AG202+AG203),"")</f>
        <v>0.132974634896234</v>
      </c>
      <c r="AH215" s="25" t="n">
        <f aca="false">IFERROR((AH152-AH205)/(AH151+AH202+AH203),"")</f>
        <v>0.130184331797235</v>
      </c>
      <c r="AI215" s="25" t="n">
        <f aca="false">IFERROR((AI152-AI205)/(AI151+AI202+AI203),"")</f>
        <v>0.113835376532399</v>
      </c>
      <c r="AJ215" s="25" t="n">
        <f aca="false">IFERROR((AJ152-AJ205)/(AJ151+AJ202+AJ203),"")</f>
        <v>0.123330714846819</v>
      </c>
      <c r="AK215" s="25" t="n">
        <f aca="false">IFERROR((AK152-AK205)/(AK151+AK202+AK203),"")</f>
        <v>0.114617940199336</v>
      </c>
      <c r="AL215" s="25" t="n">
        <f aca="false">IFERROR((AL152-AL205)/(AL151+AL202+AL203),"")</f>
        <v>0.122</v>
      </c>
      <c r="AM215" s="25" t="n">
        <f aca="false">IFERROR((AM152-AM205)/(AM151+AM202+AM203),"")</f>
        <v>0.118773197890213</v>
      </c>
      <c r="AN215" s="25" t="n">
        <f aca="false">IFERROR((AN152-AN205)/(AN151+AN202+AN203),"")</f>
        <v>0.100793650793651</v>
      </c>
      <c r="AO215" s="25" t="n">
        <f aca="false">IFERROR((AO152-AO205)/(AO151+AO202+AO203),"")</f>
        <v>0.110224800580131</v>
      </c>
      <c r="AP215" s="25" t="n">
        <f aca="false">IFERROR((AP152-AP205)/(AP151+AP202+AP203),"")</f>
        <v>0.112191473448018</v>
      </c>
      <c r="AQ215" s="25" t="n">
        <f aca="false">IFERROR((AQ152-AQ205)/(AQ151+AQ202+AQ203),"")</f>
        <v>0.116883116883117</v>
      </c>
      <c r="AR215" s="25" t="n">
        <f aca="false">IFERROR((AR152-AR205)/(AR151+AR202+AR203),"")</f>
        <v>0.110495261934561</v>
      </c>
      <c r="AS215" s="25" t="n">
        <f aca="false">IFERROR((AS152-AS205)/(AS151+AS202+AS203),"")</f>
        <v>0.105102817974105</v>
      </c>
      <c r="AT215" s="25" t="n">
        <f aca="false">IFERROR((AT152-AT205)/(AT151+AT202+AT203),"")</f>
        <v>0.114791547687036</v>
      </c>
      <c r="AU215" s="25" t="n">
        <f aca="false">IFERROR((AU152-AU205)/(AU151+AU202+AU203),"")</f>
        <v>0.156987635818659</v>
      </c>
      <c r="AV215" s="25" t="n">
        <f aca="false">IFERROR((AV152-AV205)/(AV151+AV202+AV203),"")</f>
        <v>0.16</v>
      </c>
      <c r="AW215" s="25" t="n">
        <f aca="false">IFERROR((AW152-AW205)/(AW151+AW202+AW203),"")</f>
        <v>0.142512077294686</v>
      </c>
      <c r="AX215" s="25" t="n">
        <f aca="false">IFERROR((AX152-AX205)/(AX151+AX202+AX203),"")</f>
        <v>0.160070360598065</v>
      </c>
      <c r="AY215" s="25" t="n">
        <f aca="false">IFERROR((AY152-AY205)/(AY151+AY202+AY203),"")</f>
        <v>0.139868268113134</v>
      </c>
      <c r="AZ215" s="25" t="n">
        <f aca="false">IFERROR((AZ152-AZ205)/(AZ151+AZ202+AZ203),"")</f>
        <v>0.142053973013493</v>
      </c>
      <c r="BA215" s="25" t="n">
        <f aca="false">IFERROR((BA152-BA205)/(BA151+BA202+BA203),"")</f>
        <v>0.137553861451773</v>
      </c>
      <c r="BB215" s="25" t="n">
        <f aca="false">IFERROR((BB152-BB205)/(BB151+BB202+BB203),"")</f>
        <v>0.145681759821964</v>
      </c>
      <c r="BC215" s="25" t="n">
        <f aca="false">IFERROR((BC152-BC205)/(BC151+BC202+BC203),"")</f>
        <v>0.140887290167866</v>
      </c>
      <c r="BD215" s="25" t="n">
        <f aca="false">IFERROR((BD152-BD205)/(BD151+BD202+BD203),"")</f>
        <v>0.129844186975629</v>
      </c>
      <c r="BE215" s="25" t="n">
        <f aca="false">IFERROR((BE152-BE205)/(BE151+BE202+BE203),"")</f>
        <v>0.118241758241758</v>
      </c>
      <c r="BF215" s="25" t="n">
        <f aca="false">IFERROR((BF152-BF205)/(BF151+BF202+BF203),"")</f>
        <v>0.12798353909465</v>
      </c>
      <c r="BG215" s="25" t="n">
        <f aca="false">IFERROR((BG152-BG205)/(BG151+BG202+BG203),"")</f>
        <v>0.130405918057663</v>
      </c>
      <c r="BH215" s="25" t="n">
        <f aca="false">IFERROR((BH152-BH205)/(BH151+BH202+BH203),"")</f>
        <v>0.0997242647058824</v>
      </c>
      <c r="BI215" s="25" t="n">
        <f aca="false">IFERROR((BI152-BI205)/(BI151+BI202+BI203),"")</f>
        <v>0.10040522287258</v>
      </c>
      <c r="BJ215" s="25" t="n">
        <f aca="false">IFERROR((BJ152-BJ205)/(BJ151+BJ202+BJ203),"")</f>
        <v>0.0999184339314845</v>
      </c>
      <c r="BK215" s="25" t="n">
        <f aca="false">IFERROR((BK152-BK205)/(BK151+BK202+BK203),"")</f>
        <v>0.0995918367346939</v>
      </c>
      <c r="BL215" s="25" t="n">
        <f aca="false">IFERROR((BL152-BL205)/(BL151+BL202+BL203),"")</f>
        <v>0.0999032153995053</v>
      </c>
      <c r="BM215" s="25" t="n">
        <f aca="false">IFERROR((BM152-BM205)/(BM151+BM202+BM203),"")</f>
        <v>0.105383211678832</v>
      </c>
      <c r="BN215" s="25" t="n">
        <f aca="false">IFERROR((BN152-BN205)/(BN151+BN202+BN203),"")</f>
        <v>0.100349040139616</v>
      </c>
      <c r="BO215" s="25" t="n">
        <f aca="false">IFERROR((BO152-BO205)/(BO151+BO202+BO203),"")</f>
        <v>0.104799647732277</v>
      </c>
      <c r="BP215" s="25" t="n">
        <f aca="false">IFERROR((BP152-BP205)/(BP151+BP202+BP203),"")</f>
        <v>0.109297912713472</v>
      </c>
      <c r="BQ215" s="25" t="n">
        <f aca="false">IFERROR((BQ152-BQ205)/(BQ151+BQ202+BQ203),"")</f>
        <v>0.105027694929697</v>
      </c>
      <c r="BR215" s="25" t="n">
        <f aca="false">IFERROR((BR152-BR205)/(BR151+BR202+BR203),"")</f>
        <v>0.0999079189686924</v>
      </c>
      <c r="BS215" s="25" t="n">
        <f aca="false">IFERROR((BS152-BS205)/(BS151+BS202+BS203),"")</f>
        <v>0.0997782705099778</v>
      </c>
      <c r="BT215" s="25" t="n">
        <f aca="false">IFERROR((BT152-BT205)/(BT151+BT202+BT203),"")</f>
        <v>0.109850020267531</v>
      </c>
      <c r="BU215" s="25" t="n">
        <f aca="false">IFERROR((BU152-BU205)/(BU151+BU202+BU203),"")</f>
        <v>0.105016239624684</v>
      </c>
      <c r="BV215" s="25" t="n">
        <f aca="false">IFERROR((BV152-BV205)/(BV151+BV202+BV203),"")</f>
        <v>0.10397268777157</v>
      </c>
      <c r="BW215" s="25" t="n">
        <f aca="false">IFERROR((BW152-BW205)/(BW151+BW202+BW203),"")</f>
        <v>0.104845814977974</v>
      </c>
      <c r="BX215" s="25" t="n">
        <f aca="false">IFERROR((BX152-BX205)/(BX151+BX202+BX203),"")</f>
        <v>0.115748031496063</v>
      </c>
      <c r="BY215" s="26" t="n">
        <f aca="false">$CP$21</f>
        <v>0.115</v>
      </c>
      <c r="BZ215" s="26" t="n">
        <f aca="false">$CP$21</f>
        <v>0.115</v>
      </c>
      <c r="CA215" s="26" t="n">
        <f aca="false">IFERROR((CA152-CA205)/(CA151+CA202+CA203),"")</f>
        <v>0.112995498163725</v>
      </c>
      <c r="CB215" s="31" t="n">
        <v>0.12</v>
      </c>
      <c r="CC215" s="31" t="n">
        <v>0.125</v>
      </c>
      <c r="CD215" s="31" t="n">
        <v>0.13</v>
      </c>
      <c r="CE215" s="31" t="n">
        <v>0.13</v>
      </c>
      <c r="CF215" s="21" t="s">
        <v>377</v>
      </c>
    </row>
    <row r="216" customFormat="false" ht="15" hidden="false" customHeight="false" outlineLevel="0" collapsed="false">
      <c r="B216" s="23" t="s">
        <v>378</v>
      </c>
      <c r="C216" s="25" t="n">
        <f aca="false">IFERROR(-C205/(C202+C203),"")</f>
        <v>0.332991803278689</v>
      </c>
      <c r="D216" s="25" t="n">
        <f aca="false">IFERROR(-D205/(D202+D203),"")</f>
        <v>0.405847076461769</v>
      </c>
      <c r="E216" s="25" t="n">
        <f aca="false">IFERROR(-E205/(E202+E203),"")</f>
        <v>0.394350639103677</v>
      </c>
      <c r="F216" s="25" t="n">
        <f aca="false">IFERROR(-F205/(F202+F203),"")</f>
        <v>0.36132241076653</v>
      </c>
      <c r="G216" s="25" t="n">
        <f aca="false">IFERROR(-G205/(G202+G203),"")</f>
        <v>0.37048549437537</v>
      </c>
      <c r="H216" s="25" t="n">
        <f aca="false">IFERROR(-H205/(H202+H203),"")</f>
        <v>0.319410029498525</v>
      </c>
      <c r="I216" s="25" t="n">
        <f aca="false">IFERROR(-I205/(I202+I203),"")</f>
        <v>0.391517310475342</v>
      </c>
      <c r="J216" s="25" t="n">
        <f aca="false">IFERROR(-J205/(J202+J203),"")</f>
        <v>0.291034482758621</v>
      </c>
      <c r="K216" s="25" t="n">
        <f aca="false">IFERROR(-K205/(K202+K203),"")</f>
        <v>0.300906555090656</v>
      </c>
      <c r="L216" s="25" t="n">
        <f aca="false">IFERROR(-L205/(L202+L203),"")</f>
        <v>0.349180327868852</v>
      </c>
      <c r="M216" s="25" t="n">
        <f aca="false">IFERROR(-M205/(M202+M203),"")</f>
        <v>0.260886777513856</v>
      </c>
      <c r="N216" s="25" t="n">
        <f aca="false">IFERROR(-N205/(N202+N203),"")</f>
        <v>0.300429613347987</v>
      </c>
      <c r="O216" s="25" t="n">
        <f aca="false">IFERROR(-O205/(O202+O203),"")</f>
        <v>2.40585774058577</v>
      </c>
      <c r="P216" s="25" t="n">
        <f aca="false">IFERROR(-P205/(P202+P203),"")</f>
        <v>0.274973894883397</v>
      </c>
      <c r="Q216" s="25" t="n">
        <f aca="false">IFERROR(-Q205/(Q202+Q203),"")</f>
        <v>0.187015861305791</v>
      </c>
      <c r="R216" s="25" t="n">
        <f aca="false">IFERROR(-R205/(R202+R203),"")</f>
        <v>0.485780169100692</v>
      </c>
      <c r="S216" s="25" t="n">
        <f aca="false">IFERROR(-S205/(S202+S203),"")</f>
        <v>0.238327584756457</v>
      </c>
      <c r="T216" s="25" t="n">
        <f aca="false">IFERROR(-T205/(T202+T203),"")</f>
        <v>0.288719432027347</v>
      </c>
      <c r="U216" s="25" t="n">
        <f aca="false">IFERROR(-U205/(U202+U203),"")</f>
        <v>0.361025063362433</v>
      </c>
      <c r="V216" s="25" t="n">
        <f aca="false">IFERROR(-V205/(V202+V203),"")</f>
        <v>0.33974358974359</v>
      </c>
      <c r="W216" s="25" t="n">
        <f aca="false">IFERROR(-W205/(W202+W203),"")</f>
        <v>0.379154078549849</v>
      </c>
      <c r="X216" s="25" t="n">
        <f aca="false">IFERROR(-X205/(X202+X203),"")</f>
        <v>0.342269409422694</v>
      </c>
      <c r="Y216" s="25" t="n">
        <f aca="false">IFERROR(-Y205/(Y202+Y203),"")</f>
        <v>0.233690360272639</v>
      </c>
      <c r="Z216" s="25" t="n">
        <f aca="false">IFERROR(-Z205/(Z202+Z203),"")</f>
        <v>0.295819154107924</v>
      </c>
      <c r="AA216" s="25" t="n">
        <f aca="false">IFERROR(-AA205/(AA202+AA203),"")</f>
        <v>0.333333333333333</v>
      </c>
      <c r="AB216" s="25" t="n">
        <f aca="false">IFERROR(-AB205/(AB202+AB203),"")</f>
        <v>0.308858057630736</v>
      </c>
      <c r="AC216" s="25" t="n">
        <f aca="false">IFERROR(-AC205/(AC202+AC203),"")</f>
        <v>0.295505242025429</v>
      </c>
      <c r="AD216" s="25" t="n">
        <f aca="false">IFERROR(-AD205/(AD202+AD203),"")</f>
        <v>0.403726708074534</v>
      </c>
      <c r="AE216" s="25" t="n">
        <f aca="false">IFERROR(-AE205/(AE202+AE203),"")</f>
        <v>0.297558617355572</v>
      </c>
      <c r="AF216" s="25" t="n">
        <f aca="false">IFERROR(-AF205/(AF202+AF203),"")</f>
        <v>0.311539141191023</v>
      </c>
      <c r="AG216" s="25" t="n">
        <f aca="false">IFERROR(-AG205/(AG202+AG203),"")</f>
        <v>-0.243243243243243</v>
      </c>
      <c r="AH216" s="25" t="n">
        <f aca="false">IFERROR(-AH205/(AH202+AH203),"")</f>
        <v>0.19047619047619</v>
      </c>
      <c r="AI216" s="25" t="n">
        <f aca="false">IFERROR(-AI205/(AI202+AI203),"")</f>
        <v>0.147637795275591</v>
      </c>
      <c r="AJ216" s="25" t="n">
        <f aca="false">IFERROR(-AJ205/(AJ202+AJ203),"")</f>
        <v>0.220556745182013</v>
      </c>
      <c r="AK216" s="25" t="n">
        <f aca="false">IFERROR(-AK205/(AK202+AK203),"")</f>
        <v>0.0939086294416244</v>
      </c>
      <c r="AL216" s="25" t="n">
        <f aca="false">IFERROR(-AL205/(AL202+AL203),"")</f>
        <v>0.141393442622951</v>
      </c>
      <c r="AM216" s="25" t="n">
        <f aca="false">IFERROR(-AM205/(AM202+AM203),"")</f>
        <v>0.152934841141626</v>
      </c>
      <c r="AN216" s="25" t="n">
        <f aca="false">IFERROR(-AN205/(AN202+AN203),"")</f>
        <v>0.282167042889391</v>
      </c>
      <c r="AO216" s="25" t="n">
        <f aca="false">IFERROR(-AO205/(AO202+AO203),"")</f>
        <v>8.71428571428571</v>
      </c>
      <c r="AP216" s="25" t="n">
        <f aca="false">IFERROR(-AP205/(AP202+AP203),"")</f>
        <v>0.170873786407767</v>
      </c>
      <c r="AQ216" s="25" t="n">
        <f aca="false">IFERROR(-AQ205/(AQ202+AQ203),"")</f>
        <v>0.264248704663212</v>
      </c>
      <c r="AR216" s="25" t="n">
        <f aca="false">IFERROR(-AR205/(AR202+AR203),"")</f>
        <v>0.160210111621799</v>
      </c>
      <c r="AS216" s="25" t="n">
        <f aca="false">IFERROR(-AS205/(AS202+AS203),"")</f>
        <v>0.202061855670103</v>
      </c>
      <c r="AT216" s="25" t="n">
        <f aca="false">IFERROR(-AT205/(AT202+AT203),"")</f>
        <v>0.208835341365462</v>
      </c>
      <c r="AU216" s="25" t="n">
        <f aca="false">IFERROR(-AU205/(AU202+AU203),"")</f>
        <v>0.239808153477218</v>
      </c>
      <c r="AV216" s="25" t="n">
        <f aca="false">IFERROR(-AV205/(AV202+AV203),"")</f>
        <v>0.302277432712215</v>
      </c>
      <c r="AW216" s="25" t="n">
        <f aca="false">IFERROR(-AW205/(AW202+AW203),"")</f>
        <v>0.237918215613383</v>
      </c>
      <c r="AX216" s="25" t="n">
        <f aca="false">IFERROR(-AX205/(AX202+AX203),"")</f>
        <v>0.197568389057751</v>
      </c>
      <c r="AY216" s="25" t="n">
        <f aca="false">IFERROR(-AY205/(AY202+AY203),"")</f>
        <v>0.265917602996255</v>
      </c>
      <c r="AZ216" s="25" t="n">
        <f aca="false">IFERROR(-AZ205/(AZ202+AZ203),"")</f>
        <v>0.218181818181818</v>
      </c>
      <c r="BA216" s="25" t="n">
        <f aca="false">IFERROR(-BA205/(BA202+BA203),"")</f>
        <v>0.184415584415584</v>
      </c>
      <c r="BB216" s="25" t="n">
        <f aca="false">IFERROR(-BB205/(BB202+BB203),"")</f>
        <v>0.208655876143561</v>
      </c>
      <c r="BC216" s="25" t="n">
        <f aca="false">IFERROR(-BC205/(BC202+BC203),"")</f>
        <v>0.212311557788945</v>
      </c>
      <c r="BD216" s="25" t="n">
        <f aca="false">IFERROR(-BD205/(BD202+BD203),"")</f>
        <v>0.216723549488055</v>
      </c>
      <c r="BE216" s="25" t="n">
        <f aca="false">IFERROR(-BE205/(BE202+BE203),"")</f>
        <v>0.353115727002967</v>
      </c>
      <c r="BF216" s="25" t="n">
        <f aca="false">IFERROR(-BF205/(BF202+BF203),"")</f>
        <v>0.211332312404288</v>
      </c>
      <c r="BG216" s="25" t="n">
        <f aca="false">IFERROR(-BG205/(BG202+BG203),"")</f>
        <v>0.248062015503876</v>
      </c>
      <c r="BH216" s="25" t="n">
        <f aca="false">IFERROR(-BH205/(BH202+BH203),"")</f>
        <v>0.210332103321033</v>
      </c>
      <c r="BI216" s="25" t="n">
        <f aca="false">IFERROR(-BI205/(BI202+BI203),"")</f>
        <v>0.216182048040455</v>
      </c>
      <c r="BJ216" s="25" t="n">
        <f aca="false">IFERROR(-BJ205/(BJ202+BJ203),"")</f>
        <v>0.279475982532751</v>
      </c>
      <c r="BK216" s="25" t="n">
        <f aca="false">IFERROR(-BK205/(BK202+BK203),"")</f>
        <v>0.156338028169014</v>
      </c>
      <c r="BL216" s="25" t="n">
        <f aca="false">IFERROR(-BL205/(BL202+BL203),"")</f>
        <v>0.214928357214262</v>
      </c>
      <c r="BM216" s="25" t="n">
        <f aca="false">IFERROR(-BM205/(BM202+BM203),"")</f>
        <v>-0.0829187396351575</v>
      </c>
      <c r="BN216" s="25" t="n">
        <f aca="false">IFERROR(-BN205/(BN202+BN203),"")</f>
        <v>0.193548387096774</v>
      </c>
      <c r="BO216" s="25" t="n">
        <f aca="false">IFERROR(-BO205/(BO202+BO203),"")</f>
        <v>0.263257575757576</v>
      </c>
      <c r="BP216" s="25" t="n">
        <f aca="false">IFERROR(-BP205/(BP202+BP203),"")</f>
        <v>0.199134199134199</v>
      </c>
      <c r="BQ216" s="25" t="n">
        <f aca="false">IFERROR(-BQ205/(BQ202+BQ203),"")</f>
        <v>0.139940450871969</v>
      </c>
      <c r="BR216" s="25" t="n">
        <f aca="false">IFERROR(-BR205/(BR202+BR203),"")</f>
        <v>0.221415607985481</v>
      </c>
      <c r="BS216" s="25" t="n">
        <f aca="false">IFERROR(-BS205/(BS202+BS203),"")</f>
        <v>0.243589743589744</v>
      </c>
      <c r="BT216" s="25" t="n">
        <f aca="false">IFERROR(-BT205/(BT202+BT203),"")</f>
        <v>0.0998439937597504</v>
      </c>
      <c r="BU216" s="25" t="n">
        <f aca="false">IFERROR(-BU205/(BU202+BU203),"")</f>
        <v>0.223662884927066</v>
      </c>
      <c r="BV216" s="25" t="n">
        <f aca="false">IFERROR(-BV205/(BV202+BV203),"")</f>
        <v>0.194314806957997</v>
      </c>
      <c r="BW216" s="25" t="n">
        <f aca="false">IFERROR(-BW205/(BW202+BW203),"")</f>
        <v>0.312849162011173</v>
      </c>
      <c r="BX216" s="25" t="n">
        <f aca="false">IFERROR(-BX205/(BX202+BX203),"")</f>
        <v>0.206168831168831</v>
      </c>
      <c r="BY216" s="31" t="n">
        <v>0.21</v>
      </c>
      <c r="BZ216" s="31" t="n">
        <v>0.21</v>
      </c>
      <c r="CA216" s="26" t="n">
        <f aca="false">IFERROR(-CA205/(CA202+CA203),"")</f>
        <v>0.234141552511416</v>
      </c>
      <c r="CB216" s="31" t="n">
        <v>0.21</v>
      </c>
      <c r="CC216" s="31" t="n">
        <v>0.21</v>
      </c>
      <c r="CD216" s="31" t="n">
        <v>0.21</v>
      </c>
      <c r="CE216" s="31" t="n">
        <v>0.21</v>
      </c>
      <c r="CF216" s="21" t="s">
        <v>379</v>
      </c>
    </row>
    <row r="217" customFormat="false" ht="15" hidden="false" customHeight="false" outlineLevel="0" collapsed="false">
      <c r="B217" s="43" t="s">
        <v>380</v>
      </c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1"/>
      <c r="BZ217" s="71"/>
      <c r="CA217" s="67" t="n">
        <f aca="false">CHOOSE(MATCH($CF$2,{"Bull","Base","Bear"},0),$CO$14,$CP$14,$CQ$14)</f>
        <v>25.13</v>
      </c>
      <c r="CB217" s="71"/>
      <c r="CC217" s="71"/>
      <c r="CD217" s="71"/>
      <c r="CE217" s="71"/>
      <c r="CF217" s="21"/>
    </row>
    <row r="218" customFormat="false" ht="15" hidden="false" customHeight="false" outlineLevel="0" collapsed="false">
      <c r="B218" s="60" t="s">
        <v>381</v>
      </c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2"/>
      <c r="BU218" s="72"/>
      <c r="BV218" s="72"/>
      <c r="BW218" s="72"/>
      <c r="BX218" s="72"/>
      <c r="BY218" s="71"/>
      <c r="BZ218" s="71"/>
      <c r="CA218" s="67" t="n">
        <f aca="false">ROUND(CA212-CA217,2)</f>
        <v>0.01</v>
      </c>
      <c r="CB218" s="71"/>
      <c r="CC218" s="71"/>
      <c r="CD218" s="71"/>
      <c r="CE218" s="71"/>
      <c r="CF218" s="21" t="s">
        <v>382</v>
      </c>
    </row>
    <row r="220" customFormat="false" ht="15" hidden="false" customHeight="false" outlineLevel="0" collapsed="false">
      <c r="B220" s="11" t="s">
        <v>383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 t="s">
        <v>384</v>
      </c>
    </row>
    <row r="221" customFormat="false" ht="15" hidden="false" customHeight="false" outlineLevel="0" collapsed="false">
      <c r="B221" s="23" t="s">
        <v>234</v>
      </c>
      <c r="C221" s="24"/>
      <c r="D221" s="25" t="n">
        <f aca="false">IF(AND(ISNUMBER(D136),ISNUMBER(C136)),IFERROR(D136/C136-1,""),"")</f>
        <v>1.57051279177195</v>
      </c>
      <c r="E221" s="25" t="n">
        <f aca="false">IF(AND(ISNUMBER(E136),ISNUMBER(D136)),IFERROR(E136/D136-1,""),"")</f>
        <v>0.0771156529590413</v>
      </c>
      <c r="F221" s="25" t="n">
        <f aca="false">IF(AND(ISNUMBER(F136),ISNUMBER(E136)),IFERROR(F136/E136-1,""),"")</f>
        <v>-0.0369879977138502</v>
      </c>
      <c r="G221" s="25" t="n">
        <f aca="false">IF(AND(ISNUMBER(G136),ISNUMBER(F136)),IFERROR(G136/F136-1,""),"")</f>
        <v>0.0671632194822793</v>
      </c>
      <c r="H221" s="25" t="n">
        <f aca="false">IF(AND(ISNUMBER(H136),ISNUMBER(G136)),IFERROR(H136/G136-1,""),"")</f>
        <v>0.0868686681435205</v>
      </c>
      <c r="I221" s="25" t="n">
        <f aca="false">IF(AND(ISNUMBER(I136),ISNUMBER(H136)),IFERROR(I136/H136-1,""),"")</f>
        <v>0.0668605394895061</v>
      </c>
      <c r="J221" s="24"/>
      <c r="K221" s="24"/>
      <c r="L221" s="24"/>
      <c r="M221" s="24"/>
      <c r="N221" s="25" t="n">
        <f aca="false">IF(AND(ISNUMBER(N136),ISNUMBER(I136)),IFERROR(N136/I136-1,""),"")</f>
        <v>0.0463952549580733</v>
      </c>
      <c r="O221" s="25" t="n">
        <f aca="false">IF(AND(ISNUMBER(O136),ISNUMBER(J136)),IFERROR(O136/J136-1,""),"")</f>
        <v>0.223092589691368</v>
      </c>
      <c r="P221" s="25" t="n">
        <f aca="false">IF(AND(ISNUMBER(P136),ISNUMBER(K136)),IFERROR(P136/K136-1,""),"")</f>
        <v>0.333878583994321</v>
      </c>
      <c r="Q221" s="25" t="n">
        <f aca="false">IF(AND(ISNUMBER(Q136),ISNUMBER(L136)),IFERROR(Q136/L136-1,""),"")</f>
        <v>0.306911460617833</v>
      </c>
      <c r="R221" s="25" t="n">
        <f aca="false">IF(AND(ISNUMBER(R136),ISNUMBER(M136)),IFERROR(R136/M136-1,""),"")</f>
        <v>0.295912775101676</v>
      </c>
      <c r="S221" s="25" t="n">
        <f aca="false">IF(AND(ISNUMBER(S136),ISNUMBER(N136)),IFERROR(S136/N136-1,""),"")</f>
        <v>0.290237809675867</v>
      </c>
      <c r="T221" s="25" t="n">
        <f aca="false">IF(AND(ISNUMBER(T136),ISNUMBER(O136)),IFERROR(T136/O136-1,""),"")</f>
        <v>0.00391955936979649</v>
      </c>
      <c r="U221" s="25" t="n">
        <f aca="false">IF(AND(ISNUMBER(U136),ISNUMBER(P136)),IFERROR(U136/P136-1,""),"")</f>
        <v>-0.0118003655799532</v>
      </c>
      <c r="V221" s="25" t="n">
        <f aca="false">IF(AND(ISNUMBER(V136),ISNUMBER(Q136)),IFERROR(V136/Q136-1,""),"")</f>
        <v>-0.0115548736635182</v>
      </c>
      <c r="W221" s="25" t="n">
        <f aca="false">IF(AND(ISNUMBER(W136),ISNUMBER(R136)),IFERROR(W136/R136-1,""),"")</f>
        <v>0.035545762108262</v>
      </c>
      <c r="X221" s="25" t="n">
        <f aca="false">IF(AND(ISNUMBER(X136),ISNUMBER(S136)),IFERROR(X136/S136-1,""),"")</f>
        <v>0.00448796892762426</v>
      </c>
      <c r="Y221" s="25" t="n">
        <f aca="false">IF(AND(ISNUMBER(Y136),ISNUMBER(T136)),IFERROR(Y136/T136-1,""),"")</f>
        <v>0.0959477391038073</v>
      </c>
      <c r="Z221" s="25" t="n">
        <f aca="false">IF(AND(ISNUMBER(Z136),ISNUMBER(U136)),IFERROR(Z136/U136-1,""),"")</f>
        <v>0.0618839120560071</v>
      </c>
      <c r="AA221" s="25" t="n">
        <f aca="false">IF(AND(ISNUMBER(AA136),ISNUMBER(V136)),IFERROR(AA136/V136-1,""),"")</f>
        <v>0.0891783081102056</v>
      </c>
      <c r="AB221" s="25" t="n">
        <f aca="false">IF(AND(ISNUMBER(AB136),ISNUMBER(W136)),IFERROR(AB136/W136-1,""),"")</f>
        <v>0.064631918323482</v>
      </c>
      <c r="AC221" s="25" t="n">
        <f aca="false">IF(AND(ISNUMBER(AC136),ISNUMBER(X136)),IFERROR(AC136/X136-1,""),"")</f>
        <v>0.0771393542150494</v>
      </c>
      <c r="AD221" s="25" t="n">
        <f aca="false">IF(AND(ISNUMBER(AD136),ISNUMBER(Y136)),IFERROR(AD136/Y136-1,""),"")</f>
        <v>0.109481233119121</v>
      </c>
      <c r="AE221" s="25" t="n">
        <f aca="false">IF(AND(ISNUMBER(AE136),ISNUMBER(Z136)),IFERROR(AE136/Z136-1,""),"")</f>
        <v>0.100282236726054</v>
      </c>
      <c r="AF221" s="25" t="n">
        <f aca="false">IF(AND(ISNUMBER(AF136),ISNUMBER(AA136)),IFERROR(AF136/AA136-1,""),"")</f>
        <v>0.13923712396179</v>
      </c>
      <c r="AG221" s="25" t="n">
        <f aca="false">IF(AND(ISNUMBER(AG136),ISNUMBER(AB136)),IFERROR(AG136/AB136-1,""),"")</f>
        <v>0.220826940159897</v>
      </c>
      <c r="AH221" s="25" t="n">
        <f aca="false">IF(AND(ISNUMBER(AH136),ISNUMBER(AC136)),IFERROR(AH136/AC136-1,""),"")</f>
        <v>0.14468017576789</v>
      </c>
      <c r="AI221" s="25" t="n">
        <f aca="false">IF(AND(ISNUMBER(AI136),ISNUMBER(AD136)),IFERROR(AI136/AD136-1,""),"")</f>
        <v>0.228331584470094</v>
      </c>
      <c r="AJ221" s="25" t="n">
        <f aca="false">IF(AND(ISNUMBER(AJ136),ISNUMBER(AE136)),IFERROR(AJ136/AE136-1,""),"")</f>
        <v>0.218036072144289</v>
      </c>
      <c r="AK221" s="25" t="n">
        <f aca="false">IF(AND(ISNUMBER(AK136),ISNUMBER(AF136)),IFERROR(AK136/AF136-1,""),"")</f>
        <v>0.157108791681326</v>
      </c>
      <c r="AL221" s="25" t="n">
        <f aca="false">IF(AND(ISNUMBER(AL136),ISNUMBER(AG136)),IFERROR(AL136/AG136-1,""),"")</f>
        <v>0.0760707788986275</v>
      </c>
      <c r="AM221" s="25" t="n">
        <f aca="false">IF(AND(ISNUMBER(AM136),ISNUMBER(AH136)),IFERROR(AM136/AH136-1,""),"")</f>
        <v>0.164451668419543</v>
      </c>
      <c r="AN221" s="25" t="n">
        <f aca="false">IF(AND(ISNUMBER(AN136),ISNUMBER(AI136)),IFERROR(AN136/AI136-1,""),"")</f>
        <v>0.0464718947548266</v>
      </c>
      <c r="AO221" s="25" t="n">
        <f aca="false">IF(AND(ISNUMBER(AO136),ISNUMBER(AJ136)),IFERROR(AO136/AJ136-1,""),"")</f>
        <v>0.0391576176373807</v>
      </c>
      <c r="AP221" s="25" t="n">
        <f aca="false">IF(AND(ISNUMBER(AP136),ISNUMBER(AK136)),IFERROR(AP136/AK136-1,""),"")</f>
        <v>0.0594594594594595</v>
      </c>
      <c r="AQ221" s="25" t="n">
        <f aca="false">IF(AND(ISNUMBER(AQ136),ISNUMBER(AL136)),IFERROR(AQ136/AL136-1,""),"")</f>
        <v>0.0494851698171199</v>
      </c>
      <c r="AR221" s="25" t="n">
        <f aca="false">IF(AND(ISNUMBER(AR136),ISNUMBER(AM136)),IFERROR(AR136/AM136-1,""),"")</f>
        <v>0.0486082601198785</v>
      </c>
      <c r="AS221" s="25" t="n">
        <f aca="false">IF(AND(ISNUMBER(AS136),ISNUMBER(AN136)),IFERROR(AS136/AN136-1,""),"")</f>
        <v>0.0171428571428571</v>
      </c>
      <c r="AT221" s="25" t="n">
        <f aca="false">IF(AND(ISNUMBER(AT136),ISNUMBER(AO136)),IFERROR(AT136/AO136-1,""),"")</f>
        <v>0.0951551614946169</v>
      </c>
      <c r="AU221" s="25" t="n">
        <f aca="false">IF(AND(ISNUMBER(AU136),ISNUMBER(AP136)),IFERROR(AU136/AP136-1,""),"")</f>
        <v>0.358577806122449</v>
      </c>
      <c r="AV221" s="25" t="n">
        <f aca="false">IF(AND(ISNUMBER(AV136),ISNUMBER(AQ136)),IFERROR(AV136/AQ136-1,""),"")</f>
        <v>0.544882120369014</v>
      </c>
      <c r="AW221" s="25" t="n">
        <f aca="false">IF(AND(ISNUMBER(AW136),ISNUMBER(AR136)),IFERROR(AW136/AR136-1,""),"")</f>
        <v>0.261373424164122</v>
      </c>
      <c r="AX221" s="25" t="n">
        <f aca="false">IF(AND(ISNUMBER(AX136),ISNUMBER(AS136)),IFERROR(AX136/AS136-1,""),"")</f>
        <v>0.590048154093098</v>
      </c>
      <c r="AY221" s="25" t="n">
        <f aca="false">IF(AND(ISNUMBER(AY136),ISNUMBER(AT136)),IFERROR(AY136/AT136-1,""),"")</f>
        <v>0.340610091079948</v>
      </c>
      <c r="AZ221" s="25" t="n">
        <f aca="false">IF(AND(ISNUMBER(AZ136),ISNUMBER(AU136)),IFERROR(AZ136/AU136-1,""),"")</f>
        <v>0.094941908226734</v>
      </c>
      <c r="BA221" s="25" t="n">
        <f aca="false">IF(AND(ISNUMBER(BA136),ISNUMBER(AV136)),IFERROR(BA136/AV136-1,""),"")</f>
        <v>0.0144075829383887</v>
      </c>
      <c r="BB221" s="25" t="n">
        <f aca="false">IF(AND(ISNUMBER(BB136),ISNUMBER(AW136)),IFERROR(BB136/AW136-1,""),"")</f>
        <v>0.217052579303495</v>
      </c>
      <c r="BC221" s="25" t="n">
        <f aca="false">IF(AND(ISNUMBER(BC136),ISNUMBER(AX136)),IFERROR(BC136/AX136-1,""),"")</f>
        <v>0.193014334746618</v>
      </c>
      <c r="BD221" s="25" t="n">
        <f aca="false">IF(AND(ISNUMBER(BD136),ISNUMBER(AY136)),IFERROR(BD136/AY136-1,""),"")</f>
        <v>0.183004421438585</v>
      </c>
      <c r="BE221" s="25" t="n">
        <f aca="false">IF(AND(ISNUMBER(BE136),ISNUMBER(AZ136)),IFERROR(BE136/AZ136-1,""),"")</f>
        <v>0.144372990353698</v>
      </c>
      <c r="BF221" s="25" t="n">
        <f aca="false">IF(AND(ISNUMBER(BF136),ISNUMBER(BA136)),IFERROR(BF136/BA136-1,""),"")</f>
        <v>0.0698934778546065</v>
      </c>
      <c r="BG221" s="25" t="n">
        <f aca="false">IF(AND(ISNUMBER(BG136),ISNUMBER(BB136)),IFERROR(BG136/BB136-1,""),"")</f>
        <v>0.145469383591339</v>
      </c>
      <c r="BH221" s="25" t="n">
        <f aca="false">IF(AND(ISNUMBER(BH136),ISNUMBER(BC136)),IFERROR(BH136/BC136-1,""),"")</f>
        <v>-0.0937552885429006</v>
      </c>
      <c r="BI221" s="25" t="n">
        <f aca="false">IF(AND(ISNUMBER(BI136),ISNUMBER(BD136)),IFERROR(BI136/BD136-1,""),"")</f>
        <v>-0.0257976298997266</v>
      </c>
      <c r="BJ221" s="25" t="n">
        <f aca="false">IF(AND(ISNUMBER(BJ136),ISNUMBER(BE136)),IFERROR(BJ136/BE136-1,""),"")</f>
        <v>-0.00964690456120632</v>
      </c>
      <c r="BK221" s="25" t="n">
        <f aca="false">IF(AND(ISNUMBER(BK136),ISNUMBER(BF136)),IFERROR(BK136/BF136-1,""),"")</f>
        <v>-0.0492576419213974</v>
      </c>
      <c r="BL221" s="25" t="n">
        <f aca="false">IF(AND(ISNUMBER(BL136),ISNUMBER(BG136)),IFERROR(BL136/BG136-1,""),"")</f>
        <v>-0.0458198819993321</v>
      </c>
      <c r="BM221" s="25" t="n">
        <f aca="false">IF(AND(ISNUMBER(BM136),ISNUMBER(BH136)),IFERROR(BM136/BH136-1,""),"")</f>
        <v>-0.0340802987861811</v>
      </c>
      <c r="BN221" s="25" t="n">
        <f aca="false">IF(AND(ISNUMBER(BN136),ISNUMBER(BI136)),IFERROR(BN136/BI136-1,""),"")</f>
        <v>-0.0136614578459811</v>
      </c>
      <c r="BO221" s="25" t="n">
        <f aca="false">IF(AND(ISNUMBER(BO136),ISNUMBER(BJ136)),IFERROR(BO136/BJ136-1,""),"")</f>
        <v>0.00226971817665977</v>
      </c>
      <c r="BP221" s="25" t="n">
        <f aca="false">IF(AND(ISNUMBER(BP136),ISNUMBER(BK136)),IFERROR(BP136/BK136-1,""),"")</f>
        <v>0.0467573029579276</v>
      </c>
      <c r="BQ221" s="25" t="n">
        <f aca="false">IF(AND(ISNUMBER(BQ136),ISNUMBER(BL136)),IFERROR(BQ136/BL136-1,""),"")</f>
        <v>0.000513335044450169</v>
      </c>
      <c r="BR221" s="25" t="n">
        <f aca="false">IF(AND(ISNUMBER(BR136),ISNUMBER(BM136)),IFERROR(BR136/BM136-1,""),"")</f>
        <v>0.00183663605606577</v>
      </c>
      <c r="BS221" s="25" t="n">
        <f aca="false">IF(AND(ISNUMBER(BS136),ISNUMBER(BN136)),IFERROR(BS136/BN136-1,""),"")</f>
        <v>0.0297884451190589</v>
      </c>
      <c r="BT221" s="25" t="n">
        <f aca="false">IF(AND(ISNUMBER(BT136),ISNUMBER(BO136)),IFERROR(BT136/BO136-1,""),"")</f>
        <v>0.0494432911870164</v>
      </c>
      <c r="BU221" s="25" t="n">
        <f aca="false">IF(AND(ISNUMBER(BU136),ISNUMBER(BP136)),IFERROR(BU136/BP136-1,""),"")</f>
        <v>0.0719613865730584</v>
      </c>
      <c r="BV221" s="25" t="n">
        <f aca="false">IF(AND(ISNUMBER(BV136),ISNUMBER(BQ136)),IFERROR(BV136/BQ136-1,""),"")</f>
        <v>0.0391100538725251</v>
      </c>
      <c r="BW221" s="25" t="n">
        <f aca="false">IF(AND(ISNUMBER(BW136),ISNUMBER(BR136)),IFERROR(BW136/BR136-1,""),"")</f>
        <v>0.0618487070629101</v>
      </c>
      <c r="BX221" s="25" t="n">
        <f aca="false">IF(AND(ISNUMBER(BX136),ISNUMBER(BS136)),IFERROR(BX136/BS136-1,""),"")</f>
        <v>0.104928604329802</v>
      </c>
      <c r="BY221" s="26" t="n">
        <f aca="false">IFERROR(BY136/BT136-1,"")</f>
        <v>0.074548857314394</v>
      </c>
      <c r="BZ221" s="26" t="n">
        <f aca="false">IFERROR(BZ136/BU136-1,"")</f>
        <v>0.0477173646294973</v>
      </c>
      <c r="CA221" s="26" t="n">
        <f aca="false">IFERROR(CA136/BV136-1,"")</f>
        <v>0.0716850704731122</v>
      </c>
      <c r="CB221" s="26" t="n">
        <f aca="false">IFERROR(CB136/CA136-1,"")</f>
        <v>0.0610230200219808</v>
      </c>
      <c r="CC221" s="26" t="n">
        <f aca="false">IFERROR(CC136/CB136-1,"")</f>
        <v>0.0757775510676426</v>
      </c>
      <c r="CD221" s="26" t="n">
        <f aca="false">IFERROR(CD136/CC136-1,"")</f>
        <v>0.0757653532138163</v>
      </c>
      <c r="CE221" s="26" t="n">
        <f aca="false">IFERROR(CE136/CD136-1,"")</f>
        <v>0.0747227781960915</v>
      </c>
      <c r="CF221" s="21"/>
    </row>
    <row r="222" customFormat="false" ht="15" hidden="false" customHeight="false" outlineLevel="0" collapsed="false">
      <c r="B222" s="23" t="s">
        <v>385</v>
      </c>
      <c r="C222" s="25" t="n">
        <f aca="false">C109</f>
        <v>0</v>
      </c>
      <c r="D222" s="25" t="n">
        <f aca="false">D109</f>
        <v>0</v>
      </c>
      <c r="E222" s="25" t="n">
        <f aca="false">E109</f>
        <v>0</v>
      </c>
      <c r="F222" s="25" t="n">
        <f aca="false">F109</f>
        <v>0</v>
      </c>
      <c r="G222" s="25" t="n">
        <f aca="false">G109</f>
        <v>0</v>
      </c>
      <c r="H222" s="25" t="n">
        <f aca="false">H109</f>
        <v>0</v>
      </c>
      <c r="I222" s="25" t="n">
        <f aca="false">I109</f>
        <v>0.04</v>
      </c>
      <c r="J222" s="25" t="n">
        <f aca="false">J109</f>
        <v>0.03</v>
      </c>
      <c r="K222" s="25" t="n">
        <f aca="false">K109</f>
        <v>0.02</v>
      </c>
      <c r="L222" s="25" t="n">
        <f aca="false">L109</f>
        <v>0.02</v>
      </c>
      <c r="M222" s="25" t="n">
        <f aca="false">M109</f>
        <v>0</v>
      </c>
      <c r="N222" s="25" t="n">
        <f aca="false">N109</f>
        <v>0.03</v>
      </c>
      <c r="O222" s="25" t="n">
        <f aca="false">O109</f>
        <v>0.02</v>
      </c>
      <c r="P222" s="25" t="n">
        <f aca="false">P109</f>
        <v>0.05</v>
      </c>
      <c r="Q222" s="25" t="n">
        <f aca="false">Q109</f>
        <v>0.04</v>
      </c>
      <c r="R222" s="25" t="n">
        <f aca="false">R109</f>
        <v>0.06</v>
      </c>
      <c r="S222" s="25" t="n">
        <f aca="false">S109</f>
        <v>0.04</v>
      </c>
      <c r="T222" s="25" t="n">
        <f aca="false">T109</f>
        <v>0.02</v>
      </c>
      <c r="U222" s="25" t="n">
        <f aca="false">U109</f>
        <v>0.06</v>
      </c>
      <c r="V222" s="25" t="n">
        <f aca="false">V109</f>
        <v>0.04</v>
      </c>
      <c r="W222" s="25" t="n">
        <f aca="false">W109</f>
        <v>0.07</v>
      </c>
      <c r="X222" s="25" t="n">
        <f aca="false">X109</f>
        <v>0.05</v>
      </c>
      <c r="Y222" s="25" t="n">
        <f aca="false">Y109</f>
        <v>0.1</v>
      </c>
      <c r="Z222" s="25" t="n">
        <f aca="false">Z109</f>
        <v>0.04</v>
      </c>
      <c r="AA222" s="25" t="n">
        <f aca="false">AA109</f>
        <v>0.04</v>
      </c>
      <c r="AB222" s="25" t="n">
        <f aca="false">AB109</f>
        <v>0</v>
      </c>
      <c r="AC222" s="25" t="n">
        <f aca="false">AC109</f>
        <v>0.04</v>
      </c>
      <c r="AD222" s="25" t="n">
        <f aca="false">AD109</f>
        <v>0.04</v>
      </c>
      <c r="AE222" s="25" t="n">
        <f aca="false">AE109</f>
        <v>0.04</v>
      </c>
      <c r="AF222" s="25" t="n">
        <f aca="false">AF109</f>
        <v>0.05</v>
      </c>
      <c r="AG222" s="25" t="n">
        <f aca="false">AG109</f>
        <v>0.08</v>
      </c>
      <c r="AH222" s="25" t="n">
        <f aca="false">AH109</f>
        <v>0.05</v>
      </c>
      <c r="AI222" s="25" t="n">
        <f aca="false">AI109</f>
        <v>0.07</v>
      </c>
      <c r="AJ222" s="25" t="n">
        <f aca="false">AJ109</f>
        <v>0.08</v>
      </c>
      <c r="AK222" s="25" t="n">
        <f aca="false">AK109</f>
        <v>0.1</v>
      </c>
      <c r="AL222" s="25" t="n">
        <f aca="false">AL109</f>
        <v>0.08</v>
      </c>
      <c r="AM222" s="25" t="n">
        <f aca="false">AM109</f>
        <v>0.08</v>
      </c>
      <c r="AN222" s="25" t="n">
        <f aca="false">AN109</f>
        <v>0.07</v>
      </c>
      <c r="AO222" s="25" t="n">
        <f aca="false">AO109</f>
        <v>0.05</v>
      </c>
      <c r="AP222" s="25" t="n">
        <f aca="false">AP109</f>
        <v>0.07</v>
      </c>
      <c r="AQ222" s="25" t="n">
        <f aca="false">AQ109</f>
        <v>0.05</v>
      </c>
      <c r="AR222" s="25" t="n">
        <f aca="false">AR109</f>
        <v>0.06</v>
      </c>
      <c r="AS222" s="25" t="n">
        <f aca="false">AS109</f>
        <v>0.02</v>
      </c>
      <c r="AT222" s="25" t="n">
        <f aca="false">AT109</f>
        <v>0.11</v>
      </c>
      <c r="AU222" s="25" t="n">
        <f aca="false">AU109</f>
        <v>0.34</v>
      </c>
      <c r="AV222" s="25" t="n">
        <f aca="false">AV109</f>
        <v>0.51</v>
      </c>
      <c r="AW222" s="25" t="n">
        <f aca="false">AW109</f>
        <v>0.25</v>
      </c>
      <c r="AX222" s="25" t="n">
        <f aca="false">AX109</f>
        <v>0.53</v>
      </c>
      <c r="AY222" s="25" t="n">
        <f aca="false">AY109</f>
        <v>0.28</v>
      </c>
      <c r="AZ222" s="25" t="n">
        <f aca="false">AZ109</f>
        <v>0.07</v>
      </c>
      <c r="BA222" s="25" t="n">
        <f aca="false">BA109</f>
        <v>-0.04</v>
      </c>
      <c r="BB222" s="25" t="n">
        <f aca="false">BB109</f>
        <v>0.17</v>
      </c>
      <c r="BC222" s="25" t="n">
        <f aca="false">BC109</f>
        <v>0.03</v>
      </c>
      <c r="BD222" s="25" t="n">
        <f aca="false">BD109</f>
        <v>0.03</v>
      </c>
      <c r="BE222" s="25" t="n">
        <f aca="false">BE109</f>
        <v>-0.01</v>
      </c>
      <c r="BF222" s="25" t="n">
        <f aca="false">BF109</f>
        <v>-0.03</v>
      </c>
      <c r="BG222" s="25" t="n">
        <f aca="false">BG109</f>
        <v>0</v>
      </c>
      <c r="BH222" s="25" t="n">
        <f aca="false">BH109</f>
        <v>-0.08</v>
      </c>
      <c r="BI222" s="25" t="n">
        <f aca="false">BI109</f>
        <v>-0.03</v>
      </c>
      <c r="BJ222" s="25" t="n">
        <f aca="false">BJ109</f>
        <v>-0.03</v>
      </c>
      <c r="BK222" s="25" t="n">
        <f aca="false">BK109</f>
        <v>-0.07</v>
      </c>
      <c r="BL222" s="25" t="n">
        <f aca="false">BL109</f>
        <v>-0.05</v>
      </c>
      <c r="BM222" s="25" t="n">
        <f aca="false">BM109</f>
        <v>-0.04</v>
      </c>
      <c r="BN222" s="25" t="n">
        <f aca="false">BN109</f>
        <v>-0.01</v>
      </c>
      <c r="BO222" s="25" t="n">
        <f aca="false">BO109</f>
        <v>0</v>
      </c>
      <c r="BP222" s="25" t="n">
        <f aca="false">BP109</f>
        <v>0.04</v>
      </c>
      <c r="BQ222" s="25" t="n">
        <f aca="false">BQ109</f>
        <v>0</v>
      </c>
      <c r="BR222" s="25" t="n">
        <f aca="false">BR109</f>
        <v>0.01</v>
      </c>
      <c r="BS222" s="25" t="n">
        <f aca="false">BS109</f>
        <v>0.02</v>
      </c>
      <c r="BT222" s="25" t="n">
        <f aca="false">BT109</f>
        <v>0.03</v>
      </c>
      <c r="BU222" s="25" t="n">
        <f aca="false">BU109</f>
        <v>0.03</v>
      </c>
      <c r="BV222" s="25" t="n">
        <f aca="false">BV109</f>
        <v>0.02</v>
      </c>
      <c r="BW222" s="25" t="n">
        <f aca="false">BW109</f>
        <v>0.01</v>
      </c>
      <c r="BX222" s="25" t="n">
        <f aca="false">BX109</f>
        <v>0.05</v>
      </c>
      <c r="BY222" s="26" t="n">
        <f aca="false">BY109</f>
        <v>0.0405196714464984</v>
      </c>
      <c r="BZ222" s="26" t="n">
        <f aca="false">BZ109</f>
        <v>0.0405696023461512</v>
      </c>
      <c r="CA222" s="26" t="n">
        <f aca="false">CA109</f>
        <v>0.0369472676762779</v>
      </c>
      <c r="CB222" s="26" t="n">
        <f aca="false">CB109</f>
        <v>0.0544090846626542</v>
      </c>
      <c r="CC222" s="26" t="n">
        <f aca="false">CC109</f>
        <v>0.0595096171053843</v>
      </c>
      <c r="CD222" s="26" t="n">
        <f aca="false">CD109</f>
        <v>0.0606620885151947</v>
      </c>
      <c r="CE222" s="26" t="n">
        <f aca="false">CE109</f>
        <v>0.0606945646482744</v>
      </c>
      <c r="CF222" s="21"/>
    </row>
    <row r="223" customFormat="false" ht="15" hidden="false" customHeight="false" outlineLevel="0" collapsed="false">
      <c r="B223" s="23" t="s">
        <v>386</v>
      </c>
      <c r="C223" s="24"/>
      <c r="D223" s="25" t="n">
        <f aca="false">IF(AND(ISNUMBER(D186),ISNUMBER(C186)),IFERROR(D186/C186-1,""),"")</f>
        <v>1.85737227882814</v>
      </c>
      <c r="E223" s="25" t="n">
        <f aca="false">IF(AND(ISNUMBER(E186),ISNUMBER(D186)),IFERROR(E186/D186-1,""),"")</f>
        <v>0.141853503573831</v>
      </c>
      <c r="F223" s="25" t="n">
        <f aca="false">IF(AND(ISNUMBER(F186),ISNUMBER(E186)),IFERROR(F186/E186-1,""),"")</f>
        <v>-0.0824995987373601</v>
      </c>
      <c r="G223" s="25" t="n">
        <f aca="false">IF(AND(ISNUMBER(G186),ISNUMBER(F186)),IFERROR(G186/F186-1,""),"")</f>
        <v>0.117266312904541</v>
      </c>
      <c r="H223" s="25" t="n">
        <f aca="false">IF(AND(ISNUMBER(H186),ISNUMBER(G186)),IFERROR(H186/G186-1,""),"")</f>
        <v>0.110542797494781</v>
      </c>
      <c r="I223" s="25" t="n">
        <f aca="false">IF(AND(ISNUMBER(I186),ISNUMBER(H186)),IFERROR(I186/H186-1,""),"")</f>
        <v>0.118479180374094</v>
      </c>
      <c r="J223" s="24"/>
      <c r="K223" s="24"/>
      <c r="L223" s="24"/>
      <c r="M223" s="24"/>
      <c r="N223" s="25" t="n">
        <f aca="false">IF(AND(ISNUMBER(N186),ISNUMBER(I186)),IFERROR(N186/I186-1,""),"")</f>
        <v>0.0725240556325897</v>
      </c>
      <c r="O223" s="25" t="n">
        <f aca="false">IF(AND(ISNUMBER(O186),ISNUMBER(J186)),IFERROR(O186/J186-1,""),"")</f>
        <v>0.350186961469679</v>
      </c>
      <c r="P223" s="25" t="n">
        <f aca="false">IF(AND(ISNUMBER(P186),ISNUMBER(K186)),IFERROR(P186/K186-1,""),"")</f>
        <v>0.480602757294004</v>
      </c>
      <c r="Q223" s="25" t="n">
        <f aca="false">IF(AND(ISNUMBER(Q186),ISNUMBER(L186)),IFERROR(Q186/L186-1,""),"")</f>
        <v>0.477236034872457</v>
      </c>
      <c r="R223" s="25" t="n">
        <f aca="false">IF(AND(ISNUMBER(R186),ISNUMBER(M186)),IFERROR(R186/M186-1,""),"")</f>
        <v>0.47752808988764</v>
      </c>
      <c r="S223" s="25" t="n">
        <f aca="false">IF(AND(ISNUMBER(S186),ISNUMBER(N186)),IFERROR(S186/N186-1,""),"")</f>
        <v>0.447522037218413</v>
      </c>
      <c r="T223" s="25" t="n">
        <f aca="false">IF(AND(ISNUMBER(T186),ISNUMBER(O186)),IFERROR(T186/O186-1,""),"")</f>
        <v>0.0314268512944012</v>
      </c>
      <c r="U223" s="25" t="n">
        <f aca="false">IF(AND(ISNUMBER(U186),ISNUMBER(P186)),IFERROR(U186/P186-1,""),"")</f>
        <v>0.0289086184495446</v>
      </c>
      <c r="V223" s="25" t="n">
        <f aca="false">IF(AND(ISNUMBER(V186),ISNUMBER(Q186)),IFERROR(V186/Q186-1,""),"")</f>
        <v>0.0204371584699457</v>
      </c>
      <c r="W223" s="25" t="n">
        <f aca="false">IF(AND(ISNUMBER(W186),ISNUMBER(R186)),IFERROR(W186/R186-1,""),"")</f>
        <v>0.0540118943160766</v>
      </c>
      <c r="X223" s="25" t="n">
        <f aca="false">IF(AND(ISNUMBER(X186),ISNUMBER(S186)),IFERROR(X186/S186-1,""),"")</f>
        <v>0.0343455667424499</v>
      </c>
      <c r="Y223" s="25" t="n">
        <f aca="false">IF(AND(ISNUMBER(Y186),ISNUMBER(T186)),IFERROR(Y186/T186-1,""),"")</f>
        <v>0.0856876021480271</v>
      </c>
      <c r="Z223" s="25" t="n">
        <f aca="false">IF(AND(ISNUMBER(Z186),ISNUMBER(U186)),IFERROR(Z186/U186-1,""),"")</f>
        <v>0.0861833105335159</v>
      </c>
      <c r="AA223" s="25" t="n">
        <f aca="false">IF(AND(ISNUMBER(AA186),ISNUMBER(V186)),IFERROR(AA186/V186-1,""),"")</f>
        <v>0.105815572453678</v>
      </c>
      <c r="AB223" s="25" t="n">
        <f aca="false">IF(AND(ISNUMBER(AB186),ISNUMBER(W186)),IFERROR(AB186/W186-1,""),"")</f>
        <v>0.135047636666358</v>
      </c>
      <c r="AC223" s="25" t="n">
        <f aca="false">IF(AND(ISNUMBER(AC186),ISNUMBER(X186)),IFERROR(AC186/X186-1,""),"")</f>
        <v>0.104691629379594</v>
      </c>
      <c r="AD223" s="25" t="n">
        <f aca="false">IF(AND(ISNUMBER(AD186),ISNUMBER(Y186)),IFERROR(AD186/Y186-1,""),"")</f>
        <v>0.156774193548388</v>
      </c>
      <c r="AE223" s="25" t="n">
        <f aca="false">IF(AND(ISNUMBER(AE186),ISNUMBER(Z186)),IFERROR(AE186/Z186-1,""),"")</f>
        <v>0.126138345281923</v>
      </c>
      <c r="AF223" s="25" t="n">
        <f aca="false">IF(AND(ISNUMBER(AF186),ISNUMBER(AA186)),IFERROR(AF186/AA186-1,""),"")</f>
        <v>0.134915254237288</v>
      </c>
      <c r="AG223" s="25" t="n">
        <f aca="false">IF(AND(ISNUMBER(AG186),ISNUMBER(AB186)),IFERROR(AG186/AB186-1,""),"")</f>
        <v>0.181647787466385</v>
      </c>
      <c r="AH223" s="25" t="n">
        <f aca="false">IF(AND(ISNUMBER(AH186),ISNUMBER(AC186)),IFERROR(AH186/AC186-1,""),"")</f>
        <v>0.151167748353783</v>
      </c>
      <c r="AI223" s="25" t="n">
        <f aca="false">IF(AND(ISNUMBER(AI186),ISNUMBER(AD186)),IFERROR(AI186/AD186-1,""),"")</f>
        <v>0.195389477598066</v>
      </c>
      <c r="AJ223" s="25" t="n">
        <f aca="false">IF(AND(ISNUMBER(AJ186),ISNUMBER(AE186)),IFERROR(AJ186/AE186-1,""),"")</f>
        <v>0.20698554714384</v>
      </c>
      <c r="AK223" s="25" t="n">
        <f aca="false">IF(AND(ISNUMBER(AK186),ISNUMBER(AF186)),IFERROR(AK186/AF186-1,""),"")</f>
        <v>0.118791602662571</v>
      </c>
      <c r="AL223" s="25" t="n">
        <f aca="false">IF(AND(ISNUMBER(AL186),ISNUMBER(AG186)),IFERROR(AL186/AG186-1,""),"")</f>
        <v>0.113793103448276</v>
      </c>
      <c r="AM223" s="25" t="n">
        <f aca="false">IF(AND(ISNUMBER(AM186),ISNUMBER(AH186)),IFERROR(AM186/AH186-1,""),"")</f>
        <v>0.155349794238683</v>
      </c>
      <c r="AN223" s="25" t="n">
        <f aca="false">IF(AND(ISNUMBER(AN186),ISNUMBER(AI186)),IFERROR(AN186/AI186-1,""),"")</f>
        <v>0.0653188180404354</v>
      </c>
      <c r="AO223" s="25" t="n">
        <f aca="false">IF(AND(ISNUMBER(AO186),ISNUMBER(AJ186)),IFERROR(AO186/AJ186-1,""),"")</f>
        <v>0.0563079116179615</v>
      </c>
      <c r="AP223" s="25" t="n">
        <f aca="false">IF(AND(ISNUMBER(AP186),ISNUMBER(AK186)),IFERROR(AP186/AK186-1,""),"")</f>
        <v>0.0854309687261632</v>
      </c>
      <c r="AQ223" s="25" t="n">
        <f aca="false">IF(AND(ISNUMBER(AQ186),ISNUMBER(AL186)),IFERROR(AQ186/AL186-1,""),"")</f>
        <v>0.0513931888544892</v>
      </c>
      <c r="AR223" s="25" t="n">
        <f aca="false">IF(AND(ISNUMBER(AR186),ISNUMBER(AM186)),IFERROR(AR186/AM186-1,""),"")</f>
        <v>0.0637577916295637</v>
      </c>
      <c r="AS223" s="25" t="n">
        <f aca="false">IF(AND(ISNUMBER(AS186),ISNUMBER(AN186)),IFERROR(AS186/AN186-1,""),"")</f>
        <v>0.00510948905109498</v>
      </c>
      <c r="AT223" s="25" t="n">
        <f aca="false">IF(AND(ISNUMBER(AT186),ISNUMBER(AO186)),IFERROR(AT186/AO186-1,""),"")</f>
        <v>0.257759784075574</v>
      </c>
      <c r="AU223" s="25" t="n">
        <f aca="false">IF(AND(ISNUMBER(AU186),ISNUMBER(AP186)),IFERROR(AU186/AP186-1,""),"")</f>
        <v>0.969782150386507</v>
      </c>
      <c r="AV223" s="25" t="n">
        <f aca="false">IF(AND(ISNUMBER(AV186),ISNUMBER(AQ186)),IFERROR(AV186/AQ186-1,""),"")</f>
        <v>1.06831566548881</v>
      </c>
      <c r="AW223" s="25" t="n">
        <f aca="false">IF(AND(ISNUMBER(AW186),ISNUMBER(AR186)),IFERROR(AW186/AR186-1,""),"")</f>
        <v>0.599866063954462</v>
      </c>
      <c r="AX223" s="25" t="n">
        <f aca="false">IF(AND(ISNUMBER(AX186),ISNUMBER(AS186)),IFERROR(AX186/AS186-1,""),"")</f>
        <v>1.54901960784314</v>
      </c>
      <c r="AY223" s="25" t="n">
        <f aca="false">IF(AND(ISNUMBER(AY186),ISNUMBER(AT186)),IFERROR(AY186/AT186-1,""),"")</f>
        <v>0.442596566523605</v>
      </c>
      <c r="AZ223" s="25" t="n">
        <f aca="false">IF(AND(ISNUMBER(AZ186),ISNUMBER(AU186)),IFERROR(AZ186/AU186-1,""),"")</f>
        <v>-0.00891901534070638</v>
      </c>
      <c r="BA223" s="25" t="n">
        <f aca="false">IF(AND(ISNUMBER(BA186),ISNUMBER(AV186)),IFERROR(BA186/AV186-1,""),"")</f>
        <v>-0.0999430523917996</v>
      </c>
      <c r="BB223" s="25" t="n">
        <f aca="false">IF(AND(ISNUMBER(BB186),ISNUMBER(AW186)),IFERROR(BB186/AW186-1,""),"")</f>
        <v>0.27019673503558</v>
      </c>
      <c r="BC223" s="25" t="n">
        <f aca="false">IF(AND(ISNUMBER(BC186),ISNUMBER(AX186)),IFERROR(BC186/AX186-1,""),"")</f>
        <v>-0.0170940170940171</v>
      </c>
      <c r="BD223" s="25" t="n">
        <f aca="false">IF(AND(ISNUMBER(BD186),ISNUMBER(AY186)),IFERROR(BD186/AY186-1,""),"")</f>
        <v>-0.0312383785793976</v>
      </c>
      <c r="BE223" s="25" t="n">
        <f aca="false">IF(AND(ISNUMBER(BE186),ISNUMBER(AZ186)),IFERROR(BE186/AZ186-1,""),"")</f>
        <v>-0.146868250539957</v>
      </c>
      <c r="BF223" s="25" t="n">
        <f aca="false">IF(AND(ISNUMBER(BF186),ISNUMBER(BA186)),IFERROR(BF186/BA186-1,""),"")</f>
        <v>-0.190129705789307</v>
      </c>
      <c r="BG223" s="25" t="n">
        <f aca="false">IF(AND(ISNUMBER(BG186),ISNUMBER(BB186)),IFERROR(BG186/BB186-1,""),"")</f>
        <v>-0.0949909375514912</v>
      </c>
      <c r="BH223" s="25" t="n">
        <f aca="false">IF(AND(ISNUMBER(BH186),ISNUMBER(BC186)),IFERROR(BH186/BC186-1,""),"")</f>
        <v>-0.32463768115942</v>
      </c>
      <c r="BI223" s="25" t="n">
        <f aca="false">IF(AND(ISNUMBER(BI186),ISNUMBER(BD186)),IFERROR(BI186/BD186-1,""),"")</f>
        <v>-0.0902111324376199</v>
      </c>
      <c r="BJ223" s="25" t="n">
        <f aca="false">IF(AND(ISNUMBER(BJ186),ISNUMBER(BE186)),IFERROR(BJ186/BE186-1,""),"")</f>
        <v>0.0801687763713079</v>
      </c>
      <c r="BK223" s="25" t="n">
        <f aca="false">IF(AND(ISNUMBER(BK186),ISNUMBER(BF186)),IFERROR(BK186/BF186-1,""),"")</f>
        <v>-0.00390625</v>
      </c>
      <c r="BL223" s="25" t="n">
        <f aca="false">IF(AND(ISNUMBER(BL186),ISNUMBER(BG186)),IFERROR(BL186/BG186-1,""),"")</f>
        <v>-0.106964041875285</v>
      </c>
      <c r="BM223" s="25" t="n">
        <f aca="false">IF(AND(ISNUMBER(BM186),ISNUMBER(BH186)),IFERROR(BM186/BH186-1,""),"")</f>
        <v>-0.0227467811158798</v>
      </c>
      <c r="BN223" s="25" t="n">
        <f aca="false">IF(AND(ISNUMBER(BN186),ISNUMBER(BI186)),IFERROR(BN186/BI186-1,""),"")</f>
        <v>-0.0101265822784811</v>
      </c>
      <c r="BO223" s="25" t="n">
        <f aca="false">IF(AND(ISNUMBER(BO186),ISNUMBER(BJ186)),IFERROR(BO186/BJ186-1,""),"")</f>
        <v>-0.076953125</v>
      </c>
      <c r="BP223" s="25" t="n">
        <f aca="false">IF(AND(ISNUMBER(BP186),ISNUMBER(BK186)),IFERROR(BP186/BK186-1,""),"")</f>
        <v>0.0670588235294118</v>
      </c>
      <c r="BQ223" s="25" t="n">
        <f aca="false">IF(AND(ISNUMBER(BQ186),ISNUMBER(BL186)),IFERROR(BQ186/BL186-1,""),"")</f>
        <v>-0.0104994903160041</v>
      </c>
      <c r="BR223" s="25" t="n">
        <f aca="false">IF(AND(ISNUMBER(BR186),ISNUMBER(BM186)),IFERROR(BR186/BM186-1,""),"")</f>
        <v>-0.00307422046552486</v>
      </c>
      <c r="BS223" s="25" t="n">
        <f aca="false">IF(AND(ISNUMBER(BS186),ISNUMBER(BN186)),IFERROR(BS186/BN186-1,""),"")</f>
        <v>0.0127877237851664</v>
      </c>
      <c r="BT223" s="25" t="n">
        <f aca="false">IF(AND(ISNUMBER(BT186),ISNUMBER(BO186)),IFERROR(BT186/BO186-1,""),"")</f>
        <v>0.0947947524333475</v>
      </c>
      <c r="BU223" s="25" t="n">
        <f aca="false">IF(AND(ISNUMBER(BU186),ISNUMBER(BP186)),IFERROR(BU186/BP186-1,""),"")</f>
        <v>0.057699375229695</v>
      </c>
      <c r="BV223" s="25" t="n">
        <f aca="false">IF(AND(ISNUMBER(BV186),ISNUMBER(BQ186)),IFERROR(BV186/BQ186-1,""),"")</f>
        <v>0.041516431441228</v>
      </c>
      <c r="BW223" s="25" t="n">
        <f aca="false">IF(AND(ISNUMBER(BW186),ISNUMBER(BR186)),IFERROR(BW186/BR186-1,""),"")</f>
        <v>0.0568281938325992</v>
      </c>
      <c r="BX223" s="25" t="n">
        <f aca="false">IF(AND(ISNUMBER(BX186),ISNUMBER(BS186)),IFERROR(BX186/BS186-1,""),"")</f>
        <v>0.150673400673401</v>
      </c>
      <c r="BY223" s="26" t="n">
        <f aca="false">IFERROR(BY186/BT186-1,"")</f>
        <v>0.133073050138189</v>
      </c>
      <c r="BZ223" s="26" t="n">
        <f aca="false">IFERROR(BZ186/BU186-1,"")</f>
        <v>0.0962439260919052</v>
      </c>
      <c r="CA223" s="26" t="n">
        <f aca="false">IFERROR(CA186/BV186-1,"")</f>
        <v>0.109718100890208</v>
      </c>
      <c r="CB223" s="26" t="n">
        <f aca="false">IFERROR(CB186/CA186-1,"")</f>
        <v>0.0771481336216751</v>
      </c>
      <c r="CC223" s="26" t="n">
        <f aca="false">IFERROR(CC186/CB186-1,"")</f>
        <v>0.0941203029248989</v>
      </c>
      <c r="CD223" s="26" t="n">
        <f aca="false">IFERROR(CD186/CC186-1,"")</f>
        <v>0.0940705357783764</v>
      </c>
      <c r="CE223" s="26" t="n">
        <f aca="false">IFERROR(CE186/CD186-1,"")</f>
        <v>0.0923202774627263</v>
      </c>
      <c r="CF223" s="21"/>
    </row>
    <row r="224" customFormat="false" ht="15" hidden="false" customHeight="false" outlineLevel="0" collapsed="false">
      <c r="B224" s="23" t="s">
        <v>387</v>
      </c>
      <c r="C224" s="24"/>
      <c r="D224" s="25" t="n">
        <f aca="false">IF(AND(ISNUMBER(D145),ISNUMBER(C145)),IFERROR(D145/C145-1,""),"")</f>
        <v>3.02712856310365</v>
      </c>
      <c r="E224" s="25" t="n">
        <f aca="false">IF(AND(ISNUMBER(E145),ISNUMBER(D145)),IFERROR(E145/D145-1,""),"")</f>
        <v>0.261699507389167</v>
      </c>
      <c r="F224" s="25" t="n">
        <f aca="false">IF(AND(ISNUMBER(F145),ISNUMBER(E145)),IFERROR(F145/E145-1,""),"")</f>
        <v>-0.146819586790304</v>
      </c>
      <c r="G224" s="25" t="n">
        <f aca="false">IF(AND(ISNUMBER(G145),ISNUMBER(F145)),IFERROR(G145/F145-1,""),"")</f>
        <v>0.205930021927732</v>
      </c>
      <c r="H224" s="25" t="n">
        <f aca="false">IF(AND(ISNUMBER(H145),ISNUMBER(G145)),IFERROR(H145/G145-1,""),"")</f>
        <v>-0.0155743537038493</v>
      </c>
      <c r="I224" s="25" t="n">
        <f aca="false">IF(AND(ISNUMBER(I145),ISNUMBER(H145)),IFERROR(I145/H145-1,""),"")</f>
        <v>0.190250562158687</v>
      </c>
      <c r="J224" s="24"/>
      <c r="K224" s="24"/>
      <c r="L224" s="24"/>
      <c r="M224" s="24"/>
      <c r="N224" s="25" t="n">
        <f aca="false">IF(AND(ISNUMBER(N145),ISNUMBER(I145)),IFERROR(N145/I145-1,""),"")</f>
        <v>0.0860265839012213</v>
      </c>
      <c r="O224" s="25" t="n">
        <f aca="false">IF(AND(ISNUMBER(O145),ISNUMBER(J145)),IFERROR(O145/J145-1,""),"")</f>
        <v>1.26168948592095</v>
      </c>
      <c r="P224" s="25" t="n">
        <f aca="false">IF(AND(ISNUMBER(P145),ISNUMBER(K145)),IFERROR(P145/K145-1,""),"")</f>
        <v>-0.0727224294086313</v>
      </c>
      <c r="Q224" s="25" t="n">
        <f aca="false">IF(AND(ISNUMBER(Q145),ISNUMBER(L145)),IFERROR(Q145/L145-1,""),"")</f>
        <v>0.633001785258862</v>
      </c>
      <c r="R224" s="25" t="n">
        <f aca="false">IF(AND(ISNUMBER(R145),ISNUMBER(M145)),IFERROR(R145/M145-1,""),"")</f>
        <v>0.404615384615384</v>
      </c>
      <c r="S224" s="25" t="n">
        <f aca="false">IF(AND(ISNUMBER(S145),ISNUMBER(N145)),IFERROR(S145/N145-1,""),"")</f>
        <v>0.555044731610338</v>
      </c>
      <c r="T224" s="25" t="n">
        <f aca="false">IF(AND(ISNUMBER(T145),ISNUMBER(O145)),IFERROR(T145/O145-1,""),"")</f>
        <v>-0.4434037692747</v>
      </c>
      <c r="U224" s="25" t="n">
        <f aca="false">IF(AND(ISNUMBER(U145),ISNUMBER(P145)),IFERROR(U145/P145-1,""),"")</f>
        <v>0.711577133007755</v>
      </c>
      <c r="V224" s="25" t="n">
        <f aca="false">IF(AND(ISNUMBER(V145),ISNUMBER(Q145)),IFERROR(V145/Q145-1,""),"")</f>
        <v>-0.120880837107605</v>
      </c>
      <c r="W224" s="25" t="n">
        <f aca="false">IF(AND(ISNUMBER(W145),ISNUMBER(R145)),IFERROR(W145/R145-1,""),"")</f>
        <v>0.0799561883899225</v>
      </c>
      <c r="X224" s="25" t="n">
        <f aca="false">IF(AND(ISNUMBER(X145),ISNUMBER(S145)),IFERROR(X145/S145-1,""),"")</f>
        <v>-0.0666400319616444</v>
      </c>
      <c r="Y224" s="25" t="n">
        <f aca="false">IF(AND(ISNUMBER(Y145),ISNUMBER(T145)),IFERROR(Y145/T145-1,""),"")</f>
        <v>0.062794992817566</v>
      </c>
      <c r="Z224" s="25" t="n">
        <f aca="false">IF(AND(ISNUMBER(Z145),ISNUMBER(U145)),IFERROR(Z145/U145-1,""),"")</f>
        <v>0.0701577710641159</v>
      </c>
      <c r="AA224" s="25" t="n">
        <f aca="false">IF(AND(ISNUMBER(AA145),ISNUMBER(V145)),IFERROR(AA145/V145-1,""),"")</f>
        <v>-0.0387280156333285</v>
      </c>
      <c r="AB224" s="25" t="n">
        <f aca="false">IF(AND(ISNUMBER(AB145),ISNUMBER(W145)),IFERROR(AB145/W145-1,""),"")</f>
        <v>0.0904085772239933</v>
      </c>
      <c r="AC224" s="25" t="n">
        <f aca="false">IF(AND(ISNUMBER(AC145),ISNUMBER(X145)),IFERROR(AC145/X145-1,""),"")</f>
        <v>0.0483691464771827</v>
      </c>
      <c r="AD224" s="25" t="n">
        <f aca="false">IF(AND(ISNUMBER(AD145),ISNUMBER(Y145)),IFERROR(AD145/Y145-1,""),"")</f>
        <v>0.201776404711335</v>
      </c>
      <c r="AE224" s="25" t="n">
        <f aca="false">IF(AND(ISNUMBER(AE145),ISNUMBER(Z145)),IFERROR(AE145/Z145-1,""),"")</f>
        <v>0.178638644918445</v>
      </c>
      <c r="AF224" s="25" t="n">
        <f aca="false">IF(AND(ISNUMBER(AF145),ISNUMBER(AA145)),IFERROR(AF145/AA145-1,""),"")</f>
        <v>0.175753095546111</v>
      </c>
      <c r="AG224" s="25" t="n">
        <f aca="false">IF(AND(ISNUMBER(AG145),ISNUMBER(AB145)),IFERROR(AG145/AB145-1,""),"")</f>
        <v>0.272920542120649</v>
      </c>
      <c r="AH224" s="25" t="n">
        <f aca="false">IF(AND(ISNUMBER(AH145),ISNUMBER(AC145)),IFERROR(AH145/AC145-1,""),"")</f>
        <v>0.211824269149111</v>
      </c>
      <c r="AI224" s="25" t="n">
        <f aca="false">IF(AND(ISNUMBER(AI145),ISNUMBER(AD145)),IFERROR(AI145/AD145-1,""),"")</f>
        <v>0.262853470437017</v>
      </c>
      <c r="AJ224" s="25" t="n">
        <f aca="false">IF(AND(ISNUMBER(AJ145),ISNUMBER(AE145)),IFERROR(AJ145/AE145-1,""),"")</f>
        <v>0.246839654025283</v>
      </c>
      <c r="AK224" s="25" t="n">
        <f aca="false">IF(AND(ISNUMBER(AK145),ISNUMBER(AF145)),IFERROR(AK145/AF145-1,""),"")</f>
        <v>0.433511474379126</v>
      </c>
      <c r="AL224" s="25" t="n">
        <f aca="false">IF(AND(ISNUMBER(AL145),ISNUMBER(AG145)),IFERROR(AL145/AG145-1,""),"")</f>
        <v>0.198329853862213</v>
      </c>
      <c r="AM224" s="25" t="n">
        <f aca="false">IF(AND(ISNUMBER(AM145),ISNUMBER(AH145)),IFERROR(AM145/AH145-1,""),"")</f>
        <v>0.274595687331537</v>
      </c>
      <c r="AN224" s="25" t="n">
        <f aca="false">IF(AND(ISNUMBER(AN145),ISNUMBER(AI145)),IFERROR(AN145/AI145-1,""),"")</f>
        <v>0.170483460559796</v>
      </c>
      <c r="AO224" s="25" t="n">
        <f aca="false">IF(AND(ISNUMBER(AO145),ISNUMBER(AJ145)),IFERROR(AO145/AJ145-1,""),"")</f>
        <v>0.596584845250801</v>
      </c>
      <c r="AP224" s="25" t="n">
        <f aca="false">IF(AND(ISNUMBER(AP145),ISNUMBER(AK145)),IFERROR(AP145/AK145-1,""),"")</f>
        <v>0.0372807017543859</v>
      </c>
      <c r="AQ224" s="25" t="n">
        <f aca="false">IF(AND(ISNUMBER(AQ145),ISNUMBER(AL145)),IFERROR(AQ145/AL145-1,""),"")</f>
        <v>0.0731707317073171</v>
      </c>
      <c r="AR224" s="25" t="n">
        <f aca="false">IF(AND(ISNUMBER(AR145),ISNUMBER(AM145)),IFERROR(AR145/AM145-1,""),"")</f>
        <v>0.214380121596616</v>
      </c>
      <c r="AS224" s="25" t="n">
        <f aca="false">IF(AND(ISNUMBER(AS145),ISNUMBER(AN145)),IFERROR(AS145/AN145-1,""),"")</f>
        <v>-0.0152173913043479</v>
      </c>
      <c r="AT224" s="25" t="n">
        <f aca="false">IF(AND(ISNUMBER(AT145),ISNUMBER(AO145)),IFERROR(AT145/AO145-1,""),"")</f>
        <v>-0.0701871657754011</v>
      </c>
      <c r="AU224" s="25" t="n">
        <f aca="false">IF(AND(ISNUMBER(AU145),ISNUMBER(AP145)),IFERROR(AU145/AP145-1,""),"")</f>
        <v>1.56448202959831</v>
      </c>
      <c r="AV224" s="25" t="n">
        <f aca="false">IF(AND(ISNUMBER(AV145),ISNUMBER(AQ145)),IFERROR(AV145/AQ145-1,""),"")</f>
        <v>1.49269480519481</v>
      </c>
      <c r="AW224" s="25" t="n">
        <f aca="false">IF(AND(ISNUMBER(AW145),ISNUMBER(AR145)),IFERROR(AW145/AR145-1,""),"")</f>
        <v>0.696560731388768</v>
      </c>
      <c r="AX224" s="25" t="n">
        <f aca="false">IF(AND(ISNUMBER(AX145),ISNUMBER(AS145)),IFERROR(AX145/AS145-1,""),"")</f>
        <v>2.36534216335541</v>
      </c>
      <c r="AY224" s="25" t="n">
        <f aca="false">IF(AND(ISNUMBER(AY145),ISNUMBER(AT145)),IFERROR(AY145/AT145-1,""),"")</f>
        <v>0.554996405463695</v>
      </c>
      <c r="AZ224" s="25" t="n">
        <f aca="false">IF(AND(ISNUMBER(AZ145),ISNUMBER(AU145)),IFERROR(AZ145/AU145-1,""),"")</f>
        <v>-0.0610057708161583</v>
      </c>
      <c r="BA224" s="25" t="n">
        <f aca="false">IF(AND(ISNUMBER(BA145),ISNUMBER(AV145)),IFERROR(BA145/AV145-1,""),"")</f>
        <v>-0.173559101269945</v>
      </c>
      <c r="BB224" s="25" t="n">
        <f aca="false">IF(AND(ISNUMBER(BB145),ISNUMBER(AW145)),IFERROR(BB145/AW145-1,""),"")</f>
        <v>0.2866307415961</v>
      </c>
      <c r="BC224" s="25" t="n">
        <f aca="false">IF(AND(ISNUMBER(BC145),ISNUMBER(AX145)),IFERROR(BC145/AX145-1,""),"")</f>
        <v>-0.0747786159396523</v>
      </c>
      <c r="BD224" s="25" t="n">
        <f aca="false">IF(AND(ISNUMBER(BD145),ISNUMBER(AY145)),IFERROR(BD145/AY145-1,""),"")</f>
        <v>-0.0748959778085991</v>
      </c>
      <c r="BE224" s="25" t="n">
        <f aca="false">IF(AND(ISNUMBER(BE145),ISNUMBER(AZ145)),IFERROR(BE145/AZ145-1,""),"")</f>
        <v>-0.249341527655839</v>
      </c>
      <c r="BF224" s="25" t="n">
        <f aca="false">IF(AND(ISNUMBER(BF145),ISNUMBER(BA145)),IFERROR(BF145/BA145-1,""),"")</f>
        <v>-0.266745468873128</v>
      </c>
      <c r="BG224" s="25" t="n">
        <f aca="false">IF(AND(ISNUMBER(BG145),ISNUMBER(BB145)),IFERROR(BG145/BB145-1,""),"")</f>
        <v>-0.16304347826087</v>
      </c>
      <c r="BH224" s="25" t="n">
        <f aca="false">IF(AND(ISNUMBER(BH145),ISNUMBER(BC145)),IFERROR(BH145/BC145-1,""),"")</f>
        <v>-0.445941155618575</v>
      </c>
      <c r="BI224" s="25" t="n">
        <f aca="false">IF(AND(ISNUMBER(BI145),ISNUMBER(BD145)),IFERROR(BI145/BD145-1,""),"")</f>
        <v>-0.211394302848576</v>
      </c>
      <c r="BJ224" s="25" t="n">
        <f aca="false">IF(AND(ISNUMBER(BJ145),ISNUMBER(BE145)),IFERROR(BJ145/BE145-1,""),"")</f>
        <v>0.0900584795321637</v>
      </c>
      <c r="BK224" s="25" t="n">
        <f aca="false">IF(AND(ISNUMBER(BK145),ISNUMBER(BF145)),IFERROR(BK145/BF145-1,""),"")</f>
        <v>-0.00376141859215473</v>
      </c>
      <c r="BL224" s="25" t="n">
        <f aca="false">IF(AND(ISNUMBER(BL145),ISNUMBER(BG145)),IFERROR(BL145/BG145-1,""),"")</f>
        <v>-0.182771357083284</v>
      </c>
      <c r="BM224" s="25" t="n">
        <f aca="false">IF(AND(ISNUMBER(BM145),ISNUMBER(BH145)),IFERROR(BM145/BH145-1,""),"")</f>
        <v>0.0639795265515035</v>
      </c>
      <c r="BN224" s="25" t="n">
        <f aca="false">IF(AND(ISNUMBER(BN145),ISNUMBER(BI145)),IFERROR(BN145/BI145-1,""),"")</f>
        <v>0.152724968314322</v>
      </c>
      <c r="BO224" s="25" t="n">
        <f aca="false">IF(AND(ISNUMBER(BO145),ISNUMBER(BJ145)),IFERROR(BO145/BJ145-1,""),"")</f>
        <v>-0.0139484978540773</v>
      </c>
      <c r="BP224" s="25" t="n">
        <f aca="false">IF(AND(ISNUMBER(BP145),ISNUMBER(BK145)),IFERROR(BP145/BK145-1,""),"")</f>
        <v>0.0879180151024812</v>
      </c>
      <c r="BQ224" s="25" t="n">
        <f aca="false">IF(AND(ISNUMBER(BQ145),ISNUMBER(BL145)),IFERROR(BQ145/BL145-1,""),"")</f>
        <v>0.0696894591048258</v>
      </c>
      <c r="BR224" s="25" t="n">
        <f aca="false">IF(AND(ISNUMBER(BR145),ISNUMBER(BM145)),IFERROR(BR145/BM145-1,""),"")</f>
        <v>0.0330727600721588</v>
      </c>
      <c r="BS224" s="25" t="n">
        <f aca="false">IF(AND(ISNUMBER(BS145),ISNUMBER(BN145)),IFERROR(BS145/BN145-1,""),"")</f>
        <v>0.00879604178119853</v>
      </c>
      <c r="BT224" s="25" t="n">
        <f aca="false">IF(AND(ISNUMBER(BT145),ISNUMBER(BO145)),IFERROR(BT145/BO145-1,""),"")</f>
        <v>0.0560391730141459</v>
      </c>
      <c r="BU224" s="25" t="n">
        <f aca="false">IF(AND(ISNUMBER(BU145),ISNUMBER(BP145)),IFERROR(BU145/BP145-1,""),"")</f>
        <v>0.118492811105602</v>
      </c>
      <c r="BV224" s="25" t="n">
        <f aca="false">IF(AND(ISNUMBER(BV145),ISNUMBER(BQ145)),IFERROR(BV145/BQ145-1,""),"")</f>
        <v>0.055881150333924</v>
      </c>
      <c r="BW224" s="25" t="n">
        <f aca="false">IF(AND(ISNUMBER(BW145),ISNUMBER(BR145)),IFERROR(BW145/BR145-1,""),"")</f>
        <v>0.0844004656577415</v>
      </c>
      <c r="BX224" s="25" t="n">
        <f aca="false">IF(AND(ISNUMBER(BX145),ISNUMBER(BS145)),IFERROR(BX145/BS145-1,""),"")</f>
        <v>0.13732970027248</v>
      </c>
      <c r="BY224" s="26" t="n">
        <f aca="false">IFERROR(BY145/BT145-1,"")</f>
        <v>0.295342596964191</v>
      </c>
      <c r="BZ224" s="26" t="n">
        <f aca="false">IFERROR(BZ145/BU145-1,"")</f>
        <v>0.123665788693486</v>
      </c>
      <c r="CA224" s="26" t="n">
        <f aca="false">IFERROR(CA145/BV145-1,"")</f>
        <v>0.161643216729056</v>
      </c>
      <c r="CB224" s="26" t="n">
        <f aca="false">IFERROR(CB145/CA145-1,"")</f>
        <v>0.0692850497375959</v>
      </c>
      <c r="CC224" s="26" t="n">
        <f aca="false">IFERROR(CC145/CB145-1,"")</f>
        <v>0.10964663983226</v>
      </c>
      <c r="CD224" s="26" t="n">
        <f aca="false">IFERROR(CD145/CC145-1,"")</f>
        <v>0.114782800810257</v>
      </c>
      <c r="CE224" s="26" t="n">
        <f aca="false">IFERROR(CE145/CD145-1,"")</f>
        <v>0.125458255659346</v>
      </c>
      <c r="CF224" s="21"/>
    </row>
    <row r="225" customFormat="false" ht="15" hidden="false" customHeight="false" outlineLevel="0" collapsed="false">
      <c r="B225" s="23" t="s">
        <v>388</v>
      </c>
      <c r="C225" s="24"/>
      <c r="D225" s="25" t="n">
        <f aca="false">IF(AND(ISNUMBER(D159),ISNUMBER(C159)),IFERROR(D159/C159-1,""),"")</f>
        <v>3.50528309704914</v>
      </c>
      <c r="E225" s="25" t="n">
        <f aca="false">IF(AND(ISNUMBER(E159),ISNUMBER(D159)),IFERROR(E159/D159-1,""),"")</f>
        <v>0.306267244777302</v>
      </c>
      <c r="F225" s="25" t="n">
        <f aca="false">IF(AND(ISNUMBER(F159),ISNUMBER(E159)),IFERROR(F159/E159-1,""),"")</f>
        <v>-0.144739489036411</v>
      </c>
      <c r="G225" s="25" t="n">
        <f aca="false">IF(AND(ISNUMBER(G159),ISNUMBER(F159)),IFERROR(G159/F159-1,""),"")</f>
        <v>0.217923085969655</v>
      </c>
      <c r="H225" s="25" t="n">
        <f aca="false">IF(AND(ISNUMBER(H159),ISNUMBER(G159)),IFERROR(H159/G159-1,""),"")</f>
        <v>0.284183082271148</v>
      </c>
      <c r="I225" s="25" t="n">
        <f aca="false">IF(AND(ISNUMBER(I159),ISNUMBER(H159)),IFERROR(I159/H159-1,""),"")</f>
        <v>-0.114294307842696</v>
      </c>
      <c r="J225" s="24"/>
      <c r="K225" s="24"/>
      <c r="L225" s="24"/>
      <c r="M225" s="24"/>
      <c r="N225" s="25" t="n">
        <f aca="false">IF(AND(ISNUMBER(N159),ISNUMBER(I159)),IFERROR(N159/I159-1,""),"")</f>
        <v>0.0809915952118177</v>
      </c>
      <c r="O225" s="25" t="n">
        <f aca="false">IF(AND(ISNUMBER(O159),ISNUMBER(J159)),IFERROR(O159/J159-1,""),"")</f>
        <v>0.615407495538368</v>
      </c>
      <c r="P225" s="25" t="n">
        <f aca="false">IF(AND(ISNUMBER(P159),ISNUMBER(K159)),IFERROR(P159/K159-1,""),"")</f>
        <v>0.00396539293438991</v>
      </c>
      <c r="Q225" s="25" t="n">
        <f aca="false">IF(AND(ISNUMBER(Q159),ISNUMBER(L159)),IFERROR(Q159/L159-1,""),"")</f>
        <v>0.484886649874055</v>
      </c>
      <c r="R225" s="25" t="n">
        <f aca="false">IF(AND(ISNUMBER(R159),ISNUMBER(M159)),IFERROR(R159/M159-1,""),"")</f>
        <v>0.757380882782812</v>
      </c>
      <c r="S225" s="25" t="n">
        <f aca="false">IF(AND(ISNUMBER(S159),ISNUMBER(N159)),IFERROR(S159/N159-1,""),"")</f>
        <v>0.487787638419854</v>
      </c>
      <c r="T225" s="25" t="n">
        <f aca="false">IF(AND(ISNUMBER(T159),ISNUMBER(O159)),IFERROR(T159/O159-1,""),"")</f>
        <v>-0.290922482047505</v>
      </c>
      <c r="U225" s="25" t="n">
        <f aca="false">IF(AND(ISNUMBER(U159),ISNUMBER(P159)),IFERROR(U159/P159-1,""),"")</f>
        <v>0.836983842010771</v>
      </c>
      <c r="V225" s="25" t="n">
        <f aca="false">IF(AND(ISNUMBER(V159),ISNUMBER(Q159)),IFERROR(V159/Q159-1,""),"")</f>
        <v>0.00954198473282508</v>
      </c>
      <c r="W225" s="25" t="n">
        <f aca="false">IF(AND(ISNUMBER(W159),ISNUMBER(R159)),IFERROR(W159/R159-1,""),"")</f>
        <v>0.00232867598136988</v>
      </c>
      <c r="X225" s="25" t="n">
        <f aca="false">IF(AND(ISNUMBER(X159),ISNUMBER(S159)),IFERROR(X159/S159-1,""),"")</f>
        <v>0.0427576013513538</v>
      </c>
      <c r="Y225" s="25" t="n">
        <f aca="false">IF(AND(ISNUMBER(Y159),ISNUMBER(T159)),IFERROR(Y159/T159-1,""),"")</f>
        <v>0.0444040508958707</v>
      </c>
      <c r="Z225" s="25" t="n">
        <f aca="false">IF(AND(ISNUMBER(Z159),ISNUMBER(U159)),IFERROR(Z159/U159-1,""),"")</f>
        <v>0.00977326035965653</v>
      </c>
      <c r="AA225" s="25" t="n">
        <f aca="false">IF(AND(ISNUMBER(AA159),ISNUMBER(V159)),IFERROR(AA159/V159-1,""),"")</f>
        <v>-0.00546103759714489</v>
      </c>
      <c r="AB225" s="25" t="n">
        <f aca="false">IF(AND(ISNUMBER(AB159),ISNUMBER(W159)),IFERROR(AB159/W159-1,""),"")</f>
        <v>0.0446398937935615</v>
      </c>
      <c r="AC225" s="25" t="n">
        <f aca="false">IF(AND(ISNUMBER(AC159),ISNUMBER(X159)),IFERROR(AC159/X159-1,""),"")</f>
        <v>0.0234889136377416</v>
      </c>
      <c r="AD225" s="25" t="n">
        <f aca="false">IF(AND(ISNUMBER(AD159),ISNUMBER(Y159)),IFERROR(AD159/Y159-1,""),"")</f>
        <v>0.370959721531578</v>
      </c>
      <c r="AE225" s="25" t="n">
        <f aca="false">IF(AND(ISNUMBER(AE159),ISNUMBER(Z159)),IFERROR(AE159/Z159-1,""),"")</f>
        <v>0.183894696089819</v>
      </c>
      <c r="AF225" s="25" t="n">
        <f aca="false">IF(AND(ISNUMBER(AF159),ISNUMBER(AA159)),IFERROR(AF159/AA159-1,""),"")</f>
        <v>0.127560718057023</v>
      </c>
      <c r="AG225" s="25" t="n">
        <f aca="false">IF(AND(ISNUMBER(AG159),ISNUMBER(AB159)),IFERROR(AG159/AB159-1,""),"")</f>
        <v>-0.161239078633836</v>
      </c>
      <c r="AH225" s="25" t="n">
        <f aca="false">IF(AND(ISNUMBER(AH159),ISNUMBER(AC159)),IFERROR(AH159/AC159-1,""),"")</f>
        <v>0.100504500939758</v>
      </c>
      <c r="AI225" s="25" t="n">
        <f aca="false">IF(AND(ISNUMBER(AI159),ISNUMBER(AD159)),IFERROR(AI159/AD159-1,""),"")</f>
        <v>0.0500544069640905</v>
      </c>
      <c r="AJ225" s="25" t="n">
        <f aca="false">IF(AND(ISNUMBER(AJ159),ISNUMBER(AE159)),IFERROR(AJ159/AE159-1,""),"")</f>
        <v>0.229561805101374</v>
      </c>
      <c r="AK225" s="25" t="n">
        <f aca="false">IF(AND(ISNUMBER(AK159),ISNUMBER(AF159)),IFERROR(AK159/AF159-1,""),"")</f>
        <v>0.327964038209403</v>
      </c>
      <c r="AL225" s="25" t="n">
        <f aca="false">IF(AND(ISNUMBER(AL159),ISNUMBER(AG159)),IFERROR(AL159/AG159-1,""),"")</f>
        <v>0.700757575757576</v>
      </c>
      <c r="AM225" s="25" t="n">
        <f aca="false">IF(AND(ISNUMBER(AM159),ISNUMBER(AH159)),IFERROR(AM159/AH159-1,""),"")</f>
        <v>0.320449438202247</v>
      </c>
      <c r="AN225" s="25" t="n">
        <f aca="false">IF(AND(ISNUMBER(AN159),ISNUMBER(AI159)),IFERROR(AN159/AI159-1,""),"")</f>
        <v>0.407599309153713</v>
      </c>
      <c r="AO225" s="25" t="n">
        <f aca="false">IF(AND(ISNUMBER(AO159),ISNUMBER(AJ159)),IFERROR(AO159/AJ159-1,""),"")</f>
        <v>0.488031914893617</v>
      </c>
      <c r="AP225" s="25" t="n">
        <f aca="false">IF(AND(ISNUMBER(AP159),ISNUMBER(AK159)),IFERROR(AP159/AK159-1,""),"")</f>
        <v>0.0719322990126941</v>
      </c>
      <c r="AQ225" s="25" t="n">
        <f aca="false">IF(AND(ISNUMBER(AQ159),ISNUMBER(AL159)),IFERROR(AQ159/AL159-1,""),"")</f>
        <v>0.115812917594655</v>
      </c>
      <c r="AR225" s="25" t="n">
        <f aca="false">IF(AND(ISNUMBER(AR159),ISNUMBER(AM159)),IFERROR(AR159/AM159-1,""),"")</f>
        <v>0.257998638529612</v>
      </c>
      <c r="AS225" s="25" t="n">
        <f aca="false">IF(AND(ISNUMBER(AS159),ISNUMBER(AN159)),IFERROR(AS159/AN159-1,""),"")</f>
        <v>-0.0331288343558283</v>
      </c>
      <c r="AT225" s="25" t="n">
        <f aca="false">IF(AND(ISNUMBER(AT159),ISNUMBER(AO159)),IFERROR(AT159/AO159-1,""),"")</f>
        <v>0.033065236818588</v>
      </c>
      <c r="AU225" s="25" t="n">
        <f aca="false">IF(AND(ISNUMBER(AU159),ISNUMBER(AP159)),IFERROR(AU159/AP159-1,""),"")</f>
        <v>1.54342105263158</v>
      </c>
      <c r="AV225" s="25" t="n">
        <f aca="false">IF(AND(ISNUMBER(AV159),ISNUMBER(AQ159)),IFERROR(AV159/AQ159-1,""),"")</f>
        <v>1.49301397205589</v>
      </c>
      <c r="AW225" s="25" t="n">
        <f aca="false">IF(AND(ISNUMBER(AW159),ISNUMBER(AR159)),IFERROR(AW159/AR159-1,""),"")</f>
        <v>0.724837662337662</v>
      </c>
      <c r="AX225" s="25" t="n">
        <f aca="false">IF(AND(ISNUMBER(AX159),ISNUMBER(AS159)),IFERROR(AX159/AS159-1,""),"")</f>
        <v>1.96573604060914</v>
      </c>
      <c r="AY225" s="25" t="n">
        <f aca="false">IF(AND(ISNUMBER(AY159),ISNUMBER(AT159)),IFERROR(AY159/AT159-1,""),"")</f>
        <v>0.581314878892734</v>
      </c>
      <c r="AZ225" s="25" t="n">
        <f aca="false">IF(AND(ISNUMBER(AZ159),ISNUMBER(AU159)),IFERROR(AZ159/AU159-1,""),"")</f>
        <v>-0.0160372478013451</v>
      </c>
      <c r="BA225" s="25" t="n">
        <f aca="false">IF(AND(ISNUMBER(BA159),ISNUMBER(AV159)),IFERROR(BA159/AV159-1,""),"")</f>
        <v>-0.33626901521217</v>
      </c>
      <c r="BB225" s="25" t="n">
        <f aca="false">IF(AND(ISNUMBER(BB159),ISNUMBER(AW159)),IFERROR(BB159/AW159-1,""),"")</f>
        <v>0.211764705882353</v>
      </c>
      <c r="BC225" s="25" t="n">
        <f aca="false">IF(AND(ISNUMBER(BC159),ISNUMBER(AX159)),IFERROR(BC159/AX159-1,""),"")</f>
        <v>-0.0522036799315362</v>
      </c>
      <c r="BD225" s="25" t="n">
        <f aca="false">IF(AND(ISNUMBER(BD159),ISNUMBER(AY159)),IFERROR(BD159/AY159-1,""),"")</f>
        <v>-0.0897155361050328</v>
      </c>
      <c r="BE225" s="25" t="n">
        <f aca="false">IF(AND(ISNUMBER(BE159),ISNUMBER(AZ159)),IFERROR(BE159/AZ159-1,""),"")</f>
        <v>-0.213985278654048</v>
      </c>
      <c r="BF225" s="25" t="n">
        <f aca="false">IF(AND(ISNUMBER(BF159),ISNUMBER(BA159)),IFERROR(BF159/BA159-1,""),"")</f>
        <v>-0.0494571773220748</v>
      </c>
      <c r="BG225" s="25" t="n">
        <f aca="false">IF(AND(ISNUMBER(BG159),ISNUMBER(BB159)),IFERROR(BG159/BB159-1,""),"")</f>
        <v>-0.100323624595469</v>
      </c>
      <c r="BH225" s="25" t="n">
        <f aca="false">IF(AND(ISNUMBER(BH159),ISNUMBER(BC159)),IFERROR(BH159/BC159-1,""),"")</f>
        <v>-0.418058690744921</v>
      </c>
      <c r="BI225" s="25" t="n">
        <f aca="false">IF(AND(ISNUMBER(BI159),ISNUMBER(BD159)),IFERROR(BI159/BD159-1,""),"")</f>
        <v>-0.182091346153846</v>
      </c>
      <c r="BJ225" s="25" t="n">
        <f aca="false">IF(AND(ISNUMBER(BJ159),ISNUMBER(BE159)),IFERROR(BJ159/BE159-1,""),"")</f>
        <v>0.147157190635451</v>
      </c>
      <c r="BK225" s="25" t="n">
        <f aca="false">IF(AND(ISNUMBER(BK159),ISNUMBER(BF159)),IFERROR(BK159/BF159-1,""),"")</f>
        <v>0.0342639593908629</v>
      </c>
      <c r="BL225" s="25" t="n">
        <f aca="false">IF(AND(ISNUMBER(BL159),ISNUMBER(BG159)),IFERROR(BL159/BG159-1,""),"")</f>
        <v>-0.137410071942446</v>
      </c>
      <c r="BM225" s="25" t="n">
        <f aca="false">IF(AND(ISNUMBER(BM159),ISNUMBER(BH159)),IFERROR(BM159/BH159-1,""),"")</f>
        <v>0.0294802172226532</v>
      </c>
      <c r="BN225" s="25" t="n">
        <f aca="false">IF(AND(ISNUMBER(BN159),ISNUMBER(BI159)),IFERROR(BN159/BI159-1,""),"")</f>
        <v>0.136664217487142</v>
      </c>
      <c r="BO225" s="25" t="n">
        <f aca="false">IF(AND(ISNUMBER(BO159),ISNUMBER(BJ159)),IFERROR(BO159/BJ159-1,""),"")</f>
        <v>-0.0495626822157435</v>
      </c>
      <c r="BP225" s="25" t="n">
        <f aca="false">IF(AND(ISNUMBER(BP159),ISNUMBER(BK159)),IFERROR(BP159/BK159-1,""),"")</f>
        <v>0.123312883435583</v>
      </c>
      <c r="BQ225" s="25" t="n">
        <f aca="false">IF(AND(ISNUMBER(BQ159),ISNUMBER(BL159)),IFERROR(BQ159/BL159-1,""),"")</f>
        <v>0.0567139282735614</v>
      </c>
      <c r="BR225" s="25" t="n">
        <f aca="false">IF(AND(ISNUMBER(BR159),ISNUMBER(BM159)),IFERROR(BR159/BM159-1,""),"")</f>
        <v>0.136397889977393</v>
      </c>
      <c r="BS225" s="25" t="n">
        <f aca="false">IF(AND(ISNUMBER(BS159),ISNUMBER(BN159)),IFERROR(BS159/BN159-1,""),"")</f>
        <v>0.0452488687782806</v>
      </c>
      <c r="BT225" s="25" t="n">
        <f aca="false">IF(AND(ISNUMBER(BT159),ISNUMBER(BO159)),IFERROR(BT159/BO159-1,""),"")</f>
        <v>-0.00858895705521467</v>
      </c>
      <c r="BU225" s="25" t="n">
        <f aca="false">IF(AND(ISNUMBER(BU159),ISNUMBER(BP159)),IFERROR(BU159/BP159-1,""),"")</f>
        <v>0.073184052430366</v>
      </c>
      <c r="BV225" s="25" t="n">
        <f aca="false">IF(AND(ISNUMBER(BV159),ISNUMBER(BQ159)),IFERROR(BV159/BQ159-1,""),"")</f>
        <v>0.0582478295185478</v>
      </c>
      <c r="BW225" s="25" t="n">
        <f aca="false">IF(AND(ISNUMBER(BW159),ISNUMBER(BR159)),IFERROR(BW159/BR159-1,""),"")</f>
        <v>0.0941644562334218</v>
      </c>
      <c r="BX225" s="25" t="n">
        <f aca="false">IF(AND(ISNUMBER(BX159),ISNUMBER(BS159)),IFERROR(BX159/BS159-1,""),"")</f>
        <v>0.0742115027829313</v>
      </c>
      <c r="BY225" s="26" t="n">
        <f aca="false">IFERROR(BY159/BT159-1,"")</f>
        <v>0.297693430028548</v>
      </c>
      <c r="BZ225" s="26" t="n">
        <f aca="false">IFERROR(BZ159/BU159-1,"")</f>
        <v>0.0863631893505676</v>
      </c>
      <c r="CA225" s="26" t="n">
        <f aca="false">IFERROR(CA159/BV159-1,"")</f>
        <v>0.136452304594272</v>
      </c>
      <c r="CB225" s="26" t="n">
        <f aca="false">IFERROR(CB159/CA159-1,"")</f>
        <v>0.0379246927056671</v>
      </c>
      <c r="CC225" s="26" t="n">
        <f aca="false">IFERROR(CC159/CB159-1,"")</f>
        <v>0.104015216915952</v>
      </c>
      <c r="CD225" s="26" t="n">
        <f aca="false">IFERROR(CD159/CC159-1,"")</f>
        <v>0.100200628898472</v>
      </c>
      <c r="CE225" s="26" t="n">
        <f aca="false">IFERROR(CE159/CD159-1,"")</f>
        <v>0.11865917479383</v>
      </c>
      <c r="CF225" s="21"/>
    </row>
    <row r="226" customFormat="false" ht="15" hidden="false" customHeight="false" outlineLevel="0" collapsed="false">
      <c r="B226" s="23" t="s">
        <v>389</v>
      </c>
      <c r="C226" s="24"/>
      <c r="D226" s="25" t="n">
        <f aca="false">IF(AND(ISNUMBER(D212),ISNUMBER(C212)),IFERROR(D212/C212-1,""),"")</f>
        <v>0.394181837114258</v>
      </c>
      <c r="E226" s="25" t="n">
        <f aca="false">IF(AND(ISNUMBER(E212),ISNUMBER(D212)),IFERROR(E212/D212-1,""),"")</f>
        <v>0.191991901604727</v>
      </c>
      <c r="F226" s="25" t="n">
        <f aca="false">IF(AND(ISNUMBER(F212),ISNUMBER(E212)),IFERROR(F212/E212-1,""),"")</f>
        <v>-0.0348775369970021</v>
      </c>
      <c r="G226" s="25" t="n">
        <f aca="false">IF(AND(ISNUMBER(G212),ISNUMBER(F212)),IFERROR(G212/F212-1,""),"")</f>
        <v>0.169953523816559</v>
      </c>
      <c r="H226" s="25" t="n">
        <f aca="false">IF(AND(ISNUMBER(H212),ISNUMBER(G212)),IFERROR(H212/G212-1,""),"")</f>
        <v>0.163977378944552</v>
      </c>
      <c r="I226" s="25" t="n">
        <f aca="false">IF(AND(ISNUMBER(I212),ISNUMBER(H212)),IFERROR(I212/H212-1,""),"")</f>
        <v>0.187502798618711</v>
      </c>
      <c r="J226" s="24"/>
      <c r="K226" s="24"/>
      <c r="L226" s="24"/>
      <c r="M226" s="24"/>
      <c r="N226" s="25" t="n">
        <f aca="false">IF(AND(ISNUMBER(N212),ISNUMBER(I212)),IFERROR(N212/I212-1,""),"")</f>
        <v>0.097377584804824</v>
      </c>
      <c r="O226" s="25" t="n">
        <f aca="false">IF(AND(ISNUMBER(O212),ISNUMBER(J212)),IFERROR(O212/J212-1,""),"")</f>
        <v>0.11868879593419</v>
      </c>
      <c r="P226" s="25" t="n">
        <f aca="false">IF(AND(ISNUMBER(P212),ISNUMBER(K212)),IFERROR(P212/K212-1,""),"")</f>
        <v>0.309409471623121</v>
      </c>
      <c r="Q226" s="25" t="n">
        <f aca="false">IF(AND(ISNUMBER(Q212),ISNUMBER(L212)),IFERROR(Q212/L212-1,""),"")</f>
        <v>0.316684349016877</v>
      </c>
      <c r="R226" s="25" t="n">
        <f aca="false">IF(AND(ISNUMBER(R212),ISNUMBER(M212)),IFERROR(R212/M212-1,""),"")</f>
        <v>0.392773057865347</v>
      </c>
      <c r="S226" s="25" t="n">
        <f aca="false">IF(AND(ISNUMBER(S212),ISNUMBER(N212)),IFERROR(S212/N212-1,""),"")</f>
        <v>0.285148645277041</v>
      </c>
      <c r="T226" s="25" t="n">
        <f aca="false">IF(AND(ISNUMBER(T212),ISNUMBER(O212)),IFERROR(T212/O212-1,""),"")</f>
        <v>0.0653244097525074</v>
      </c>
      <c r="U226" s="25" t="n">
        <f aca="false">IF(AND(ISNUMBER(U212),ISNUMBER(P212)),IFERROR(U212/P212-1,""),"")</f>
        <v>0.066670930636497</v>
      </c>
      <c r="V226" s="25" t="n">
        <f aca="false">IF(AND(ISNUMBER(V212),ISNUMBER(Q212)),IFERROR(V212/Q212-1,""),"")</f>
        <v>0.0539820454442268</v>
      </c>
      <c r="W226" s="25" t="n">
        <f aca="false">IF(AND(ISNUMBER(W212),ISNUMBER(R212)),IFERROR(W212/R212-1,""),"")</f>
        <v>0.0643757993853698</v>
      </c>
      <c r="X226" s="25" t="n">
        <f aca="false">IF(AND(ISNUMBER(X212),ISNUMBER(S212)),IFERROR(X212/S212-1,""),"")</f>
        <v>0.0619648870372087</v>
      </c>
      <c r="Y226" s="25" t="n">
        <f aca="false">IF(AND(ISNUMBER(Y212),ISNUMBER(T212)),IFERROR(Y212/T212-1,""),"")</f>
        <v>0.101214471743355</v>
      </c>
      <c r="Z226" s="25" t="n">
        <f aca="false">IF(AND(ISNUMBER(Z212),ISNUMBER(U212)),IFERROR(Z212/U212-1,""),"")</f>
        <v>0.105292495177292</v>
      </c>
      <c r="AA226" s="25" t="n">
        <f aca="false">IF(AND(ISNUMBER(AA212),ISNUMBER(V212)),IFERROR(AA212/V212-1,""),"")</f>
        <v>0.128859324741252</v>
      </c>
      <c r="AB226" s="25" t="n">
        <f aca="false">IF(AND(ISNUMBER(AB212),ISNUMBER(W212)),IFERROR(AB212/W212-1,""),"")</f>
        <v>0.136722156707609</v>
      </c>
      <c r="AC226" s="25" t="n">
        <f aca="false">IF(AND(ISNUMBER(AC212),ISNUMBER(X212)),IFERROR(AC212/X212-1,""),"")</f>
        <v>0.119245768875783</v>
      </c>
      <c r="AD226" s="25" t="n">
        <f aca="false">IF(AND(ISNUMBER(AD212),ISNUMBER(Y212)),IFERROR(AD212/Y212-1,""),"")</f>
        <v>0.157123845016886</v>
      </c>
      <c r="AE226" s="25" t="n">
        <f aca="false">IF(AND(ISNUMBER(AE212),ISNUMBER(Z212)),IFERROR(AE212/Z212-1,""),"")</f>
        <v>0.129081867088992</v>
      </c>
      <c r="AF226" s="25" t="n">
        <f aca="false">IF(AND(ISNUMBER(AF212),ISNUMBER(AA212)),IFERROR(AF212/AA212-1,""),"")</f>
        <v>0.135950112140589</v>
      </c>
      <c r="AG226" s="25" t="n">
        <f aca="false">IF(AND(ISNUMBER(AG212),ISNUMBER(AB212)),IFERROR(AG212/AB212-1,""),"")</f>
        <v>0.156004724013088</v>
      </c>
      <c r="AH226" s="25" t="n">
        <f aca="false">IF(AND(ISNUMBER(AH212),ISNUMBER(AC212)),IFERROR(AH212/AC212-1,""),"")</f>
        <v>0.14617437366239</v>
      </c>
      <c r="AI226" s="25" t="n">
        <f aca="false">IF(AND(ISNUMBER(AI212),ISNUMBER(AD212)),IFERROR(AI212/AD212-1,""),"")</f>
        <v>0.197680969317828</v>
      </c>
      <c r="AJ226" s="25" t="n">
        <f aca="false">IF(AND(ISNUMBER(AJ212),ISNUMBER(AE212)),IFERROR(AJ212/AE212-1,""),"")</f>
        <v>0.197486309696598</v>
      </c>
      <c r="AK226" s="25" t="n">
        <f aca="false">IF(AND(ISNUMBER(AK212),ISNUMBER(AF212)),IFERROR(AK212/AF212-1,""),"")</f>
        <v>0.136108347713374</v>
      </c>
      <c r="AL226" s="25" t="n">
        <f aca="false">IF(AND(ISNUMBER(AL212),ISNUMBER(AG212)),IFERROR(AL212/AG212-1,""),"")</f>
        <v>0.167553191489362</v>
      </c>
      <c r="AM226" s="25" t="n">
        <f aca="false">IF(AND(ISNUMBER(AM212),ISNUMBER(AH212)),IFERROR(AM212/AH212-1,""),"")</f>
        <v>0.171420741852347</v>
      </c>
      <c r="AN226" s="25" t="n">
        <f aca="false">IF(AND(ISNUMBER(AN212),ISNUMBER(AI212)),IFERROR(AN212/AI212-1,""),"")</f>
        <v>0.127899449778833</v>
      </c>
      <c r="AO226" s="25" t="n">
        <f aca="false">IF(AND(ISNUMBER(AO212),ISNUMBER(AJ212)),IFERROR(AO212/AJ212-1,""),"")</f>
        <v>0.107646948958083</v>
      </c>
      <c r="AP226" s="25" t="n">
        <f aca="false">IF(AND(ISNUMBER(AP212),ISNUMBER(AK212)),IFERROR(AP212/AK212-1,""),"")</f>
        <v>0.119020860810284</v>
      </c>
      <c r="AQ226" s="25" t="n">
        <f aca="false">IF(AND(ISNUMBER(AQ212),ISNUMBER(AL212)),IFERROR(AQ212/AL212-1,""),"")</f>
        <v>0.0923741202869479</v>
      </c>
      <c r="AR226" s="25" t="n">
        <f aca="false">IF(AND(ISNUMBER(AR212),ISNUMBER(AM212)),IFERROR(AR212/AM212-1,""),"")</f>
        <v>0.111069549867899</v>
      </c>
      <c r="AS226" s="25" t="n">
        <f aca="false">IF(AND(ISNUMBER(AS212),ISNUMBER(AN212)),IFERROR(AS212/AN212-1,""),"")</f>
        <v>0.0448477493380406</v>
      </c>
      <c r="AT226" s="25" t="n">
        <f aca="false">IF(AND(ISNUMBER(AT212),ISNUMBER(AO212)),IFERROR(AT212/AO212-1,""),"")</f>
        <v>0.279113579306475</v>
      </c>
      <c r="AU226" s="25" t="n">
        <f aca="false">IF(AND(ISNUMBER(AU212),ISNUMBER(AP212)),IFERROR(AU212/AP212-1,""),"")</f>
        <v>0.919288533042801</v>
      </c>
      <c r="AV226" s="25" t="n">
        <f aca="false">IF(AND(ISNUMBER(AV212),ISNUMBER(AQ212)),IFERROR(AV212/AQ212-1,""),"")</f>
        <v>0.995220588235294</v>
      </c>
      <c r="AW226" s="25" t="n">
        <f aca="false">IF(AND(ISNUMBER(AW212),ISNUMBER(AR212)),IFERROR(AW212/AR212-1,""),"")</f>
        <v>0.585587083286105</v>
      </c>
      <c r="AX226" s="25" t="n">
        <f aca="false">IF(AND(ISNUMBER(AX212),ISNUMBER(AS212)),IFERROR(AX212/AS212-1,""),"")</f>
        <v>1.45672329706844</v>
      </c>
      <c r="AY226" s="25" t="n">
        <f aca="false">IF(AND(ISNUMBER(AY212),ISNUMBER(AT212)),IFERROR(AY212/AT212-1,""),"")</f>
        <v>0.439491691104594</v>
      </c>
      <c r="AZ226" s="25" t="n">
        <f aca="false">IF(AND(ISNUMBER(AZ212),ISNUMBER(AU212)),IFERROR(AZ212/AU212-1,""),"")</f>
        <v>0.0224584382871535</v>
      </c>
      <c r="BA226" s="25" t="n">
        <f aca="false">IF(AND(ISNUMBER(BA212),ISNUMBER(AV212)),IFERROR(BA212/AV212-1,""),"")</f>
        <v>-0.0779293291856106</v>
      </c>
      <c r="BB226" s="25" t="n">
        <f aca="false">IF(AND(ISNUMBER(BB212),ISNUMBER(AW212)),IFERROR(BB212/AW212-1,""),"")</f>
        <v>0.284029065623418</v>
      </c>
      <c r="BC226" s="25" t="n">
        <f aca="false">IF(AND(ISNUMBER(BC212),ISNUMBER(AX212)),IFERROR(BC212/AX212-1,""),"")</f>
        <v>0.0036600614133917</v>
      </c>
      <c r="BD226" s="25" t="n">
        <f aca="false">IF(AND(ISNUMBER(BD212),ISNUMBER(AY212)),IFERROR(BD212/AY212-1,""),"")</f>
        <v>-0.0157497599121964</v>
      </c>
      <c r="BE226" s="25" t="n">
        <f aca="false">IF(AND(ISNUMBER(BE212),ISNUMBER(AZ212)),IFERROR(BE212/AZ212-1,""),"")</f>
        <v>-0.120514734752338</v>
      </c>
      <c r="BF226" s="25" t="n">
        <f aca="false">IF(AND(ISNUMBER(BF212),ISNUMBER(BA212)),IFERROR(BF212/BA212-1,""),"")</f>
        <v>-0.174169652893338</v>
      </c>
      <c r="BG226" s="25" t="n">
        <f aca="false">IF(AND(ISNUMBER(BG212),ISNUMBER(BB212)),IFERROR(BG212/BB212-1,""),"")</f>
        <v>-0.0750913430867706</v>
      </c>
      <c r="BH226" s="25" t="n">
        <f aca="false">IF(AND(ISNUMBER(BH212),ISNUMBER(BC212)),IFERROR(BH212/BC212-1,""),"")</f>
        <v>-0.303988584483113</v>
      </c>
      <c r="BI226" s="25" t="n">
        <f aca="false">IF(AND(ISNUMBER(BI212),ISNUMBER(BD212)),IFERROR(BI212/BD212-1,""),"")</f>
        <v>-0.0672118476085699</v>
      </c>
      <c r="BJ226" s="25" t="n">
        <f aca="false">IF(AND(ISNUMBER(BJ212),ISNUMBER(BE212)),IFERROR(BJ212/BE212-1,""),"")</f>
        <v>0.122234174511429</v>
      </c>
      <c r="BK226" s="25" t="n">
        <f aca="false">IF(AND(ISNUMBER(BK212),ISNUMBER(BF212)),IFERROR(BK212/BF212-1,""),"")</f>
        <v>0.0520458157745083</v>
      </c>
      <c r="BL226" s="25" t="n">
        <f aca="false">IF(AND(ISNUMBER(BL212),ISNUMBER(BG212)),IFERROR(BL212/BG212-1,""),"")</f>
        <v>-0.0726782174707318</v>
      </c>
      <c r="BM226" s="25" t="n">
        <f aca="false">IF(AND(ISNUMBER(BM212),ISNUMBER(BH212)),IFERROR(BM212/BH212-1,""),"")</f>
        <v>0.0114498125426039</v>
      </c>
      <c r="BN226" s="25" t="n">
        <f aca="false">IF(AND(ISNUMBER(BN212),ISNUMBER(BI212)),IFERROR(BN212/BI212-1,""),"")</f>
        <v>0.0429848427994473</v>
      </c>
      <c r="BO226" s="25" t="n">
        <f aca="false">IF(AND(ISNUMBER(BO212),ISNUMBER(BJ212)),IFERROR(BO212/BJ212-1,""),"")</f>
        <v>-0.0724118734903383</v>
      </c>
      <c r="BP226" s="25" t="n">
        <f aca="false">IF(AND(ISNUMBER(BP212),ISNUMBER(BK212)),IFERROR(BP212/BK212-1,""),"")</f>
        <v>0.0751349038635896</v>
      </c>
      <c r="BQ226" s="25" t="n">
        <f aca="false">IF(AND(ISNUMBER(BQ212),ISNUMBER(BL212)),IFERROR(BQ212/BL212-1,""),"")</f>
        <v>0.0149927639654219</v>
      </c>
      <c r="BR226" s="25" t="n">
        <f aca="false">IF(AND(ISNUMBER(BR212),ISNUMBER(BM212)),IFERROR(BR212/BM212-1,""),"")</f>
        <v>0.00905290789966617</v>
      </c>
      <c r="BS226" s="25" t="n">
        <f aca="false">IF(AND(ISNUMBER(BS212),ISNUMBER(BN212)),IFERROR(BS212/BN212-1,""),"")</f>
        <v>-0.00106411998435352</v>
      </c>
      <c r="BT226" s="25" t="n">
        <f aca="false">IF(AND(ISNUMBER(BT212),ISNUMBER(BO212)),IFERROR(BT212/BO212-1,""),"")</f>
        <v>0.098065011237187</v>
      </c>
      <c r="BU226" s="25" t="n">
        <f aca="false">IF(AND(ISNUMBER(BU212),ISNUMBER(BP212)),IFERROR(BU212/BP212-1,""),"")</f>
        <v>0.0750102674529682</v>
      </c>
      <c r="BV226" s="25" t="n">
        <f aca="false">IF(AND(ISNUMBER(BV212),ISNUMBER(BQ212)),IFERROR(BV212/BQ212-1,""),"")</f>
        <v>0.0450268969958707</v>
      </c>
      <c r="BW226" s="25" t="n">
        <f aca="false">IF(AND(ISNUMBER(BW212),ISNUMBER(BR212)),IFERROR(BW212/BR212-1,""),"")</f>
        <v>0.0567292225201073</v>
      </c>
      <c r="BX226" s="25" t="n">
        <f aca="false">IF(AND(ISNUMBER(BX212),ISNUMBER(BS212)),IFERROR(BX212/BS212-1,""),"")</f>
        <v>0.125931993558656</v>
      </c>
      <c r="BY226" s="26" t="n">
        <f aca="false">IFERROR(BY212/BT212-1,"")</f>
        <v>0.133032555807301</v>
      </c>
      <c r="BZ226" s="26" t="n">
        <f aca="false">IFERROR(BZ212/BU212-1,"")</f>
        <v>0.0820978962741865</v>
      </c>
      <c r="CA226" s="26" t="n">
        <f aca="false">IFERROR(CA212/BV212-1,"")</f>
        <v>0.0994339275795424</v>
      </c>
      <c r="CB226" s="26" t="n">
        <f aca="false">IFERROR(CB212/CA212-1,"")</f>
        <v>0.0620738381854382</v>
      </c>
      <c r="CC226" s="26" t="n">
        <f aca="false">IFERROR(CC212/CB212-1,"")</f>
        <v>0.109003166499316</v>
      </c>
      <c r="CD226" s="26" t="n">
        <f aca="false">IFERROR(CD212/CC212-1,"")</f>
        <v>0.108439277210883</v>
      </c>
      <c r="CE226" s="26" t="n">
        <f aca="false">IFERROR(CE212/CD212-1,"")</f>
        <v>0.115179044782191</v>
      </c>
      <c r="CF226" s="21"/>
    </row>
    <row r="227" customFormat="false" ht="15" hidden="false" customHeight="false" outlineLevel="0" collapsed="false">
      <c r="B227" s="23" t="s">
        <v>390</v>
      </c>
      <c r="C227" s="24"/>
      <c r="D227" s="25" t="n">
        <f aca="false">IF(AND(ISNUMBER(D170),ISNUMBER(C170)),IFERROR(D170/C170-1,""),"")</f>
        <v>1.06806404990352</v>
      </c>
      <c r="E227" s="25" t="n">
        <f aca="false">IF(AND(ISNUMBER(E170),ISNUMBER(D170)),IFERROR(E170/D170-1,""),"")</f>
        <v>0.333005465749054</v>
      </c>
      <c r="F227" s="25" t="n">
        <f aca="false">IF(AND(ISNUMBER(F170),ISNUMBER(E170)),IFERROR(F170/E170-1,""),"")</f>
        <v>-0.120465302348703</v>
      </c>
      <c r="G227" s="25" t="n">
        <f aca="false">IF(AND(ISNUMBER(G170),ISNUMBER(F170)),IFERROR(G170/F170-1,""),"")</f>
        <v>0.257786714088838</v>
      </c>
      <c r="H227" s="25" t="n">
        <f aca="false">IF(AND(ISNUMBER(H170),ISNUMBER(G170)),IFERROR(H170/G170-1,""),"")</f>
        <v>0.366280025680374</v>
      </c>
      <c r="I227" s="25" t="n">
        <f aca="false">IF(AND(ISNUMBER(I170),ISNUMBER(H170)),IFERROR(I170/H170-1,""),"")</f>
        <v>-0.0703231032675111</v>
      </c>
      <c r="J227" s="24"/>
      <c r="K227" s="24"/>
      <c r="L227" s="24"/>
      <c r="M227" s="24"/>
      <c r="N227" s="25" t="n">
        <f aca="false">IF(AND(ISNUMBER(N170),ISNUMBER(I170)),IFERROR(N170/I170-1,""),"")</f>
        <v>0.0833557102368845</v>
      </c>
      <c r="O227" s="25" t="n">
        <f aca="false">IF(AND(ISNUMBER(O170),ISNUMBER(J170)),IFERROR(O170/J170-1,""),"")</f>
        <v>0.466598622329889</v>
      </c>
      <c r="P227" s="25" t="n">
        <f aca="false">IF(AND(ISNUMBER(P170),ISNUMBER(K170)),IFERROR(P170/K170-1,""),"")</f>
        <v>-0.0946628123749672</v>
      </c>
      <c r="Q227" s="25" t="n">
        <f aca="false">IF(AND(ISNUMBER(Q170),ISNUMBER(L170)),IFERROR(Q170/L170-1,""),"")</f>
        <v>0.351000412431857</v>
      </c>
      <c r="R227" s="25" t="n">
        <f aca="false">IF(AND(ISNUMBER(R170),ISNUMBER(M170)),IFERROR(R170/M170-1,""),"")</f>
        <v>0.612998192091425</v>
      </c>
      <c r="S227" s="25" t="n">
        <f aca="false">IF(AND(ISNUMBER(S170),ISNUMBER(N170)),IFERROR(S170/N170-1,""),"")</f>
        <v>0.352803177066822</v>
      </c>
      <c r="T227" s="25" t="n">
        <f aca="false">IF(AND(ISNUMBER(T170),ISNUMBER(O170)),IFERROR(T170/O170-1,""),"")</f>
        <v>-0.296222015066581</v>
      </c>
      <c r="U227" s="25" t="n">
        <f aca="false">IF(AND(ISNUMBER(U170),ISNUMBER(P170)),IFERROR(U170/P170-1,""),"")</f>
        <v>0.844304325565483</v>
      </c>
      <c r="V227" s="25" t="n">
        <f aca="false">IF(AND(ISNUMBER(V170),ISNUMBER(Q170)),IFERROR(V170/Q170-1,""),"")</f>
        <v>0.0138111921309492</v>
      </c>
      <c r="W227" s="25" t="n">
        <f aca="false">IF(AND(ISNUMBER(W170),ISNUMBER(R170)),IFERROR(W170/R170-1,""),"")</f>
        <v>0.00656316591469075</v>
      </c>
      <c r="X227" s="25" t="n">
        <f aca="false">IF(AND(ISNUMBER(X170),ISNUMBER(S170)),IFERROR(X170/S170-1,""),"")</f>
        <v>0.0437954292700913</v>
      </c>
      <c r="Y227" s="25" t="n">
        <f aca="false">IF(AND(ISNUMBER(Y170),ISNUMBER(T170)),IFERROR(Y170/T170-1,""),"")</f>
        <v>0.0514767645588226</v>
      </c>
      <c r="Z227" s="25" t="n">
        <f aca="false">IF(AND(ISNUMBER(Z170),ISNUMBER(U170)),IFERROR(Z170/U170-1,""),"")</f>
        <v>0.0219913386297002</v>
      </c>
      <c r="AA227" s="25" t="n">
        <f aca="false">IF(AND(ISNUMBER(AA170),ISNUMBER(V170)),IFERROR(AA170/V170-1,""),"")</f>
        <v>0.00605098864103604</v>
      </c>
      <c r="AB227" s="25" t="n">
        <f aca="false">IF(AND(ISNUMBER(AB170),ISNUMBER(W170)),IFERROR(AB170/W170-1,""),"")</f>
        <v>0.0588491014169499</v>
      </c>
      <c r="AC227" s="25" t="n">
        <f aca="false">IF(AND(ISNUMBER(AC170),ISNUMBER(X170)),IFERROR(AC170/X170-1,""),"")</f>
        <v>0.0350784962028394</v>
      </c>
      <c r="AD227" s="25" t="n">
        <f aca="false">IF(AND(ISNUMBER(AD170),ISNUMBER(Y170)),IFERROR(AD170/Y170-1,""),"")</f>
        <v>0.38696178882172</v>
      </c>
      <c r="AE227" s="25" t="n">
        <f aca="false">IF(AND(ISNUMBER(AE170),ISNUMBER(Z170)),IFERROR(AE170/Z170-1,""),"")</f>
        <v>0.194129229440201</v>
      </c>
      <c r="AF227" s="25" t="n">
        <f aca="false">IF(AND(ISNUMBER(AF170),ISNUMBER(AA170)),IFERROR(AF170/AA170-1,""),"")</f>
        <v>0.121352926315968</v>
      </c>
      <c r="AG227" s="25" t="n">
        <f aca="false">IF(AND(ISNUMBER(AG170),ISNUMBER(AB170)),IFERROR(AG170/AB170-1,""),"")</f>
        <v>-0.177807195599093</v>
      </c>
      <c r="AH227" s="25" t="n">
        <f aca="false">IF(AND(ISNUMBER(AH170),ISNUMBER(AC170)),IFERROR(AH170/AC170-1,""),"")</f>
        <v>0.0988454489282911</v>
      </c>
      <c r="AI227" s="25" t="n">
        <f aca="false">IF(AND(ISNUMBER(AI170),ISNUMBER(AD170)),IFERROR(AI170/AD170-1,""),"")</f>
        <v>0.0192769502082464</v>
      </c>
      <c r="AJ227" s="25" t="n">
        <f aca="false">IF(AND(ISNUMBER(AJ170),ISNUMBER(AE170)),IFERROR(AJ170/AE170-1,""),"")</f>
        <v>0.19110014272505</v>
      </c>
      <c r="AK227" s="25" t="n">
        <f aca="false">IF(AND(ISNUMBER(AK170),ISNUMBER(AF170)),IFERROR(AK170/AF170-1,""),"")</f>
        <v>0.307030614946989</v>
      </c>
      <c r="AL227" s="25" t="n">
        <f aca="false">IF(AND(ISNUMBER(AL170),ISNUMBER(AG170)),IFERROR(AL170/AG170-1,""),"")</f>
        <v>0.700757575757576</v>
      </c>
      <c r="AM227" s="25" t="n">
        <f aca="false">IF(AND(ISNUMBER(AM170),ISNUMBER(AH170)),IFERROR(AM170/AH170-1,""),"")</f>
        <v>0.294430730060331</v>
      </c>
      <c r="AN227" s="25" t="n">
        <f aca="false">IF(AND(ISNUMBER(AN170),ISNUMBER(AI170)),IFERROR(AN170/AI170-1,""),"")</f>
        <v>0.418077715921607</v>
      </c>
      <c r="AO227" s="25" t="n">
        <f aca="false">IF(AND(ISNUMBER(AO170),ISNUMBER(AJ170)),IFERROR(AO170/AJ170-1,""),"")</f>
        <v>0.499109075550393</v>
      </c>
      <c r="AP227" s="25" t="n">
        <f aca="false">IF(AND(ISNUMBER(AP170),ISNUMBER(AK170)),IFERROR(AP170/AK170-1,""),"")</f>
        <v>0.0772388945523608</v>
      </c>
      <c r="AQ227" s="25" t="n">
        <f aca="false">IF(AND(ISNUMBER(AQ170),ISNUMBER(AL170)),IFERROR(AQ170/AL170-1,""),"")</f>
        <v>0.124139879666257</v>
      </c>
      <c r="AR227" s="25" t="n">
        <f aca="false">IF(AND(ISNUMBER(AR170),ISNUMBER(AM170)),IFERROR(AR170/AM170-1,""),"")</f>
        <v>0.267363392662587</v>
      </c>
      <c r="AS227" s="25" t="n">
        <f aca="false">IF(AND(ISNUMBER(AS170),ISNUMBER(AN170)),IFERROR(AS170/AN170-1,""),"")</f>
        <v>-0.0258773006134969</v>
      </c>
      <c r="AT227" s="25" t="n">
        <f aca="false">IF(AND(ISNUMBER(AT170),ISNUMBER(AO170)),IFERROR(AT170/AO170-1,""),"")</f>
        <v>0.046043443311284</v>
      </c>
      <c r="AU227" s="25" t="n">
        <f aca="false">IF(AND(ISNUMBER(AU170),ISNUMBER(AP170)),IFERROR(AU170/AP170-1,""),"")</f>
        <v>1.57529349690015</v>
      </c>
      <c r="AV227" s="25" t="n">
        <f aca="false">IF(AND(ISNUMBER(AV170),ISNUMBER(AQ170)),IFERROR(AV170/AQ170-1,""),"")</f>
        <v>1.50547904191617</v>
      </c>
      <c r="AW227" s="25" t="n">
        <f aca="false">IF(AND(ISNUMBER(AW170),ISNUMBER(AR170)),IFERROR(AW170/AR170-1,""),"")</f>
        <v>0.742129267975133</v>
      </c>
      <c r="AX227" s="25" t="n">
        <f aca="false">IF(AND(ISNUMBER(AX170),ISNUMBER(AS170)),IFERROR(AX170/AS170-1,""),"")</f>
        <v>1.98814714419057</v>
      </c>
      <c r="AY227" s="25" t="n">
        <f aca="false">IF(AND(ISNUMBER(AY170),ISNUMBER(AT170)),IFERROR(AY170/AT170-1,""),"")</f>
        <v>0.58930131767502</v>
      </c>
      <c r="AZ227" s="25" t="n">
        <f aca="false">IF(AND(ISNUMBER(AZ170),ISNUMBER(AU170)),IFERROR(AZ170/AU170-1,""),"")</f>
        <v>-0.0110802566063896</v>
      </c>
      <c r="BA227" s="25" t="n">
        <f aca="false">IF(AND(ISNUMBER(BA170),ISNUMBER(AV170)),IFERROR(BA170/AV170-1,""),"")</f>
        <v>-0.332933683630321</v>
      </c>
      <c r="BB227" s="25" t="n">
        <f aca="false">IF(AND(ISNUMBER(BB170),ISNUMBER(AW170)),IFERROR(BB170/AW170-1,""),"")</f>
        <v>0.21786931397244</v>
      </c>
      <c r="BC227" s="25" t="n">
        <f aca="false">IF(AND(ISNUMBER(BC170),ISNUMBER(AX170)),IFERROR(BC170/AX170-1,""),"")</f>
        <v>-0.0474047112223288</v>
      </c>
      <c r="BD227" s="25" t="n">
        <f aca="false">IF(AND(ISNUMBER(BD170),ISNUMBER(AY170)),IFERROR(BD170/AY170-1,""),"")</f>
        <v>-0.085094802785769</v>
      </c>
      <c r="BE227" s="25" t="n">
        <f aca="false">IF(AND(ISNUMBER(BE170),ISNUMBER(AZ170)),IFERROR(BE170/AZ170-1,""),"")</f>
        <v>-0.210005457280145</v>
      </c>
      <c r="BF227" s="25" t="n">
        <f aca="false">IF(AND(ISNUMBER(BF170),ISNUMBER(BA170)),IFERROR(BF170/BA170-1,""),"")</f>
        <v>-0.0373637571862233</v>
      </c>
      <c r="BG227" s="25" t="n">
        <f aca="false">IF(AND(ISNUMBER(BG170),ISNUMBER(BB170)),IFERROR(BG170/BB170-1,""),"")</f>
        <v>-0.0934732968639626</v>
      </c>
      <c r="BH227" s="25" t="n">
        <f aca="false">IF(AND(ISNUMBER(BH170),ISNUMBER(BC170)),IFERROR(BH170/BC170-1,""),"")</f>
        <v>-0.407559749598566</v>
      </c>
      <c r="BI227" s="25" t="n">
        <f aca="false">IF(AND(ISNUMBER(BI170),ISNUMBER(BD170)),IFERROR(BI170/BD170-1,""),"")</f>
        <v>-0.169443274187153</v>
      </c>
      <c r="BJ227" s="25" t="n">
        <f aca="false">IF(AND(ISNUMBER(BJ170),ISNUMBER(BE170)),IFERROR(BJ170/BE170-1,""),"")</f>
        <v>0.16785332551805</v>
      </c>
      <c r="BK227" s="25" t="n">
        <f aca="false">IF(AND(ISNUMBER(BK170),ISNUMBER(BF170)),IFERROR(BK170/BF170-1,""),"")</f>
        <v>0.0475921031974462</v>
      </c>
      <c r="BL227" s="25" t="n">
        <f aca="false">IF(AND(ISNUMBER(BL170),ISNUMBER(BG170)),IFERROR(BL170/BG170-1,""),"")</f>
        <v>-0.124071052436401</v>
      </c>
      <c r="BM227" s="25" t="n">
        <f aca="false">IF(AND(ISNUMBER(BM170),ISNUMBER(BH170)),IFERROR(BM170/BH170-1,""),"")</f>
        <v>0.0402039694853891</v>
      </c>
      <c r="BN227" s="25" t="n">
        <f aca="false">IF(AND(ISNUMBER(BN170),ISNUMBER(BI170)),IFERROR(BN170/BI170-1,""),"")</f>
        <v>0.151503175939977</v>
      </c>
      <c r="BO227" s="25" t="n">
        <f aca="false">IF(AND(ISNUMBER(BO170),ISNUMBER(BJ170)),IFERROR(BO170/BJ170-1,""),"")</f>
        <v>-0.0396622934888241</v>
      </c>
      <c r="BP227" s="25" t="n">
        <f aca="false">IF(AND(ISNUMBER(BP170),ISNUMBER(BK170)),IFERROR(BP170/BK170-1,""),"")</f>
        <v>0.137977542488267</v>
      </c>
      <c r="BQ227" s="25" t="n">
        <f aca="false">IF(AND(ISNUMBER(BQ170),ISNUMBER(BL170)),IFERROR(BQ170/BL170-1,""),"")</f>
        <v>0.0705091492692997</v>
      </c>
      <c r="BR227" s="25" t="n">
        <f aca="false">IF(AND(ISNUMBER(BR170),ISNUMBER(BM170)),IFERROR(BR170/BM170-1,""),"")</f>
        <v>0.151389946573401</v>
      </c>
      <c r="BS227" s="25" t="n">
        <f aca="false">IF(AND(ISNUMBER(BS170),ISNUMBER(BN170)),IFERROR(BS170/BN170-1,""),"")</f>
        <v>0.0590749120160885</v>
      </c>
      <c r="BT227" s="25" t="n">
        <f aca="false">IF(AND(ISNUMBER(BT170),ISNUMBER(BO170)),IFERROR(BT170/BO170-1,""),"")</f>
        <v>0.00714772616613102</v>
      </c>
      <c r="BU227" s="25" t="n">
        <f aca="false">IF(AND(ISNUMBER(BU170),ISNUMBER(BP170)),IFERROR(BU170/BP170-1,""),"")</f>
        <v>0.0902639047236875</v>
      </c>
      <c r="BV227" s="25" t="n">
        <f aca="false">IF(AND(ISNUMBER(BV170),ISNUMBER(BQ170)),IFERROR(BV170/BQ170-1,""),"")</f>
        <v>0.0722458166814914</v>
      </c>
      <c r="BW227" s="25" t="n">
        <f aca="false">IF(AND(ISNUMBER(BW170),ISNUMBER(BR170)),IFERROR(BW170/BR170-1,""),"")</f>
        <v>0.111764956869884</v>
      </c>
      <c r="BX227" s="25" t="n">
        <f aca="false">IF(AND(ISNUMBER(BX170),ISNUMBER(BS170)),IFERROR(BX170/BS170-1,""),"")</f>
        <v>0.0944796443448734</v>
      </c>
      <c r="BY227" s="26" t="n">
        <f aca="false">IFERROR(BY170/BT170-1,"")</f>
        <v>0.3221782117272</v>
      </c>
      <c r="BZ227" s="26" t="n">
        <f aca="false">IFERROR(BZ170/BU170-1,"")</f>
        <v>0.103932405350846</v>
      </c>
      <c r="CA227" s="26" t="n">
        <f aca="false">IFERROR(CA170/BV170-1,"")</f>
        <v>0.156336396060928</v>
      </c>
      <c r="CB227" s="26" t="n">
        <f aca="false">IFERROR(CB170/CA170-1,"")</f>
        <v>0.0448767576057723</v>
      </c>
      <c r="CC227" s="26" t="n">
        <f aca="false">IFERROR(CC170/CB170-1,"")</f>
        <v>0.123177865427828</v>
      </c>
      <c r="CD227" s="26" t="n">
        <f aca="false">IFERROR(CD170/CC170-1,"")</f>
        <v>0.126266725709563</v>
      </c>
      <c r="CE227" s="26" t="n">
        <f aca="false">IFERROR(CE170/CD170-1,"")</f>
        <v>0.147365284949499</v>
      </c>
      <c r="CF227" s="21"/>
    </row>
    <row r="228" customFormat="false" ht="15" hidden="false" customHeight="false" outlineLevel="0" collapsed="false">
      <c r="B228" s="23" t="s">
        <v>284</v>
      </c>
      <c r="C228" s="25" t="n">
        <f aca="false">IF(AND(ISNUMBER(C138),ISNUMBER(C136)),C138/C136,"")</f>
        <v>0.417085375447995</v>
      </c>
      <c r="D228" s="25" t="n">
        <f aca="false">IF(AND(ISNUMBER(D138),ISNUMBER(D136)),D138/D136,"")</f>
        <v>0.402825658704753</v>
      </c>
      <c r="E228" s="25" t="n">
        <f aca="false">IF(AND(ISNUMBER(E138),ISNUMBER(E136)),E138/E136,"")</f>
        <v>0.412497618594018</v>
      </c>
      <c r="F228" s="25" t="n">
        <f aca="false">IF(AND(ISNUMBER(F138),ISNUMBER(F136)),F138/F136,"")</f>
        <v>0.410437500618218</v>
      </c>
      <c r="G228" s="25" t="n">
        <f aca="false">IF(AND(ISNUMBER(G138),ISNUMBER(G136)),G138/G136,"")</f>
        <v>0.423925032673075</v>
      </c>
      <c r="H228" s="25" t="n">
        <f aca="false">IF(AND(ISNUMBER(H138),ISNUMBER(H136)),H138/H136,"")</f>
        <v>0.425434295022131</v>
      </c>
      <c r="I228" s="25" t="n">
        <f aca="false">IF(AND(ISNUMBER(I138),ISNUMBER(I136)),I138/I136,"")</f>
        <v>0.441002725841134</v>
      </c>
      <c r="J228" s="25" t="n">
        <f aca="false">IF(AND(ISNUMBER(J138),ISNUMBER(J136)),J138/J136,"")</f>
        <v>0.436283879053737</v>
      </c>
      <c r="K228" s="25" t="n">
        <f aca="false">IF(AND(ISNUMBER(K138),ISNUMBER(K136)),K138/K136,"")</f>
        <v>0.438011172494676</v>
      </c>
      <c r="L228" s="25" t="n">
        <f aca="false">IF(AND(ISNUMBER(L138),ISNUMBER(L136)),L138/L136,"")</f>
        <v>0.439751864151889</v>
      </c>
      <c r="M228" s="25" t="n">
        <f aca="false">IF(AND(ISNUMBER(M138),ISNUMBER(M136)),M138/M136,"")</f>
        <v>0.443018258386455</v>
      </c>
      <c r="N228" s="25" t="n">
        <f aca="false">IF(AND(ISNUMBER(N138),ISNUMBER(N136)),N138/N136,"")</f>
        <v>0.439340580429784</v>
      </c>
      <c r="O228" s="25" t="n">
        <f aca="false">IF(AND(ISNUMBER(O138),ISNUMBER(O136)),O138/O136,"")</f>
        <v>0.438503906750352</v>
      </c>
      <c r="P228" s="25" t="n">
        <f aca="false">IF(AND(ISNUMBER(P138),ISNUMBER(P136)),P138/P136,"")</f>
        <v>0.45371248756334</v>
      </c>
      <c r="Q228" s="25" t="n">
        <f aca="false">IF(AND(ISNUMBER(Q138),ISNUMBER(Q136)),Q138/Q136,"")</f>
        <v>0.490099247255118</v>
      </c>
      <c r="R228" s="25" t="n">
        <f aca="false">IF(AND(ISNUMBER(R138),ISNUMBER(R136)),R138/R136,"")</f>
        <v>0.490117521367521</v>
      </c>
      <c r="S228" s="25" t="n">
        <f aca="false">IF(AND(ISNUMBER(S138),ISNUMBER(S136)),S138/S136,"")</f>
        <v>0.468868416066692</v>
      </c>
      <c r="T228" s="25" t="n">
        <f aca="false">IF(AND(ISNUMBER(T138),ISNUMBER(T136)),T138/T136,"")</f>
        <v>0.492548739410024</v>
      </c>
      <c r="U228" s="25" t="n">
        <f aca="false">IF(AND(ISNUMBER(U138),ISNUMBER(U136)),U138/U136,"")</f>
        <v>0.479734950478822</v>
      </c>
      <c r="V228" s="25" t="n">
        <f aca="false">IF(AND(ISNUMBER(V138),ISNUMBER(V136)),V138/V136,"")</f>
        <v>0.482877376794723</v>
      </c>
      <c r="W228" s="25" t="n">
        <f aca="false">IF(AND(ISNUMBER(W138),ISNUMBER(W136)),W138/W136,"")</f>
        <v>0.475572272971521</v>
      </c>
      <c r="X228" s="25" t="n">
        <f aca="false">IF(AND(ISNUMBER(X138),ISNUMBER(X136)),X138/X136,"")</f>
        <v>0.482316950970799</v>
      </c>
      <c r="Y228" s="25" t="n">
        <f aca="false">IF(AND(ISNUMBER(Y138),ISNUMBER(Y136)),Y138/Y136,"")</f>
        <v>0.47939368538698</v>
      </c>
      <c r="Z228" s="25" t="n">
        <f aca="false">IF(AND(ISNUMBER(Z138),ISNUMBER(Z136)),Z138/Z136,"")</f>
        <v>0.481963309225613</v>
      </c>
      <c r="AA228" s="25" t="n">
        <f aca="false">IF(AND(ISNUMBER(AA138),ISNUMBER(AA136)),AA138/AA136,"")</f>
        <v>0.481796521855307</v>
      </c>
      <c r="AB228" s="25" t="n">
        <f aca="false">IF(AND(ISNUMBER(AB138),ISNUMBER(AB136)),AB138/AB136,"")</f>
        <v>0.485867721876767</v>
      </c>
      <c r="AC228" s="25" t="n">
        <f aca="false">IF(AND(ISNUMBER(AC138),ISNUMBER(AC136)),AC138/AC136,"")</f>
        <v>0.482376697074001</v>
      </c>
      <c r="AD228" s="25" t="n">
        <f aca="false">IF(AND(ISNUMBER(AD138),ISNUMBER(AD136)),AD138/AD136,"")</f>
        <v>0.486421825813221</v>
      </c>
      <c r="AE228" s="25" t="n">
        <f aca="false">IF(AND(ISNUMBER(AE138),ISNUMBER(AE136)),AE138/AE136,"")</f>
        <v>0.483306613226453</v>
      </c>
      <c r="AF228" s="25" t="n">
        <f aca="false">IF(AND(ISNUMBER(AF138),ISNUMBER(AF136)),AF138/AF136,"")</f>
        <v>0.47505961455768</v>
      </c>
      <c r="AG228" s="25" t="n">
        <f aca="false">IF(AND(ISNUMBER(AG138),ISNUMBER(AG136)),AG138/AG136,"")</f>
        <v>0.46254340995535</v>
      </c>
      <c r="AH228" s="25" t="n">
        <f aca="false">IF(AND(ISNUMBER(AH138),ISNUMBER(AH136)),AH138/AH136,"")</f>
        <v>0.476001529782962</v>
      </c>
      <c r="AI228" s="25" t="n">
        <f aca="false">IF(AND(ISNUMBER(AI138),ISNUMBER(AI136)),AI138/AI136,"")</f>
        <v>0.462839569451563</v>
      </c>
      <c r="AJ228" s="25" t="n">
        <f aca="false">IF(AND(ISNUMBER(AJ138),ISNUMBER(AJ136)),AJ138/AJ136,"")</f>
        <v>0.471701217505759</v>
      </c>
      <c r="AK228" s="25" t="n">
        <f aca="false">IF(AND(ISNUMBER(AK138),ISNUMBER(AK136)),AK138/AK136,"")</f>
        <v>0.462668918918919</v>
      </c>
      <c r="AL228" s="25" t="n">
        <f aca="false">IF(AND(ISNUMBER(AL138),ISNUMBER(AL136)),AL138/AL136,"")</f>
        <v>0.468572306746581</v>
      </c>
      <c r="AM228" s="25" t="n">
        <f aca="false">IF(AND(ISNUMBER(AM138),ISNUMBER(AM136)),AM138/AM136,"")</f>
        <v>0.466540766893834</v>
      </c>
      <c r="AN228" s="25" t="n">
        <f aca="false">IF(AND(ISNUMBER(AN138),ISNUMBER(AN136)),AN138/AN136,"")</f>
        <v>0.462367346938776</v>
      </c>
      <c r="AO228" s="25" t="n">
        <f aca="false">IF(AND(ISNUMBER(AO138),ISNUMBER(AO136)),AO138/AO136,"")</f>
        <v>0.46675110829639</v>
      </c>
      <c r="AP228" s="25" t="n">
        <f aca="false">IF(AND(ISNUMBER(AP138),ISNUMBER(AP136)),AP138/AP136,"")</f>
        <v>0.460459183673469</v>
      </c>
      <c r="AQ228" s="25" t="n">
        <f aca="false">IF(AND(ISNUMBER(AQ138),ISNUMBER(AQ136)),AQ138/AQ136,"")</f>
        <v>0.462586030165471</v>
      </c>
      <c r="AR228" s="25" t="n">
        <f aca="false">IF(AND(ISNUMBER(AR138),ISNUMBER(AR136)),AR138/AR136,"")</f>
        <v>0.463041265366847</v>
      </c>
      <c r="AS228" s="25" t="n">
        <f aca="false">IF(AND(ISNUMBER(AS138),ISNUMBER(AS136)),AS138/AS136,"")</f>
        <v>0.459871589085072</v>
      </c>
      <c r="AT228" s="25" t="n">
        <f aca="false">IF(AND(ISNUMBER(AT138),ISNUMBER(AT136)),AT138/AT136,"")</f>
        <v>0.506144282203267</v>
      </c>
      <c r="AU228" s="25" t="n">
        <f aca="false">IF(AND(ISNUMBER(AU138),ISNUMBER(AU136)),AU138/AU136,"")</f>
        <v>0.522943316512146</v>
      </c>
      <c r="AV228" s="25" t="n">
        <f aca="false">IF(AND(ISNUMBER(AV138),ISNUMBER(AV136)),AV138/AV136,"")</f>
        <v>0.538672985781991</v>
      </c>
      <c r="AW228" s="25" t="n">
        <f aca="false">IF(AND(ISNUMBER(AW138),ISNUMBER(AW136)),AW138/AW136,"")</f>
        <v>0.512291265752064</v>
      </c>
      <c r="AX228" s="25" t="n">
        <f aca="false">IF(AND(ISNUMBER(AX138),ISNUMBER(AX136)),AX138/AX136,"")</f>
        <v>0.539975772259237</v>
      </c>
      <c r="AY228" s="25" t="n">
        <f aca="false">IF(AND(ISNUMBER(AY138),ISNUMBER(AY136)),AY138/AY136,"")</f>
        <v>0.505553758222797</v>
      </c>
      <c r="AZ228" s="25" t="n">
        <f aca="false">IF(AND(ISNUMBER(AZ138),ISNUMBER(AZ136)),AZ138/AZ136,"")</f>
        <v>0.514147909967846</v>
      </c>
      <c r="BA228" s="25" t="n">
        <f aca="false">IF(AND(ISNUMBER(BA138),ISNUMBER(BA136)),BA138/BA136,"")</f>
        <v>0.504578583442347</v>
      </c>
      <c r="BB228" s="25" t="n">
        <f aca="false">IF(AND(ISNUMBER(BB138),ISNUMBER(BB136)),BB138/BB136,"")</f>
        <v>0.516028665425518</v>
      </c>
      <c r="BC228" s="25" t="n">
        <f aca="false">IF(AND(ISNUMBER(BC138),ISNUMBER(BC136)),BC138/BC136,"")</f>
        <v>0.474191910644779</v>
      </c>
      <c r="BD228" s="25" t="n">
        <f aca="false">IF(AND(ISNUMBER(BD138),ISNUMBER(BD136)),BD138/BD136,"")</f>
        <v>0.431175934366454</v>
      </c>
      <c r="BE228" s="25" t="n">
        <f aca="false">IF(AND(ISNUMBER(BE138),ISNUMBER(BE136)),BE138/BE136,"")</f>
        <v>0.415004214667041</v>
      </c>
      <c r="BF228" s="25" t="n">
        <f aca="false">IF(AND(ISNUMBER(BF138),ISNUMBER(BF136)),BF138/BF136,"")</f>
        <v>0.41353711790393</v>
      </c>
      <c r="BG228" s="25" t="n">
        <f aca="false">IF(AND(ISNUMBER(BG138),ISNUMBER(BG136)),BG138/BG136,"")</f>
        <v>0.434153400868307</v>
      </c>
      <c r="BH228" s="25" t="n">
        <f aca="false">IF(AND(ISNUMBER(BH138),ISNUMBER(BH136)),BH138/BH136,"")</f>
        <v>0.398972922502334</v>
      </c>
      <c r="BI228" s="25" t="n">
        <f aca="false">IF(AND(ISNUMBER(BI138),ISNUMBER(BI136)),BI138/BI136,"")</f>
        <v>0.40834658931412</v>
      </c>
      <c r="BJ228" s="25" t="n">
        <f aca="false">IF(AND(ISNUMBER(BJ138),ISNUMBER(BJ136)),BJ138/BJ136,"")</f>
        <v>0.418857575184415</v>
      </c>
      <c r="BK228" s="25" t="n">
        <f aca="false">IF(AND(ISNUMBER(BK138),ISNUMBER(BK136)),BK138/BK136,"")</f>
        <v>0.413007532610693</v>
      </c>
      <c r="BL228" s="25" t="n">
        <f aca="false">IF(AND(ISNUMBER(BL138),ISNUMBER(BL136)),BL138/BL136,"")</f>
        <v>0.409781365937886</v>
      </c>
      <c r="BM228" s="25" t="n">
        <f aca="false">IF(AND(ISNUMBER(BM138),ISNUMBER(BM136)),BM138/BM136,"")</f>
        <v>0.416143064282262</v>
      </c>
      <c r="BN228" s="25" t="n">
        <f aca="false">IF(AND(ISNUMBER(BN138),ISNUMBER(BN136)),BN138/BN136,"")</f>
        <v>0.420738070391803</v>
      </c>
      <c r="BO228" s="25" t="n">
        <f aca="false">IF(AND(ISNUMBER(BO138),ISNUMBER(BO136)),BO138/BO136,"")</f>
        <v>0.41687110775618</v>
      </c>
      <c r="BP228" s="25" t="n">
        <f aca="false">IF(AND(ISNUMBER(BP138),ISNUMBER(BP136)),BP138/BP136,"")</f>
        <v>0.430276437033787</v>
      </c>
      <c r="BQ228" s="25" t="n">
        <f aca="false">IF(AND(ISNUMBER(BQ138),ISNUMBER(BQ136)),BQ138/BQ136,"")</f>
        <v>0.421208516989669</v>
      </c>
      <c r="BR228" s="25" t="n">
        <f aca="false">IF(AND(ISNUMBER(BR138),ISNUMBER(BR136)),BR138/BR136,"")</f>
        <v>0.415669625627171</v>
      </c>
      <c r="BS228" s="25" t="n">
        <f aca="false">IF(AND(ISNUMBER(BS138),ISNUMBER(BS136)),BS138/BS136,"")</f>
        <v>0.412436665131276</v>
      </c>
      <c r="BT228" s="25" t="n">
        <f aca="false">IF(AND(ISNUMBER(BT138),ISNUMBER(BT136)),BT138/BT136,"")</f>
        <v>0.4182700953066</v>
      </c>
      <c r="BU228" s="25" t="n">
        <f aca="false">IF(AND(ISNUMBER(BU138),ISNUMBER(BU136)),BU138/BU136,"")</f>
        <v>0.415227179697094</v>
      </c>
      <c r="BV228" s="25" t="n">
        <f aca="false">IF(AND(ISNUMBER(BV138),ISNUMBER(BV136)),BV138/BV136,"")</f>
        <v>0.415387377682018</v>
      </c>
      <c r="BW228" s="25" t="n">
        <f aca="false">IF(AND(ISNUMBER(BW138),ISNUMBER(BW136)),BW138/BW136,"")</f>
        <v>0.406724216265334</v>
      </c>
      <c r="BX228" s="25" t="n">
        <f aca="false">IF(AND(ISNUMBER(BX138),ISNUMBER(BX136)),BX138/BX136,"")</f>
        <v>0.412122728030682</v>
      </c>
      <c r="BY228" s="26" t="n">
        <f aca="false">IFERROR(BY138/BY136,"")</f>
        <v>0.409692229965695</v>
      </c>
      <c r="BZ228" s="26" t="n">
        <f aca="false">IFERROR(BZ138/BZ136,"")</f>
        <v>0.409802951207663</v>
      </c>
      <c r="CA228" s="26" t="n">
        <f aca="false">IFERROR(CA138/CA136,"")</f>
        <v>0.409673088905072</v>
      </c>
      <c r="CB228" s="26" t="n">
        <f aca="false">IFERROR(CB138/CB136,"")</f>
        <v>0.414013103015591</v>
      </c>
      <c r="CC228" s="26" t="n">
        <f aca="false">IFERROR(CC138/CC136,"")</f>
        <v>0.414082619837689</v>
      </c>
      <c r="CD228" s="26" t="n">
        <f aca="false">IFERROR(CD138/CD136,"")</f>
        <v>0.414147230239782</v>
      </c>
      <c r="CE228" s="26" t="n">
        <f aca="false">IFERROR(CE138/CE136,"")</f>
        <v>0.414206521181537</v>
      </c>
      <c r="CF228" s="21"/>
    </row>
    <row r="229" customFormat="false" ht="15" hidden="false" customHeight="false" outlineLevel="0" collapsed="false">
      <c r="B229" s="23" t="s">
        <v>233</v>
      </c>
      <c r="C229" s="25" t="n">
        <f aca="false">IF(AND(ISNUMBER(C186),ISNUMBER(C136)),C186/C136,"")</f>
        <v>0.151088308761143</v>
      </c>
      <c r="D229" s="25" t="n">
        <f aca="false">IF(AND(ISNUMBER(D186),ISNUMBER(D136)),D186/D136,"")</f>
        <v>0.167949191496347</v>
      </c>
      <c r="E229" s="25" t="n">
        <f aca="false">IF(AND(ISNUMBER(E186),ISNUMBER(E136)),E186/E136,"")</f>
        <v>0.178043436845113</v>
      </c>
      <c r="F229" s="25" t="n">
        <f aca="false">IF(AND(ISNUMBER(F186),ISNUMBER(F136)),F186/F136,"")</f>
        <v>0.169629168026747</v>
      </c>
      <c r="G229" s="25" t="n">
        <f aca="false">IF(AND(ISNUMBER(G186),ISNUMBER(G136)),G186/G136,"")</f>
        <v>0.177593222538397</v>
      </c>
      <c r="H229" s="25" t="n">
        <f aca="false">IF(AND(ISNUMBER(H186),ISNUMBER(H136)),H186/H136,"")</f>
        <v>0.181461550925729</v>
      </c>
      <c r="I229" s="25" t="n">
        <f aca="false">IF(AND(ISNUMBER(I186),ISNUMBER(I136)),I186/I136,"")</f>
        <v>0.190241328867537</v>
      </c>
      <c r="J229" s="25" t="n">
        <f aca="false">IF(AND(ISNUMBER(J186),ISNUMBER(J136)),J186/J136,"")</f>
        <v>0.192730690897697</v>
      </c>
      <c r="K229" s="25" t="n">
        <f aca="false">IF(AND(ISNUMBER(K186),ISNUMBER(K136)),K186/K136,"")</f>
        <v>0.192524922070307</v>
      </c>
      <c r="L229" s="25" t="n">
        <f aca="false">IF(AND(ISNUMBER(L186),ISNUMBER(L136)),L186/L136,"")</f>
        <v>0.19405977818159</v>
      </c>
      <c r="M229" s="25" t="n">
        <f aca="false">IF(AND(ISNUMBER(M186),ISNUMBER(M136)),M186/M136,"")</f>
        <v>0.200236522541752</v>
      </c>
      <c r="N229" s="25" t="n">
        <f aca="false">IF(AND(ISNUMBER(N186),ISNUMBER(N136)),N186/N136,"")</f>
        <v>0.194991711419906</v>
      </c>
      <c r="O229" s="25" t="n">
        <f aca="false">IF(AND(ISNUMBER(O186),ISNUMBER(O136)),O186/O136,"")</f>
        <v>0.212757781478161</v>
      </c>
      <c r="P229" s="25" t="n">
        <f aca="false">IF(AND(ISNUMBER(P186),ISNUMBER(P136)),P186/P136,"")</f>
        <v>0.213702306855781</v>
      </c>
      <c r="Q229" s="25" t="n">
        <f aca="false">IF(AND(ISNUMBER(Q186),ISNUMBER(Q136)),Q186/Q136,"")</f>
        <v>0.219350817471353</v>
      </c>
      <c r="R229" s="25" t="n">
        <f aca="false">IF(AND(ISNUMBER(R186),ISNUMBER(R136)),R186/R136,"")</f>
        <v>0.228298611111111</v>
      </c>
      <c r="S229" s="25" t="n">
        <f aca="false">IF(AND(ISNUMBER(S186),ISNUMBER(S136)),S186/S136,"")</f>
        <v>0.218761841606669</v>
      </c>
      <c r="T229" s="25" t="n">
        <f aca="false">IF(AND(ISNUMBER(T186),ISNUMBER(T136)),T186/T136,"")</f>
        <v>0.218587322649791</v>
      </c>
      <c r="U229" s="25" t="n">
        <f aca="false">IF(AND(ISNUMBER(U186),ISNUMBER(U136)),U186/U136,"")</f>
        <v>0.222505795031492</v>
      </c>
      <c r="V229" s="25" t="n">
        <f aca="false">IF(AND(ISNUMBER(V186),ISNUMBER(V136)),V186/V136,"")</f>
        <v>0.2264503298409</v>
      </c>
      <c r="W229" s="25" t="n">
        <f aca="false">IF(AND(ISNUMBER(W186),ISNUMBER(W136)),W186/W136,"")</f>
        <v>0.232369693713057</v>
      </c>
      <c r="X229" s="25" t="n">
        <f aca="false">IF(AND(ISNUMBER(X186),ISNUMBER(X136)),X186/X136,"")</f>
        <v>0.225264361582987</v>
      </c>
      <c r="Y229" s="25" t="n">
        <f aca="false">IF(AND(ISNUMBER(Y186),ISNUMBER(Y136)),Y186/Y136,"")</f>
        <v>0.21654093322157</v>
      </c>
      <c r="Z229" s="25" t="n">
        <f aca="false">IF(AND(ISNUMBER(Z186),ISNUMBER(Z136)),Z186/Z136,"")</f>
        <v>0.227597459869465</v>
      </c>
      <c r="AA229" s="25" t="n">
        <f aca="false">IF(AND(ISNUMBER(AA186),ISNUMBER(AA136)),AA186/AA136,"")</f>
        <v>0.229909372286179</v>
      </c>
      <c r="AB229" s="25" t="n">
        <f aca="false">IF(AND(ISNUMBER(AB186),ISNUMBER(AB136)),AB186/AB136,"")</f>
        <v>0.247738835500283</v>
      </c>
      <c r="AC229" s="25" t="n">
        <f aca="false">IF(AND(ISNUMBER(AC186),ISNUMBER(AC136)),AC186/AC136,"")</f>
        <v>0.231026425377994</v>
      </c>
      <c r="AD229" s="25" t="n">
        <f aca="false">IF(AND(ISNUMBER(AD186),ISNUMBER(AD136)),AD186/AD136,"")</f>
        <v>0.225771248688353</v>
      </c>
      <c r="AE229" s="25" t="n">
        <f aca="false">IF(AND(ISNUMBER(AE186),ISNUMBER(AE136)),AE186/AE136,"")</f>
        <v>0.232945891783567</v>
      </c>
      <c r="AF229" s="25" t="n">
        <f aca="false">IF(AND(ISNUMBER(AF186),ISNUMBER(AF136)),AF186/AF136,"")</f>
        <v>0.229037176029084</v>
      </c>
      <c r="AG229" s="25" t="n">
        <f aca="false">IF(AND(ISNUMBER(AG186),ISNUMBER(AG136)),AG186/AG136,"")</f>
        <v>0.239788324789152</v>
      </c>
      <c r="AH229" s="25" t="n">
        <f aca="false">IF(AND(ISNUMBER(AH186),ISNUMBER(AH136)),AH186/AH136,"")</f>
        <v>0.232335787360168</v>
      </c>
      <c r="AI229" s="25" t="n">
        <f aca="false">IF(AND(ISNUMBER(AI186),ISNUMBER(AI136)),AI186/AI136,"")</f>
        <v>0.219716384759952</v>
      </c>
      <c r="AJ229" s="25" t="n">
        <f aca="false">IF(AND(ISNUMBER(AJ186),ISNUMBER(AJ136)),AJ186/AJ136,"")</f>
        <v>0.230832510694307</v>
      </c>
      <c r="AK229" s="25" t="n">
        <f aca="false">IF(AND(ISNUMBER(AK186),ISNUMBER(AK136)),AK186/AK136,"")</f>
        <v>0.221452702702703</v>
      </c>
      <c r="AL229" s="25" t="n">
        <f aca="false">IF(AND(ISNUMBER(AL186),ISNUMBER(AL136)),AL186/AL136,"")</f>
        <v>0.24819425234363</v>
      </c>
      <c r="AM229" s="25" t="n">
        <f aca="false">IF(AND(ISNUMBER(AM186),ISNUMBER(AM136)),AM186/AM136,"")</f>
        <v>0.230519747105674</v>
      </c>
      <c r="AN229" s="25" t="n">
        <f aca="false">IF(AND(ISNUMBER(AN186),ISNUMBER(AN136)),AN186/AN136,"")</f>
        <v>0.223673469387755</v>
      </c>
      <c r="AO229" s="25" t="n">
        <f aca="false">IF(AND(ISNUMBER(AO186),ISNUMBER(AO136)),AO186/AO136,"")</f>
        <v>0.234642178594047</v>
      </c>
      <c r="AP229" s="25" t="n">
        <f aca="false">IF(AND(ISNUMBER(AP186),ISNUMBER(AP136)),AP186/AP136,"")</f>
        <v>0.22688137755102</v>
      </c>
      <c r="AQ229" s="25" t="n">
        <f aca="false">IF(AND(ISNUMBER(AQ186),ISNUMBER(AQ136)),AQ186/AQ136,"")</f>
        <v>0.248645482501098</v>
      </c>
      <c r="AR229" s="25" t="n">
        <f aca="false">IF(AND(ISNUMBER(AR186),ISNUMBER(AR136)),AR186/AR136,"")</f>
        <v>0.233850129198966</v>
      </c>
      <c r="AS229" s="25" t="n">
        <f aca="false">IF(AND(ISNUMBER(AS186),ISNUMBER(AS136)),AS186/AS136,"")</f>
        <v>0.221027287319422</v>
      </c>
      <c r="AT229" s="25" t="n">
        <f aca="false">IF(AND(ISNUMBER(AT186),ISNUMBER(AT136)),AT186/AT136,"")</f>
        <v>0.269480988868006</v>
      </c>
      <c r="AU229" s="25" t="n">
        <f aca="false">IF(AND(ISNUMBER(AU186),ISNUMBER(AU136)),AU186/AU136,"")</f>
        <v>0.328952000938857</v>
      </c>
      <c r="AV229" s="25" t="n">
        <f aca="false">IF(AND(ISNUMBER(AV186),ISNUMBER(AV136)),AV186/AV136,"")</f>
        <v>0.332890995260664</v>
      </c>
      <c r="AW229" s="25" t="n">
        <f aca="false">IF(AND(ISNUMBER(AW186),ISNUMBER(AW136)),AW186/AW136,"")</f>
        <v>0.296604382643243</v>
      </c>
      <c r="AX229" s="25" t="n">
        <f aca="false">IF(AND(ISNUMBER(AX186),ISNUMBER(AX136)),AX186/AX136,"")</f>
        <v>0.354330708661417</v>
      </c>
      <c r="AY229" s="25" t="n">
        <f aca="false">IF(AND(ISNUMBER(AY186),ISNUMBER(AY136)),AY186/AY136,"")</f>
        <v>0.289981667205867</v>
      </c>
      <c r="AZ229" s="25" t="n">
        <f aca="false">IF(AND(ISNUMBER(AZ186),ISNUMBER(AZ136)),AZ186/AZ136,"")</f>
        <v>0.297749196141479</v>
      </c>
      <c r="BA229" s="25" t="n">
        <f aca="false">IF(AND(ISNUMBER(BA186),ISNUMBER(BA136)),BA186/BA136,"")</f>
        <v>0.295365352270604</v>
      </c>
      <c r="BB229" s="25" t="n">
        <f aca="false">IF(AND(ISNUMBER(BB186),ISNUMBER(BB136)),BB186/BB136,"")</f>
        <v>0.309555991941037</v>
      </c>
      <c r="BC229" s="25" t="n">
        <f aca="false">IF(AND(ISNUMBER(BC186),ISNUMBER(BC136)),BC186/BC136,"")</f>
        <v>0.291927568116433</v>
      </c>
      <c r="BD229" s="25" t="n">
        <f aca="false">IF(AND(ISNUMBER(BD186),ISNUMBER(BD136)),BD186/BD136,"")</f>
        <v>0.23746581586144</v>
      </c>
      <c r="BE229" s="25" t="n">
        <f aca="false">IF(AND(ISNUMBER(BE186),ISNUMBER(BE136)),BE186/BE136,"")</f>
        <v>0.22197246417533</v>
      </c>
      <c r="BF229" s="25" t="n">
        <f aca="false">IF(AND(ISNUMBER(BF186),ISNUMBER(BF136)),BF186/BF136,"")</f>
        <v>0.223580786026201</v>
      </c>
      <c r="BG229" s="25" t="n">
        <f aca="false">IF(AND(ISNUMBER(BG186),ISNUMBER(BG136)),BG186/BG136,"")</f>
        <v>0.244573082489146</v>
      </c>
      <c r="BH229" s="25" t="n">
        <f aca="false">IF(AND(ISNUMBER(BH186),ISNUMBER(BH136)),BH186/BH136,"")</f>
        <v>0.217553688141923</v>
      </c>
      <c r="BI229" s="25" t="n">
        <f aca="false">IF(AND(ISNUMBER(BI186),ISNUMBER(BI136)),BI186/BI136,"")</f>
        <v>0.221764760924488</v>
      </c>
      <c r="BJ229" s="25" t="n">
        <f aca="false">IF(AND(ISNUMBER(BJ186),ISNUMBER(BJ136)),BJ186/BJ136,"")</f>
        <v>0.242103272177038</v>
      </c>
      <c r="BK229" s="25" t="n">
        <f aca="false">IF(AND(ISNUMBER(BK186),ISNUMBER(BK136)),BK186/BK136,"")</f>
        <v>0.234245820319677</v>
      </c>
      <c r="BL229" s="25" t="n">
        <f aca="false">IF(AND(ISNUMBER(BL186),ISNUMBER(BL136)),BL186/BL136,"")</f>
        <v>0.228900763002543</v>
      </c>
      <c r="BM229" s="25" t="n">
        <f aca="false">IF(AND(ISNUMBER(BM186),ISNUMBER(BM136)),BM186/BM136,"")</f>
        <v>0.220106331561141</v>
      </c>
      <c r="BN229" s="25" t="n">
        <f aca="false">IF(AND(ISNUMBER(BN186),ISNUMBER(BN136)),BN186/BN136,"")</f>
        <v>0.222559529456408</v>
      </c>
      <c r="BO229" s="25" t="n">
        <f aca="false">IF(AND(ISNUMBER(BO186),ISNUMBER(BO136)),BO186/BO136,"")</f>
        <v>0.222966597471221</v>
      </c>
      <c r="BP229" s="25" t="n">
        <f aca="false">IF(AND(ISNUMBER(BP186),ISNUMBER(BP136)),BP186/BP136,"")</f>
        <v>0.238788942518649</v>
      </c>
      <c r="BQ229" s="25" t="n">
        <f aca="false">IF(AND(ISNUMBER(BQ186),ISNUMBER(BQ136)),BQ186/BQ136,"")</f>
        <v>0.22638121224842</v>
      </c>
      <c r="BR229" s="25" t="n">
        <f aca="false">IF(AND(ISNUMBER(BR186),ISNUMBER(BR136)),BR186/BR136,"")</f>
        <v>0.219027402547279</v>
      </c>
      <c r="BS229" s="25" t="n">
        <f aca="false">IF(AND(ISNUMBER(BS186),ISNUMBER(BS136)),BS186/BS136,"")</f>
        <v>0.218885306310456</v>
      </c>
      <c r="BT229" s="25" t="n">
        <f aca="false">IF(AND(ISNUMBER(BT186),ISNUMBER(BT136)),BT186/BT136,"")</f>
        <v>0.232602049991009</v>
      </c>
      <c r="BU229" s="25" t="n">
        <f aca="false">IF(AND(ISNUMBER(BU186),ISNUMBER(BU136)),BU186/BU136,"")</f>
        <v>0.235611952517397</v>
      </c>
      <c r="BV229" s="25" t="n">
        <f aca="false">IF(AND(ISNUMBER(BV186),ISNUMBER(BV136)),BV186/BV136,"")</f>
        <v>0.226905467277134</v>
      </c>
      <c r="BW229" s="25" t="n">
        <f aca="false">IF(AND(ISNUMBER(BW186),ISNUMBER(BW136)),BW186/BW136,"")</f>
        <v>0.217991821899137</v>
      </c>
      <c r="BX229" s="25" t="n">
        <f aca="false">IF(AND(ISNUMBER(BX186),ISNUMBER(BX136)),BX186/BX136,"")</f>
        <v>0.227947306986827</v>
      </c>
      <c r="BY229" s="26" t="n">
        <f aca="false">IFERROR(BY186/BY136,"")</f>
        <v>0.245270480218468</v>
      </c>
      <c r="BZ229" s="26" t="n">
        <f aca="false">IFERROR(BZ186/BZ136,"")</f>
        <v>0.246524664553201</v>
      </c>
      <c r="CA229" s="26" t="n">
        <f aca="false">IFERROR(CA186/CA136,"")</f>
        <v>0.234958115183246</v>
      </c>
      <c r="CB229" s="26" t="n">
        <f aca="false">IFERROR(CB186/CB136,"")</f>
        <v>0.238528939026843</v>
      </c>
      <c r="CC229" s="26" t="n">
        <f aca="false">IFERROR(CC186/CC136,"")</f>
        <v>0.242596022537744</v>
      </c>
      <c r="CD229" s="26" t="n">
        <f aca="false">IFERROR(CD186/CD136,"")</f>
        <v>0.246724027282201</v>
      </c>
      <c r="CE229" s="26" t="n">
        <f aca="false">IFERROR(CE186/CE136,"")</f>
        <v>0.250763883864051</v>
      </c>
      <c r="CF229" s="21"/>
    </row>
    <row r="230" customFormat="false" ht="15" hidden="false" customHeight="false" outlineLevel="0" collapsed="false">
      <c r="B230" s="23" t="s">
        <v>354</v>
      </c>
      <c r="C230" s="25" t="n">
        <f aca="false">IF(AND(ISNUMBER(C192),ISNUMBER(C136)),C192/C136,"")</f>
        <v>0.169536110846639</v>
      </c>
      <c r="D230" s="25" t="n">
        <f aca="false">IF(AND(ISNUMBER(D192),ISNUMBER(D136)),D192/D136,"")</f>
        <v>0.187002380366084</v>
      </c>
      <c r="E230" s="25" t="n">
        <f aca="false">IF(AND(ISNUMBER(E192),ISNUMBER(E136)),E192/E136,"")</f>
        <v>0.196132596685083</v>
      </c>
      <c r="F230" s="25" t="n">
        <f aca="false">IF(AND(ISNUMBER(F192),ISNUMBER(F136)),F192/F136,"")</f>
        <v>0.188452674164416</v>
      </c>
      <c r="G230" s="25" t="n">
        <f aca="false">IF(AND(ISNUMBER(G192),ISNUMBER(G136)),G192/G136,"")</f>
        <v>0.195973564933681</v>
      </c>
      <c r="H230" s="25" t="n">
        <f aca="false">IF(AND(ISNUMBER(H192),ISNUMBER(H136)),H192/H136,"")</f>
        <v>0.199848199285343</v>
      </c>
      <c r="I230" s="25" t="n">
        <f aca="false">IF(AND(ISNUMBER(I192),ISNUMBER(I136)),I192/I136,"")</f>
        <v>0.209114381409923</v>
      </c>
      <c r="J230" s="25" t="n">
        <f aca="false">IF(AND(ISNUMBER(J192),ISNUMBER(J136)),J192/J136,"")</f>
        <v>0.211217295942347</v>
      </c>
      <c r="K230" s="25" t="n">
        <f aca="false">IF(AND(ISNUMBER(K192),ISNUMBER(K136)),K192/K136,"")</f>
        <v>0.21042560414802</v>
      </c>
      <c r="L230" s="25" t="n">
        <f aca="false">IF(AND(ISNUMBER(L192),ISNUMBER(L136)),L192/L136,"")</f>
        <v>0.212669966789899</v>
      </c>
      <c r="M230" s="25" t="n">
        <f aca="false">IF(AND(ISNUMBER(M192),ISNUMBER(M136)),M192/M136,"")</f>
        <v>0.217658426836655</v>
      </c>
      <c r="N230" s="25" t="n">
        <f aca="false">IF(AND(ISNUMBER(N192),ISNUMBER(N136)),N192/N136,"")</f>
        <v>0.213081441983759</v>
      </c>
      <c r="O230" s="25" t="n">
        <f aca="false">IF(AND(ISNUMBER(O192),ISNUMBER(O136)),O192/O136,"")</f>
        <v>0.233175355450237</v>
      </c>
      <c r="P230" s="25" t="n">
        <f aca="false">IF(AND(ISNUMBER(P192),ISNUMBER(P136)),P192/P136,"")</f>
        <v>0.234804137069345</v>
      </c>
      <c r="Q230" s="25" t="n">
        <f aca="false">IF(AND(ISNUMBER(Q192),ISNUMBER(Q136)),Q192/Q136,"")</f>
        <v>0.241597545188666</v>
      </c>
      <c r="R230" s="25" t="n">
        <f aca="false">IF(AND(ISNUMBER(R192),ISNUMBER(R136)),R192/R136,"")</f>
        <v>0.248197115384615</v>
      </c>
      <c r="S230" s="25" t="n">
        <f aca="false">IF(AND(ISNUMBER(S192),ISNUMBER(S136)),S192/S136,"")</f>
        <v>0.239668198181129</v>
      </c>
      <c r="T230" s="25" t="n">
        <f aca="false">IF(AND(ISNUMBER(T192),ISNUMBER(T136)),T192/T136,"")</f>
        <v>0.240839032356844</v>
      </c>
      <c r="U230" s="25" t="n">
        <f aca="false">IF(AND(ISNUMBER(U192),ISNUMBER(U136)),U192/U136,"")</f>
        <v>0.243555222552623</v>
      </c>
      <c r="V230" s="25" t="n">
        <f aca="false">IF(AND(ISNUMBER(V192),ISNUMBER(V136)),V192/V136,"")</f>
        <v>0.25016977105161</v>
      </c>
      <c r="W230" s="25" t="n">
        <f aca="false">IF(AND(ISNUMBER(W192),ISNUMBER(W136)),W192/W136,"")</f>
        <v>0.253541106931757</v>
      </c>
      <c r="X230" s="25" t="n">
        <f aca="false">IF(AND(ISNUMBER(X192),ISNUMBER(X136)),X192/X136,"")</f>
        <v>0.247273863274665</v>
      </c>
      <c r="Y230" s="25" t="n">
        <f aca="false">IF(AND(ISNUMBER(Y192),ISNUMBER(Y136)),Y192/Y136,"")</f>
        <v>0.238451150228183</v>
      </c>
      <c r="Z230" s="25" t="n">
        <f aca="false">IF(AND(ISNUMBER(Z192),ISNUMBER(Z136)),Z192/Z136,"")</f>
        <v>0.249007761509966</v>
      </c>
      <c r="AA230" s="25" t="n">
        <f aca="false">IF(AND(ISNUMBER(AA192),ISNUMBER(AA136)),AA192/AA136,"")</f>
        <v>0.250261640205749</v>
      </c>
      <c r="AB230" s="25" t="n">
        <f aca="false">IF(AND(ISNUMBER(AB192),ISNUMBER(AB136)),AB192/AB136,"")</f>
        <v>0.267402891060325</v>
      </c>
      <c r="AC230" s="25" t="n">
        <f aca="false">IF(AND(ISNUMBER(AC192),ISNUMBER(AC136)),AC192/AC136,"")</f>
        <v>0.251820883107786</v>
      </c>
      <c r="AD230" s="25" t="n">
        <f aca="false">IF(AND(ISNUMBER(AD192),ISNUMBER(AD136)),AD192/AD136,"")</f>
        <v>0.246128016789087</v>
      </c>
      <c r="AE230" s="25" t="n">
        <f aca="false">IF(AND(ISNUMBER(AE192),ISNUMBER(AE136)),AE192/AE136,"")</f>
        <v>0.252444889779559</v>
      </c>
      <c r="AF230" s="25" t="n">
        <f aca="false">IF(AND(ISNUMBER(AF192),ISNUMBER(AF136)),AF192/AF136,"")</f>
        <v>0.250889331926039</v>
      </c>
      <c r="AG230" s="25" t="n">
        <f aca="false">IF(AND(ISNUMBER(AG192),ISNUMBER(AG136)),AG192/AG136,"")</f>
        <v>0.261782702166364</v>
      </c>
      <c r="AH230" s="25" t="n">
        <f aca="false">IF(AND(ISNUMBER(AH192),ISNUMBER(AH136)),AH192/AH136,"")</f>
        <v>0.253322497370686</v>
      </c>
      <c r="AI230" s="25" t="n">
        <f aca="false">IF(AND(ISNUMBER(AI192),ISNUMBER(AI136)),AI192/AI136,"")</f>
        <v>0.242098069366137</v>
      </c>
      <c r="AJ230" s="25" t="n">
        <f aca="false">IF(AND(ISNUMBER(AJ192),ISNUMBER(AJ136)),AJ192/AJ136,"")</f>
        <v>0.252221125370188</v>
      </c>
      <c r="AK230" s="25" t="n">
        <f aca="false">IF(AND(ISNUMBER(AK192),ISNUMBER(AK136)),AK192/AK136,"")</f>
        <v>0.24375</v>
      </c>
      <c r="AL230" s="25" t="n">
        <f aca="false">IF(AND(ISNUMBER(AL192),ISNUMBER(AL136)),AL192/AL136,"")</f>
        <v>0.268633779007223</v>
      </c>
      <c r="AM230" s="25" t="n">
        <f aca="false">IF(AND(ISNUMBER(AM192),ISNUMBER(AM136)),AM192/AM136,"")</f>
        <v>0.25211429509812</v>
      </c>
      <c r="AN230" s="25" t="n">
        <f aca="false">IF(AND(ISNUMBER(AN192),ISNUMBER(AN136)),AN192/AN136,"")</f>
        <v>0.245387755102041</v>
      </c>
      <c r="AO230" s="25" t="n">
        <f aca="false">IF(AND(ISNUMBER(AO192),ISNUMBER(AO136)),AO192/AO136,"")</f>
        <v>0.257124762507916</v>
      </c>
      <c r="AP230" s="25" t="n">
        <f aca="false">IF(AND(ISNUMBER(AP192),ISNUMBER(AP136)),AP192/AP136,"")</f>
        <v>0.249362244897959</v>
      </c>
      <c r="AQ230" s="25" t="n">
        <f aca="false">IF(AND(ISNUMBER(AQ192),ISNUMBER(AQ136)),AQ192/AQ136,"")</f>
        <v>0.270317762483526</v>
      </c>
      <c r="AR230" s="25" t="n">
        <f aca="false">IF(AND(ISNUMBER(AR192),ISNUMBER(AR136)),AR192/AR136,"")</f>
        <v>0.255931407094198</v>
      </c>
      <c r="AS230" s="25" t="n">
        <f aca="false">IF(AND(ISNUMBER(AS192),ISNUMBER(AS136)),AS192/AS136,"")</f>
        <v>0.244943820224719</v>
      </c>
      <c r="AT230" s="25" t="n">
        <f aca="false">IF(AND(ISNUMBER(AT192),ISNUMBER(AT136)),AT192/AT136,"")</f>
        <v>0.292178690183606</v>
      </c>
      <c r="AU230" s="25" t="n">
        <f aca="false">IF(AND(ISNUMBER(AU192),ISNUMBER(AU136)),AU192/AU136,"")</f>
        <v>0.347846496890036</v>
      </c>
      <c r="AV230" s="25" t="n">
        <f aca="false">IF(AND(ISNUMBER(AV192),ISNUMBER(AV136)),AV192/AV136,"")</f>
        <v>0.350995260663507</v>
      </c>
      <c r="AW230" s="25" t="n">
        <f aca="false">IF(AND(ISNUMBER(AW192),ISNUMBER(AW136)),AW192/AW136,"")</f>
        <v>0.317027748463592</v>
      </c>
      <c r="AX230" s="25" t="n">
        <f aca="false">IF(AND(ISNUMBER(AX192),ISNUMBER(AX136)),AX192/AX136,"")</f>
        <v>0.374318594791036</v>
      </c>
      <c r="AY230" s="25" t="n">
        <f aca="false">IF(AND(ISNUMBER(AY192),ISNUMBER(AY136)),AY192/AY136,"")</f>
        <v>0.312735899924512</v>
      </c>
      <c r="AZ230" s="25" t="n">
        <f aca="false">IF(AND(ISNUMBER(AZ192),ISNUMBER(AZ136)),AZ192/AZ136,"")</f>
        <v>0.319721329046088</v>
      </c>
      <c r="BA230" s="25" t="n">
        <f aca="false">IF(AND(ISNUMBER(BA192),ISNUMBER(BA136)),BA192/BA136,"")</f>
        <v>0.315641936086713</v>
      </c>
      <c r="BB230" s="25" t="n">
        <f aca="false">IF(AND(ISNUMBER(BB192),ISNUMBER(BB136)),BB192/BB136,"")</f>
        <v>0.330749024508429</v>
      </c>
      <c r="BC230" s="25" t="n">
        <f aca="false">IF(AND(ISNUMBER(BC192),ISNUMBER(BC136)),BC192/BC136,"")</f>
        <v>0.313081739719073</v>
      </c>
      <c r="BD230" s="25" t="n">
        <f aca="false">IF(AND(ISNUMBER(BD192),ISNUMBER(BD136)),BD192/BD136,"")</f>
        <v>0.25897903372835</v>
      </c>
      <c r="BE230" s="25" t="n">
        <f aca="false">IF(AND(ISNUMBER(BE192),ISNUMBER(BE136)),BE192/BE136,"")</f>
        <v>0.244825325465955</v>
      </c>
      <c r="BF230" s="25" t="n">
        <f aca="false">IF(AND(ISNUMBER(BF192),ISNUMBER(BF136)),BF192/BF136,"")</f>
        <v>0.245938864628821</v>
      </c>
      <c r="BG230" s="25" t="n">
        <f aca="false">IF(AND(ISNUMBER(BG192),ISNUMBER(BG136)),BG192/BG136,"")</f>
        <v>0.266525659579205</v>
      </c>
      <c r="BH230" s="25" t="n">
        <f aca="false">IF(AND(ISNUMBER(BH192),ISNUMBER(BH136)),BH192/BH136,"")</f>
        <v>0.241176470588235</v>
      </c>
      <c r="BI230" s="25" t="n">
        <f aca="false">IF(AND(ISNUMBER(BI192),ISNUMBER(BI136)),BI192/BI136,"")</f>
        <v>0.247029100776645</v>
      </c>
      <c r="BJ230" s="25" t="n">
        <f aca="false">IF(AND(ISNUMBER(BJ192),ISNUMBER(BJ136)),BJ192/BJ136,"")</f>
        <v>0.267543030073766</v>
      </c>
      <c r="BK230" s="25" t="n">
        <f aca="false">IF(AND(ISNUMBER(BK192),ISNUMBER(BK136)),BK192/BK136,"")</f>
        <v>0.259599485577806</v>
      </c>
      <c r="BL230" s="25" t="n">
        <f aca="false">IF(AND(ISNUMBER(BL192),ISNUMBER(BL136)),BL192/BL136,"")</f>
        <v>0.253820846069487</v>
      </c>
      <c r="BM230" s="25" t="n">
        <f aca="false">IF(AND(ISNUMBER(BM192),ISNUMBER(BM136)),BM192/BM136,"")</f>
        <v>0.247655872402127</v>
      </c>
      <c r="BN230" s="25" t="n">
        <f aca="false">IF(AND(ISNUMBER(BN192),ISNUMBER(BN136)),BN192/BN136,"")</f>
        <v>0.248743003510103</v>
      </c>
      <c r="BO230" s="25" t="n">
        <f aca="false">IF(AND(ISNUMBER(BO192),ISNUMBER(BO136)),BO192/BO136,"")</f>
        <v>0.250424608416682</v>
      </c>
      <c r="BP230" s="25" t="n">
        <f aca="false">IF(AND(ISNUMBER(BP192),ISNUMBER(BP136)),BP192/BP136,"")</f>
        <v>0.265467310223782</v>
      </c>
      <c r="BQ230" s="25" t="n">
        <f aca="false">IF(AND(ISNUMBER(BQ192),ISNUMBER(BQ136)),BQ192/BQ136,"")</f>
        <v>0.253340796193941</v>
      </c>
      <c r="BR230" s="25" t="n">
        <f aca="false">IF(AND(ISNUMBER(BR192),ISNUMBER(BR136)),BR192/BR136,"")</f>
        <v>0.245658047086067</v>
      </c>
      <c r="BS230" s="25" t="n">
        <f aca="false">IF(AND(ISNUMBER(BS192),ISNUMBER(BS136)),BS192/BS136,"")</f>
        <v>0.242468908337172</v>
      </c>
      <c r="BT230" s="25" t="n">
        <f aca="false">IF(AND(ISNUMBER(BT192),ISNUMBER(BT136)),BT192/BT136,"")</f>
        <v>0.253012048192771</v>
      </c>
      <c r="BU230" s="25" t="n">
        <f aca="false">IF(AND(ISNUMBER(BU192),ISNUMBER(BU136)),BU192/BU136,"")</f>
        <v>0.259435120753172</v>
      </c>
      <c r="BV230" s="25" t="n">
        <f aca="false">IF(AND(ISNUMBER(BV192),ISNUMBER(BV136)),BV192/BV136,"")</f>
        <v>0.250471316994344</v>
      </c>
      <c r="BW230" s="25" t="n">
        <f aca="false">IF(AND(ISNUMBER(BW192),ISNUMBER(BW136)),BW192/BW136,"")</f>
        <v>0.245797364834166</v>
      </c>
      <c r="BX230" s="25" t="n">
        <f aca="false">IF(AND(ISNUMBER(BX192),ISNUMBER(BX136)),BX192/BX136,"")</f>
        <v>0.25554443888611</v>
      </c>
      <c r="BY230" s="26" t="n">
        <f aca="false">IFERROR(BY192/BY136,"")</f>
        <v>0.272967336603529</v>
      </c>
      <c r="BZ230" s="26" t="n">
        <f aca="false">IFERROR(BZ192/BZ136,"")</f>
        <v>0.274221520938261</v>
      </c>
      <c r="CA230" s="26" t="n">
        <f aca="false">IFERROR(CA192/CA136,"")</f>
        <v>0.262653811490552</v>
      </c>
      <c r="CB230" s="26" t="n">
        <f aca="false">IFERROR(CB192/CB136,"")</f>
        <v>0.265528939026843</v>
      </c>
      <c r="CC230" s="26" t="n">
        <f aca="false">IFERROR(CC192/CC136,"")</f>
        <v>0.269596022537744</v>
      </c>
      <c r="CD230" s="26" t="n">
        <f aca="false">IFERROR(CD192/CD136,"")</f>
        <v>0.273724027282201</v>
      </c>
      <c r="CE230" s="26" t="n">
        <f aca="false">IFERROR(CE192/CE136,"")</f>
        <v>0.277763883864051</v>
      </c>
      <c r="CF230" s="21"/>
    </row>
    <row r="231" customFormat="false" ht="15" hidden="false" customHeight="false" outlineLevel="0" collapsed="false">
      <c r="B231" s="23" t="s">
        <v>391</v>
      </c>
      <c r="C231" s="24"/>
      <c r="D231" s="25" t="n">
        <f aca="false">IF(AND(ISNUMBER(D186),ISNUMBER(C186)),IFERROR((D186-C186)/(D136-C136),""),"")</f>
        <v>0.178685100699723</v>
      </c>
      <c r="E231" s="25" t="n">
        <f aca="false">IF(AND(ISNUMBER(E186),ISNUMBER(D186)),IFERROR((E186-D186)/(E136-D136),""),"")</f>
        <v>0.308940926024486</v>
      </c>
      <c r="F231" s="25" t="n">
        <f aca="false">IF(AND(ISNUMBER(F186),ISNUMBER(E186)),IFERROR((F186-E186)/(F136-E136),""),"")</f>
        <v>0.397115632243111</v>
      </c>
      <c r="G231" s="25" t="n">
        <f aca="false">IF(AND(ISNUMBER(G186),ISNUMBER(F186)),IFERROR((G186-F186)/(G136-F136),""),"")</f>
        <v>0.296170839469806</v>
      </c>
      <c r="H231" s="25" t="n">
        <f aca="false">IF(AND(ISNUMBER(H186),ISNUMBER(G186)),IFERROR((H186-G186)/(H136-G136),""),"")</f>
        <v>0.225992317541615</v>
      </c>
      <c r="I231" s="25" t="n">
        <f aca="false">IF(AND(ISNUMBER(I186),ISNUMBER(H186)),IFERROR((I186-H186)/(I136-H136),""),"")</f>
        <v>0.321556122448977</v>
      </c>
      <c r="J231" s="24"/>
      <c r="K231" s="24"/>
      <c r="L231" s="24"/>
      <c r="M231" s="24"/>
      <c r="N231" s="25" t="n">
        <f aca="false">IF(AND(ISNUMBER(N186),ISNUMBER(I186)),IFERROR((N186-I186)/(N136-I136),""),"")</f>
        <v>0.297381116471399</v>
      </c>
      <c r="O231" s="25" t="n">
        <f aca="false">IF(AND(ISNUMBER(O186),ISNUMBER(J186)),IFERROR((O186-J186)/(O136-J136),""),"")</f>
        <v>0.30252808988764</v>
      </c>
      <c r="P231" s="25" t="n">
        <f aca="false">IF(AND(ISNUMBER(P186),ISNUMBER(K186)),IFERROR((P186-K186)/(P136-K136),""),"")</f>
        <v>0.277130708079127</v>
      </c>
      <c r="Q231" s="25" t="n">
        <f aca="false">IF(AND(ISNUMBER(Q186),ISNUMBER(L186)),IFERROR((Q186-L186)/(Q136-L136),""),"")</f>
        <v>0.301755818701511</v>
      </c>
      <c r="R231" s="25" t="n">
        <f aca="false">IF(AND(ISNUMBER(R186),ISNUMBER(M186)),IFERROR((R186-M186)/(R136-M136),""),"")</f>
        <v>0.323130909445365</v>
      </c>
      <c r="S231" s="25" t="n">
        <f aca="false">IF(AND(ISNUMBER(S186),ISNUMBER(N186)),IFERROR((S186-N186)/(S136-N136),""),"")</f>
        <v>0.300660648014108</v>
      </c>
      <c r="T231" s="25" t="n">
        <f aca="false">IF(AND(ISNUMBER(T186),ISNUMBER(O186)),IFERROR((T186-O186)/(T136-O136),""),"")</f>
        <v>1.70588235294117</v>
      </c>
      <c r="U231" s="25" t="n">
        <f aca="false">IF(AND(ISNUMBER(U186),ISNUMBER(P186)),IFERROR((U186-P186)/(U136-P136),""),"")</f>
        <v>-0.523529411764693</v>
      </c>
      <c r="V231" s="25" t="n">
        <f aca="false">IF(AND(ISNUMBER(V186),ISNUMBER(Q186)),IFERROR((V186-Q186)/(V136-Q136),""),"")</f>
        <v>-0.38796680497926</v>
      </c>
      <c r="W231" s="25" t="n">
        <f aca="false">IF(AND(ISNUMBER(W186),ISNUMBER(R186)),IFERROR((W186-R186)/(W136-R136),""),"")</f>
        <v>0.346900438321852</v>
      </c>
      <c r="X231" s="25" t="n">
        <f aca="false">IF(AND(ISNUMBER(X186),ISNUMBER(S186)),IFERROR((X186-S186)/(X136-S136),""),"")</f>
        <v>1.67414248021107</v>
      </c>
      <c r="Y231" s="25" t="n">
        <f aca="false">IF(AND(ISNUMBER(Y186),ISNUMBER(T186)),IFERROR((Y186-T186)/(Y136-T136),""),"")</f>
        <v>0.195212765957447</v>
      </c>
      <c r="Z231" s="25" t="n">
        <f aca="false">IF(AND(ISNUMBER(Z186),ISNUMBER(U186)),IFERROR((Z186-U186)/(Z136-U136),""),"")</f>
        <v>0.309875141884223</v>
      </c>
      <c r="AA231" s="25" t="n">
        <f aca="false">IF(AND(ISNUMBER(AA186),ISNUMBER(V186)),IFERROR((AA186-V186)/(AA136-V136),""),"")</f>
        <v>0.268697307587706</v>
      </c>
      <c r="AB231" s="25" t="n">
        <f aca="false">IF(AND(ISNUMBER(AB186),ISNUMBER(W186)),IFERROR((AB186-W186)/(AB136-W136),""),"")</f>
        <v>0.485533754572664</v>
      </c>
      <c r="AC231" s="25" t="n">
        <f aca="false">IF(AND(ISNUMBER(AC186),ISNUMBER(X186)),IFERROR((AC186-X186)/(AC136-X136),""),"")</f>
        <v>0.305723236799875</v>
      </c>
      <c r="AD231" s="25" t="n">
        <f aca="false">IF(AND(ISNUMBER(AD186),ISNUMBER(Y186)),IFERROR((AD186-Y186)/(AD136-Y136),""),"")</f>
        <v>0.310080816673757</v>
      </c>
      <c r="AE231" s="25" t="n">
        <f aca="false">IF(AND(ISNUMBER(AE186),ISNUMBER(Z186)),IFERROR((AE186-Z186)/(AE136-Z136),""),"")</f>
        <v>0.28627968337731</v>
      </c>
      <c r="AF231" s="25" t="n">
        <f aca="false">IF(AND(ISNUMBER(AF186),ISNUMBER(AA186)),IFERROR((AF186-AA186)/(AF136-AA136),""),"")</f>
        <v>0.222773068926915</v>
      </c>
      <c r="AG231" s="25" t="n">
        <f aca="false">IF(AND(ISNUMBER(AG186),ISNUMBER(AB186)),IFERROR((AG186-AB186)/(AG136-AB136),""),"")</f>
        <v>0.203784969829951</v>
      </c>
      <c r="AH231" s="25" t="n">
        <f aca="false">IF(AND(ISNUMBER(AH186),ISNUMBER(AC186)),IFERROR((AH186-AC186)/(AH136-AC136),""),"")</f>
        <v>0.241385831536746</v>
      </c>
      <c r="AI231" s="25" t="n">
        <f aca="false">IF(AND(ISNUMBER(AI186),ISNUMBER(AD186)),IFERROR((AI186-AD186)/(AI136-AD136),""),"")</f>
        <v>0.193198529411764</v>
      </c>
      <c r="AJ231" s="25" t="n">
        <f aca="false">IF(AND(ISNUMBER(AJ186),ISNUMBER(AE186)),IFERROR((AJ186-AE186)/(AJ136-AE136),""),"")</f>
        <v>0.221139705882353</v>
      </c>
      <c r="AK231" s="25" t="n">
        <f aca="false">IF(AND(ISNUMBER(AK186),ISNUMBER(AF186)),IFERROR((AK186-AF186)/(AK136-AF136),""),"")</f>
        <v>0.173177407315253</v>
      </c>
      <c r="AL231" s="25" t="n">
        <f aca="false">IF(AND(ISNUMBER(AL186),ISNUMBER(AG186)),IFERROR((AL186-AG186)/(AL136-AG136),""),"")</f>
        <v>0.358695652173913</v>
      </c>
      <c r="AM231" s="25" t="n">
        <f aca="false">IF(AND(ISNUMBER(AM186),ISNUMBER(AH186)),IFERROR((AM186-AH186)/(AM136-AH136),""),"")</f>
        <v>0.219476744186047</v>
      </c>
      <c r="AN231" s="25" t="n">
        <f aca="false">IF(AND(ISNUMBER(AN186),ISNUMBER(AI186)),IFERROR((AN186-AI186)/(AN136-AI136),""),"")</f>
        <v>0.308823529411765</v>
      </c>
      <c r="AO231" s="25" t="n">
        <f aca="false">IF(AND(ISNUMBER(AO186),ISNUMBER(AJ186)),IFERROR((AO186-AJ186)/(AO136-AJ136),""),"")</f>
        <v>0.331932773109244</v>
      </c>
      <c r="AP231" s="25" t="n">
        <f aca="false">IF(AND(ISNUMBER(AP186),ISNUMBER(AK186)),IFERROR((AP186-AK186)/(AP136-AK136),""),"")</f>
        <v>0.318181818181818</v>
      </c>
      <c r="AQ231" s="25" t="n">
        <f aca="false">IF(AND(ISNUMBER(AQ186),ISNUMBER(AL186)),IFERROR((AQ186-AL186)/(AQ136-AL136),""),"")</f>
        <v>0.25776397515528</v>
      </c>
      <c r="AR231" s="25" t="n">
        <f aca="false">IF(AND(ISNUMBER(AR186),ISNUMBER(AM186)),IFERROR((AR186-AM186)/(AR136-AM136),""),"")</f>
        <v>0.302364864864865</v>
      </c>
      <c r="AS231" s="25" t="n">
        <f aca="false">IF(AND(ISNUMBER(AS186),ISNUMBER(AN186)),IFERROR((AS186-AN186)/(AS136-AN136),""),"")</f>
        <v>0.0666666666666667</v>
      </c>
      <c r="AT231" s="25" t="n">
        <f aca="false">IF(AND(ISNUMBER(AT186),ISNUMBER(AO186)),IFERROR((AT186-AO186)/(AT136-AO136),""),"")</f>
        <v>0.635607321131448</v>
      </c>
      <c r="AU231" s="25" t="n">
        <f aca="false">IF(AND(ISNUMBER(AU186),ISNUMBER(AP186)),IFERROR((AU186-AP186)/(AU136-AP136),""),"")</f>
        <v>0.613606047132059</v>
      </c>
      <c r="AV231" s="25" t="n">
        <f aca="false">IF(AND(ISNUMBER(AV186),ISNUMBER(AQ186)),IFERROR((AV186-AQ186)/(AV136-AQ136),""),"")</f>
        <v>0.487503359312013</v>
      </c>
      <c r="AW231" s="25" t="n">
        <f aca="false">IF(AND(ISNUMBER(AW186),ISNUMBER(AR186)),IFERROR((AW186-AR186)/(AW136-AR136),""),"")</f>
        <v>0.536698621929299</v>
      </c>
      <c r="AX231" s="25" t="n">
        <f aca="false">IF(AND(ISNUMBER(AX186),ISNUMBER(AS186)),IFERROR((AX186-AS186)/(AX136-AS136),""),"")</f>
        <v>0.580250272034821</v>
      </c>
      <c r="AY231" s="25" t="n">
        <f aca="false">IF(AND(ISNUMBER(AY186),ISNUMBER(AT186)),IFERROR((AY186-AT186)/(AY136-AT136),""),"")</f>
        <v>0.350169779286927</v>
      </c>
      <c r="AZ231" s="25" t="n">
        <f aca="false">IF(AND(ISNUMBER(AZ186),ISNUMBER(AU186)),IFERROR((AZ186-AU186)/(AZ136-AU136),""),"")</f>
        <v>-0.030902348578492</v>
      </c>
      <c r="BA231" s="25" t="n">
        <f aca="false">IF(AND(ISNUMBER(BA186),ISNUMBER(AV186)),IFERROR((BA186-AV186)/(BA136-AV136),""),"")</f>
        <v>-2.30921052631579</v>
      </c>
      <c r="BB231" s="25" t="n">
        <f aca="false">IF(AND(ISNUMBER(BB186),ISNUMBER(AW186)),IFERROR((BB186-AW186)/(BB136-AW136),""),"")</f>
        <v>0.369226369226369</v>
      </c>
      <c r="BC231" s="25" t="n">
        <f aca="false">IF(AND(ISNUMBER(BC186),ISNUMBER(AX186)),IFERROR((BC186-AX186)/(BC136-AX136),""),"")</f>
        <v>-0.0313807531380753</v>
      </c>
      <c r="BD231" s="25" t="n">
        <f aca="false">IF(AND(ISNUMBER(BD186),ISNUMBER(AY186)),IFERROR((BD186-AY186)/(BD136-AY136),""),"")</f>
        <v>-0.0494991160872127</v>
      </c>
      <c r="BE231" s="25" t="n">
        <f aca="false">IF(AND(ISNUMBER(BE186),ISNUMBER(AZ186)),IFERROR((BE186-AZ186)/(BE136-AZ136),""),"")</f>
        <v>-0.302895322939866</v>
      </c>
      <c r="BF231" s="25" t="n">
        <f aca="false">IF(AND(ISNUMBER(BF186),ISNUMBER(BA186)),IFERROR((BF186-BA186)/(BF136-BA136),""),"")</f>
        <v>-0.803475935828877</v>
      </c>
      <c r="BG231" s="25" t="n">
        <f aca="false">IF(AND(ISNUMBER(BG186),ISNUMBER(BB186)),IFERROR((BG186-BB186)/(BG136-BB136),""),"")</f>
        <v>-0.202138849929874</v>
      </c>
      <c r="BH231" s="25" t="n">
        <f aca="false">IF(AND(ISNUMBER(BH186),ISNUMBER(BC186)),IFERROR((BH186-BC186)/(BH136-BC136),""),"")</f>
        <v>1.01083032490975</v>
      </c>
      <c r="BI231" s="25" t="n">
        <f aca="false">IF(AND(ISNUMBER(BI186),ISNUMBER(BD186)),IFERROR((BI186-BD186)/(BI136-BD136),""),"")</f>
        <v>0.830388692579505</v>
      </c>
      <c r="BJ231" s="25" t="n">
        <f aca="false">IF(AND(ISNUMBER(BJ186),ISNUMBER(BE186)),IFERROR((BJ186-BE186)/(BJ136-BE136),""),"")</f>
        <v>-1.84466019417476</v>
      </c>
      <c r="BK231" s="25" t="n">
        <f aca="false">IF(AND(ISNUMBER(BK186),ISNUMBER(BF186)),IFERROR((BK186-BF186)/(BK136-BF136),""),"")</f>
        <v>0.0177304964539007</v>
      </c>
      <c r="BL231" s="25" t="n">
        <f aca="false">IF(AND(ISNUMBER(BL186),ISNUMBER(BG186)),IFERROR((BL186-BG186)/(BL136-BG136),""),"")</f>
        <v>0.570942662779397</v>
      </c>
      <c r="BM231" s="25" t="n">
        <f aca="false">IF(AND(ISNUMBER(BM186),ISNUMBER(BH186)),IFERROR((BM186-BH186)/(BM136-BH136),""),"")</f>
        <v>0.145205479452055</v>
      </c>
      <c r="BN231" s="25" t="n">
        <f aca="false">IF(AND(ISNUMBER(BN186),ISNUMBER(BI186)),IFERROR((BN186-BI186)/(BN136-BI136),""),"")</f>
        <v>0.164383561643836</v>
      </c>
      <c r="BO231" s="25" t="n">
        <f aca="false">IF(AND(ISNUMBER(BO186),ISNUMBER(BJ186)),IFERROR((BO186-BJ186)/(BO136-BJ136),""),"")</f>
        <v>-8.20833333333333</v>
      </c>
      <c r="BP231" s="25" t="n">
        <f aca="false">IF(AND(ISNUMBER(BP186),ISNUMBER(BK186)),IFERROR((BP186-BK186)/(BP136-BK136),""),"")</f>
        <v>0.335952848722986</v>
      </c>
      <c r="BQ231" s="25" t="n">
        <f aca="false">IF(AND(ISNUMBER(BQ186),ISNUMBER(BL186)),IFERROR((BQ186-BL186)/(BQ136-BL136),""),"")</f>
        <v>-4.68181818181818</v>
      </c>
      <c r="BR231" s="25" t="n">
        <f aca="false">IF(AND(ISNUMBER(BR186),ISNUMBER(BM186)),IFERROR((BR186-BM186)/(BR136-BM136),""),"")</f>
        <v>-0.368421052631579</v>
      </c>
      <c r="BS231" s="25" t="n">
        <f aca="false">IF(AND(ISNUMBER(BS186),ISNUMBER(BN186)),IFERROR((BS186-BN186)/(BS136-BN136),""),"")</f>
        <v>0.0955414012738854</v>
      </c>
      <c r="BT231" s="25" t="n">
        <f aca="false">IF(AND(ISNUMBER(BT186),ISNUMBER(BO186)),IFERROR((BT186-BO186)/(BT136-BO136),""),"")</f>
        <v>0.427480916030534</v>
      </c>
      <c r="BU231" s="25" t="n">
        <f aca="false">IF(AND(ISNUMBER(BU186),ISNUMBER(BP186)),IFERROR((BU186-BP186)/(BU136-BP136),""),"")</f>
        <v>0.191463414634146</v>
      </c>
      <c r="BV231" s="25" t="n">
        <f aca="false">IF(AND(ISNUMBER(BV186),ISNUMBER(BQ186)),IFERROR((BV186-BQ186)/(BV136-BQ136),""),"")</f>
        <v>0.24031007751938</v>
      </c>
      <c r="BW231" s="25" t="n">
        <f aca="false">IF(AND(ISNUMBER(BW186),ISNUMBER(BR186)),IFERROR((BW186-BR186)/(BW136-BR136),""),"")</f>
        <v>0.201248049921997</v>
      </c>
      <c r="BX231" s="25" t="n">
        <f aca="false">IF(AND(ISNUMBER(BX186),ISNUMBER(BS186)),IFERROR((BX186-BS186)/(BX136-BS136),""),"")</f>
        <v>0.314310798946444</v>
      </c>
      <c r="BY231" s="26" t="n">
        <f aca="false">IFERROR((BY186-BT186)/(BY136-BT136),"")</f>
        <v>0.415205079940543</v>
      </c>
      <c r="BZ231" s="26" t="n">
        <f aca="false">IFERROR((BZ186-BU186)/(BZ136-BU136),"")</f>
        <v>0.475219440983883</v>
      </c>
      <c r="CA231" s="26" t="n">
        <f aca="false">IFERROR((CA186-BV186)/(CA136-BV136),"")</f>
        <v>0.347291797119599</v>
      </c>
      <c r="CB231" s="26" t="n">
        <f aca="false">IFERROR((CB186-CA186)/(CB136-CA136),"")</f>
        <v>0.29704495220205</v>
      </c>
      <c r="CC231" s="26" t="n">
        <f aca="false">IFERROR((CC186-CB186)/(CC136-CB136),"")</f>
        <v>0.296267373136945</v>
      </c>
      <c r="CD231" s="26" t="n">
        <f aca="false">IFERROR((CD186-CC186)/(CD136-CC136),"")</f>
        <v>0.301208096442518</v>
      </c>
      <c r="CE231" s="26" t="n">
        <f aca="false">IFERROR((CE186-CD186)/(CE136-CD136),"")</f>
        <v>0.304828476741587</v>
      </c>
      <c r="CF231" s="21"/>
    </row>
    <row r="232" customFormat="false" ht="15" hidden="false" customHeight="false" outlineLevel="0" collapsed="false">
      <c r="B232" s="23" t="s">
        <v>296</v>
      </c>
      <c r="C232" s="25" t="n">
        <f aca="false">IF(AND(ISNUMBER(C145),ISNUMBER(C136)),C145/C136,"")</f>
        <v>0.063814198533238</v>
      </c>
      <c r="D232" s="25" t="n">
        <f aca="false">IF(AND(ISNUMBER(D145),ISNUMBER(D136)),D145/D136,"")</f>
        <v>0.0999753755232699</v>
      </c>
      <c r="E232" s="25" t="n">
        <f aca="false">IF(AND(ISNUMBER(E145),ISNUMBER(E136)),E145/E136,"")</f>
        <v>0.117108020575348</v>
      </c>
      <c r="F232" s="25" t="n">
        <f aca="false">IF(AND(ISNUMBER(F145),ISNUMBER(F136)),F145/F136,"")</f>
        <v>0.103751842290078</v>
      </c>
      <c r="G232" s="25" t="n">
        <f aca="false">IF(AND(ISNUMBER(G145),ISNUMBER(G136)),G145/G136,"")</f>
        <v>0.117243041330281</v>
      </c>
      <c r="H232" s="25" t="n">
        <f aca="false">IF(AND(ISNUMBER(H145),ISNUMBER(H136)),H145/H136,"")</f>
        <v>0.106192275219813</v>
      </c>
      <c r="I232" s="25" t="n">
        <f aca="false">IF(AND(ISNUMBER(I145),ISNUMBER(I136)),I145/I136,"")</f>
        <v>0.118474168458581</v>
      </c>
      <c r="J232" s="25" t="n">
        <f aca="false">IF(AND(ISNUMBER(J145),ISNUMBER(J136)),J145/J136,"")</f>
        <v>0.121290929030237</v>
      </c>
      <c r="K232" s="25" t="n">
        <f aca="false">IF(AND(ISNUMBER(K145),ISNUMBER(K136)),K145/K136,"")</f>
        <v>0.115860621585754</v>
      </c>
      <c r="L232" s="25" t="n">
        <f aca="false">IF(AND(ISNUMBER(L145),ISNUMBER(L136)),L145/L136,"")</f>
        <v>0.122846042985149</v>
      </c>
      <c r="M232" s="25" t="n">
        <f aca="false">IF(AND(ISNUMBER(M145),ISNUMBER(M136)),M145/M136,"")</f>
        <v>0.13124116645995</v>
      </c>
      <c r="N232" s="25" t="n">
        <f aca="false">IF(AND(ISNUMBER(N145),ISNUMBER(N136)),N145/N136,"")</f>
        <v>0.122961276670512</v>
      </c>
      <c r="O232" s="25" t="n">
        <f aca="false">IF(AND(ISNUMBER(O145),ISNUMBER(O136)),O145/O136,"")</f>
        <v>0.224285897271679</v>
      </c>
      <c r="P232" s="25" t="n">
        <f aca="false">IF(AND(ISNUMBER(P145),ISNUMBER(P136)),P145/P136,"")</f>
        <v>0.0805432795761124</v>
      </c>
      <c r="Q232" s="25" t="n">
        <f aca="false">IF(AND(ISNUMBER(Q145),ISNUMBER(Q136)),Q145/Q136,"")</f>
        <v>0.153497626696073</v>
      </c>
      <c r="R232" s="25" t="n">
        <f aca="false">IF(AND(ISNUMBER(R145),ISNUMBER(R136)),R145/R136,"")</f>
        <v>0.142249821937322</v>
      </c>
      <c r="S232" s="25" t="n">
        <f aca="false">IF(AND(ISNUMBER(S145),ISNUMBER(S136)),S145/S136,"")</f>
        <v>0.148197707464949</v>
      </c>
      <c r="T232" s="25" t="n">
        <f aca="false">IF(AND(ISNUMBER(T145),ISNUMBER(T136)),T145/T136,"")</f>
        <v>0.124349290599163</v>
      </c>
      <c r="U232" s="25" t="n">
        <f aca="false">IF(AND(ISNUMBER(U145),ISNUMBER(U136)),U145/U136,"")</f>
        <v>0.139502212648388</v>
      </c>
      <c r="V232" s="25" t="n">
        <f aca="false">IF(AND(ISNUMBER(V145),ISNUMBER(V136)),V145/V136,"")</f>
        <v>0.136520178502134</v>
      </c>
      <c r="W232" s="25" t="n">
        <f aca="false">IF(AND(ISNUMBER(W145),ISNUMBER(W136)),W145/W136,"")</f>
        <v>0.148350349274583</v>
      </c>
      <c r="X232" s="25" t="n">
        <f aca="false">IF(AND(ISNUMBER(X145),ISNUMBER(X136)),X145/X136,"")</f>
        <v>0.137703797140062</v>
      </c>
      <c r="Y232" s="25" t="n">
        <f aca="false">IF(AND(ISNUMBER(Y145),ISNUMBER(Y136)),Y145/Y136,"")</f>
        <v>0.120587687435969</v>
      </c>
      <c r="Z232" s="25" t="n">
        <f aca="false">IF(AND(ISNUMBER(Z145),ISNUMBER(Z136)),Z145/Z136,"")</f>
        <v>0.140589169165638</v>
      </c>
      <c r="AA232" s="25" t="n">
        <f aca="false">IF(AND(ISNUMBER(AA145),ISNUMBER(AA136)),AA145/AA136,"")</f>
        <v>0.120488098154045</v>
      </c>
      <c r="AB232" s="25" t="n">
        <f aca="false">IF(AND(ISNUMBER(AB145),ISNUMBER(AB136)),AB145/AB136,"")</f>
        <v>0.151942178793507</v>
      </c>
      <c r="AC232" s="25" t="n">
        <f aca="false">IF(AND(ISNUMBER(AC145),ISNUMBER(AC136)),AC145/AC136,"")</f>
        <v>0.13402575229423</v>
      </c>
      <c r="AD232" s="25" t="n">
        <f aca="false">IF(AND(ISNUMBER(AD145),ISNUMBER(AD136)),AD145/AD136,"")</f>
        <v>0.130619097586569</v>
      </c>
      <c r="AE232" s="25" t="n">
        <f aca="false">IF(AND(ISNUMBER(AE145),ISNUMBER(AE136)),AE145/AE136,"")</f>
        <v>0.15060120240481</v>
      </c>
      <c r="AF232" s="25" t="n">
        <f aca="false">IF(AND(ISNUMBER(AF145),ISNUMBER(AF136)),AF145/AF136,"")</f>
        <v>0.12435010359251</v>
      </c>
      <c r="AG232" s="25" t="n">
        <f aca="false">IF(AND(ISNUMBER(AG145),ISNUMBER(AG136)),AG145/AG136,"")</f>
        <v>0.158425665619315</v>
      </c>
      <c r="AH232" s="25" t="n">
        <f aca="false">IF(AND(ISNUMBER(AH145),ISNUMBER(AH136)),AH145/AH136,"")</f>
        <v>0.14188736972942</v>
      </c>
      <c r="AI232" s="25" t="n">
        <f aca="false">IF(AND(ISNUMBER(AI145),ISNUMBER(AI136)),AI145/AI136,"")</f>
        <v>0.134290107637109</v>
      </c>
      <c r="AJ232" s="25" t="n">
        <f aca="false">IF(AND(ISNUMBER(AJ145),ISNUMBER(AJ136)),AJ145/AJ136,"")</f>
        <v>0.154162553471537</v>
      </c>
      <c r="AK232" s="25" t="n">
        <f aca="false">IF(AND(ISNUMBER(AK145),ISNUMBER(AK136)),AK145/AK136,"")</f>
        <v>0.154054054054054</v>
      </c>
      <c r="AL232" s="25" t="n">
        <f aca="false">IF(AND(ISNUMBER(AL145),ISNUMBER(AL136)),AL145/AL136,"")</f>
        <v>0.176425388043645</v>
      </c>
      <c r="AM232" s="25" t="n">
        <f aca="false">IF(AND(ISNUMBER(AM145),ISNUMBER(AM136)),AM145/AM136,"")</f>
        <v>0.155308317595862</v>
      </c>
      <c r="AN232" s="25" t="n">
        <f aca="false">IF(AND(ISNUMBER(AN145),ISNUMBER(AN136)),AN145/AN136,"")</f>
        <v>0.150204081632653</v>
      </c>
      <c r="AO232" s="25" t="n">
        <f aca="false">IF(AND(ISNUMBER(AO145),ISNUMBER(AO136)),AO145/AO136,"")</f>
        <v>0.236858771374288</v>
      </c>
      <c r="AP232" s="25" t="n">
        <f aca="false">IF(AND(ISNUMBER(AP145),ISNUMBER(AP136)),AP145/AP136,"")</f>
        <v>0.150829081632653</v>
      </c>
      <c r="AQ232" s="25" t="n">
        <f aca="false">IF(AND(ISNUMBER(AQ145),ISNUMBER(AQ136)),AQ145/AQ136,"")</f>
        <v>0.180407087421292</v>
      </c>
      <c r="AR232" s="25" t="n">
        <f aca="false">IF(AND(ISNUMBER(AR145),ISNUMBER(AR136)),AR145/AR136,"")</f>
        <v>0.179860621721087</v>
      </c>
      <c r="AS232" s="25" t="n">
        <f aca="false">IF(AND(ISNUMBER(AS145),ISNUMBER(AS136)),AS145/AS136,"")</f>
        <v>0.145425361155698</v>
      </c>
      <c r="AT232" s="25" t="n">
        <f aca="false">IF(AND(ISNUMBER(AT145),ISNUMBER(AT136)),AT145/AT136,"")</f>
        <v>0.20109874222929</v>
      </c>
      <c r="AU232" s="25" t="n">
        <f aca="false">IF(AND(ISNUMBER(AU145),ISNUMBER(AU136)),AU145/AU136,"")</f>
        <v>0.284708367562493</v>
      </c>
      <c r="AV232" s="25" t="n">
        <f aca="false">IF(AND(ISNUMBER(AV145),ISNUMBER(AV136)),AV145/AV136,"")</f>
        <v>0.291090047393365</v>
      </c>
      <c r="AW232" s="25" t="n">
        <f aca="false">IF(AND(ISNUMBER(AW145),ISNUMBER(AW136)),AW145/AW136,"")</f>
        <v>0.241914457756534</v>
      </c>
      <c r="AX232" s="25" t="n">
        <f aca="false">IF(AND(ISNUMBER(AX145),ISNUMBER(AX136)),AX145/AX136,"")</f>
        <v>0.307793256612154</v>
      </c>
      <c r="AY232" s="25" t="n">
        <f aca="false">IF(AND(ISNUMBER(AY145),ISNUMBER(AY136)),AY145/AY136,"")</f>
        <v>0.233257845357489</v>
      </c>
      <c r="AZ232" s="25" t="n">
        <f aca="false">IF(AND(ISNUMBER(AZ145),ISNUMBER(AZ136)),AZ145/AZ136,"")</f>
        <v>0.244158628081458</v>
      </c>
      <c r="BA232" s="25" t="n">
        <f aca="false">IF(AND(ISNUMBER(BA145),ISNUMBER(BA136)),BA145/BA136,"")</f>
        <v>0.237151934217903</v>
      </c>
      <c r="BB232" s="25" t="n">
        <f aca="false">IF(AND(ISNUMBER(BB145),ISNUMBER(BB136)),BB145/BB136,"")</f>
        <v>0.255744561475096</v>
      </c>
      <c r="BC232" s="25" t="n">
        <f aca="false">IF(AND(ISNUMBER(BC145),ISNUMBER(BC136)),BC145/BC136,"")</f>
        <v>0.23870367236419</v>
      </c>
      <c r="BD232" s="25" t="n">
        <f aca="false">IF(AND(ISNUMBER(BD145),ISNUMBER(BD136)),BD145/BD136,"")</f>
        <v>0.182406563354603</v>
      </c>
      <c r="BE232" s="25" t="n">
        <f aca="false">IF(AND(ISNUMBER(BE145),ISNUMBER(BE136)),BE145/BE136,"")</f>
        <v>0.160157347569542</v>
      </c>
      <c r="BF232" s="25" t="n">
        <f aca="false">IF(AND(ISNUMBER(BF145),ISNUMBER(BF136)),BF145/BF136,"")</f>
        <v>0.162532751091703</v>
      </c>
      <c r="BG232" s="25" t="n">
        <f aca="false">IF(AND(ISNUMBER(BG145),ISNUMBER(BG136)),BG145/BG136,"")</f>
        <v>0.186864076589113</v>
      </c>
      <c r="BH232" s="25" t="n">
        <f aca="false">IF(AND(ISNUMBER(BH145),ISNUMBER(BH136)),BH145/BH136,"")</f>
        <v>0.14593837535014</v>
      </c>
      <c r="BI232" s="25" t="n">
        <f aca="false">IF(AND(ISNUMBER(BI145),ISNUMBER(BI136)),BI145/BI136,"")</f>
        <v>0.147656030691494</v>
      </c>
      <c r="BJ232" s="25" t="n">
        <f aca="false">IF(AND(ISNUMBER(BJ145),ISNUMBER(BJ136)),BJ145/BJ136,"")</f>
        <v>0.176281445053906</v>
      </c>
      <c r="BK232" s="25" t="n">
        <f aca="false">IF(AND(ISNUMBER(BK145),ISNUMBER(BK136)),BK145/BK136,"")</f>
        <v>0.170310490538306</v>
      </c>
      <c r="BL232" s="25" t="n">
        <f aca="false">IF(AND(ISNUMBER(BL145),ISNUMBER(BL136)),BL145/BL136,"")</f>
        <v>0.160043866812889</v>
      </c>
      <c r="BM232" s="25" t="n">
        <f aca="false">IF(AND(ISNUMBER(BM145),ISNUMBER(BM136)),BM145/BM136,"")</f>
        <v>0.160753987433543</v>
      </c>
      <c r="BN232" s="25" t="n">
        <f aca="false">IF(AND(ISNUMBER(BN145),ISNUMBER(BN136)),BN145/BN136,"")</f>
        <v>0.172564272839389</v>
      </c>
      <c r="BO232" s="25" t="n">
        <f aca="false">IF(AND(ISNUMBER(BO145),ISNUMBER(BO136)),BO145/BO136,"")</f>
        <v>0.173428948858275</v>
      </c>
      <c r="BP232" s="25" t="n">
        <f aca="false">IF(AND(ISNUMBER(BP145),ISNUMBER(BP136)),BP145/BP136,"")</f>
        <v>0.177007459412023</v>
      </c>
      <c r="BQ232" s="25" t="n">
        <f aca="false">IF(AND(ISNUMBER(BQ145),ISNUMBER(BQ136)),BQ145/BQ136,"")</f>
        <v>0.171109400872222</v>
      </c>
      <c r="BR232" s="25" t="n">
        <f aca="false">IF(AND(ISNUMBER(BR145),ISNUMBER(BR136)),BR145/BR136,"")</f>
        <v>0.165766113469703</v>
      </c>
      <c r="BS232" s="25" t="n">
        <f aca="false">IF(AND(ISNUMBER(BS145),ISNUMBER(BS136)),BS145/BS136,"")</f>
        <v>0.169046522339936</v>
      </c>
      <c r="BT232" s="25" t="n">
        <f aca="false">IF(AND(ISNUMBER(BT145),ISNUMBER(BT136)),BT145/BT136,"")</f>
        <v>0.17451897140802</v>
      </c>
      <c r="BU232" s="25" t="n">
        <f aca="false">IF(AND(ISNUMBER(BU145),ISNUMBER(BU136)),BU145/BU136,"")</f>
        <v>0.184690953745395</v>
      </c>
      <c r="BV232" s="25" t="n">
        <f aca="false">IF(AND(ISNUMBER(BV145),ISNUMBER(BV136)),BV145/BV136,"")</f>
        <v>0.173871083580214</v>
      </c>
      <c r="BW232" s="25" t="n">
        <f aca="false">IF(AND(ISNUMBER(BW145),ISNUMBER(BW136)),BW145/BW136,"")</f>
        <v>0.16928668786915</v>
      </c>
      <c r="BX232" s="25" t="n">
        <f aca="false">IF(AND(ISNUMBER(BX145),ISNUMBER(BX136)),BX145/BX136,"")</f>
        <v>0.174003668500917</v>
      </c>
      <c r="BY232" s="26" t="n">
        <f aca="false">IFERROR(BY145/BY136,"")</f>
        <v>0.210378389129907</v>
      </c>
      <c r="BZ232" s="26" t="n">
        <f aca="false">IFERROR(BZ145/BZ136,"")</f>
        <v>0.198079093857779</v>
      </c>
      <c r="CA232" s="26" t="n">
        <f aca="false">IFERROR(CA145/CA136,"")</f>
        <v>0.188465968586387</v>
      </c>
      <c r="CB232" s="26" t="n">
        <f aca="false">IFERROR(CB145/CB136,"")</f>
        <v>0.189933525277863</v>
      </c>
      <c r="CC232" s="26" t="n">
        <f aca="false">IFERROR(CC145/CC136,"")</f>
        <v>0.195913270273126</v>
      </c>
      <c r="CD232" s="26" t="n">
        <f aca="false">IFERROR(CD145/CD136,"")</f>
        <v>0.20301894228003</v>
      </c>
      <c r="CE232" s="26" t="n">
        <f aca="false">IFERROR(CE145/CE136,"")</f>
        <v>0.212603053810588</v>
      </c>
      <c r="CF232" s="21"/>
    </row>
    <row r="233" customFormat="false" ht="15" hidden="false" customHeight="false" outlineLevel="0" collapsed="false">
      <c r="B233" s="23" t="s">
        <v>392</v>
      </c>
      <c r="C233" s="25" t="n">
        <f aca="false">IF(AND(ISNUMBER(C159),ISNUMBER(C136)),C159/C136,"")</f>
        <v>0.0445548693341127</v>
      </c>
      <c r="D233" s="25" t="n">
        <f aca="false">IF(AND(ISNUMBER(D159),ISNUMBER(D136)),D159/D136,"")</f>
        <v>0.0780903718295984</v>
      </c>
      <c r="E233" s="25" t="n">
        <f aca="false">IF(AND(ISNUMBER(E159),ISNUMBER(E136)),E159/E136,"")</f>
        <v>0.0947037530958279</v>
      </c>
      <c r="F233" s="25" t="n">
        <f aca="false">IF(AND(ISNUMBER(F159),ISNUMBER(F136)),F159/F136,"")</f>
        <v>0.0841073424532876</v>
      </c>
      <c r="G233" s="25" t="n">
        <f aca="false">IF(AND(ISNUMBER(G159),ISNUMBER(G136)),G159/G136,"")</f>
        <v>0.0959893221611501</v>
      </c>
      <c r="H233" s="25" t="n">
        <f aca="false">IF(AND(ISNUMBER(H159),ISNUMBER(H136)),H159/H136,"")</f>
        <v>0.11341560136109</v>
      </c>
      <c r="I233" s="25" t="n">
        <f aca="false">IF(AND(ISNUMBER(I159),ISNUMBER(I136)),I159/I136,"")</f>
        <v>0.0941574273175644</v>
      </c>
      <c r="J233" s="25" t="n">
        <f aca="false">IF(AND(ISNUMBER(J159),ISNUMBER(J136)),J159/J136,"")</f>
        <v>0.105342315525615</v>
      </c>
      <c r="K233" s="25" t="n">
        <f aca="false">IF(AND(ISNUMBER(K159),ISNUMBER(K136)),K159/K136,"")</f>
        <v>0.0856146415234098</v>
      </c>
      <c r="L233" s="25" t="n">
        <f aca="false">IF(AND(ISNUMBER(L159),ISNUMBER(L136)),L159/L136,"")</f>
        <v>0.0995049815151325</v>
      </c>
      <c r="M233" s="25" t="n">
        <f aca="false">IF(AND(ISNUMBER(M159),ISNUMBER(M136)),M159/M136,"")</f>
        <v>0.098676050650437</v>
      </c>
      <c r="N233" s="25" t="n">
        <f aca="false">IF(AND(ISNUMBER(N159),ISNUMBER(N136)),N159/N136,"")</f>
        <v>0.0972704980023375</v>
      </c>
      <c r="O233" s="25" t="n">
        <f aca="false">IF(AND(ISNUMBER(O159),ISNUMBER(O136)),O159/O136,"")</f>
        <v>0.139131548610222</v>
      </c>
      <c r="P233" s="25" t="n">
        <f aca="false">IF(AND(ISNUMBER(P159),ISNUMBER(P136)),P159/P136,"")</f>
        <v>0.064439251255235</v>
      </c>
      <c r="Q233" s="25" t="n">
        <f aca="false">IF(AND(ISNUMBER(Q159),ISNUMBER(Q136)),Q159/Q136,"")</f>
        <v>0.113055568873759</v>
      </c>
      <c r="R233" s="25" t="n">
        <f aca="false">IF(AND(ISNUMBER(R159),ISNUMBER(R136)),R159/R136,"")</f>
        <v>0.133814102564103</v>
      </c>
      <c r="S233" s="25" t="n">
        <f aca="false">IF(AND(ISNUMBER(S159),ISNUMBER(S136)),S159/S136,"")</f>
        <v>0.112163698370595</v>
      </c>
      <c r="T233" s="25" t="n">
        <f aca="false">IF(AND(ISNUMBER(T159),ISNUMBER(T136)),T159/T136,"")</f>
        <v>0.0982698785342452</v>
      </c>
      <c r="U233" s="25" t="n">
        <f aca="false">IF(AND(ISNUMBER(U159),ISNUMBER(U136)),U159/U136,"")</f>
        <v>0.11978739844061</v>
      </c>
      <c r="V233" s="25" t="n">
        <f aca="false">IF(AND(ISNUMBER(V159),ISNUMBER(V136)),V159/V136,"")</f>
        <v>0.115468568102445</v>
      </c>
      <c r="W233" s="25" t="n">
        <f aca="false">IF(AND(ISNUMBER(W159),ISNUMBER(W136)),W159/W136,"")</f>
        <v>0.129521762493283</v>
      </c>
      <c r="X233" s="25" t="n">
        <f aca="false">IF(AND(ISNUMBER(X159),ISNUMBER(X136)),X159/X136,"")</f>
        <v>0.11643698350761</v>
      </c>
      <c r="Y233" s="25" t="n">
        <f aca="false">IF(AND(ISNUMBER(Y159),ISNUMBER(Y136)),Y159/Y136,"")</f>
        <v>0.0936481326255006</v>
      </c>
      <c r="Z233" s="25" t="n">
        <f aca="false">IF(AND(ISNUMBER(Z159),ISNUMBER(Z136)),Z159/Z136,"")</f>
        <v>0.113908978655848</v>
      </c>
      <c r="AA233" s="25" t="n">
        <f aca="false">IF(AND(ISNUMBER(AA159),ISNUMBER(AA136)),AA159/AA136,"")</f>
        <v>0.105435436104122</v>
      </c>
      <c r="AB233" s="25" t="n">
        <f aca="false">IF(AND(ISNUMBER(AB159),ISNUMBER(AB136)),AB159/AB136,"")</f>
        <v>0.127089558265364</v>
      </c>
      <c r="AC233" s="25" t="n">
        <f aca="false">IF(AND(ISNUMBER(AC159),ISNUMBER(AC136)),AC159/AC136,"")</f>
        <v>0.110637459573932</v>
      </c>
      <c r="AD233" s="25" t="n">
        <f aca="false">IF(AND(ISNUMBER(AD159),ISNUMBER(AD136)),AD159/AD136,"")</f>
        <v>0.115718782791186</v>
      </c>
      <c r="AE233" s="25" t="n">
        <f aca="false">IF(AND(ISNUMBER(AE159),ISNUMBER(AE136)),AE159/AE136,"")</f>
        <v>0.122565130260521</v>
      </c>
      <c r="AF233" s="25" t="n">
        <f aca="false">IF(AND(ISNUMBER(AF159),ISNUMBER(AF136)),AF159/AF136,"")</f>
        <v>0.104354794574098</v>
      </c>
      <c r="AG233" s="25" t="n">
        <f aca="false">IF(AND(ISNUMBER(AG159),ISNUMBER(AG136)),AG159/AG136,"")</f>
        <v>0.0873160244749463</v>
      </c>
      <c r="AH233" s="25" t="n">
        <f aca="false">IF(AND(ISNUMBER(AH159),ISNUMBER(AH136)),AH159/AH136,"")</f>
        <v>0.106367721579501</v>
      </c>
      <c r="AI233" s="25" t="n">
        <f aca="false">IF(AND(ISNUMBER(AI159),ISNUMBER(AI136)),AI159/AI136,"")</f>
        <v>0.0989236289082522</v>
      </c>
      <c r="AJ233" s="25" t="n">
        <f aca="false">IF(AND(ISNUMBER(AJ159),ISNUMBER(AJ136)),AJ159/AJ136,"")</f>
        <v>0.123724909509707</v>
      </c>
      <c r="AK233" s="25" t="n">
        <f aca="false">IF(AND(ISNUMBER(AK159),ISNUMBER(AK136)),AK159/AK136,"")</f>
        <v>0.119763513513514</v>
      </c>
      <c r="AL233" s="25" t="n">
        <f aca="false">IF(AND(ISNUMBER(AL159),ISNUMBER(AL136)),AL159/AL136,"")</f>
        <v>0.138005225142155</v>
      </c>
      <c r="AM233" s="25" t="n">
        <f aca="false">IF(AND(ISNUMBER(AM159),ISNUMBER(AM136)),AM159/AM136,"")</f>
        <v>0.120617456277198</v>
      </c>
      <c r="AN233" s="25" t="n">
        <f aca="false">IF(AND(ISNUMBER(AN159),ISNUMBER(AN136)),AN159/AN136,"")</f>
        <v>0.133061224489796</v>
      </c>
      <c r="AO233" s="25" t="n">
        <f aca="false">IF(AND(ISNUMBER(AO159),ISNUMBER(AO136)),AO159/AO136,"")</f>
        <v>0.177169094363521</v>
      </c>
      <c r="AP233" s="25" t="n">
        <f aca="false">IF(AND(ISNUMBER(AP159),ISNUMBER(AP136)),AP159/AP136,"")</f>
        <v>0.121173469387755</v>
      </c>
      <c r="AQ233" s="25" t="n">
        <f aca="false">IF(AND(ISNUMBER(AQ159),ISNUMBER(AQ136)),AQ159/AQ136,"")</f>
        <v>0.146727192854005</v>
      </c>
      <c r="AR233" s="25" t="n">
        <f aca="false">IF(AND(ISNUMBER(AR159),ISNUMBER(AR136)),AR159/AR136,"")</f>
        <v>0.144702842377261</v>
      </c>
      <c r="AS233" s="25" t="n">
        <f aca="false">IF(AND(ISNUMBER(AS159),ISNUMBER(AS136)),AS159/AS136,"")</f>
        <v>0.126484751203852</v>
      </c>
      <c r="AT233" s="25" t="n">
        <f aca="false">IF(AND(ISNUMBER(AT159),ISNUMBER(AT136)),AT159/AT136,"")</f>
        <v>0.167124475928871</v>
      </c>
      <c r="AU233" s="25" t="n">
        <f aca="false">IF(AND(ISNUMBER(AU159),ISNUMBER(AU136)),AU159/AU136,"")</f>
        <v>0.226851308531862</v>
      </c>
      <c r="AV233" s="25" t="n">
        <f aca="false">IF(AND(ISNUMBER(AV159),ISNUMBER(AV136)),AV159/AV136,"")</f>
        <v>0.236777251184834</v>
      </c>
      <c r="AW233" s="25" t="n">
        <f aca="false">IF(AND(ISNUMBER(AW159),ISNUMBER(AW136)),AW159/AW136,"")</f>
        <v>0.197870755478304</v>
      </c>
      <c r="AX233" s="25" t="n">
        <f aca="false">IF(AND(ISNUMBER(AX159),ISNUMBER(AX136)),AX159/AX136,"")</f>
        <v>0.235917625681405</v>
      </c>
      <c r="AY233" s="25" t="n">
        <f aca="false">IF(AND(ISNUMBER(AY159),ISNUMBER(AY136)),AY159/AY136,"")</f>
        <v>0.197131456917934</v>
      </c>
      <c r="AZ233" s="25" t="n">
        <f aca="false">IF(AND(ISNUMBER(AZ159),ISNUMBER(AZ136)),AZ159/AZ136,"")</f>
        <v>0.203858520900322</v>
      </c>
      <c r="BA233" s="25" t="n">
        <f aca="false">IF(AND(ISNUMBER(BA159),ISNUMBER(BA136)),BA159/BA136,"")</f>
        <v>0.154924313212484</v>
      </c>
      <c r="BB233" s="25" t="n">
        <f aca="false">IF(AND(ISNUMBER(BB159),ISNUMBER(BB136)),BB159/BB136,"")</f>
        <v>0.197011042819617</v>
      </c>
      <c r="BC233" s="25" t="n">
        <f aca="false">IF(AND(ISNUMBER(BC159),ISNUMBER(BC136)),BC159/BC136,"")</f>
        <v>0.187425960399391</v>
      </c>
      <c r="BD233" s="25" t="n">
        <f aca="false">IF(AND(ISNUMBER(BD159),ISNUMBER(BD136)),BD159/BD136,"")</f>
        <v>0.151686417502279</v>
      </c>
      <c r="BE233" s="25" t="n">
        <f aca="false">IF(AND(ISNUMBER(BE159),ISNUMBER(BE136)),BE159/BE136,"")</f>
        <v>0.140020605038869</v>
      </c>
      <c r="BF233" s="25" t="n">
        <f aca="false">IF(AND(ISNUMBER(BF159),ISNUMBER(BF136)),BF159/BF136,"")</f>
        <v>0.13764192139738</v>
      </c>
      <c r="BG233" s="25" t="n">
        <f aca="false">IF(AND(ISNUMBER(BG159),ISNUMBER(BG136)),BG159/BG136,"")</f>
        <v>0.154736724924858</v>
      </c>
      <c r="BH233" s="25" t="n">
        <f aca="false">IF(AND(ISNUMBER(BH159),ISNUMBER(BH136)),BH159/BH136,"")</f>
        <v>0.120354808590103</v>
      </c>
      <c r="BI233" s="25" t="n">
        <f aca="false">IF(AND(ISNUMBER(BI159),ISNUMBER(BI136)),BI159/BI136,"")</f>
        <v>0.127350987180687</v>
      </c>
      <c r="BJ233" s="25" t="n">
        <f aca="false">IF(AND(ISNUMBER(BJ159),ISNUMBER(BJ136)),BJ159/BJ136,"")</f>
        <v>0.162190278040477</v>
      </c>
      <c r="BK233" s="25" t="n">
        <f aca="false">IF(AND(ISNUMBER(BK159),ISNUMBER(BK136)),BK159/BK136,"")</f>
        <v>0.149733602792578</v>
      </c>
      <c r="BL233" s="25" t="n">
        <f aca="false">IF(AND(ISNUMBER(BL159),ISNUMBER(BL136)),BL159/BL136,"")</f>
        <v>0.139883799612665</v>
      </c>
      <c r="BM233" s="25" t="n">
        <f aca="false">IF(AND(ISNUMBER(BM159),ISNUMBER(BM136)),BM159/BM136,"")</f>
        <v>0.128274528757854</v>
      </c>
      <c r="BN233" s="25" t="n">
        <f aca="false">IF(AND(ISNUMBER(BN159),ISNUMBER(BN136)),BN159/BN136,"")</f>
        <v>0.146760269424153</v>
      </c>
      <c r="BO233" s="25" t="n">
        <f aca="false">IF(AND(ISNUMBER(BO159),ISNUMBER(BO136)),BO159/BO136,"")</f>
        <v>0.153802604264956</v>
      </c>
      <c r="BP233" s="25" t="n">
        <f aca="false">IF(AND(ISNUMBER(BP159),ISNUMBER(BP136)),BP159/BP136,"")</f>
        <v>0.160684510750329</v>
      </c>
      <c r="BQ233" s="25" t="n">
        <f aca="false">IF(AND(ISNUMBER(BQ159),ISNUMBER(BQ136)),BQ159/BQ136,"")</f>
        <v>0.147741318594184</v>
      </c>
      <c r="BR233" s="25" t="n">
        <f aca="false">IF(AND(ISNUMBER(BR159),ISNUMBER(BR136)),BR159/BR136,"")</f>
        <v>0.145503666538016</v>
      </c>
      <c r="BS233" s="25" t="n">
        <f aca="false">IF(AND(ISNUMBER(BS159),ISNUMBER(BS136)),BS159/BS136,"")</f>
        <v>0.14896361123906</v>
      </c>
      <c r="BT233" s="25" t="n">
        <f aca="false">IF(AND(ISNUMBER(BT159),ISNUMBER(BT136)),BT159/BT136,"")</f>
        <v>0.145297608343823</v>
      </c>
      <c r="BU233" s="25" t="n">
        <f aca="false">IF(AND(ISNUMBER(BU159),ISNUMBER(BU136)),BU159/BU136,"")</f>
        <v>0.160867785509619</v>
      </c>
      <c r="BV233" s="25" t="n">
        <f aca="false">IF(AND(ISNUMBER(BV159),ISNUMBER(BV136)),BV159/BV136,"")</f>
        <v>0.150462339527785</v>
      </c>
      <c r="BW233" s="25" t="n">
        <f aca="false">IF(AND(ISNUMBER(BW159),ISNUMBER(BW136)),BW159/BW136,"")</f>
        <v>0.149931849159473</v>
      </c>
      <c r="BX233" s="25" t="n">
        <f aca="false">IF(AND(ISNUMBER(BX159),ISNUMBER(BX136)),BX159/BX136,"")</f>
        <v>0.144822411205603</v>
      </c>
      <c r="BY233" s="26" t="n">
        <f aca="false">IFERROR(BY159/BY136,"")</f>
        <v>0.175470617704518</v>
      </c>
      <c r="BZ233" s="26" t="n">
        <f aca="false">IFERROR(BZ159/BZ136,"")</f>
        <v>0.166801511962908</v>
      </c>
      <c r="CA233" s="26" t="n">
        <f aca="false">IFERROR(CA159/CA136,"")</f>
        <v>0.159555523560209</v>
      </c>
      <c r="CB233" s="26" t="n">
        <f aca="false">IFERROR(CB159/CB136,"")</f>
        <v>0.156082021441242</v>
      </c>
      <c r="CC233" s="26" t="n">
        <f aca="false">IFERROR(CC159/CC136,"")</f>
        <v>0.160178957617325</v>
      </c>
      <c r="CD233" s="26" t="n">
        <f aca="false">IFERROR(CD159/CD136,"")</f>
        <v>0.163817313302017</v>
      </c>
      <c r="CE233" s="26" t="n">
        <f aca="false">IFERROR(CE159/CE136,"")</f>
        <v>0.170514428681756</v>
      </c>
      <c r="CF233" s="21"/>
    </row>
    <row r="234" customFormat="false" ht="15" hidden="false" customHeight="false" outlineLevel="0" collapsed="false">
      <c r="B234" s="23" t="s">
        <v>393</v>
      </c>
      <c r="C234" s="25" t="n">
        <f aca="false">IF(AND(ISNUMBER(C140),ISNUMBER(C136)),C140/C136,"")</f>
        <v>0.25127722552146</v>
      </c>
      <c r="D234" s="25" t="n">
        <f aca="false">IF(AND(ISNUMBER(D140),ISNUMBER(D136)),D140/D136,"")</f>
        <v>0.215433390790446</v>
      </c>
      <c r="E234" s="25" t="n">
        <f aca="false">IF(AND(ISNUMBER(E140),ISNUMBER(E136)),E140/E136,"")</f>
        <v>0.210868736902267</v>
      </c>
      <c r="F234" s="25" t="n">
        <f aca="false">IF(AND(ISNUMBER(F140),ISNUMBER(F136)),F140/F136,"")</f>
        <v>0.217276477046797</v>
      </c>
      <c r="G234" s="25" t="n">
        <f aca="false">IF(AND(ISNUMBER(G140),ISNUMBER(G136)),G140/G136,"")</f>
        <v>0.221472466562236</v>
      </c>
      <c r="H234" s="25" t="n">
        <f aca="false">IF(AND(ISNUMBER(H140),ISNUMBER(H136)),H140/H136,"")</f>
        <v>0.226379211830222</v>
      </c>
      <c r="I234" s="25" t="n">
        <f aca="false">IF(AND(ISNUMBER(I140),ISNUMBER(I136)),I140/I136,"")</f>
        <v>0.226116915403001</v>
      </c>
      <c r="J234" s="25" t="n">
        <f aca="false">IF(AND(ISNUMBER(J140),ISNUMBER(J136)),J140/J136,"")</f>
        <v>0.217327275575748</v>
      </c>
      <c r="K234" s="25" t="n">
        <f aca="false">IF(AND(ISNUMBER(K140),ISNUMBER(K136)),K140/K136,"")</f>
        <v>0.226659670997809</v>
      </c>
      <c r="L234" s="25" t="n">
        <f aca="false">IF(AND(ISNUMBER(L140),ISNUMBER(L136)),L140/L136,"")</f>
        <v>0.223447584435115</v>
      </c>
      <c r="M234" s="25" t="n">
        <f aca="false">IF(AND(ISNUMBER(M140),ISNUMBER(M136)),M140/M136,"")</f>
        <v>0.220369782803081</v>
      </c>
      <c r="N234" s="25" t="n">
        <f aca="false">IF(AND(ISNUMBER(N140),ISNUMBER(N136)),N140/N136,"")</f>
        <v>0.221935326157537</v>
      </c>
      <c r="O234" s="25" t="n">
        <f aca="false">IF(AND(ISNUMBER(O140),ISNUMBER(O136)),O140/O136,"")</f>
        <v>0.251774048930447</v>
      </c>
      <c r="P234" s="25" t="n">
        <f aca="false">IF(AND(ISNUMBER(P140),ISNUMBER(P136)),P140/P136,"")</f>
        <v>0.237071658298434</v>
      </c>
      <c r="Q234" s="25" t="n">
        <f aca="false">IF(AND(ISNUMBER(Q140),ISNUMBER(Q136)),Q140/Q136,"")</f>
        <v>0.234118041904397</v>
      </c>
      <c r="R234" s="25" t="n">
        <f aca="false">IF(AND(ISNUMBER(R140),ISNUMBER(R136)),R140/R136,"")</f>
        <v>0.224225427350427</v>
      </c>
      <c r="S234" s="25" t="n">
        <f aca="false">IF(AND(ISNUMBER(S140),ISNUMBER(S136)),S140/S136,"")</f>
        <v>0.236322944297082</v>
      </c>
      <c r="T234" s="25" t="n">
        <f aca="false">IF(AND(ISNUMBER(T140),ISNUMBER(T136)),T140/T136,"")</f>
        <v>0.233745023986935</v>
      </c>
      <c r="U234" s="25" t="n">
        <f aca="false">IF(AND(ISNUMBER(U140),ISNUMBER(U136)),U140/U136,"")</f>
        <v>0.217354655927322</v>
      </c>
      <c r="V234" s="25" t="n">
        <f aca="false">IF(AND(ISNUMBER(V140),ISNUMBER(V136)),V140/V136,"")</f>
        <v>0.220969150174622</v>
      </c>
      <c r="W234" s="25" t="n">
        <f aca="false">IF(AND(ISNUMBER(W140),ISNUMBER(W136)),W140/W136,"")</f>
        <v>0.208210639441161</v>
      </c>
      <c r="X234" s="25" t="n">
        <f aca="false">IF(AND(ISNUMBER(X140),ISNUMBER(X136)),X140/X136,"")</f>
        <v>0.21951147629882</v>
      </c>
      <c r="Y234" s="25" t="n">
        <f aca="false">IF(AND(ISNUMBER(Y140),ISNUMBER(Y136)),Y140/Y136,"")</f>
        <v>0.230953711465027</v>
      </c>
      <c r="Z234" s="25" t="n">
        <f aca="false">IF(AND(ISNUMBER(Z140),ISNUMBER(Z136)),Z140/Z136,"")</f>
        <v>0.218821661668725</v>
      </c>
      <c r="AA234" s="25" t="n">
        <f aca="false">IF(AND(ISNUMBER(AA140),ISNUMBER(AA136)),AA140/AA136,"")</f>
        <v>0.232202899196152</v>
      </c>
      <c r="AB234" s="25" t="n">
        <f aca="false">IF(AND(ISNUMBER(AB140),ISNUMBER(AB136)),AB140/AB136,"")</f>
        <v>0.205261245255592</v>
      </c>
      <c r="AC234" s="25" t="n">
        <f aca="false">IF(AND(ISNUMBER(AC140),ISNUMBER(AC136)),AC140/AC136,"")</f>
        <v>0.221285863599302</v>
      </c>
      <c r="AD234" s="25" t="n">
        <f aca="false">IF(AND(ISNUMBER(AD140),ISNUMBER(AD136)),AD140/AD136,"")</f>
        <v>0.228541448058762</v>
      </c>
      <c r="AE234" s="25" t="n">
        <f aca="false">IF(AND(ISNUMBER(AE140),ISNUMBER(AE136)),AE140/AE136,"")</f>
        <v>0.207454909819639</v>
      </c>
      <c r="AF234" s="25" t="n">
        <f aca="false">IF(AND(ISNUMBER(AF140),ISNUMBER(AF136)),AF140/AF136,"")</f>
        <v>0.219322934990813</v>
      </c>
      <c r="AG234" s="25" t="n">
        <f aca="false">IF(AND(ISNUMBER(AG140),ISNUMBER(AG136)),AG140/AG136,"")</f>
        <v>0.192326773606747</v>
      </c>
      <c r="AH234" s="25" t="n">
        <f aca="false">IF(AND(ISNUMBER(AH140),ISNUMBER(AH136)),AH140/AH136,"")</f>
        <v>0.210823214456449</v>
      </c>
      <c r="AI234" s="25" t="n">
        <f aca="false">IF(AND(ISNUMBER(AI140),ISNUMBER(AI136)),AI140/AI136,"")</f>
        <v>0.205023065094823</v>
      </c>
      <c r="AJ234" s="25" t="n">
        <f aca="false">IF(AND(ISNUMBER(AJ140),ISNUMBER(AJ136)),AJ140/AJ136,"")</f>
        <v>0.202369200394867</v>
      </c>
      <c r="AK234" s="25" t="n">
        <f aca="false">IF(AND(ISNUMBER(AK140),ISNUMBER(AK136)),AK140/AK136,"")</f>
        <v>0.199831081081081</v>
      </c>
      <c r="AL234" s="25" t="n">
        <f aca="false">IF(AND(ISNUMBER(AL140),ISNUMBER(AL136)),AL140/AL136,"")</f>
        <v>0.185953588443215</v>
      </c>
      <c r="AM234" s="25" t="n">
        <f aca="false">IF(AND(ISNUMBER(AM140),ISNUMBER(AM136)),AM140/AM136,"")</f>
        <v>0.198004762295755</v>
      </c>
      <c r="AN234" s="25" t="n">
        <f aca="false">IF(AND(ISNUMBER(AN140),ISNUMBER(AN136)),AN140/AN136,"")</f>
        <v>0.200979591836735</v>
      </c>
      <c r="AO234" s="25" t="n">
        <f aca="false">IF(AND(ISNUMBER(AO140),ISNUMBER(AO136)),AO140/AO136,"")</f>
        <v>0.199651678277391</v>
      </c>
      <c r="AP234" s="25" t="n">
        <f aca="false">IF(AND(ISNUMBER(AP140),ISNUMBER(AP136)),AP140/AP136,"")</f>
        <v>0.196109693877551</v>
      </c>
      <c r="AQ234" s="25" t="n">
        <f aca="false">IF(AND(ISNUMBER(AQ140),ISNUMBER(AQ136)),AQ140/AQ136,"")</f>
        <v>0.176892663640357</v>
      </c>
      <c r="AR234" s="25" t="n">
        <f aca="false">IF(AND(ISNUMBER(AR140),ISNUMBER(AR136)),AR140/AR136,"")</f>
        <v>0.193015425573565</v>
      </c>
      <c r="AS234" s="25" t="n">
        <f aca="false">IF(AND(ISNUMBER(AS140),ISNUMBER(AS136)),AS140/AS136,"")</f>
        <v>0.200802568218299</v>
      </c>
      <c r="AT234" s="25" t="n">
        <f aca="false">IF(AND(ISNUMBER(AT140),ISNUMBER(AT136)),AT140/AT136,"")</f>
        <v>0.20485759722423</v>
      </c>
      <c r="AU234" s="25" t="n">
        <f aca="false">IF(AND(ISNUMBER(AU140),ISNUMBER(AU136)),AU140/AU136,"")</f>
        <v>0.152916324375073</v>
      </c>
      <c r="AV234" s="25" t="n">
        <f aca="false">IF(AND(ISNUMBER(AV140),ISNUMBER(AV136)),AV140/AV136,"")</f>
        <v>0.169952606635071</v>
      </c>
      <c r="AW234" s="25" t="n">
        <f aca="false">IF(AND(ISNUMBER(AW140),ISNUMBER(AW136)),AW140/AW136,"")</f>
        <v>0.178906201502266</v>
      </c>
      <c r="AX234" s="25" t="n">
        <f aca="false">IF(AND(ISNUMBER(AX140),ISNUMBER(AX136)),AX140/AX136,"")</f>
        <v>0.155764183323238</v>
      </c>
      <c r="AY234" s="25" t="n">
        <f aca="false">IF(AND(ISNUMBER(AY140),ISNUMBER(AY136)),AY140/AY136,"")</f>
        <v>0.174053704302815</v>
      </c>
      <c r="AZ234" s="25" t="n">
        <f aca="false">IF(AND(ISNUMBER(AZ140),ISNUMBER(AZ136)),AZ140/AZ136,"")</f>
        <v>0.185101822079314</v>
      </c>
      <c r="BA234" s="25" t="n">
        <f aca="false">IF(AND(ISNUMBER(BA140),ISNUMBER(BA136)),BA140/BA136,"")</f>
        <v>0.182956456737059</v>
      </c>
      <c r="BB234" s="25" t="n">
        <f aca="false">IF(AND(ISNUMBER(BB140),ISNUMBER(BB136)),BB140/BB136,"")</f>
        <v>0.174491851776287</v>
      </c>
      <c r="BC234" s="25" t="n">
        <f aca="false">IF(AND(ISNUMBER(BC140),ISNUMBER(BC136)),BC140/BC136,"")</f>
        <v>0.152986969030293</v>
      </c>
      <c r="BD234" s="25" t="n">
        <f aca="false">IF(AND(ISNUMBER(BD140),ISNUMBER(BD136)),BD140/BD136,"")</f>
        <v>0.158614402917046</v>
      </c>
      <c r="BE234" s="25" t="n">
        <f aca="false">IF(AND(ISNUMBER(BE140),ISNUMBER(BE136)),BE140/BE136,"")</f>
        <v>0.163248103399831</v>
      </c>
      <c r="BF234" s="25" t="n">
        <f aca="false">IF(AND(ISNUMBER(BF140),ISNUMBER(BF136)),BF140/BF136,"")</f>
        <v>0.160349344978166</v>
      </c>
      <c r="BG234" s="25" t="n">
        <f aca="false">IF(AND(ISNUMBER(BG140),ISNUMBER(BG136)),BG140/BG136,"")</f>
        <v>0.158677501948124</v>
      </c>
      <c r="BH234" s="25" t="n">
        <f aca="false">IF(AND(ISNUMBER(BH140),ISNUMBER(BH136)),BH140/BH136,"")</f>
        <v>0.153688141923436</v>
      </c>
      <c r="BI234" s="25" t="n">
        <f aca="false">IF(AND(ISNUMBER(BI140),ISNUMBER(BI136)),BI140/BI136,"")</f>
        <v>0.15654533545429</v>
      </c>
      <c r="BJ234" s="25" t="n">
        <f aca="false">IF(AND(ISNUMBER(BJ140),ISNUMBER(BJ136)),BJ140/BJ136,"")</f>
        <v>0.149233970115377</v>
      </c>
      <c r="BK234" s="25" t="n">
        <f aca="false">IF(AND(ISNUMBER(BK140),ISNUMBER(BK136)),BK140/BK136,"")</f>
        <v>0.153591769244902</v>
      </c>
      <c r="BL234" s="25" t="n">
        <f aca="false">IF(AND(ISNUMBER(BL140),ISNUMBER(BL136)),BL140/BL136,"")</f>
        <v>0.153277177590592</v>
      </c>
      <c r="BM234" s="25" t="n">
        <f aca="false">IF(AND(ISNUMBER(BM140),ISNUMBER(BM136)),BM140/BM136,"")</f>
        <v>0.167327211213146</v>
      </c>
      <c r="BN234" s="25" t="n">
        <f aca="false">IF(AND(ISNUMBER(BN140),ISNUMBER(BN136)),BN140/BN136,"")</f>
        <v>0.160041741770231</v>
      </c>
      <c r="BO234" s="25" t="n">
        <f aca="false">IF(AND(ISNUMBER(BO140),ISNUMBER(BO136)),BO140/BO136,"")</f>
        <v>0.164087563691263</v>
      </c>
      <c r="BP234" s="25" t="n">
        <f aca="false">IF(AND(ISNUMBER(BP140),ISNUMBER(BP136)),BP140/BP136,"")</f>
        <v>0.162000877577885</v>
      </c>
      <c r="BQ234" s="25" t="n">
        <f aca="false">IF(AND(ISNUMBER(BQ140),ISNUMBER(BQ136)),BQ140/BQ136,"")</f>
        <v>0.163320040112876</v>
      </c>
      <c r="BR234" s="25" t="n">
        <f aca="false">IF(AND(ISNUMBER(BR140),ISNUMBER(BR136)),BR140/BR136,"")</f>
        <v>0.166055576997298</v>
      </c>
      <c r="BS234" s="25" t="n">
        <f aca="false">IF(AND(ISNUMBER(BS140),ISNUMBER(BS136)),BS140/BS136,"")</f>
        <v>0.163887609396591</v>
      </c>
      <c r="BT234" s="25" t="n">
        <f aca="false">IF(AND(ISNUMBER(BT140),ISNUMBER(BT136)),BT140/BT136,"")</f>
        <v>0.161391836000719</v>
      </c>
      <c r="BU234" s="25" t="n">
        <f aca="false">IF(AND(ISNUMBER(BU140),ISNUMBER(BU136)),BU140/BU136,"")</f>
        <v>0.161850184199754</v>
      </c>
      <c r="BV234" s="25" t="n">
        <f aca="false">IF(AND(ISNUMBER(BV140),ISNUMBER(BV136)),BV140/BV136,"")</f>
        <v>0.163210342041476</v>
      </c>
      <c r="BW234" s="25" t="n">
        <f aca="false">IF(AND(ISNUMBER(BW140),ISNUMBER(BW136)),BW140/BW136,"")</f>
        <v>0.163380281690141</v>
      </c>
      <c r="BX234" s="25" t="n">
        <f aca="false">IF(AND(ISNUMBER(BX140),ISNUMBER(BX136)),BX140/BX136,"")</f>
        <v>0.159162914790729</v>
      </c>
      <c r="BY234" s="26" t="n">
        <f aca="false">IFERROR(BY140/BY136,"")</f>
        <v>0.139006088590522</v>
      </c>
      <c r="BZ234" s="26" t="n">
        <f aca="false">IFERROR(BZ140/BZ136,"")</f>
        <v>0.137530461771854</v>
      </c>
      <c r="CA234" s="26" t="n">
        <f aca="false">IFERROR(CA140/CA136,"")</f>
        <v>0.149285378216991</v>
      </c>
      <c r="CB234" s="26" t="n">
        <f aca="false">IFERROR(CB140/CB136,"")</f>
        <v>0.147839613735738</v>
      </c>
      <c r="CC234" s="26" t="n">
        <f aca="false">IFERROR(CC140/CC136,"")</f>
        <v>0.143238737786878</v>
      </c>
      <c r="CD234" s="26" t="n">
        <f aca="false">IFERROR(CD140/CD136,"")</f>
        <v>0.138981512238235</v>
      </c>
      <c r="CE234" s="26" t="n">
        <f aca="false">IFERROR(CE140/CE136,"")</f>
        <v>0.134823073772874</v>
      </c>
      <c r="CF234" s="21"/>
    </row>
    <row r="235" customFormat="false" ht="15" hidden="false" customHeight="false" outlineLevel="0" collapsed="false">
      <c r="B235" s="23" t="s">
        <v>269</v>
      </c>
      <c r="C235" s="25" t="n">
        <f aca="false">IF(AND(ISNUMBER(C142),ISNUMBER(C136)),C142/C136,"")</f>
        <v>0.0448842802424401</v>
      </c>
      <c r="D235" s="25" t="n">
        <f aca="false">IF(AND(ISNUMBER(D142),ISNUMBER(D136)),D142/D136,"")</f>
        <v>0.0244910941475827</v>
      </c>
      <c r="E235" s="25" t="n">
        <f aca="false">IF(AND(ISNUMBER(E142),ISNUMBER(E136)),E142/E136,"")</f>
        <v>0.023728329205563</v>
      </c>
      <c r="F235" s="25" t="n">
        <f aca="false">IF(AND(ISNUMBER(F142),ISNUMBER(F136)),F142/F136,"")</f>
        <v>0.0243429577534447</v>
      </c>
      <c r="G235" s="25" t="n">
        <f aca="false">IF(AND(ISNUMBER(G142),ISNUMBER(G136)),G142/G136,"")</f>
        <v>0.0266204454660895</v>
      </c>
      <c r="H235" s="25" t="n">
        <f aca="false">IF(AND(ISNUMBER(H142),ISNUMBER(H136)),H142/H136,"")</f>
        <v>0.0290468109057727</v>
      </c>
      <c r="I235" s="25" t="n">
        <f aca="false">IF(AND(ISNUMBER(I142),ISNUMBER(I136)),I142/I136,"")</f>
        <v>0.030088170169226</v>
      </c>
      <c r="J235" s="25" t="n">
        <f aca="false">IF(AND(ISNUMBER(J142),ISNUMBER(J136)),J142/J136,"")</f>
        <v>0.0307692307692308</v>
      </c>
      <c r="K235" s="25" t="n">
        <f aca="false">IF(AND(ISNUMBER(K142),ISNUMBER(K136)),K142/K136,"")</f>
        <v>0.0298447578778433</v>
      </c>
      <c r="L235" s="25" t="n">
        <f aca="false">IF(AND(ISNUMBER(L142),ISNUMBER(L136)),L142/L136,"")</f>
        <v>0.0300457422144245</v>
      </c>
      <c r="M235" s="25" t="n">
        <f aca="false">IF(AND(ISNUMBER(M142),ISNUMBER(M136)),M142/M136,"")</f>
        <v>0.0301998903919928</v>
      </c>
      <c r="N235" s="25" t="n">
        <f aca="false">IF(AND(ISNUMBER(N142),ISNUMBER(N136)),N142/N136,"")</f>
        <v>0.0302132113091373</v>
      </c>
      <c r="O235" s="25" t="n">
        <f aca="false">IF(AND(ISNUMBER(O142),ISNUMBER(O136)),O142/O136,"")</f>
        <v>0.038350198539772</v>
      </c>
      <c r="P235" s="25" t="n">
        <f aca="false">IF(AND(ISNUMBER(P142),ISNUMBER(P136)),P142/P136,"")</f>
        <v>0.0425044540595571</v>
      </c>
      <c r="Q235" s="25" t="n">
        <f aca="false">IF(AND(ISNUMBER(Q142),ISNUMBER(Q136)),Q142/Q136,"")</f>
        <v>0.0420002876732032</v>
      </c>
      <c r="R235" s="25" t="n">
        <f aca="false">IF(AND(ISNUMBER(R142),ISNUMBER(R136)),R142/R136,"")</f>
        <v>0.0406205484330484</v>
      </c>
      <c r="S235" s="25" t="n">
        <f aca="false">IF(AND(ISNUMBER(S142),ISNUMBER(S136)),S142/S136,"")</f>
        <v>0.040918671845396</v>
      </c>
      <c r="T235" s="25" t="n">
        <f aca="false">IF(AND(ISNUMBER(T142),ISNUMBER(T136)),T142/T136,"")</f>
        <v>0.042308870062264</v>
      </c>
      <c r="U235" s="25" t="n">
        <f aca="false">IF(AND(ISNUMBER(U142),ISNUMBER(U136)),U142/U136,"")</f>
        <v>0.0408813130721862</v>
      </c>
      <c r="V235" s="25" t="n">
        <f aca="false">IF(AND(ISNUMBER(V142),ISNUMBER(V136)),V142/V136,"")</f>
        <v>0.0416181606519208</v>
      </c>
      <c r="W235" s="25" t="n">
        <f aca="false">IF(AND(ISNUMBER(W142),ISNUMBER(W136)),W142/W136,"")</f>
        <v>0.0387533584094573</v>
      </c>
      <c r="X235" s="25" t="n">
        <f aca="false">IF(AND(ISNUMBER(X142),ISNUMBER(X136)),X142/X136,"")</f>
        <v>0.0408065828097186</v>
      </c>
      <c r="Y235" s="25" t="n">
        <f aca="false">IF(AND(ISNUMBER(Y142),ISNUMBER(Y136)),Y142/Y136,"")</f>
        <v>0.0410962093694701</v>
      </c>
      <c r="Z235" s="25" t="n">
        <f aca="false">IF(AND(ISNUMBER(Z142),ISNUMBER(Z136)),Z142/Z136,"")</f>
        <v>0.0402187334626918</v>
      </c>
      <c r="AA235" s="25" t="n">
        <f aca="false">IF(AND(ISNUMBER(AA142),ISNUMBER(AA136)),AA142/AA136,"")</f>
        <v>0.0408158720969071</v>
      </c>
      <c r="AB235" s="25" t="n">
        <f aca="false">IF(AND(ISNUMBER(AB142),ISNUMBER(AB136)),AB142/AB136,"")</f>
        <v>0.0429217475571348</v>
      </c>
      <c r="AC235" s="25" t="n">
        <f aca="false">IF(AND(ISNUMBER(AC142),ISNUMBER(AC136)),AC142/AC136,"")</f>
        <v>0.0413043597222298</v>
      </c>
      <c r="AD235" s="25" t="n">
        <f aca="false">IF(AND(ISNUMBER(AD142),ISNUMBER(AD136)),AD142/AD136,"")</f>
        <v>0.0452046169989507</v>
      </c>
      <c r="AE235" s="25" t="n">
        <f aca="false">IF(AND(ISNUMBER(AE142),ISNUMBER(AE136)),AE142/AE136,"")</f>
        <v>0.0444088176352705</v>
      </c>
      <c r="AF235" s="25" t="n">
        <f aca="false">IF(AND(ISNUMBER(AF142),ISNUMBER(AF136)),AF142/AF136,"")</f>
        <v>0.0426292951800164</v>
      </c>
      <c r="AG235" s="25" t="n">
        <f aca="false">IF(AND(ISNUMBER(AG142),ISNUMBER(AG136)),AG142/AG136,"")</f>
        <v>0.0385315032247395</v>
      </c>
      <c r="AH235" s="25" t="n">
        <f aca="false">IF(AND(ISNUMBER(AH142),ISNUMBER(AH136)),AH142/AH136,"")</f>
        <v>0.0424514771966727</v>
      </c>
      <c r="AI235" s="25" t="n">
        <f aca="false">IF(AND(ISNUMBER(AI142),ISNUMBER(AI136)),AI142/AI136,"")</f>
        <v>0.0399794976934905</v>
      </c>
      <c r="AJ235" s="25" t="n">
        <f aca="false">IF(AND(ISNUMBER(AJ142),ISNUMBER(AJ136)),AJ142/AJ136,"")</f>
        <v>0.039815728858177</v>
      </c>
      <c r="AK235" s="25" t="n">
        <f aca="false">IF(AND(ISNUMBER(AK142),ISNUMBER(AK136)),AK142/AK136,"")</f>
        <v>0.0405405405405405</v>
      </c>
      <c r="AL235" s="25" t="n">
        <f aca="false">IF(AND(ISNUMBER(AL142),ISNUMBER(AL136)),AL142/AL136,"")</f>
        <v>0.0385738435530967</v>
      </c>
      <c r="AM235" s="25" t="n">
        <f aca="false">IF(AND(ISNUMBER(AM142),ISNUMBER(AM136)),AM142/AM136,"")</f>
        <v>0.0396994827161508</v>
      </c>
      <c r="AN235" s="25" t="n">
        <f aca="false">IF(AND(ISNUMBER(AN142),ISNUMBER(AN136)),AN142/AN136,"")</f>
        <v>0.0404897959183674</v>
      </c>
      <c r="AO235" s="25" t="n">
        <f aca="false">IF(AND(ISNUMBER(AO142),ISNUMBER(AO136)),AO142/AO136,"")</f>
        <v>0.038948701709943</v>
      </c>
      <c r="AP235" s="25" t="n">
        <f aca="false">IF(AND(ISNUMBER(AP142),ISNUMBER(AP136)),AP142/AP136,"")</f>
        <v>0.0393813775510204</v>
      </c>
      <c r="AQ235" s="25" t="n">
        <f aca="false">IF(AND(ISNUMBER(AQ142),ISNUMBER(AQ136)),AQ142/AQ136,"")</f>
        <v>0.0383657929418656</v>
      </c>
      <c r="AR235" s="25" t="n">
        <f aca="false">IF(AND(ISNUMBER(AR142),ISNUMBER(AR136)),AR142/AR136,"")</f>
        <v>0.0392686555477253</v>
      </c>
      <c r="AS235" s="25" t="n">
        <f aca="false">IF(AND(ISNUMBER(AS142),ISNUMBER(AS136)),AS142/AS136,"")</f>
        <v>0.0393258426966292</v>
      </c>
      <c r="AT235" s="25" t="n">
        <f aca="false">IF(AND(ISNUMBER(AT142),ISNUMBER(AT136)),AT142/AT136,"")</f>
        <v>0.038166835333237</v>
      </c>
      <c r="AU235" s="25" t="n">
        <f aca="false">IF(AND(ISNUMBER(AU142),ISNUMBER(AU136)),AU142/AU136,"")</f>
        <v>0.03473770684192</v>
      </c>
      <c r="AV235" s="25" t="n">
        <f aca="false">IF(AND(ISNUMBER(AV142),ISNUMBER(AV136)),AV142/AV136,"")</f>
        <v>0.0356398104265403</v>
      </c>
      <c r="AW235" s="25" t="n">
        <f aca="false">IF(AND(ISNUMBER(AW142),ISNUMBER(AW136)),AW142/AW136,"")</f>
        <v>0.0366565274070395</v>
      </c>
      <c r="AX235" s="25" t="n">
        <f aca="false">IF(AND(ISNUMBER(AX142),ISNUMBER(AX136)),AX142/AX136,"")</f>
        <v>0.0323036543508984</v>
      </c>
      <c r="AY235" s="25" t="n">
        <f aca="false">IF(AND(ISNUMBER(AY142),ISNUMBER(AY136)),AY142/AY136,"")</f>
        <v>0.0369891081634854</v>
      </c>
      <c r="AZ235" s="25" t="n">
        <f aca="false">IF(AND(ISNUMBER(AZ142),ISNUMBER(AZ136)),AZ142/AZ136,"")</f>
        <v>0.0376205787781351</v>
      </c>
      <c r="BA235" s="25" t="n">
        <f aca="false">IF(AND(ISNUMBER(BA142),ISNUMBER(BA136)),BA142/BA136,"")</f>
        <v>0.0366286675387778</v>
      </c>
      <c r="BB235" s="25" t="n">
        <f aca="false">IF(AND(ISNUMBER(BB142),ISNUMBER(BB136)),BB142/BB136,"")</f>
        <v>0.035857284945551</v>
      </c>
      <c r="BC235" s="25" t="n">
        <f aca="false">IF(AND(ISNUMBER(BC142),ISNUMBER(BC136)),BC142/BC136,"")</f>
        <v>0.0308004738534439</v>
      </c>
      <c r="BD235" s="25" t="n">
        <f aca="false">IF(AND(ISNUMBER(BD142),ISNUMBER(BD136)),BD142/BD136,"")</f>
        <v>0.0332725615314494</v>
      </c>
      <c r="BE235" s="25" t="n">
        <f aca="false">IF(AND(ISNUMBER(BE142),ISNUMBER(BE136)),BE142/BE136,"")</f>
        <v>0.0328744029221692</v>
      </c>
      <c r="BF235" s="25" t="n">
        <f aca="false">IF(AND(ISNUMBER(BF142),ISNUMBER(BF136)),BF142/BF136,"")</f>
        <v>0.0341484716157205</v>
      </c>
      <c r="BG235" s="25" t="n">
        <f aca="false">IF(AND(ISNUMBER(BG142),ISNUMBER(BG136)),BG142/BG136,"")</f>
        <v>0.0327507514193477</v>
      </c>
      <c r="BH235" s="25" t="n">
        <f aca="false">IF(AND(ISNUMBER(BH142),ISNUMBER(BH136)),BH142/BH136,"")</f>
        <v>0.0323062558356676</v>
      </c>
      <c r="BI235" s="25" t="n">
        <f aca="false">IF(AND(ISNUMBER(BI142),ISNUMBER(BI136)),BI142/BI136,"")</f>
        <v>0.0322822120333115</v>
      </c>
      <c r="BJ235" s="25" t="n">
        <f aca="false">IF(AND(ISNUMBER(BJ142),ISNUMBER(BJ136)),BJ142/BJ136,"")</f>
        <v>0.0301683374314356</v>
      </c>
      <c r="BK235" s="25" t="n">
        <f aca="false">IF(AND(ISNUMBER(BK142),ISNUMBER(BK136)),BK142/BK136,"")</f>
        <v>0.0300385816645232</v>
      </c>
      <c r="BL235" s="25" t="n">
        <f aca="false">IF(AND(ISNUMBER(BL142),ISNUMBER(BL136)),BL142/BL136,"")</f>
        <v>0.0311967706559022</v>
      </c>
      <c r="BM235" s="25" t="n">
        <f aca="false">IF(AND(ISNUMBER(BM142),ISNUMBER(BM136)),BM142/BM136,"")</f>
        <v>0.0319961333977767</v>
      </c>
      <c r="BN235" s="25" t="n">
        <f aca="false">IF(AND(ISNUMBER(BN142),ISNUMBER(BN136)),BN142/BN136,"")</f>
        <v>0.0321601366094298</v>
      </c>
      <c r="BO235" s="25" t="n">
        <f aca="false">IF(AND(ISNUMBER(BO142),ISNUMBER(BO136)),BO142/BO136,"")</f>
        <v>0.0326476693715795</v>
      </c>
      <c r="BP235" s="25" t="n">
        <f aca="false">IF(AND(ISNUMBER(BP142),ISNUMBER(BP136)),BP142/BP136,"")</f>
        <v>0.0328214129003949</v>
      </c>
      <c r="BQ235" s="25" t="n">
        <f aca="false">IF(AND(ISNUMBER(BQ142),ISNUMBER(BQ136)),BQ142/BQ136,"")</f>
        <v>0.0324168007649432</v>
      </c>
      <c r="BR235" s="25" t="n">
        <f aca="false">IF(AND(ISNUMBER(BR142),ISNUMBER(BR136)),BR142/BR136,"")</f>
        <v>0.0329988421458896</v>
      </c>
      <c r="BS235" s="25" t="n">
        <f aca="false">IF(AND(ISNUMBER(BS142),ISNUMBER(BS136)),BS142/BS136,"")</f>
        <v>0.0324274527867342</v>
      </c>
      <c r="BT235" s="25" t="n">
        <f aca="false">IF(AND(ISNUMBER(BT142),ISNUMBER(BT136)),BT142/BT136,"")</f>
        <v>0.031109512677576</v>
      </c>
      <c r="BU235" s="25" t="n">
        <f aca="false">IF(AND(ISNUMBER(BU142),ISNUMBER(BU136)),BU142/BU136,"")</f>
        <v>0.0292263610315186</v>
      </c>
      <c r="BV235" s="25" t="n">
        <f aca="false">IF(AND(ISNUMBER(BV142),ISNUMBER(BV136)),BV142/BV136,"")</f>
        <v>0.0313538019570877</v>
      </c>
      <c r="BW235" s="25" t="n">
        <f aca="false">IF(AND(ISNUMBER(BW142),ISNUMBER(BW136)),BW142/BW136,"")</f>
        <v>0.0305315765561109</v>
      </c>
      <c r="BX235" s="25" t="n">
        <f aca="false">IF(AND(ISNUMBER(BX142),ISNUMBER(BX136)),BX142/BX136,"")</f>
        <v>0.0303485075871269</v>
      </c>
      <c r="BY235" s="26" t="n">
        <f aca="false">IFERROR(BY142/BY136,"")</f>
        <v>0.0304361059176486</v>
      </c>
      <c r="BZ235" s="26" t="n">
        <f aca="false">IFERROR(BZ142/BZ136,"")</f>
        <v>0.0304361059176486</v>
      </c>
      <c r="CA235" s="26" t="n">
        <f aca="false">IFERROR(CA142/CA136,"")</f>
        <v>0.0304348311069295</v>
      </c>
      <c r="CB235" s="26" t="n">
        <f aca="false">IFERROR(CB142/CB136,"")</f>
        <v>0.031</v>
      </c>
      <c r="CC235" s="26" t="n">
        <f aca="false">IFERROR(CC142/CC136,"")</f>
        <v>0.031</v>
      </c>
      <c r="CD235" s="26" t="n">
        <f aca="false">IFERROR(CD142/CD136,"")</f>
        <v>0.031</v>
      </c>
      <c r="CE235" s="26" t="n">
        <f aca="false">IFERROR(CE142/CE136,"")</f>
        <v>0.031</v>
      </c>
      <c r="CF235" s="21"/>
    </row>
    <row r="237" customFormat="false" ht="15" hidden="false" customHeight="false" outlineLevel="0" collapsed="false">
      <c r="B237" s="11" t="s">
        <v>394</v>
      </c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 t="s">
        <v>395</v>
      </c>
    </row>
    <row r="238" customFormat="false" ht="15" hidden="false" customHeight="false" outlineLevel="0" collapsed="false">
      <c r="B238" s="17" t="s">
        <v>396</v>
      </c>
      <c r="C238" s="19" t="n">
        <v>168.9</v>
      </c>
      <c r="D238" s="19" t="n">
        <v>761.1</v>
      </c>
      <c r="E238" s="19" t="n">
        <v>994.2</v>
      </c>
      <c r="F238" s="19" t="n">
        <v>850.3</v>
      </c>
      <c r="G238" s="19" t="n">
        <v>1035.6</v>
      </c>
      <c r="H238" s="19" t="n">
        <v>1329.9</v>
      </c>
      <c r="I238" s="19" t="n">
        <v>1177.9</v>
      </c>
      <c r="J238" s="19" t="n">
        <v>336.2</v>
      </c>
      <c r="K238" s="19" t="n">
        <v>277.4</v>
      </c>
      <c r="L238" s="19" t="n">
        <v>317.6</v>
      </c>
      <c r="M238" s="19" t="n">
        <v>342.1</v>
      </c>
      <c r="N238" s="19" t="n">
        <v>1273.3</v>
      </c>
      <c r="O238" s="19" t="n">
        <v>543.1</v>
      </c>
      <c r="P238" s="19" t="n">
        <v>278.5</v>
      </c>
      <c r="Q238" s="19" t="n">
        <v>471.6</v>
      </c>
      <c r="R238" s="19" t="n">
        <v>601.2</v>
      </c>
      <c r="S238" s="19" t="n">
        <v>1894.4</v>
      </c>
      <c r="T238" s="19" t="n">
        <v>385.1</v>
      </c>
      <c r="U238" s="19" t="n">
        <v>511.6</v>
      </c>
      <c r="V238" s="19" t="n">
        <v>476.1</v>
      </c>
      <c r="W238" s="19" t="n">
        <v>602.6</v>
      </c>
      <c r="X238" s="19" t="n">
        <v>1975.4</v>
      </c>
      <c r="Y238" s="19" t="n">
        <v>402.2</v>
      </c>
      <c r="Z238" s="19" t="n">
        <v>516.6</v>
      </c>
      <c r="AA238" s="19" t="n">
        <v>473.5</v>
      </c>
      <c r="AB238" s="19" t="n">
        <v>629.5</v>
      </c>
      <c r="AC238" s="19" t="n">
        <v>2021.8</v>
      </c>
      <c r="AD238" s="19" t="n">
        <v>551.4</v>
      </c>
      <c r="AE238" s="19" t="n">
        <v>611.6</v>
      </c>
      <c r="AF238" s="19" t="n">
        <v>533.9</v>
      </c>
      <c r="AG238" s="19" t="n">
        <v>528.1</v>
      </c>
      <c r="AH238" s="19" t="n">
        <v>2225</v>
      </c>
      <c r="AI238" s="19" t="n">
        <v>579</v>
      </c>
      <c r="AJ238" s="19" t="n">
        <v>752</v>
      </c>
      <c r="AK238" s="19" t="n">
        <v>709</v>
      </c>
      <c r="AL238" s="19" t="n">
        <v>898</v>
      </c>
      <c r="AM238" s="19" t="n">
        <v>2938</v>
      </c>
      <c r="AN238" s="19" t="n">
        <v>815</v>
      </c>
      <c r="AO238" s="19" t="n">
        <v>1119</v>
      </c>
      <c r="AP238" s="19" t="n">
        <v>760</v>
      </c>
      <c r="AQ238" s="19" t="n">
        <v>1002</v>
      </c>
      <c r="AR238" s="19" t="n">
        <v>3696</v>
      </c>
      <c r="AS238" s="19" t="n">
        <v>788</v>
      </c>
      <c r="AT238" s="19" t="n">
        <v>1156</v>
      </c>
      <c r="AU238" s="19" t="n">
        <v>1933</v>
      </c>
      <c r="AV238" s="19" t="n">
        <v>2498</v>
      </c>
      <c r="AW238" s="19" t="n">
        <v>6375</v>
      </c>
      <c r="AX238" s="19" t="n">
        <v>2337</v>
      </c>
      <c r="AY238" s="19" t="n">
        <v>1828</v>
      </c>
      <c r="AZ238" s="19" t="n">
        <v>1902</v>
      </c>
      <c r="BA238" s="19" t="n">
        <v>1661</v>
      </c>
      <c r="BB238" s="19" t="n">
        <v>7728</v>
      </c>
      <c r="BC238" s="19" t="n">
        <v>2220</v>
      </c>
      <c r="BD238" s="19" t="n">
        <v>1668</v>
      </c>
      <c r="BE238" s="19" t="n">
        <v>1498</v>
      </c>
      <c r="BF238" s="19" t="n">
        <v>1574</v>
      </c>
      <c r="BG238" s="19" t="n">
        <v>6960</v>
      </c>
      <c r="BH238" s="19" t="n">
        <v>1292</v>
      </c>
      <c r="BI238" s="19" t="n">
        <v>1362</v>
      </c>
      <c r="BJ238" s="19" t="n">
        <v>1695</v>
      </c>
      <c r="BK238" s="19" t="n">
        <v>1606</v>
      </c>
      <c r="BL238" s="19" t="n">
        <v>5955</v>
      </c>
      <c r="BM238" s="19" t="n">
        <v>1331</v>
      </c>
      <c r="BN238" s="19" t="n">
        <v>1554</v>
      </c>
      <c r="BO238" s="19" t="n">
        <v>1629</v>
      </c>
      <c r="BP238" s="19" t="n">
        <v>1824</v>
      </c>
      <c r="BQ238" s="19" t="n">
        <v>6338</v>
      </c>
      <c r="BR238" s="19" t="n">
        <v>1511</v>
      </c>
      <c r="BS238" s="19" t="n">
        <v>1619</v>
      </c>
      <c r="BT238" s="19" t="n">
        <v>1621</v>
      </c>
      <c r="BU238" s="19" t="n">
        <v>1970</v>
      </c>
      <c r="BV238" s="19" t="n">
        <v>6721</v>
      </c>
      <c r="BW238" s="19" t="n">
        <v>1656</v>
      </c>
      <c r="BX238" s="19" t="n">
        <v>1741</v>
      </c>
      <c r="BY238" s="52"/>
      <c r="BZ238" s="52"/>
      <c r="CA238" s="20" t="n">
        <f aca="false">CA157</f>
        <v>7638.77625</v>
      </c>
      <c r="CB238" s="20" t="n">
        <f aca="false">CB157</f>
        <v>7927.71599807448</v>
      </c>
      <c r="CC238" s="20" t="n">
        <f aca="false">CC157</f>
        <v>8750.23879292395</v>
      </c>
      <c r="CD238" s="20" t="n">
        <f aca="false">CD157</f>
        <v>9625.01421040877</v>
      </c>
      <c r="CE238" s="20" t="n">
        <f aca="false">CE157</f>
        <v>10764.7372704989</v>
      </c>
      <c r="CF238" s="21"/>
    </row>
    <row r="239" customFormat="false" ht="15" hidden="false" customHeight="false" outlineLevel="0" collapsed="false">
      <c r="B239" s="17" t="s">
        <v>397</v>
      </c>
      <c r="CF239" s="64"/>
    </row>
    <row r="240" customFormat="false" ht="15" hidden="false" customHeight="false" outlineLevel="0" collapsed="false">
      <c r="B240" s="23" t="s">
        <v>398</v>
      </c>
      <c r="C240" s="37" t="n">
        <v>240.7</v>
      </c>
      <c r="D240" s="37" t="n">
        <v>756.8</v>
      </c>
      <c r="E240" s="37" t="n">
        <v>792.7</v>
      </c>
      <c r="F240" s="37" t="n">
        <v>787.3</v>
      </c>
      <c r="G240" s="37" t="n">
        <v>770</v>
      </c>
      <c r="H240" s="37" t="n">
        <v>863.5</v>
      </c>
      <c r="I240" s="37" t="n">
        <v>983.7</v>
      </c>
      <c r="J240" s="37" t="n">
        <v>251</v>
      </c>
      <c r="K240" s="37" t="n">
        <v>249.2</v>
      </c>
      <c r="L240" s="37" t="n">
        <v>250.4</v>
      </c>
      <c r="M240" s="37" t="n">
        <v>249.3</v>
      </c>
      <c r="N240" s="37" t="n">
        <v>999.9</v>
      </c>
      <c r="O240" s="37" t="n">
        <v>365.6</v>
      </c>
      <c r="P240" s="37" t="n">
        <v>434.8</v>
      </c>
      <c r="Q240" s="37" t="n">
        <v>455.7</v>
      </c>
      <c r="R240" s="37" t="n">
        <v>428.7</v>
      </c>
      <c r="S240" s="37" t="n">
        <v>1684.8</v>
      </c>
      <c r="T240" s="37" t="n">
        <v>416.3</v>
      </c>
      <c r="U240" s="37" t="n">
        <v>419.7</v>
      </c>
      <c r="V240" s="37" t="n">
        <v>427.7</v>
      </c>
      <c r="W240" s="37" t="n">
        <v>424.5</v>
      </c>
      <c r="X240" s="37" t="n">
        <v>1688.2</v>
      </c>
      <c r="Y240" s="37" t="n">
        <v>416.1</v>
      </c>
      <c r="Z240" s="37" t="n">
        <v>435.1</v>
      </c>
      <c r="AA240" s="37" t="n">
        <v>433</v>
      </c>
      <c r="AB240" s="37" t="n">
        <v>473.8</v>
      </c>
      <c r="AC240" s="37" t="n">
        <v>1758</v>
      </c>
      <c r="AD240" s="37" t="n">
        <v>464.5</v>
      </c>
      <c r="AE240" s="37" t="n">
        <v>478.2</v>
      </c>
      <c r="AF240" s="37" t="n">
        <v>516.8</v>
      </c>
      <c r="AG240" s="37" t="n">
        <v>573.5</v>
      </c>
      <c r="AH240" s="37" t="n">
        <v>2033</v>
      </c>
      <c r="AI240" s="37" t="n">
        <v>575</v>
      </c>
      <c r="AJ240" s="37" t="n">
        <v>571</v>
      </c>
      <c r="AK240" s="37" t="n">
        <v>563</v>
      </c>
      <c r="AL240" s="37" t="n">
        <v>558</v>
      </c>
      <c r="AM240" s="37" t="n">
        <v>2267</v>
      </c>
      <c r="AN240" s="37" t="n">
        <v>555</v>
      </c>
      <c r="AO240" s="37" t="n">
        <v>571</v>
      </c>
      <c r="AP240" s="37" t="n">
        <v>575</v>
      </c>
      <c r="AQ240" s="37" t="n">
        <v>576</v>
      </c>
      <c r="AR240" s="37" t="n">
        <v>2277</v>
      </c>
      <c r="AS240" s="37" t="n">
        <v>574</v>
      </c>
      <c r="AT240" s="37" t="n">
        <v>574</v>
      </c>
      <c r="AU240" s="37" t="n">
        <v>575</v>
      </c>
      <c r="AV240" s="37" t="n">
        <v>602</v>
      </c>
      <c r="AW240" s="37" t="n">
        <v>2325</v>
      </c>
      <c r="AX240" s="37" t="n">
        <v>621</v>
      </c>
      <c r="AY240" s="37" t="n">
        <v>660</v>
      </c>
      <c r="AZ240" s="37" t="n">
        <v>628</v>
      </c>
      <c r="BA240" s="37" t="n">
        <v>683</v>
      </c>
      <c r="BB240" s="37" t="n">
        <v>2592</v>
      </c>
      <c r="BC240" s="37" t="n">
        <v>859</v>
      </c>
      <c r="BD240" s="37" t="n">
        <v>836</v>
      </c>
      <c r="BE240" s="37" t="n">
        <v>838</v>
      </c>
      <c r="BF240" s="37" t="n">
        <v>848</v>
      </c>
      <c r="BG240" s="37" t="n">
        <v>3381</v>
      </c>
      <c r="BH240" s="37" t="n">
        <v>859</v>
      </c>
      <c r="BI240" s="37" t="n">
        <v>855</v>
      </c>
      <c r="BJ240" s="37" t="n">
        <v>853</v>
      </c>
      <c r="BK240" s="37" t="n">
        <v>839</v>
      </c>
      <c r="BL240" s="37" t="n">
        <v>3406</v>
      </c>
      <c r="BM240" s="37" t="n">
        <v>837</v>
      </c>
      <c r="BN240" s="37" t="n">
        <v>789</v>
      </c>
      <c r="BO240" s="37" t="n">
        <v>741</v>
      </c>
      <c r="BP240" s="37" t="n">
        <v>741</v>
      </c>
      <c r="BQ240" s="37" t="n">
        <v>3108</v>
      </c>
      <c r="BR240" s="37" t="n">
        <v>706</v>
      </c>
      <c r="BS240" s="37" t="n">
        <v>685</v>
      </c>
      <c r="BT240" s="37" t="n">
        <v>662</v>
      </c>
      <c r="BU240" s="37" t="n">
        <v>727</v>
      </c>
      <c r="BV240" s="37" t="n">
        <v>2780</v>
      </c>
      <c r="BW240" s="37" t="n">
        <v>736</v>
      </c>
      <c r="BX240" s="37" t="n">
        <v>816</v>
      </c>
      <c r="BY240" s="39"/>
      <c r="BZ240" s="39"/>
      <c r="CA240" s="44" t="n">
        <f aca="false">CA164</f>
        <v>3207.46949867386</v>
      </c>
      <c r="CB240" s="44" t="n">
        <f aca="false">CB164</f>
        <v>3355.97154761096</v>
      </c>
      <c r="CC240" s="44" t="n">
        <f aca="false">CC164</f>
        <v>3538.91518725003</v>
      </c>
      <c r="CD240" s="44" t="n">
        <f aca="false">CD164</f>
        <v>3643.81915381412</v>
      </c>
      <c r="CE240" s="44" t="n">
        <f aca="false">CE164</f>
        <v>3577.9400959991</v>
      </c>
      <c r="CF240" s="21"/>
    </row>
    <row r="241" customFormat="false" ht="15" hidden="false" customHeight="false" outlineLevel="0" collapsed="false">
      <c r="B241" s="23" t="s">
        <v>399</v>
      </c>
      <c r="C241" s="37" t="n">
        <v>-73.6</v>
      </c>
      <c r="D241" s="37" t="n">
        <v>-90.8</v>
      </c>
      <c r="E241" s="37" t="n">
        <v>-123.1</v>
      </c>
      <c r="F241" s="37" t="n">
        <v>-244.2</v>
      </c>
      <c r="G241" s="37" t="n">
        <v>-276.4</v>
      </c>
      <c r="H241" s="37" t="n">
        <v>-152.6</v>
      </c>
      <c r="I241" s="37" t="n">
        <v>-307.4</v>
      </c>
      <c r="J241" s="37" t="n">
        <v>-16</v>
      </c>
      <c r="K241" s="37" t="n">
        <v>-49</v>
      </c>
      <c r="L241" s="37" t="n">
        <v>-139.5</v>
      </c>
      <c r="M241" s="37" t="n">
        <v>-268.1</v>
      </c>
      <c r="N241" s="37" t="n">
        <v>-472.6</v>
      </c>
      <c r="O241" s="37" t="n">
        <v>-207</v>
      </c>
      <c r="P241" s="37" t="n">
        <v>-253.4</v>
      </c>
      <c r="Q241" s="37" t="n">
        <v>-123.4</v>
      </c>
      <c r="R241" s="37" t="n">
        <v>-159.9</v>
      </c>
      <c r="S241" s="37" t="n">
        <v>-743.7</v>
      </c>
      <c r="T241" s="37" t="n">
        <v>-102.4</v>
      </c>
      <c r="U241" s="37" t="n">
        <v>-115.6</v>
      </c>
      <c r="V241" s="37" t="n">
        <v>-67.9</v>
      </c>
      <c r="W241" s="37" t="n">
        <v>-225.9</v>
      </c>
      <c r="X241" s="37" t="n">
        <v>-511.8</v>
      </c>
      <c r="Y241" s="37" t="n">
        <v>-88.8</v>
      </c>
      <c r="Z241" s="37" t="n">
        <v>-215.7</v>
      </c>
      <c r="AA241" s="37" t="n">
        <v>-210.3</v>
      </c>
      <c r="AB241" s="37" t="n">
        <v>-83.4</v>
      </c>
      <c r="AC241" s="37" t="n">
        <v>-598.2</v>
      </c>
      <c r="AD241" s="37" t="n">
        <v>-127.3</v>
      </c>
      <c r="AE241" s="37" t="n">
        <v>-171.5</v>
      </c>
      <c r="AF241" s="37" t="n">
        <v>-184.8</v>
      </c>
      <c r="AG241" s="37" t="n">
        <v>-605.4</v>
      </c>
      <c r="AH241" s="37" t="n">
        <v>-1089</v>
      </c>
      <c r="AI241" s="37" t="n">
        <v>-121</v>
      </c>
      <c r="AJ241" s="37" t="n">
        <v>22</v>
      </c>
      <c r="AK241" s="37" t="n">
        <v>-218</v>
      </c>
      <c r="AL241" s="37" t="n">
        <v>-102</v>
      </c>
      <c r="AM241" s="37" t="n">
        <v>-419</v>
      </c>
      <c r="AN241" s="37" t="n">
        <v>-106</v>
      </c>
      <c r="AO241" s="37" t="n">
        <v>-259</v>
      </c>
      <c r="AP241" s="37" t="n">
        <v>9</v>
      </c>
      <c r="AQ241" s="37" t="n">
        <v>8</v>
      </c>
      <c r="AR241" s="37" t="n">
        <v>-348</v>
      </c>
      <c r="AS241" s="37" t="n">
        <v>-41</v>
      </c>
      <c r="AT241" s="37" t="n">
        <v>-277</v>
      </c>
      <c r="AU241" s="37" t="n">
        <v>-178</v>
      </c>
      <c r="AV241" s="37" t="n">
        <v>-56</v>
      </c>
      <c r="AW241" s="37" t="n">
        <v>-552</v>
      </c>
      <c r="AX241" s="37" t="n">
        <v>24</v>
      </c>
      <c r="AY241" s="37" t="n">
        <v>-331</v>
      </c>
      <c r="AZ241" s="37" t="n">
        <v>-148</v>
      </c>
      <c r="BA241" s="37" t="n">
        <v>49</v>
      </c>
      <c r="BB241" s="37" t="n">
        <v>-406</v>
      </c>
      <c r="BC241" s="37" t="n">
        <v>-339</v>
      </c>
      <c r="BD241" s="37" t="n">
        <v>-262</v>
      </c>
      <c r="BE241" s="37" t="n">
        <v>-261</v>
      </c>
      <c r="BF241" s="37" t="n">
        <v>-133</v>
      </c>
      <c r="BG241" s="37" t="n">
        <v>-995</v>
      </c>
      <c r="BH241" s="37" t="n">
        <v>-146</v>
      </c>
      <c r="BI241" s="37" t="n">
        <v>-182</v>
      </c>
      <c r="BJ241" s="37" t="n">
        <v>-303</v>
      </c>
      <c r="BK241" s="37" t="n">
        <v>-669</v>
      </c>
      <c r="BL241" s="37" t="n">
        <v>-1300</v>
      </c>
      <c r="BM241" s="37" t="n">
        <v>-253</v>
      </c>
      <c r="BN241" s="37" t="n">
        <v>-354</v>
      </c>
      <c r="BO241" s="37" t="n">
        <v>-400</v>
      </c>
      <c r="BP241" s="37" t="n">
        <v>-202</v>
      </c>
      <c r="BQ241" s="37" t="n">
        <v>-1209</v>
      </c>
      <c r="BR241" s="37" t="n">
        <v>-279</v>
      </c>
      <c r="BS241" s="37" t="n">
        <v>-322</v>
      </c>
      <c r="BT241" s="37" t="n">
        <v>-127</v>
      </c>
      <c r="BU241" s="37" t="n">
        <v>89</v>
      </c>
      <c r="BV241" s="37" t="n">
        <v>-639</v>
      </c>
      <c r="BW241" s="37" t="n">
        <v>-258</v>
      </c>
      <c r="BX241" s="37" t="n">
        <v>-208</v>
      </c>
      <c r="BY241" s="39"/>
      <c r="BZ241" s="39"/>
      <c r="CA241" s="44" t="n">
        <f aca="false">BW241+BX241-(BY141+BZ141)*$CA$344</f>
        <v>-708.5</v>
      </c>
      <c r="CB241" s="44" t="n">
        <f aca="false">-CB141*$CA$344</f>
        <v>-497.011904761905</v>
      </c>
      <c r="CC241" s="44" t="n">
        <f aca="false">-CC141*$CA$344</f>
        <v>-516.833333333333</v>
      </c>
      <c r="CD241" s="44" t="n">
        <f aca="false">-CD141*$CA$344</f>
        <v>-515.185595238095</v>
      </c>
      <c r="CE241" s="44" t="n">
        <f aca="false">-CE141*$CA$344</f>
        <v>-469.142857142857</v>
      </c>
      <c r="CF241" s="21" t="s">
        <v>400</v>
      </c>
    </row>
    <row r="242" customFormat="false" ht="15" hidden="false" customHeight="false" outlineLevel="0" collapsed="false">
      <c r="B242" s="23" t="s">
        <v>401</v>
      </c>
      <c r="C242" s="37" t="n">
        <v>69.4</v>
      </c>
      <c r="D242" s="37" t="n">
        <v>51.1</v>
      </c>
      <c r="E242" s="37" t="n">
        <v>57.1</v>
      </c>
      <c r="F242" s="37" t="n">
        <v>68.1</v>
      </c>
      <c r="G242" s="37" t="n">
        <v>83.1</v>
      </c>
      <c r="H242" s="37" t="n">
        <v>80.2</v>
      </c>
      <c r="I242" s="37" t="n">
        <v>78.2</v>
      </c>
      <c r="J242" s="37" t="n">
        <v>20.4</v>
      </c>
      <c r="K242" s="37" t="n">
        <v>23.3</v>
      </c>
      <c r="L242" s="37" t="n">
        <v>22.9</v>
      </c>
      <c r="M242" s="37" t="n">
        <v>24.3</v>
      </c>
      <c r="N242" s="37" t="n">
        <v>90.9</v>
      </c>
      <c r="O242" s="37" t="n">
        <v>25.2</v>
      </c>
      <c r="P242" s="37" t="n">
        <v>30.8</v>
      </c>
      <c r="Q242" s="37" t="n">
        <v>30.6</v>
      </c>
      <c r="R242" s="37" t="n">
        <v>30.5</v>
      </c>
      <c r="S242" s="37" t="n">
        <v>117.1</v>
      </c>
      <c r="T242" s="37" t="n">
        <v>28.2</v>
      </c>
      <c r="U242" s="37" t="n">
        <v>31.1</v>
      </c>
      <c r="V242" s="37" t="n">
        <v>32.5</v>
      </c>
      <c r="W242" s="37" t="n">
        <v>33.2</v>
      </c>
      <c r="X242" s="37" t="n">
        <v>125</v>
      </c>
      <c r="Y242" s="37" t="n">
        <v>33.4</v>
      </c>
      <c r="Z242" s="37" t="n">
        <v>33.7</v>
      </c>
      <c r="AA242" s="37" t="n">
        <v>34.9</v>
      </c>
      <c r="AB242" s="37" t="n">
        <v>31.5</v>
      </c>
      <c r="AC242" s="37" t="n">
        <v>133.5</v>
      </c>
      <c r="AD242" s="37" t="n">
        <v>33</v>
      </c>
      <c r="AE242" s="37" t="n">
        <v>38.2</v>
      </c>
      <c r="AF242" s="37" t="n">
        <v>44.7</v>
      </c>
      <c r="AG242" s="37" t="n">
        <v>43.1</v>
      </c>
      <c r="AH242" s="37" t="n">
        <v>159</v>
      </c>
      <c r="AI242" s="37" t="n">
        <v>43</v>
      </c>
      <c r="AJ242" s="37" t="n">
        <v>48</v>
      </c>
      <c r="AK242" s="37" t="n">
        <v>46</v>
      </c>
      <c r="AL242" s="37" t="n">
        <v>44</v>
      </c>
      <c r="AM242" s="37" t="n">
        <v>181</v>
      </c>
      <c r="AN242" s="37" t="n">
        <v>44</v>
      </c>
      <c r="AO242" s="37" t="n">
        <v>52</v>
      </c>
      <c r="AP242" s="37" t="n">
        <v>42</v>
      </c>
      <c r="AQ242" s="37" t="n">
        <v>43</v>
      </c>
      <c r="AR242" s="37" t="n">
        <v>181</v>
      </c>
      <c r="AS242" s="37" t="n">
        <v>46</v>
      </c>
      <c r="AT242" s="37" t="n">
        <v>47</v>
      </c>
      <c r="AU242" s="37" t="n">
        <v>52</v>
      </c>
      <c r="AV242" s="37" t="n">
        <v>51</v>
      </c>
      <c r="AW242" s="37" t="n">
        <v>196</v>
      </c>
      <c r="AX242" s="37" t="n">
        <v>51</v>
      </c>
      <c r="AY242" s="37" t="n">
        <v>51</v>
      </c>
      <c r="AZ242" s="37" t="n">
        <v>51</v>
      </c>
      <c r="BA242" s="37" t="n">
        <v>77</v>
      </c>
      <c r="BB242" s="37" t="n">
        <v>230</v>
      </c>
      <c r="BC242" s="37" t="n">
        <v>78</v>
      </c>
      <c r="BD242" s="37" t="n">
        <v>77</v>
      </c>
      <c r="BE242" s="37" t="n">
        <v>77</v>
      </c>
      <c r="BF242" s="37" t="n">
        <v>75</v>
      </c>
      <c r="BG242" s="37" t="n">
        <v>307</v>
      </c>
      <c r="BH242" s="37" t="n">
        <v>76</v>
      </c>
      <c r="BI242" s="37" t="n">
        <v>74</v>
      </c>
      <c r="BJ242" s="37" t="n">
        <v>67</v>
      </c>
      <c r="BK242" s="37" t="n">
        <v>61</v>
      </c>
      <c r="BL242" s="37" t="n">
        <v>278</v>
      </c>
      <c r="BM242" s="37" t="n">
        <v>70</v>
      </c>
      <c r="BN242" s="37" t="n">
        <v>84</v>
      </c>
      <c r="BO242" s="37" t="n">
        <v>68</v>
      </c>
      <c r="BP242" s="37" t="n">
        <v>79</v>
      </c>
      <c r="BQ242" s="37" t="n">
        <v>301</v>
      </c>
      <c r="BR242" s="37" t="n">
        <v>75</v>
      </c>
      <c r="BS242" s="37" t="n">
        <v>81</v>
      </c>
      <c r="BT242" s="37" t="n">
        <v>70</v>
      </c>
      <c r="BU242" s="37" t="n">
        <v>84</v>
      </c>
      <c r="BV242" s="37" t="n">
        <v>310</v>
      </c>
      <c r="BW242" s="37" t="n">
        <v>83</v>
      </c>
      <c r="BX242" s="37" t="n">
        <v>82</v>
      </c>
      <c r="BY242" s="39"/>
      <c r="BZ242" s="39"/>
      <c r="CA242" s="44" t="n">
        <f aca="false">CA165</f>
        <v>342.55489369103</v>
      </c>
      <c r="CB242" s="44" t="n">
        <f aca="false">CB165</f>
        <v>354.646944442347</v>
      </c>
      <c r="CC242" s="44" t="n">
        <f aca="false">CC165</f>
        <v>381.52122138581</v>
      </c>
      <c r="CD242" s="44" t="n">
        <f aca="false">CD165</f>
        <v>410.427311482673</v>
      </c>
      <c r="CE242" s="44" t="n">
        <f aca="false">CE165</f>
        <v>441.095580444211</v>
      </c>
      <c r="CF242" s="21" t="s">
        <v>402</v>
      </c>
    </row>
    <row r="243" customFormat="false" ht="15" hidden="false" customHeight="false" outlineLevel="0" collapsed="false">
      <c r="B243" s="23" t="s">
        <v>403</v>
      </c>
      <c r="C243" s="37" t="n">
        <v>0</v>
      </c>
      <c r="D243" s="37" t="n">
        <v>0</v>
      </c>
      <c r="E243" s="37" t="n">
        <v>0</v>
      </c>
      <c r="F243" s="37" t="n">
        <v>0</v>
      </c>
      <c r="G243" s="37" t="n">
        <v>0</v>
      </c>
      <c r="H243" s="37" t="n">
        <v>0</v>
      </c>
      <c r="I243" s="37" t="n">
        <v>0</v>
      </c>
      <c r="J243" s="37" t="n">
        <v>0</v>
      </c>
      <c r="K243" s="37" t="n">
        <v>0</v>
      </c>
      <c r="L243" s="37" t="n">
        <v>0</v>
      </c>
      <c r="M243" s="37" t="n">
        <v>0</v>
      </c>
      <c r="N243" s="37" t="n">
        <v>0</v>
      </c>
      <c r="O243" s="37" t="n">
        <v>-758.5</v>
      </c>
      <c r="P243" s="37" t="n">
        <v>-3.3</v>
      </c>
      <c r="Q243" s="37" t="n">
        <v>-132.6</v>
      </c>
      <c r="R243" s="37" t="n">
        <v>-1</v>
      </c>
      <c r="S243" s="37" t="n">
        <v>-895.4</v>
      </c>
      <c r="T243" s="37" t="n">
        <v>0</v>
      </c>
      <c r="U243" s="37" t="n">
        <v>-7.6</v>
      </c>
      <c r="V243" s="37" t="n">
        <v>0</v>
      </c>
      <c r="W243" s="37" t="n">
        <v>0</v>
      </c>
      <c r="X243" s="37" t="n">
        <v>-7.6</v>
      </c>
      <c r="Y243" s="37" t="n">
        <v>0</v>
      </c>
      <c r="Z243" s="37" t="n">
        <v>0</v>
      </c>
      <c r="AA243" s="37" t="n">
        <v>0</v>
      </c>
      <c r="AB243" s="37" t="n">
        <v>0</v>
      </c>
      <c r="AC243" s="37" t="n">
        <v>0</v>
      </c>
      <c r="AD243" s="37" t="n">
        <v>0</v>
      </c>
      <c r="AE243" s="37" t="n">
        <v>0</v>
      </c>
      <c r="AF243" s="37" t="n">
        <v>0</v>
      </c>
      <c r="AG243" s="37" t="n">
        <v>0</v>
      </c>
      <c r="AH243" s="37" t="n">
        <v>0</v>
      </c>
      <c r="AI243" s="37" t="n">
        <v>0</v>
      </c>
      <c r="AJ243" s="37" t="n">
        <v>0</v>
      </c>
      <c r="AK243" s="37" t="n">
        <v>0</v>
      </c>
      <c r="AL243" s="37" t="n">
        <v>0</v>
      </c>
      <c r="AM243" s="37" t="n">
        <v>0</v>
      </c>
      <c r="AN243" s="37" t="n">
        <v>0</v>
      </c>
      <c r="AO243" s="37" t="n">
        <v>-505</v>
      </c>
      <c r="AP243" s="37" t="n">
        <v>19</v>
      </c>
      <c r="AQ243" s="37" t="n">
        <v>4</v>
      </c>
      <c r="AR243" s="37" t="n">
        <v>-482</v>
      </c>
      <c r="AS243" s="37" t="n">
        <v>0</v>
      </c>
      <c r="AT243" s="37" t="n">
        <v>0</v>
      </c>
      <c r="AU243" s="37" t="n">
        <v>0</v>
      </c>
      <c r="AV243" s="37" t="n">
        <v>0</v>
      </c>
      <c r="AW243" s="37" t="n">
        <v>0</v>
      </c>
      <c r="AX243" s="37" t="n">
        <v>0</v>
      </c>
      <c r="AY243" s="37" t="n">
        <v>0</v>
      </c>
      <c r="AZ243" s="37" t="n">
        <v>0</v>
      </c>
      <c r="BA243" s="37" t="n">
        <v>0</v>
      </c>
      <c r="BB243" s="37" t="n">
        <v>0</v>
      </c>
      <c r="BC243" s="37" t="n">
        <v>0</v>
      </c>
      <c r="BD243" s="37" t="n">
        <v>0</v>
      </c>
      <c r="BE243" s="37" t="n">
        <v>0</v>
      </c>
      <c r="BF243" s="37" t="n">
        <v>0</v>
      </c>
      <c r="BG243" s="37" t="n">
        <v>0</v>
      </c>
      <c r="BH243" s="37" t="n">
        <v>0</v>
      </c>
      <c r="BI243" s="37" t="n">
        <v>0</v>
      </c>
      <c r="BJ243" s="37" t="n">
        <v>0</v>
      </c>
      <c r="BK243" s="37" t="n">
        <v>0</v>
      </c>
      <c r="BL243" s="37" t="n">
        <v>0</v>
      </c>
      <c r="BM243" s="37" t="n">
        <v>0</v>
      </c>
      <c r="BN243" s="37" t="n">
        <v>0</v>
      </c>
      <c r="BO243" s="37" t="n">
        <v>0</v>
      </c>
      <c r="BP243" s="37" t="n">
        <v>0</v>
      </c>
      <c r="BQ243" s="37" t="n">
        <v>0</v>
      </c>
      <c r="BR243" s="37" t="n">
        <v>0</v>
      </c>
      <c r="BS243" s="37" t="n">
        <v>0</v>
      </c>
      <c r="BT243" s="37" t="n">
        <v>0</v>
      </c>
      <c r="BU243" s="37" t="n">
        <v>0</v>
      </c>
      <c r="BV243" s="37" t="n">
        <v>0</v>
      </c>
      <c r="BW243" s="37" t="n">
        <v>0</v>
      </c>
      <c r="BX243" s="37" t="n">
        <v>0</v>
      </c>
      <c r="BY243" s="39"/>
      <c r="BZ243" s="39"/>
      <c r="CA243" s="44" t="n">
        <f aca="false">BW243+BX243-CA85</f>
        <v>-203</v>
      </c>
      <c r="CB243" s="42" t="n">
        <v>0</v>
      </c>
      <c r="CC243" s="42" t="n">
        <v>0</v>
      </c>
      <c r="CD243" s="42" t="n">
        <v>0</v>
      </c>
      <c r="CE243" s="42" t="n">
        <v>0</v>
      </c>
      <c r="CF243" s="21"/>
    </row>
    <row r="244" customFormat="false" ht="15" hidden="false" customHeight="false" outlineLevel="0" collapsed="false">
      <c r="B244" s="23" t="s">
        <v>404</v>
      </c>
      <c r="C244" s="61" t="n">
        <f aca="false">C247-(C238+C240+C241+N(C242)+N(C243)+C245+N(C246))</f>
        <v>84.3</v>
      </c>
      <c r="D244" s="61" t="n">
        <f aca="false">D247-(D238+D240+D241+N(D242)+N(D243)+D245+N(D246))</f>
        <v>31.4000000000001</v>
      </c>
      <c r="E244" s="61" t="n">
        <f aca="false">E247-(E238+E240+E241+N(E242)+N(E243)+E245+N(E246))</f>
        <v>18.5999999999999</v>
      </c>
      <c r="F244" s="61" t="n">
        <f aca="false">F247-(F238+F240+F241+N(F242)+N(F243)+F245+N(F246))</f>
        <v>88.4000000000001</v>
      </c>
      <c r="G244" s="61" t="n">
        <f aca="false">G247-(G238+G240+G241+N(G242)+N(G243)+G245+N(G246))</f>
        <v>69.1000000000004</v>
      </c>
      <c r="H244" s="61" t="n">
        <f aca="false">H247-(H238+H240+H241+N(H242)+N(H243)+H245+N(H246))</f>
        <v>-207.2</v>
      </c>
      <c r="I244" s="61" t="n">
        <f aca="false">I247-(I238+I240+I241+N(I242)+N(I243)+I245+N(I246))</f>
        <v>164</v>
      </c>
      <c r="J244" s="61" t="n">
        <f aca="false">J247-(J238+J240+J241+N(J242)+N(J243)+J245+N(J246))</f>
        <v>-0.899999999999977</v>
      </c>
      <c r="K244" s="61" t="n">
        <f aca="false">K247-(K238+K240+K241+N(K242)+N(K243)+K245+N(K246))</f>
        <v>12.4</v>
      </c>
      <c r="L244" s="61" t="n">
        <f aca="false">L247-(L238+L240+L241+N(L242)+N(L243)+L245+N(L246))</f>
        <v>-5.5</v>
      </c>
      <c r="M244" s="61" t="n">
        <f aca="false">M247-(M238+M240+M241+N(M242)+N(M243)+M245+N(M246))</f>
        <v>-2.39999999999998</v>
      </c>
      <c r="N244" s="61" t="n">
        <f aca="false">N247-(N238+N240+N241+N(N242)+N(N243)+N245+N(N246))</f>
        <v>3.60000000000014</v>
      </c>
      <c r="O244" s="61" t="n">
        <f aca="false">O247-(O238+O240+O241+N(O242)+N(O243)+O245+N(O246))</f>
        <v>115.7</v>
      </c>
      <c r="P244" s="61" t="n">
        <f aca="false">P247-(P238+P240+P241+N(P242)+N(P243)+P245+N(P246))</f>
        <v>158.1</v>
      </c>
      <c r="Q244" s="61" t="n">
        <f aca="false">Q247-(Q238+Q240+Q241+N(Q242)+N(Q243)+Q245+N(Q246))</f>
        <v>-5.69999999999993</v>
      </c>
      <c r="R244" s="61" t="n">
        <f aca="false">R247-(R238+R240+R241+N(R242)+N(R243)+R245+N(R246))</f>
        <v>8.79999999999984</v>
      </c>
      <c r="S244" s="61" t="n">
        <f aca="false">S247-(S238+S240+S241+N(S242)+N(S243)+S245+N(S246))</f>
        <v>276.9</v>
      </c>
      <c r="T244" s="61" t="n">
        <f aca="false">T247-(T238+T240+T241+N(T242)+N(T243)+T245+N(T246))</f>
        <v>-22.9000000000001</v>
      </c>
      <c r="U244" s="61" t="n">
        <f aca="false">U247-(U238+U240+U241+N(U242)+N(U243)+U245+N(U246))</f>
        <v>-694.3</v>
      </c>
      <c r="V244" s="61" t="n">
        <f aca="false">V247-(V238+V240+V241+N(V242)+N(V243)+V245+N(V246))</f>
        <v>-120.8</v>
      </c>
      <c r="W244" s="61" t="n">
        <f aca="false">W247-(W238+W240+W241+N(W242)+N(W243)+W245+N(W246))</f>
        <v>844.3</v>
      </c>
      <c r="X244" s="61" t="n">
        <f aca="false">X247-(X238+X240+X241+N(X242)+N(X243)+X245+N(X246))</f>
        <v>6.29999999999973</v>
      </c>
      <c r="Y244" s="61" t="n">
        <f aca="false">Y247-(Y238+Y240+Y241+N(Y242)+N(Y243)+Y245+N(Y246))</f>
        <v>-6.69999999999993</v>
      </c>
      <c r="Z244" s="61" t="n">
        <f aca="false">Z247-(Z238+Z240+Z241+N(Z242)+N(Z243)+Z245+N(Z246))</f>
        <v>10.9</v>
      </c>
      <c r="AA244" s="61" t="n">
        <f aca="false">AA247-(AA238+AA240+AA241+N(AA242)+N(AA243)+AA245+N(AA246))</f>
        <v>28.9</v>
      </c>
      <c r="AB244" s="61" t="n">
        <f aca="false">AB247-(AB238+AB240+AB241+N(AB242)+N(AB243)+AB245+N(AB246))</f>
        <v>58.7</v>
      </c>
      <c r="AC244" s="61" t="n">
        <f aca="false">AC247-(AC238+AC240+AC241+N(AC242)+N(AC243)+AC245+N(AC246))</f>
        <v>91.7999999999997</v>
      </c>
      <c r="AD244" s="61" t="n">
        <f aca="false">AD247-(AD238+AD240+AD241+N(AD242)+N(AD243)+AD245+N(AD246))</f>
        <v>59</v>
      </c>
      <c r="AE244" s="61" t="n">
        <f aca="false">AE247-(AE238+AE240+AE241+N(AE242)+N(AE243)+AE245+N(AE246))</f>
        <v>18</v>
      </c>
      <c r="AF244" s="61" t="n">
        <f aca="false">AF247-(AF238+AF240+AF241+N(AF242)+N(AF243)+AF245+N(AF246))</f>
        <v>37.6000000000001</v>
      </c>
      <c r="AG244" s="61" t="n">
        <f aca="false">AG247-(AG238+AG240+AG241+N(AG242)+N(AG243)+AG245+N(AG246))</f>
        <v>78.4000000000001</v>
      </c>
      <c r="AH244" s="61" t="n">
        <f aca="false">AH247-(AH238+AH240+AH241+N(AH242)+N(AH243)+AH245+N(AH246))</f>
        <v>193</v>
      </c>
      <c r="AI244" s="61" t="n">
        <f aca="false">AI247-(AI238+AI240+AI241+N(AI242)+N(AI243)+AI245+N(AI246))</f>
        <v>27</v>
      </c>
      <c r="AJ244" s="61" t="n">
        <f aca="false">AJ247-(AJ238+AJ240+AJ241+N(AJ242)+N(AJ243)+AJ245+N(AJ246))</f>
        <v>36</v>
      </c>
      <c r="AK244" s="61" t="n">
        <f aca="false">AK247-(AK238+AK240+AK241+N(AK242)+N(AK243)+AK245+N(AK246))</f>
        <v>14</v>
      </c>
      <c r="AL244" s="61" t="n">
        <f aca="false">AL247-(AL238+AL240+AL241+N(AL242)+N(AL243)+AL245+N(AL246))</f>
        <v>29</v>
      </c>
      <c r="AM244" s="61" t="n">
        <f aca="false">AM247-(AM238+AM240+AM241+N(AM242)+N(AM243)+AM245+N(AM246))</f>
        <v>106</v>
      </c>
      <c r="AN244" s="61" t="n">
        <f aca="false">AN247-(AN238+AN240+AN241+N(AN242)+N(AN243)+AN245+N(AN246))</f>
        <v>18</v>
      </c>
      <c r="AO244" s="61" t="n">
        <f aca="false">AO247-(AO238+AO240+AO241+N(AO242)+N(AO243)+AO245+N(AO246))</f>
        <v>30</v>
      </c>
      <c r="AP244" s="61" t="n">
        <f aca="false">AP247-(AP238+AP240+AP241+N(AP242)+N(AP243)+AP245+N(AP246))</f>
        <v>75</v>
      </c>
      <c r="AQ244" s="61" t="n">
        <f aca="false">AQ247-(AQ238+AQ240+AQ241+N(AQ242)+N(AQ243)+AQ245+N(AQ246))</f>
        <v>145</v>
      </c>
      <c r="AR244" s="61" t="n">
        <f aca="false">AR247-(AR238+AR240+AR241+N(AR242)+N(AR243)+AR245+N(AR246))</f>
        <v>268</v>
      </c>
      <c r="AS244" s="61" t="n">
        <f aca="false">AS247-(AS238+AS240+AS241+N(AS242)+N(AS243)+AS245+N(AS246))</f>
        <v>64</v>
      </c>
      <c r="AT244" s="61" t="n">
        <f aca="false">AT247-(AT238+AT240+AT241+N(AT242)+N(AT243)+AT245+N(AT246))</f>
        <v>45</v>
      </c>
      <c r="AU244" s="61" t="n">
        <f aca="false">AU247-(AU238+AU240+AU241+N(AU242)+N(AU243)+AU245+N(AU246))</f>
        <v>100</v>
      </c>
      <c r="AV244" s="61" t="n">
        <f aca="false">AV247-(AV238+AV240+AV241+N(AV242)+N(AV243)+AV245+N(AV246))</f>
        <v>131</v>
      </c>
      <c r="AW244" s="61" t="n">
        <f aca="false">AW247-(AW238+AW240+AW241+N(AW242)+N(AW243)+AW245+N(AW246))</f>
        <v>340</v>
      </c>
      <c r="AX244" s="61" t="n">
        <f aca="false">AX247-(AX238+AX240+AX241+N(AX242)+N(AX243)+AX245+N(AX246))</f>
        <v>266</v>
      </c>
      <c r="AY244" s="61" t="n">
        <f aca="false">AY247-(AY238+AY240+AY241+N(AY242)+N(AY243)+AY245+N(AY246))</f>
        <v>145</v>
      </c>
      <c r="AZ244" s="61" t="n">
        <f aca="false">AZ247-(AZ238+AZ240+AZ241+N(AZ242)+N(AZ243)+AZ245+N(AZ246))</f>
        <v>-20</v>
      </c>
      <c r="BA244" s="61" t="n">
        <f aca="false">BA247-(BA238+BA240+BA241+N(BA242)+N(BA243)+BA245+N(BA246))</f>
        <v>566</v>
      </c>
      <c r="BB244" s="61" t="n">
        <f aca="false">BB247-(BB238+BB240+BB241+N(BB242)+N(BB243)+BB245+N(BB246))</f>
        <v>957</v>
      </c>
      <c r="BC244" s="61" t="n">
        <f aca="false">BC247-(BC238+BC240+BC241+N(BC242)+N(BC243)+BC245+N(BC246))</f>
        <v>259</v>
      </c>
      <c r="BD244" s="61" t="n">
        <f aca="false">BD247-(BD238+BD240+BD241+N(BD242)+N(BD243)+BD245+N(BD246))</f>
        <v>58</v>
      </c>
      <c r="BE244" s="61" t="n">
        <f aca="false">BE247-(BE238+BE240+BE241+N(BE242)+N(BE243)+BE245+N(BE246))</f>
        <v>152</v>
      </c>
      <c r="BF244" s="61" t="n">
        <f aca="false">BF247-(BF238+BF240+BF241+N(BF242)+N(BF243)+BF245+N(BF246))</f>
        <v>81</v>
      </c>
      <c r="BG244" s="61" t="n">
        <f aca="false">BG247-(BG238+BG240+BG241+N(BG242)+N(BG243)+BG245+N(BG246))</f>
        <v>550</v>
      </c>
      <c r="BH244" s="61" t="n">
        <f aca="false">BH247-(BH238+BH240+BH241+N(BH242)+N(BH243)+BH245+N(BH246))</f>
        <v>181</v>
      </c>
      <c r="BI244" s="61" t="n">
        <f aca="false">BI247-(BI238+BI240+BI241+N(BI242)+N(BI243)+BI245+N(BI246))</f>
        <v>149</v>
      </c>
      <c r="BJ244" s="61" t="n">
        <f aca="false">BJ247-(BJ238+BJ240+BJ241+N(BJ242)+N(BJ243)+BJ245+N(BJ246))</f>
        <v>111</v>
      </c>
      <c r="BK244" s="61" t="n">
        <f aca="false">BK247-(BK238+BK240+BK241+N(BK242)+N(BK243)+BK245+N(BK246))</f>
        <v>163</v>
      </c>
      <c r="BL244" s="61" t="n">
        <f aca="false">BL247-(BL238+BL240+BL241+N(BL242)+N(BL243)+BL245+N(BL246))</f>
        <v>604</v>
      </c>
      <c r="BM244" s="61" t="n">
        <f aca="false">BM247-(BM238+BM240+BM241+N(BM242)+N(BM243)+BM245+N(BM246))</f>
        <v>53</v>
      </c>
      <c r="BN244" s="61" t="n">
        <f aca="false">BN247-(BN238+BN240+BN241+N(BN242)+N(BN243)+BN245+N(BN246))</f>
        <v>103</v>
      </c>
      <c r="BO244" s="61" t="n">
        <f aca="false">BO247-(BO238+BO240+BO241+N(BO242)+N(BO243)+BO245+N(BO246))</f>
        <v>98</v>
      </c>
      <c r="BP244" s="61" t="n">
        <f aca="false">BP247-(BP238+BP240+BP241+N(BP242)+N(BP243)+BP245+N(BP246))</f>
        <v>254</v>
      </c>
      <c r="BQ244" s="61" t="n">
        <f aca="false">BQ247-(BQ238+BQ240+BQ241+N(BQ242)+N(BQ243)+BQ245+N(BQ246))</f>
        <v>508</v>
      </c>
      <c r="BR244" s="61" t="n">
        <f aca="false">BR247-(BR238+BR240+BR241+N(BR242)+N(BR243)+BR245+N(BR246))</f>
        <v>135</v>
      </c>
      <c r="BS244" s="61" t="n">
        <f aca="false">BS247-(BS238+BS240+BS241+N(BS242)+N(BS243)+BS245+N(BS246))</f>
        <v>62</v>
      </c>
      <c r="BT244" s="61" t="n">
        <f aca="false">BT247-(BT238+BT240+BT241+N(BT242)+N(BT243)+BT245+N(BT246))</f>
        <v>117</v>
      </c>
      <c r="BU244" s="61" t="n">
        <f aca="false">BU247-(BU238+BU240+BU241+N(BU242)+N(BU243)+BU245+N(BU246))</f>
        <v>140</v>
      </c>
      <c r="BV244" s="61" t="n">
        <f aca="false">BV247-(BV238+BV240+BV241+N(BV242)+N(BV243)+BV245+N(BV246))</f>
        <v>454</v>
      </c>
      <c r="BW244" s="61" t="n">
        <f aca="false">BW247-(BW238+BW240+BW241+N(BW242)+N(BW243)+BW245+N(BW246))</f>
        <v>87</v>
      </c>
      <c r="BX244" s="61" t="n">
        <f aca="false">BX247-(BX238+BX240+BX241+N(BX242)+N(BX243)+BX245+N(BX246))</f>
        <v>119</v>
      </c>
      <c r="BY244" s="39"/>
      <c r="BZ244" s="39"/>
      <c r="CA244" s="44" t="n">
        <f aca="false">BW244+BX244+CA269</f>
        <v>-382.108176283869</v>
      </c>
      <c r="CB244" s="42" t="n">
        <v>0</v>
      </c>
      <c r="CC244" s="42" t="n">
        <v>0</v>
      </c>
      <c r="CD244" s="42" t="n">
        <v>0</v>
      </c>
      <c r="CE244" s="42" t="n">
        <v>0</v>
      </c>
      <c r="CF244" s="21" t="s">
        <v>405</v>
      </c>
    </row>
    <row r="245" customFormat="false" ht="15" hidden="false" customHeight="false" outlineLevel="0" collapsed="false">
      <c r="B245" s="23" t="s">
        <v>406</v>
      </c>
      <c r="C245" s="37" t="n">
        <v>-82.2</v>
      </c>
      <c r="D245" s="37" t="n">
        <v>-24.4</v>
      </c>
      <c r="E245" s="37" t="n">
        <v>-317.7</v>
      </c>
      <c r="F245" s="37" t="n">
        <v>110.4</v>
      </c>
      <c r="G245" s="37" t="n">
        <v>-182.9</v>
      </c>
      <c r="H245" s="37" t="n">
        <v>-235.4</v>
      </c>
      <c r="I245" s="37" t="n">
        <v>-28.5</v>
      </c>
      <c r="J245" s="37" t="n">
        <v>-291.6</v>
      </c>
      <c r="K245" s="37" t="n">
        <v>-34</v>
      </c>
      <c r="L245" s="37" t="n">
        <v>61.2</v>
      </c>
      <c r="M245" s="37" t="n">
        <v>384.9</v>
      </c>
      <c r="N245" s="37" t="n">
        <v>120.5</v>
      </c>
      <c r="O245" s="37" t="n">
        <v>18.1</v>
      </c>
      <c r="P245" s="37" t="n">
        <v>244.1</v>
      </c>
      <c r="Q245" s="37" t="n">
        <v>-18.6</v>
      </c>
      <c r="R245" s="37" t="n">
        <v>46.2</v>
      </c>
      <c r="S245" s="37" t="n">
        <v>289.8</v>
      </c>
      <c r="T245" s="37" t="n">
        <v>-622.2</v>
      </c>
      <c r="U245" s="37" t="n">
        <v>622.2</v>
      </c>
      <c r="V245" s="37" t="n">
        <v>0</v>
      </c>
      <c r="W245" s="37" t="n">
        <v>-449.9</v>
      </c>
      <c r="X245" s="37" t="n">
        <v>-449.9</v>
      </c>
      <c r="Y245" s="37" t="n">
        <v>-465.6</v>
      </c>
      <c r="Z245" s="37" t="n">
        <v>109.3</v>
      </c>
      <c r="AA245" s="37" t="n">
        <v>12.9</v>
      </c>
      <c r="AB245" s="37" t="n">
        <v>94.8</v>
      </c>
      <c r="AC245" s="37" t="n">
        <v>-248.6</v>
      </c>
      <c r="AD245" s="37" t="n">
        <v>-618.2</v>
      </c>
      <c r="AE245" s="37" t="n">
        <v>-125.9</v>
      </c>
      <c r="AF245" s="37" t="n">
        <v>-18.9</v>
      </c>
      <c r="AG245" s="37" t="n">
        <v>1248</v>
      </c>
      <c r="AH245" s="37" t="n">
        <v>485</v>
      </c>
      <c r="AI245" s="37" t="n">
        <v>-1025</v>
      </c>
      <c r="AJ245" s="37" t="n">
        <v>15</v>
      </c>
      <c r="AK245" s="37" t="n">
        <v>106</v>
      </c>
      <c r="AL245" s="37" t="n">
        <v>374</v>
      </c>
      <c r="AM245" s="37" t="n">
        <v>-530</v>
      </c>
      <c r="AN245" s="37" t="n">
        <v>-677</v>
      </c>
      <c r="AO245" s="37" t="n">
        <v>286</v>
      </c>
      <c r="AP245" s="37" t="n">
        <v>-363</v>
      </c>
      <c r="AQ245" s="37" t="n">
        <v>135</v>
      </c>
      <c r="AR245" s="37" t="n">
        <v>-619</v>
      </c>
      <c r="AS245" s="37" t="n">
        <v>-1075</v>
      </c>
      <c r="AT245" s="37" t="n">
        <v>341</v>
      </c>
      <c r="AU245" s="37" t="n">
        <v>226</v>
      </c>
      <c r="AV245" s="37" t="n">
        <v>113</v>
      </c>
      <c r="AW245" s="37" t="n">
        <v>-395</v>
      </c>
      <c r="AX245" s="37" t="n">
        <v>-1321</v>
      </c>
      <c r="AY245" s="37" t="n">
        <v>-126</v>
      </c>
      <c r="AZ245" s="37" t="n">
        <v>237</v>
      </c>
      <c r="BA245" s="37" t="n">
        <v>-348</v>
      </c>
      <c r="BB245" s="37" t="n">
        <v>-1558</v>
      </c>
      <c r="BC245" s="37" t="n">
        <v>-875</v>
      </c>
      <c r="BD245" s="37" t="n">
        <v>-849</v>
      </c>
      <c r="BE245" s="37" t="n">
        <v>-367</v>
      </c>
      <c r="BF245" s="37" t="n">
        <v>1042</v>
      </c>
      <c r="BG245" s="37" t="n">
        <v>-1049</v>
      </c>
      <c r="BH245" s="37" t="n">
        <v>-1533</v>
      </c>
      <c r="BI245" s="37" t="n">
        <v>-718</v>
      </c>
      <c r="BJ245" s="37" t="n">
        <v>-9</v>
      </c>
      <c r="BK245" s="37" t="n">
        <v>1723</v>
      </c>
      <c r="BL245" s="37" t="n">
        <v>-537</v>
      </c>
      <c r="BM245" s="37" t="n">
        <v>-787</v>
      </c>
      <c r="BN245" s="37" t="n">
        <v>-216</v>
      </c>
      <c r="BO245" s="37" t="n">
        <v>30</v>
      </c>
      <c r="BP245" s="37" t="n">
        <v>594</v>
      </c>
      <c r="BQ245" s="37" t="n">
        <v>-379</v>
      </c>
      <c r="BR245" s="37" t="n">
        <v>-1425</v>
      </c>
      <c r="BS245" s="37" t="n">
        <v>-726</v>
      </c>
      <c r="BT245" s="37" t="n">
        <v>-104</v>
      </c>
      <c r="BU245" s="37" t="n">
        <v>447</v>
      </c>
      <c r="BV245" s="37" t="n">
        <v>-1808</v>
      </c>
      <c r="BW245" s="37" t="n">
        <v>-1112</v>
      </c>
      <c r="BX245" s="37" t="n">
        <v>-425</v>
      </c>
      <c r="BY245" s="39"/>
      <c r="BZ245" s="39"/>
      <c r="CA245" s="44" t="n">
        <f aca="false">BW245+BX245-(CA294-BX294)-(CA295-BX295)+(CA305-BX305)+(CA306-BX306)+(CA307-BX307)</f>
        <v>-758.192466081015</v>
      </c>
      <c r="CB245" s="44" t="n">
        <f aca="false">-(CB294-CA294)-(CB295-CA295)+(CB305-CA305)+(CB306-CA306)+(CB307-CA307)</f>
        <v>-376.658111721824</v>
      </c>
      <c r="CC245" s="44" t="n">
        <f aca="false">-(CC294-CB294)-(CC295-CB295)+(CC305-CB305)+(CC306-CB306)+(CC307-CB307)</f>
        <v>-514.713402046332</v>
      </c>
      <c r="CD245" s="44" t="n">
        <f aca="false">-(CD294-CC294)-(CD295-CC295)+(CD305-CC305)+(CD306-CC306)+(CD307-CC307)</f>
        <v>-553.627991737757</v>
      </c>
      <c r="CE245" s="44" t="n">
        <f aca="false">-(CE294-CD294)-(CE295-CD295)+(CE305-CD305)+(CE306-CD306)+(CE307-CD307)</f>
        <v>-587.378372459046</v>
      </c>
      <c r="CF245" s="21" t="s">
        <v>407</v>
      </c>
    </row>
    <row r="246" customFormat="false" ht="15" hidden="false" customHeight="false" outlineLevel="0" collapsed="false">
      <c r="B246" s="23" t="s">
        <v>408</v>
      </c>
      <c r="C246" s="37" t="n">
        <v>-1.8</v>
      </c>
      <c r="D246" s="37" t="n">
        <v>-1.7</v>
      </c>
      <c r="E246" s="37" t="n">
        <v>-1.6</v>
      </c>
      <c r="F246" s="37" t="n">
        <v>-1.1</v>
      </c>
      <c r="G246" s="37" t="n">
        <v>-0.7</v>
      </c>
      <c r="H246" s="37" t="n">
        <v>12.6</v>
      </c>
      <c r="I246" s="37" t="n">
        <v>-28.4</v>
      </c>
      <c r="J246" s="37" t="n">
        <v>-0.8</v>
      </c>
      <c r="K246" s="37" t="n">
        <v>-0.9</v>
      </c>
      <c r="L246" s="37" t="n">
        <v>-1.6</v>
      </c>
      <c r="M246" s="37" t="n">
        <v>-1.6</v>
      </c>
      <c r="N246" s="37" t="n">
        <v>-4.9</v>
      </c>
      <c r="O246" s="37" t="n">
        <v>-1</v>
      </c>
      <c r="P246" s="37" t="n">
        <v>-0.9</v>
      </c>
      <c r="Q246" s="37" t="n">
        <v>-1.6</v>
      </c>
      <c r="R246" s="37" t="n">
        <v>-0.8</v>
      </c>
      <c r="S246" s="37" t="n">
        <v>-4.3</v>
      </c>
      <c r="T246" s="37" t="n">
        <v>-2.1</v>
      </c>
      <c r="U246" s="37" t="n">
        <v>-2.2</v>
      </c>
      <c r="V246" s="37" t="n">
        <v>-3.7</v>
      </c>
      <c r="W246" s="37" t="n">
        <v>-0.7</v>
      </c>
      <c r="X246" s="37" t="n">
        <v>-8.7</v>
      </c>
      <c r="Y246" s="37" t="n">
        <v>-1.5</v>
      </c>
      <c r="Z246" s="37" t="n">
        <v>-0.4</v>
      </c>
      <c r="AA246" s="37" t="n">
        <v>-1.1</v>
      </c>
      <c r="AB246" s="37" t="n">
        <v>1</v>
      </c>
      <c r="AC246" s="37" t="n">
        <v>-2</v>
      </c>
      <c r="AD246" s="37" t="n">
        <v>-0.9</v>
      </c>
      <c r="AE246" s="37" t="n">
        <v>-0.2</v>
      </c>
      <c r="AF246" s="37" t="n">
        <v>-0.7</v>
      </c>
      <c r="AG246" s="37" t="n">
        <v>0.8</v>
      </c>
      <c r="AH246" s="37" t="n">
        <v>-1</v>
      </c>
      <c r="AI246" s="37" t="n">
        <v>0</v>
      </c>
      <c r="AJ246" s="37" t="n">
        <v>0</v>
      </c>
      <c r="AK246" s="37" t="n">
        <v>0</v>
      </c>
      <c r="AL246" s="37" t="n">
        <v>0</v>
      </c>
      <c r="AM246" s="37" t="n">
        <v>0</v>
      </c>
      <c r="AN246" s="37" t="n">
        <v>0</v>
      </c>
      <c r="AO246" s="37" t="n">
        <v>0</v>
      </c>
      <c r="AP246" s="37" t="n">
        <v>0</v>
      </c>
      <c r="AQ246" s="37" t="n">
        <v>0</v>
      </c>
      <c r="AR246" s="37" t="n">
        <v>0</v>
      </c>
      <c r="AS246" s="37" t="n">
        <v>0</v>
      </c>
      <c r="AT246" s="37" t="n">
        <v>0</v>
      </c>
      <c r="AU246" s="37" t="n">
        <v>0</v>
      </c>
      <c r="AV246" s="37" t="n">
        <v>0</v>
      </c>
      <c r="AW246" s="37" t="n">
        <v>0</v>
      </c>
      <c r="AX246" s="37" t="n">
        <v>0</v>
      </c>
      <c r="AY246" s="37" t="n">
        <v>0</v>
      </c>
      <c r="AZ246" s="37" t="n">
        <v>0</v>
      </c>
      <c r="BA246" s="37" t="n">
        <v>0</v>
      </c>
      <c r="BB246" s="37" t="n">
        <v>0</v>
      </c>
      <c r="BC246" s="37" t="n">
        <v>0</v>
      </c>
      <c r="BD246" s="37" t="n">
        <v>0</v>
      </c>
      <c r="BE246" s="37" t="n">
        <v>0</v>
      </c>
      <c r="BF246" s="37" t="n">
        <v>0</v>
      </c>
      <c r="BG246" s="37" t="n">
        <v>0</v>
      </c>
      <c r="BH246" s="37" t="n">
        <v>0</v>
      </c>
      <c r="BI246" s="37" t="n">
        <v>0</v>
      </c>
      <c r="BJ246" s="37" t="n">
        <v>0</v>
      </c>
      <c r="BK246" s="37" t="n">
        <v>0</v>
      </c>
      <c r="BL246" s="37" t="n">
        <v>0</v>
      </c>
      <c r="BM246" s="37" t="n">
        <v>0</v>
      </c>
      <c r="BN246" s="37" t="n">
        <v>0</v>
      </c>
      <c r="BO246" s="37" t="n">
        <v>0</v>
      </c>
      <c r="BP246" s="37" t="n">
        <v>0</v>
      </c>
      <c r="BQ246" s="37" t="n">
        <v>0</v>
      </c>
      <c r="BR246" s="37" t="n">
        <v>0</v>
      </c>
      <c r="BS246" s="37" t="n">
        <v>0</v>
      </c>
      <c r="BT246" s="37" t="n">
        <v>0</v>
      </c>
      <c r="BU246" s="37" t="n">
        <v>0</v>
      </c>
      <c r="BV246" s="37" t="n">
        <v>0</v>
      </c>
      <c r="BW246" s="37" t="n">
        <v>0</v>
      </c>
      <c r="BX246" s="37" t="n">
        <v>0</v>
      </c>
      <c r="BY246" s="39"/>
      <c r="BZ246" s="39"/>
      <c r="CA246" s="44" t="n">
        <f aca="false">BW246+BX246</f>
        <v>0</v>
      </c>
      <c r="CB246" s="42" t="n">
        <v>0</v>
      </c>
      <c r="CC246" s="42" t="n">
        <v>0</v>
      </c>
      <c r="CD246" s="42" t="n">
        <v>0</v>
      </c>
      <c r="CE246" s="42" t="n">
        <v>0</v>
      </c>
      <c r="CF246" s="21"/>
    </row>
    <row r="247" customFormat="false" ht="15" hidden="false" customHeight="false" outlineLevel="0" collapsed="false">
      <c r="B247" s="17" t="s">
        <v>409</v>
      </c>
      <c r="C247" s="19" t="n">
        <v>405.7</v>
      </c>
      <c r="D247" s="19" t="n">
        <v>1483.5</v>
      </c>
      <c r="E247" s="19" t="n">
        <v>1420.2</v>
      </c>
      <c r="F247" s="19" t="n">
        <v>1659.2</v>
      </c>
      <c r="G247" s="19" t="n">
        <v>1497.8</v>
      </c>
      <c r="H247" s="19" t="n">
        <v>1691</v>
      </c>
      <c r="I247" s="19" t="n">
        <v>2039.5</v>
      </c>
      <c r="J247" s="19" t="n">
        <v>298.3</v>
      </c>
      <c r="K247" s="19" t="n">
        <v>478.4</v>
      </c>
      <c r="L247" s="19" t="n">
        <v>505.5</v>
      </c>
      <c r="M247" s="19" t="n">
        <v>728.5</v>
      </c>
      <c r="N247" s="19" t="n">
        <v>2010.7</v>
      </c>
      <c r="O247" s="19" t="n">
        <v>101.2</v>
      </c>
      <c r="P247" s="19" t="n">
        <v>888.7</v>
      </c>
      <c r="Q247" s="19" t="n">
        <v>676</v>
      </c>
      <c r="R247" s="19" t="n">
        <v>953.7</v>
      </c>
      <c r="S247" s="19" t="n">
        <v>2619.6</v>
      </c>
      <c r="T247" s="19" t="n">
        <v>80</v>
      </c>
      <c r="U247" s="19" t="n">
        <v>764.9</v>
      </c>
      <c r="V247" s="19" t="n">
        <v>743.9</v>
      </c>
      <c r="W247" s="19" t="n">
        <v>1228.1</v>
      </c>
      <c r="X247" s="19" t="n">
        <v>2816.9</v>
      </c>
      <c r="Y247" s="19" t="n">
        <v>289.1</v>
      </c>
      <c r="Z247" s="19" t="n">
        <v>889.5</v>
      </c>
      <c r="AA247" s="19" t="n">
        <v>771.8</v>
      </c>
      <c r="AB247" s="19" t="n">
        <v>1205.9</v>
      </c>
      <c r="AC247" s="19" t="n">
        <v>3156.3</v>
      </c>
      <c r="AD247" s="19" t="n">
        <v>361.5</v>
      </c>
      <c r="AE247" s="19" t="n">
        <v>848.4</v>
      </c>
      <c r="AF247" s="19" t="n">
        <v>928.6</v>
      </c>
      <c r="AG247" s="19" t="n">
        <v>1866.5</v>
      </c>
      <c r="AH247" s="19" t="n">
        <v>4005</v>
      </c>
      <c r="AI247" s="19" t="n">
        <v>78</v>
      </c>
      <c r="AJ247" s="19" t="n">
        <v>1444</v>
      </c>
      <c r="AK247" s="19" t="n">
        <v>1220</v>
      </c>
      <c r="AL247" s="19" t="n">
        <v>1801</v>
      </c>
      <c r="AM247" s="19" t="n">
        <v>4543</v>
      </c>
      <c r="AN247" s="19" t="n">
        <v>649</v>
      </c>
      <c r="AO247" s="19" t="n">
        <v>1294</v>
      </c>
      <c r="AP247" s="19" t="n">
        <v>1117</v>
      </c>
      <c r="AQ247" s="19" t="n">
        <v>1913</v>
      </c>
      <c r="AR247" s="19" t="n">
        <v>4973</v>
      </c>
      <c r="AS247" s="19" t="n">
        <v>356</v>
      </c>
      <c r="AT247" s="19" t="n">
        <v>1886</v>
      </c>
      <c r="AU247" s="19" t="n">
        <v>2708</v>
      </c>
      <c r="AV247" s="19" t="n">
        <v>3339</v>
      </c>
      <c r="AW247" s="19" t="n">
        <v>8289</v>
      </c>
      <c r="AX247" s="19" t="n">
        <v>1978</v>
      </c>
      <c r="AY247" s="19" t="n">
        <v>2227</v>
      </c>
      <c r="AZ247" s="19" t="n">
        <v>2650</v>
      </c>
      <c r="BA247" s="19" t="n">
        <v>2688</v>
      </c>
      <c r="BB247" s="19" t="n">
        <v>9543</v>
      </c>
      <c r="BC247" s="19" t="n">
        <v>2202</v>
      </c>
      <c r="BD247" s="19" t="n">
        <v>1528</v>
      </c>
      <c r="BE247" s="19" t="n">
        <v>1937</v>
      </c>
      <c r="BF247" s="19" t="n">
        <v>3487</v>
      </c>
      <c r="BG247" s="19" t="n">
        <v>9154</v>
      </c>
      <c r="BH247" s="19" t="n">
        <v>729</v>
      </c>
      <c r="BI247" s="19" t="n">
        <v>1540</v>
      </c>
      <c r="BJ247" s="19" t="n">
        <v>2414</v>
      </c>
      <c r="BK247" s="19" t="n">
        <v>3723</v>
      </c>
      <c r="BL247" s="19" t="n">
        <v>8406</v>
      </c>
      <c r="BM247" s="19" t="n">
        <v>1251</v>
      </c>
      <c r="BN247" s="19" t="n">
        <v>1960</v>
      </c>
      <c r="BO247" s="19" t="n">
        <v>2166</v>
      </c>
      <c r="BP247" s="19" t="n">
        <v>3290</v>
      </c>
      <c r="BQ247" s="19" t="n">
        <v>8667</v>
      </c>
      <c r="BR247" s="19" t="n">
        <v>723</v>
      </c>
      <c r="BS247" s="19" t="n">
        <v>1399</v>
      </c>
      <c r="BT247" s="19" t="n">
        <v>2239</v>
      </c>
      <c r="BU247" s="19" t="n">
        <v>3457</v>
      </c>
      <c r="BV247" s="19" t="n">
        <v>7818</v>
      </c>
      <c r="BW247" s="19" t="n">
        <v>1192</v>
      </c>
      <c r="BX247" s="19" t="n">
        <v>2125</v>
      </c>
      <c r="BY247" s="52"/>
      <c r="BZ247" s="52"/>
      <c r="CA247" s="20" t="n">
        <f aca="false">SUM(CA238:CA246)</f>
        <v>9137</v>
      </c>
      <c r="CB247" s="20" t="n">
        <f aca="false">SUM(CB238:CB246)</f>
        <v>10764.6644736441</v>
      </c>
      <c r="CC247" s="20" t="n">
        <f aca="false">SUM(CC238:CC246)</f>
        <v>11639.1284661801</v>
      </c>
      <c r="CD247" s="20" t="n">
        <f aca="false">SUM(CD238:CD246)</f>
        <v>12610.4470887297</v>
      </c>
      <c r="CE247" s="20" t="n">
        <f aca="false">SUM(CE238:CE246)</f>
        <v>13727.2517173403</v>
      </c>
      <c r="CF247" s="21"/>
      <c r="CH247" s="22" t="n">
        <f aca="false">IFERROR((CE247/BV247)^(1/5)-1,"n/m")</f>
        <v>0.119173932853875</v>
      </c>
      <c r="CI247" s="22" t="n">
        <f aca="false">IFERROR((BV247/AW247)^(1/5)-1,"n/m")</f>
        <v>-0.0116319332846524</v>
      </c>
      <c r="CJ247" s="22" t="n">
        <f aca="false">IFERROR((BV247/X247)^(1/10)-1,"n/m")</f>
        <v>0.107471155371192</v>
      </c>
      <c r="CK247" s="22" t="n">
        <f aca="false">IFERROR((BV247/C247)^(1/19)-1,"n/m")</f>
        <v>0.168492217274827</v>
      </c>
    </row>
    <row r="248" customFormat="false" ht="15" hidden="false" customHeight="false" outlineLevel="0" collapsed="false">
      <c r="B248" s="23" t="s">
        <v>410</v>
      </c>
      <c r="C248" s="37" t="n">
        <v>-76.8</v>
      </c>
      <c r="D248" s="37" t="n">
        <v>-175.5</v>
      </c>
      <c r="E248" s="37" t="n">
        <v>-264.4</v>
      </c>
      <c r="F248" s="37" t="n">
        <v>-207.5</v>
      </c>
      <c r="G248" s="37" t="n">
        <v>-265.5</v>
      </c>
      <c r="H248" s="37" t="n">
        <v>-266.5</v>
      </c>
      <c r="I248" s="37" t="n">
        <v>-315.1</v>
      </c>
      <c r="J248" s="37" t="n">
        <v>-66</v>
      </c>
      <c r="K248" s="37" t="n">
        <v>-65.6</v>
      </c>
      <c r="L248" s="37" t="n">
        <v>-56.3</v>
      </c>
      <c r="M248" s="37" t="n">
        <v>-94.5</v>
      </c>
      <c r="N248" s="37" t="n">
        <v>-282.4</v>
      </c>
      <c r="O248" s="37" t="n">
        <v>-104.7</v>
      </c>
      <c r="P248" s="37" t="n">
        <v>-75.5</v>
      </c>
      <c r="Q248" s="37" t="n">
        <v>-90.7</v>
      </c>
      <c r="R248" s="37" t="n">
        <v>-156.7</v>
      </c>
      <c r="S248" s="37" t="n">
        <v>-427.6</v>
      </c>
      <c r="T248" s="37" t="n">
        <v>-97.2</v>
      </c>
      <c r="U248" s="37" t="n">
        <v>-95.3</v>
      </c>
      <c r="V248" s="37" t="n">
        <v>-101</v>
      </c>
      <c r="W248" s="37" t="n">
        <v>-129.4</v>
      </c>
      <c r="X248" s="37" t="n">
        <v>-422.9</v>
      </c>
      <c r="Y248" s="37" t="n">
        <v>-115.1</v>
      </c>
      <c r="Z248" s="37" t="n">
        <v>-114.8</v>
      </c>
      <c r="AA248" s="37" t="n">
        <v>-81</v>
      </c>
      <c r="AB248" s="37" t="n">
        <v>-133.5</v>
      </c>
      <c r="AC248" s="37" t="n">
        <v>-444.4</v>
      </c>
      <c r="AD248" s="37" t="n">
        <v>-93.4</v>
      </c>
      <c r="AE248" s="37" t="n">
        <v>-88</v>
      </c>
      <c r="AF248" s="37" t="n">
        <v>-111.4</v>
      </c>
      <c r="AG248" s="37" t="n">
        <v>-215.2</v>
      </c>
      <c r="AH248" s="37" t="n">
        <v>-508</v>
      </c>
      <c r="AI248" s="37" t="n">
        <v>-118</v>
      </c>
      <c r="AJ248" s="37" t="n">
        <v>-183</v>
      </c>
      <c r="AK248" s="37" t="n">
        <v>-173</v>
      </c>
      <c r="AL248" s="37" t="n">
        <v>-284</v>
      </c>
      <c r="AM248" s="37" t="n">
        <v>-758</v>
      </c>
      <c r="AN248" s="37" t="n">
        <v>-201</v>
      </c>
      <c r="AO248" s="37" t="n">
        <v>-220</v>
      </c>
      <c r="AP248" s="37" t="n">
        <v>-216</v>
      </c>
      <c r="AQ248" s="37" t="n">
        <v>-289</v>
      </c>
      <c r="AR248" s="37" t="n">
        <v>-926</v>
      </c>
      <c r="AS248" s="37" t="n">
        <v>-253</v>
      </c>
      <c r="AT248" s="37" t="n">
        <v>-269</v>
      </c>
      <c r="AU248" s="37" t="n">
        <v>-366</v>
      </c>
      <c r="AV248" s="37" t="n">
        <v>-586</v>
      </c>
      <c r="AW248" s="37" t="n">
        <v>-1474</v>
      </c>
      <c r="AX248" s="37" t="n">
        <v>-628</v>
      </c>
      <c r="AY248" s="37" t="n">
        <v>-540</v>
      </c>
      <c r="AZ248" s="37" t="n">
        <v>-524</v>
      </c>
      <c r="BA248" s="37" t="n">
        <v>-831</v>
      </c>
      <c r="BB248" s="37" t="n">
        <v>-2523</v>
      </c>
      <c r="BC248" s="37" t="n">
        <v>-640</v>
      </c>
      <c r="BD248" s="37" t="n">
        <v>-506</v>
      </c>
      <c r="BE248" s="37" t="n">
        <v>-547</v>
      </c>
      <c r="BF248" s="37" t="n">
        <v>-550</v>
      </c>
      <c r="BG248" s="37" t="n">
        <v>-2243</v>
      </c>
      <c r="BH248" s="37" t="n">
        <v>-458</v>
      </c>
      <c r="BI248" s="37" t="n">
        <v>-284</v>
      </c>
      <c r="BJ248" s="37" t="n">
        <v>-332</v>
      </c>
      <c r="BK248" s="37" t="n">
        <v>-405</v>
      </c>
      <c r="BL248" s="37" t="n">
        <v>-1479</v>
      </c>
      <c r="BM248" s="37" t="n">
        <v>-347</v>
      </c>
      <c r="BN248" s="37" t="n">
        <v>-301</v>
      </c>
      <c r="BO248" s="37" t="n">
        <v>-272</v>
      </c>
      <c r="BP248" s="37" t="n">
        <v>-480</v>
      </c>
      <c r="BQ248" s="37" t="n">
        <v>-1400</v>
      </c>
      <c r="BR248" s="37" t="n">
        <v>-362</v>
      </c>
      <c r="BS248" s="37" t="n">
        <v>-294</v>
      </c>
      <c r="BT248" s="37" t="n">
        <v>-404</v>
      </c>
      <c r="BU248" s="37" t="n">
        <v>-465</v>
      </c>
      <c r="BV248" s="37" t="n">
        <v>-1525</v>
      </c>
      <c r="BW248" s="37" t="n">
        <v>-376</v>
      </c>
      <c r="BX248" s="37" t="n">
        <v>-450</v>
      </c>
      <c r="BY248" s="39"/>
      <c r="BZ248" s="39"/>
      <c r="CA248" s="44" t="n">
        <f aca="false">-CHOOSE(MATCH($CF$2,{"Bull","Base","Bear"},0),$CO$16,$CP$16,$CQ$16)</f>
        <v>-2000</v>
      </c>
      <c r="CB248" s="44" t="n">
        <f aca="false">-CB136*CB277</f>
        <v>-2127.88166665408</v>
      </c>
      <c r="CC248" s="44" t="n">
        <f aca="false">-CC136*CC277</f>
        <v>-2289.12732831486</v>
      </c>
      <c r="CD248" s="44" t="n">
        <f aca="false">-CD136*CD277</f>
        <v>-2462.56386889604</v>
      </c>
      <c r="CE248" s="44" t="n">
        <f aca="false">-CE136*CE277</f>
        <v>-2646.57348266527</v>
      </c>
      <c r="CF248" s="21" t="s">
        <v>411</v>
      </c>
    </row>
    <row r="249" customFormat="false" ht="15" hidden="false" customHeight="false" outlineLevel="0" collapsed="false">
      <c r="B249" s="23" t="s">
        <v>412</v>
      </c>
      <c r="C249" s="37" t="n">
        <v>5.8</v>
      </c>
      <c r="D249" s="37" t="n">
        <v>19.2</v>
      </c>
      <c r="E249" s="37" t="n">
        <v>15.4</v>
      </c>
      <c r="F249" s="37" t="n">
        <v>13.4</v>
      </c>
      <c r="G249" s="37" t="n">
        <v>10.2</v>
      </c>
      <c r="H249" s="37" t="n">
        <v>8.2</v>
      </c>
      <c r="I249" s="37" t="n">
        <v>12.8</v>
      </c>
      <c r="J249" s="37" t="n">
        <v>3</v>
      </c>
      <c r="K249" s="37" t="n">
        <v>0.6</v>
      </c>
      <c r="L249" s="37" t="n">
        <v>12.3</v>
      </c>
      <c r="M249" s="37" t="n">
        <v>4.8</v>
      </c>
      <c r="N249" s="37" t="n">
        <v>20.7</v>
      </c>
      <c r="O249" s="37" t="n">
        <v>3.4</v>
      </c>
      <c r="P249" s="37" t="n">
        <v>9.3</v>
      </c>
      <c r="Q249" s="37" t="n">
        <v>7</v>
      </c>
      <c r="R249" s="37" t="n">
        <v>29.6</v>
      </c>
      <c r="S249" s="37" t="n">
        <v>49.3</v>
      </c>
      <c r="T249" s="37" t="n">
        <v>0.6</v>
      </c>
      <c r="U249" s="37" t="n">
        <v>5.6</v>
      </c>
      <c r="V249" s="37" t="n">
        <v>1.3</v>
      </c>
      <c r="W249" s="37" t="n">
        <v>10.6</v>
      </c>
      <c r="X249" s="37" t="n">
        <v>18.1</v>
      </c>
      <c r="Y249" s="37" t="n">
        <v>6</v>
      </c>
      <c r="Z249" s="37" t="n">
        <v>15.7</v>
      </c>
      <c r="AA249" s="37" t="n">
        <v>1.4</v>
      </c>
      <c r="AB249" s="37" t="n">
        <v>3.2</v>
      </c>
      <c r="AC249" s="37" t="n">
        <v>26.3</v>
      </c>
      <c r="AD249" s="37" t="n">
        <v>1.1</v>
      </c>
      <c r="AE249" s="37" t="n">
        <v>1.2</v>
      </c>
      <c r="AF249" s="37" t="n">
        <v>2</v>
      </c>
      <c r="AG249" s="37" t="n">
        <v>2.7</v>
      </c>
      <c r="AH249" s="37" t="n">
        <v>7</v>
      </c>
      <c r="AI249" s="37" t="n">
        <v>2</v>
      </c>
      <c r="AJ249" s="37" t="n">
        <v>1</v>
      </c>
      <c r="AK249" s="37" t="n">
        <v>3</v>
      </c>
      <c r="AL249" s="37" t="n">
        <v>44</v>
      </c>
      <c r="AM249" s="37" t="n">
        <v>50</v>
      </c>
      <c r="AN249" s="37" t="n">
        <v>6</v>
      </c>
      <c r="AO249" s="37" t="n">
        <v>6</v>
      </c>
      <c r="AP249" s="37" t="n">
        <v>6</v>
      </c>
      <c r="AQ249" s="37" t="n">
        <v>18</v>
      </c>
      <c r="AR249" s="37" t="n">
        <v>36</v>
      </c>
      <c r="AS249" s="37" t="n">
        <v>4</v>
      </c>
      <c r="AT249" s="37" t="n">
        <v>2</v>
      </c>
      <c r="AU249" s="37" t="n">
        <v>1</v>
      </c>
      <c r="AV249" s="37" t="n">
        <v>1</v>
      </c>
      <c r="AW249" s="37" t="n">
        <v>8</v>
      </c>
      <c r="AX249" s="37" t="n">
        <v>5</v>
      </c>
      <c r="AY249" s="37" t="n">
        <v>0</v>
      </c>
      <c r="AZ249" s="37" t="n">
        <v>4</v>
      </c>
      <c r="BA249" s="37" t="n">
        <v>11</v>
      </c>
      <c r="BB249" s="37" t="n">
        <v>20</v>
      </c>
      <c r="BC249" s="37" t="n">
        <v>2</v>
      </c>
      <c r="BD249" s="37" t="n">
        <v>12</v>
      </c>
      <c r="BE249" s="37" t="n">
        <v>4</v>
      </c>
      <c r="BF249" s="37" t="n">
        <v>6</v>
      </c>
      <c r="BG249" s="37" t="n">
        <v>24</v>
      </c>
      <c r="BH249" s="37" t="n">
        <v>6</v>
      </c>
      <c r="BI249" s="37" t="n">
        <v>4</v>
      </c>
      <c r="BJ249" s="37" t="n">
        <v>66</v>
      </c>
      <c r="BK249" s="37" t="n">
        <v>11</v>
      </c>
      <c r="BL249" s="37" t="n">
        <v>87</v>
      </c>
      <c r="BM249" s="37" t="n">
        <v>4</v>
      </c>
      <c r="BN249" s="37" t="n">
        <v>16</v>
      </c>
      <c r="BO249" s="37" t="n">
        <v>20</v>
      </c>
      <c r="BP249" s="37" t="n">
        <v>17</v>
      </c>
      <c r="BQ249" s="37" t="n">
        <v>57</v>
      </c>
      <c r="BR249" s="37" t="n">
        <v>12</v>
      </c>
      <c r="BS249" s="37" t="n">
        <v>1</v>
      </c>
      <c r="BT249" s="37" t="n">
        <v>4</v>
      </c>
      <c r="BU249" s="37" t="n">
        <v>27</v>
      </c>
      <c r="BV249" s="37" t="n">
        <v>44</v>
      </c>
      <c r="BW249" s="37" t="n">
        <v>9</v>
      </c>
      <c r="BX249" s="37" t="n">
        <v>4</v>
      </c>
      <c r="BY249" s="39"/>
      <c r="BZ249" s="39"/>
      <c r="CA249" s="44" t="n">
        <f aca="false">BW249+BX249</f>
        <v>13</v>
      </c>
      <c r="CB249" s="42" t="n">
        <v>0</v>
      </c>
      <c r="CC249" s="42" t="n">
        <v>0</v>
      </c>
      <c r="CD249" s="42" t="n">
        <v>0</v>
      </c>
      <c r="CE249" s="42" t="n">
        <v>0</v>
      </c>
      <c r="CF249" s="21"/>
    </row>
    <row r="250" customFormat="false" ht="15" hidden="false" customHeight="false" outlineLevel="0" collapsed="false">
      <c r="B250" s="23" t="s">
        <v>413</v>
      </c>
      <c r="C250" s="37" t="n">
        <v>-132</v>
      </c>
      <c r="D250" s="37" t="n">
        <v>-492.5</v>
      </c>
      <c r="E250" s="37" t="n">
        <v>-201.5</v>
      </c>
      <c r="F250" s="37" t="n">
        <v>-637.3</v>
      </c>
      <c r="G250" s="37" t="n">
        <v>-606.2</v>
      </c>
      <c r="H250" s="37" t="n">
        <v>-5698.6</v>
      </c>
      <c r="I250" s="37" t="n">
        <v>-1083.4</v>
      </c>
      <c r="J250" s="37" t="n">
        <v>-3.8</v>
      </c>
      <c r="K250" s="37" t="n">
        <v>-0.9</v>
      </c>
      <c r="L250" s="37" t="n">
        <v>-0.8</v>
      </c>
      <c r="M250" s="37" t="n">
        <v>-5.9</v>
      </c>
      <c r="N250" s="37" t="n">
        <v>-11.4</v>
      </c>
      <c r="O250" s="37" t="n">
        <v>-13056.3</v>
      </c>
      <c r="P250" s="37" t="n">
        <v>1.8</v>
      </c>
      <c r="Q250" s="37" t="n">
        <v>-1.6</v>
      </c>
      <c r="R250" s="37" t="n">
        <v>-4</v>
      </c>
      <c r="S250" s="37" t="n">
        <v>-13060.1</v>
      </c>
      <c r="T250" s="37" t="n">
        <v>-298.6</v>
      </c>
      <c r="U250" s="37" t="n">
        <v>0</v>
      </c>
      <c r="V250" s="37" t="n">
        <v>-7.4</v>
      </c>
      <c r="W250" s="37" t="n">
        <v>-388.6</v>
      </c>
      <c r="X250" s="37" t="n">
        <v>-694.6</v>
      </c>
      <c r="Y250" s="37" t="n">
        <v>-1032.4</v>
      </c>
      <c r="Z250" s="37" t="n">
        <v>-0.7</v>
      </c>
      <c r="AA250" s="37" t="n">
        <v>-4119.9</v>
      </c>
      <c r="AB250" s="37" t="n">
        <v>-35.4</v>
      </c>
      <c r="AC250" s="37" t="n">
        <v>-5188.4</v>
      </c>
      <c r="AD250" s="37" t="n">
        <v>-300.7</v>
      </c>
      <c r="AE250" s="37" t="n">
        <v>-6.3</v>
      </c>
      <c r="AF250" s="37" t="n">
        <v>-6853.2</v>
      </c>
      <c r="AG250" s="37" t="n">
        <v>-65.8</v>
      </c>
      <c r="AH250" s="37" t="n">
        <v>-7226</v>
      </c>
      <c r="AI250" s="37" t="n">
        <v>-57</v>
      </c>
      <c r="AJ250" s="37" t="n">
        <v>-2</v>
      </c>
      <c r="AK250" s="37" t="n">
        <v>0</v>
      </c>
      <c r="AL250" s="37" t="n">
        <v>-477</v>
      </c>
      <c r="AM250" s="37" t="n">
        <v>-536</v>
      </c>
      <c r="AN250" s="37" t="n">
        <v>-1</v>
      </c>
      <c r="AO250" s="37" t="n">
        <v>-1685</v>
      </c>
      <c r="AP250" s="37" t="n">
        <v>-1</v>
      </c>
      <c r="AQ250" s="37" t="n">
        <v>-156</v>
      </c>
      <c r="AR250" s="37" t="n">
        <v>-1843</v>
      </c>
      <c r="AS250" s="37" t="n">
        <v>-4</v>
      </c>
      <c r="AT250" s="37" t="n">
        <v>1</v>
      </c>
      <c r="AU250" s="37" t="n">
        <v>0</v>
      </c>
      <c r="AV250" s="37" t="n">
        <v>-35</v>
      </c>
      <c r="AW250" s="37" t="n">
        <v>-38</v>
      </c>
      <c r="AX250" s="37" t="n">
        <v>-1343</v>
      </c>
      <c r="AY250" s="37" t="n">
        <v>-82</v>
      </c>
      <c r="AZ250" s="37" t="n">
        <v>-94</v>
      </c>
      <c r="BA250" s="37" t="n">
        <v>-17876</v>
      </c>
      <c r="BB250" s="37" t="n">
        <v>-19395</v>
      </c>
      <c r="BC250" s="37" t="n">
        <v>-40</v>
      </c>
      <c r="BD250" s="37" t="n">
        <v>0</v>
      </c>
      <c r="BE250" s="37" t="n">
        <v>1</v>
      </c>
      <c r="BF250" s="37" t="n">
        <v>0</v>
      </c>
      <c r="BG250" s="37" t="n">
        <v>-39</v>
      </c>
      <c r="BH250" s="37" t="n">
        <v>-2704</v>
      </c>
      <c r="BI250" s="37" t="n">
        <v>-47</v>
      </c>
      <c r="BJ250" s="37" t="n">
        <v>-909</v>
      </c>
      <c r="BK250" s="37" t="n">
        <v>0</v>
      </c>
      <c r="BL250" s="37" t="n">
        <v>-3660</v>
      </c>
      <c r="BM250" s="37" t="n">
        <v>0</v>
      </c>
      <c r="BN250" s="37" t="n">
        <v>0</v>
      </c>
      <c r="BO250" s="37" t="n">
        <v>-3132</v>
      </c>
      <c r="BP250" s="37" t="n">
        <v>0</v>
      </c>
      <c r="BQ250" s="37" t="n">
        <v>-3132</v>
      </c>
      <c r="BR250" s="37" t="n">
        <v>0</v>
      </c>
      <c r="BS250" s="37" t="n">
        <v>0</v>
      </c>
      <c r="BT250" s="37" t="n">
        <v>-4037</v>
      </c>
      <c r="BU250" s="37" t="n">
        <v>0</v>
      </c>
      <c r="BV250" s="37" t="n">
        <v>-4037</v>
      </c>
      <c r="BW250" s="37" t="n">
        <v>-8872</v>
      </c>
      <c r="BX250" s="37" t="n">
        <v>0</v>
      </c>
      <c r="BY250" s="39"/>
      <c r="BZ250" s="39"/>
      <c r="CA250" s="44" t="n">
        <f aca="false">BW250+BX250</f>
        <v>-8872</v>
      </c>
      <c r="CB250" s="44" t="n">
        <f aca="false">-CB88</f>
        <v>-4000</v>
      </c>
      <c r="CC250" s="44" t="n">
        <f aca="false">-CC88</f>
        <v>-4000</v>
      </c>
      <c r="CD250" s="44" t="n">
        <f aca="false">-CD88</f>
        <v>-4000</v>
      </c>
      <c r="CE250" s="44" t="n">
        <f aca="false">-CE88</f>
        <v>-4000</v>
      </c>
      <c r="CF250" s="21" t="s">
        <v>414</v>
      </c>
    </row>
    <row r="251" customFormat="false" ht="15" hidden="false" customHeight="false" outlineLevel="0" collapsed="false">
      <c r="B251" s="23" t="s">
        <v>415</v>
      </c>
      <c r="C251" s="37" t="n">
        <v>8.6</v>
      </c>
      <c r="D251" s="37" t="n">
        <v>0</v>
      </c>
      <c r="E251" s="37" t="n">
        <v>3.5</v>
      </c>
      <c r="F251" s="37" t="n">
        <v>0</v>
      </c>
      <c r="G251" s="37" t="n">
        <v>0</v>
      </c>
      <c r="H251" s="37" t="n">
        <v>0</v>
      </c>
      <c r="I251" s="37" t="n">
        <v>0</v>
      </c>
      <c r="J251" s="37" t="n">
        <v>0</v>
      </c>
      <c r="K251" s="37" t="n">
        <v>0</v>
      </c>
      <c r="L251" s="37" t="n">
        <v>0</v>
      </c>
      <c r="M251" s="37" t="n">
        <v>0</v>
      </c>
      <c r="N251" s="37" t="n">
        <v>0</v>
      </c>
      <c r="O251" s="37" t="n">
        <v>1056.6</v>
      </c>
      <c r="P251" s="37" t="n">
        <v>-7.9</v>
      </c>
      <c r="Q251" s="37" t="n">
        <v>471.3</v>
      </c>
      <c r="R251" s="37" t="n">
        <v>1.8</v>
      </c>
      <c r="S251" s="37" t="n">
        <v>1521.8</v>
      </c>
      <c r="T251" s="37" t="n">
        <v>0</v>
      </c>
      <c r="U251" s="37" t="n">
        <v>0</v>
      </c>
      <c r="V251" s="37" t="n">
        <v>0</v>
      </c>
      <c r="W251" s="37" t="n">
        <v>0</v>
      </c>
      <c r="X251" s="37" t="n">
        <v>0</v>
      </c>
      <c r="Y251" s="37" t="n">
        <v>0</v>
      </c>
      <c r="Z251" s="37" t="n">
        <v>0</v>
      </c>
      <c r="AA251" s="37" t="n">
        <v>0</v>
      </c>
      <c r="AB251" s="37" t="n">
        <v>0</v>
      </c>
      <c r="AC251" s="37" t="n">
        <v>0</v>
      </c>
      <c r="AD251" s="37" t="n">
        <v>0</v>
      </c>
      <c r="AE251" s="37" t="n">
        <v>0</v>
      </c>
      <c r="AF251" s="37" t="n">
        <v>0</v>
      </c>
      <c r="AG251" s="37" t="n">
        <v>0</v>
      </c>
      <c r="AH251" s="37" t="n">
        <v>0</v>
      </c>
      <c r="AI251" s="37" t="n">
        <v>0</v>
      </c>
      <c r="AJ251" s="37" t="n">
        <v>0</v>
      </c>
      <c r="AK251" s="37" t="n">
        <v>0</v>
      </c>
      <c r="AL251" s="37" t="n">
        <v>0</v>
      </c>
      <c r="AM251" s="37" t="n">
        <v>0</v>
      </c>
      <c r="AN251" s="37" t="n">
        <v>0</v>
      </c>
      <c r="AO251" s="37" t="n">
        <v>1126</v>
      </c>
      <c r="AP251" s="37" t="n">
        <v>2</v>
      </c>
      <c r="AQ251" s="37" t="n">
        <v>0</v>
      </c>
      <c r="AR251" s="37" t="n">
        <v>1128</v>
      </c>
      <c r="AS251" s="37" t="n">
        <v>0</v>
      </c>
      <c r="AT251" s="37" t="n">
        <v>0</v>
      </c>
      <c r="AU251" s="37" t="n">
        <v>0</v>
      </c>
      <c r="AV251" s="37" t="n">
        <v>0</v>
      </c>
      <c r="AW251" s="37" t="n">
        <v>0</v>
      </c>
      <c r="AX251" s="37" t="n">
        <v>0</v>
      </c>
      <c r="AY251" s="37" t="n">
        <v>0</v>
      </c>
      <c r="AZ251" s="37" t="n">
        <v>0</v>
      </c>
      <c r="BA251" s="37" t="n">
        <v>0</v>
      </c>
      <c r="BB251" s="37" t="n">
        <v>0</v>
      </c>
      <c r="BC251" s="37" t="n">
        <v>0</v>
      </c>
      <c r="BD251" s="37" t="n">
        <v>0</v>
      </c>
      <c r="BE251" s="37" t="n">
        <v>0</v>
      </c>
      <c r="BF251" s="37" t="n">
        <v>0</v>
      </c>
      <c r="BG251" s="37" t="n">
        <v>0</v>
      </c>
      <c r="BH251" s="37" t="n">
        <v>0</v>
      </c>
      <c r="BI251" s="37" t="n">
        <v>0</v>
      </c>
      <c r="BJ251" s="37" t="n">
        <v>0</v>
      </c>
      <c r="BK251" s="37" t="n">
        <v>0</v>
      </c>
      <c r="BL251" s="37" t="n">
        <v>0</v>
      </c>
      <c r="BM251" s="37" t="n">
        <v>0</v>
      </c>
      <c r="BN251" s="37" t="n">
        <v>0</v>
      </c>
      <c r="BO251" s="37" t="n">
        <v>0</v>
      </c>
      <c r="BP251" s="37" t="n">
        <v>0</v>
      </c>
      <c r="BQ251" s="37" t="n">
        <v>0</v>
      </c>
      <c r="BR251" s="37" t="n">
        <v>0</v>
      </c>
      <c r="BS251" s="37" t="n">
        <v>0</v>
      </c>
      <c r="BT251" s="37" t="n">
        <v>0</v>
      </c>
      <c r="BU251" s="37" t="n">
        <v>0</v>
      </c>
      <c r="BV251" s="37" t="n">
        <v>0</v>
      </c>
      <c r="BW251" s="37" t="n">
        <v>0</v>
      </c>
      <c r="BX251" s="37" t="n">
        <v>0</v>
      </c>
      <c r="BY251" s="39"/>
      <c r="BZ251" s="39"/>
      <c r="CA251" s="44" t="n">
        <f aca="false">BW251+BX251+$CA$81</f>
        <v>1025</v>
      </c>
      <c r="CB251" s="42" t="n">
        <v>0</v>
      </c>
      <c r="CC251" s="42" t="n">
        <v>0</v>
      </c>
      <c r="CD251" s="42" t="n">
        <v>0</v>
      </c>
      <c r="CE251" s="42" t="n">
        <v>0</v>
      </c>
      <c r="CF251" s="21" t="s">
        <v>416</v>
      </c>
    </row>
    <row r="252" customFormat="false" ht="15" hidden="false" customHeight="false" outlineLevel="0" collapsed="false">
      <c r="B252" s="23" t="s">
        <v>417</v>
      </c>
      <c r="C252" s="61" t="n">
        <f aca="false">C253-(C248+C249+C250+C251)</f>
        <v>477.8</v>
      </c>
      <c r="D252" s="61" t="n">
        <f aca="false">D253-(D248+D249+D250+D251)</f>
        <v>62.8</v>
      </c>
      <c r="E252" s="61" t="n">
        <f aca="false">E253-(E248+E249+E250+E251)</f>
        <v>-3</v>
      </c>
      <c r="F252" s="61" t="n">
        <f aca="false">F253-(F248+F249+F250+F251)</f>
        <v>1.89999999999998</v>
      </c>
      <c r="G252" s="61" t="n">
        <f aca="false">G253-(G248+G249+G250+G251)</f>
        <v>2.60000000000002</v>
      </c>
      <c r="H252" s="61" t="n">
        <f aca="false">H253-(H248+H249+H250+H251)</f>
        <v>814.700000000001</v>
      </c>
      <c r="I252" s="61" t="n">
        <f aca="false">I253-(I248+I249+I250+I251)</f>
        <v>59.9000000000001</v>
      </c>
      <c r="J252" s="61" t="n">
        <f aca="false">J253-(J248+J249+J250+J251)</f>
        <v>-0.299999999999997</v>
      </c>
      <c r="K252" s="61" t="n">
        <f aca="false">K253-(K248+K249+K250+K251)</f>
        <v>0.600000000000009</v>
      </c>
      <c r="L252" s="61" t="n">
        <f aca="false">L253-(L248+L249+L250+L251)</f>
        <v>-16.1</v>
      </c>
      <c r="M252" s="61" t="n">
        <f aca="false">M253-(M248+M249+M250+M251)</f>
        <v>25.6</v>
      </c>
      <c r="N252" s="61" t="n">
        <f aca="false">N253-(N248+N249+N250+N251)</f>
        <v>9.79999999999996</v>
      </c>
      <c r="O252" s="61" t="n">
        <f aca="false">O253-(O248+O249+O250+O251)</f>
        <v>33.0999999999985</v>
      </c>
      <c r="P252" s="61" t="n">
        <f aca="false">P253-(P248+P249+P250+P251)</f>
        <v>66.1</v>
      </c>
      <c r="Q252" s="61" t="n">
        <f aca="false">Q253-(Q248+Q249+Q250+Q251)</f>
        <v>31.4</v>
      </c>
      <c r="R252" s="61" t="n">
        <f aca="false">R253-(R248+R249+R250+R251)</f>
        <v>3.29999999999998</v>
      </c>
      <c r="S252" s="61" t="n">
        <f aca="false">S253-(S248+S249+S250+S251)</f>
        <v>133.9</v>
      </c>
      <c r="T252" s="61" t="n">
        <f aca="false">T253-(T248+T249+T250+T251)</f>
        <v>0.900000000000034</v>
      </c>
      <c r="U252" s="61" t="n">
        <f aca="false">U253-(U248+U249+U250+U251)</f>
        <v>14.7</v>
      </c>
      <c r="V252" s="61" t="n">
        <f aca="false">V253-(V248+V249+V250+V251)</f>
        <v>0.400000000000006</v>
      </c>
      <c r="W252" s="61" t="n">
        <f aca="false">W253-(W248+W249+W250+W251)</f>
        <v>-3.99999999999994</v>
      </c>
      <c r="X252" s="61" t="n">
        <f aca="false">X253-(X248+X249+X250+X251)</f>
        <v>12</v>
      </c>
      <c r="Y252" s="61" t="n">
        <f aca="false">Y253-(Y248+Y249+Y250+Y251)</f>
        <v>2.20000000000005</v>
      </c>
      <c r="Z252" s="61" t="n">
        <f aca="false">Z253-(Z248+Z249+Z250+Z251)</f>
        <v>-8.90000000000001</v>
      </c>
      <c r="AA252" s="61" t="n">
        <f aca="false">AA253-(AA248+AA249+AA250+AA251)</f>
        <v>3.5</v>
      </c>
      <c r="AB252" s="61" t="n">
        <f aca="false">AB253-(AB248+AB249+AB250+AB251)</f>
        <v>77.6</v>
      </c>
      <c r="AC252" s="61" t="n">
        <f aca="false">AC253-(AC248+AC249+AC250+AC251)</f>
        <v>74.3999999999996</v>
      </c>
      <c r="AD252" s="61" t="n">
        <f aca="false">AD253-(AD248+AD249+AD250+AD251)</f>
        <v>11.1</v>
      </c>
      <c r="AE252" s="61" t="n">
        <f aca="false">AE253-(AE248+AE249+AE250+AE251)</f>
        <v>-2.30000000000001</v>
      </c>
      <c r="AF252" s="61" t="n">
        <f aca="false">AF253-(AF248+AF249+AF250+AF251)</f>
        <v>-5.70000000000073</v>
      </c>
      <c r="AG252" s="61" t="n">
        <f aca="false">AG253-(AG248+AG249+AG250+AG251)</f>
        <v>-5.09999999999997</v>
      </c>
      <c r="AH252" s="61" t="n">
        <f aca="false">AH253-(AH248+AH249+AH250+AH251)</f>
        <v>-2</v>
      </c>
      <c r="AI252" s="61" t="n">
        <f aca="false">AI253-(AI248+AI249+AI250+AI251)</f>
        <v>-6</v>
      </c>
      <c r="AJ252" s="61" t="n">
        <f aca="false">AJ253-(AJ248+AJ249+AJ250+AJ251)</f>
        <v>-1</v>
      </c>
      <c r="AK252" s="61" t="n">
        <f aca="false">AK253-(AK248+AK249+AK250+AK251)</f>
        <v>2</v>
      </c>
      <c r="AL252" s="61" t="n">
        <f aca="false">AL253-(AL248+AL249+AL250+AL251)</f>
        <v>-4</v>
      </c>
      <c r="AM252" s="61" t="n">
        <f aca="false">AM253-(AM248+AM249+AM250+AM251)</f>
        <v>-9</v>
      </c>
      <c r="AN252" s="61" t="n">
        <f aca="false">AN253-(AN248+AN249+AN250+AN251)</f>
        <v>15</v>
      </c>
      <c r="AO252" s="61" t="n">
        <f aca="false">AO253-(AO248+AO249+AO250+AO251)</f>
        <v>4</v>
      </c>
      <c r="AP252" s="61" t="n">
        <f aca="false">AP253-(AP248+AP249+AP250+AP251)</f>
        <v>11</v>
      </c>
      <c r="AQ252" s="61" t="n">
        <f aca="false">AQ253-(AQ248+AQ249+AQ250+AQ251)</f>
        <v>88</v>
      </c>
      <c r="AR252" s="61" t="n">
        <f aca="false">AR253-(AR248+AR249+AR250+AR251)</f>
        <v>118</v>
      </c>
      <c r="AS252" s="61" t="n">
        <f aca="false">AS253-(AS248+AS249+AS250+AS251)</f>
        <v>-7</v>
      </c>
      <c r="AT252" s="61" t="n">
        <f aca="false">AT253-(AT248+AT249+AT250+AT251)</f>
        <v>7</v>
      </c>
      <c r="AU252" s="61" t="n">
        <f aca="false">AU253-(AU248+AU249+AU250+AU251)</f>
        <v>0</v>
      </c>
      <c r="AV252" s="61" t="n">
        <f aca="false">AV253-(AV248+AV249+AV250+AV251)</f>
        <v>-6</v>
      </c>
      <c r="AW252" s="61" t="n">
        <f aca="false">AW253-(AW248+AW249+AW250+AW251)</f>
        <v>-6</v>
      </c>
      <c r="AX252" s="61" t="n">
        <f aca="false">AX253-(AX248+AX249+AX250+AX251)</f>
        <v>-32</v>
      </c>
      <c r="AY252" s="61" t="n">
        <f aca="false">AY253-(AY248+AY249+AY250+AY251)</f>
        <v>-4</v>
      </c>
      <c r="AZ252" s="61" t="n">
        <f aca="false">AZ253-(AZ248+AZ249+AZ250+AZ251)</f>
        <v>-2</v>
      </c>
      <c r="BA252" s="61" t="n">
        <f aca="false">BA253-(BA248+BA249+BA250+BA251)</f>
        <v>4</v>
      </c>
      <c r="BB252" s="61" t="n">
        <f aca="false">BB253-(BB248+BB249+BB250+BB251)</f>
        <v>-34</v>
      </c>
      <c r="BC252" s="61" t="n">
        <f aca="false">BC253-(BC248+BC249+BC250+BC251)</f>
        <v>8</v>
      </c>
      <c r="BD252" s="61" t="n">
        <f aca="false">BD253-(BD248+BD249+BD250+BD251)</f>
        <v>75</v>
      </c>
      <c r="BE252" s="61" t="n">
        <f aca="false">BE253-(BE248+BE249+BE250+BE251)</f>
        <v>-3</v>
      </c>
      <c r="BF252" s="61" t="n">
        <f aca="false">BF253-(BF248+BF249+BF250+BF251)</f>
        <v>19</v>
      </c>
      <c r="BG252" s="61" t="n">
        <f aca="false">BG253-(BG248+BG249+BG250+BG251)</f>
        <v>99</v>
      </c>
      <c r="BH252" s="61" t="n">
        <f aca="false">BH253-(BH248+BH249+BH250+BH251)</f>
        <v>14</v>
      </c>
      <c r="BI252" s="61" t="n">
        <f aca="false">BI253-(BI248+BI249+BI250+BI251)</f>
        <v>-116</v>
      </c>
      <c r="BJ252" s="61" t="n">
        <f aca="false">BJ253-(BJ248+BJ249+BJ250+BJ251)</f>
        <v>-6</v>
      </c>
      <c r="BK252" s="61" t="n">
        <f aca="false">BK253-(BK248+BK249+BK250+BK251)</f>
        <v>18</v>
      </c>
      <c r="BL252" s="61" t="n">
        <f aca="false">BL253-(BL248+BL249+BL250+BL251)</f>
        <v>-90</v>
      </c>
      <c r="BM252" s="61" t="n">
        <f aca="false">BM253-(BM248+BM249+BM250+BM251)</f>
        <v>-1687</v>
      </c>
      <c r="BN252" s="61" t="n">
        <f aca="false">BN253-(BN248+BN249+BN250+BN251)</f>
        <v>32</v>
      </c>
      <c r="BO252" s="61" t="n">
        <f aca="false">BO253-(BO248+BO249+BO250+BO251)</f>
        <v>-194</v>
      </c>
      <c r="BP252" s="61" t="n">
        <f aca="false">BP253-(BP248+BP249+BP250+BP251)</f>
        <v>483</v>
      </c>
      <c r="BQ252" s="61" t="n">
        <f aca="false">BQ253-(BQ248+BQ249+BQ250+BQ251)</f>
        <v>-1366</v>
      </c>
      <c r="BR252" s="61" t="n">
        <f aca="false">BR253-(BR248+BR249+BR250+BR251)</f>
        <v>-177</v>
      </c>
      <c r="BS252" s="61" t="n">
        <f aca="false">BS253-(BS248+BS249+BS250+BS251)</f>
        <v>5</v>
      </c>
      <c r="BT252" s="61" t="n">
        <f aca="false">BT253-(BT248+BT249+BT250+BT251)</f>
        <v>314</v>
      </c>
      <c r="BU252" s="61" t="n">
        <f aca="false">BU253-(BU248+BU249+BU250+BU251)</f>
        <v>1329</v>
      </c>
      <c r="BV252" s="61" t="n">
        <f aca="false">BV253-(BV248+BV249+BV250+BV251)</f>
        <v>1471</v>
      </c>
      <c r="BW252" s="61" t="n">
        <f aca="false">BW253-(BW248+BW249+BW250+BW251)</f>
        <v>278</v>
      </c>
      <c r="BX252" s="61" t="n">
        <f aca="false">BX253-(BX248+BX249+BX250+BX251)</f>
        <v>610</v>
      </c>
      <c r="BY252" s="39"/>
      <c r="BZ252" s="39"/>
      <c r="CA252" s="44" t="n">
        <f aca="false">BW252+BX252</f>
        <v>888</v>
      </c>
      <c r="CB252" s="42" t="n">
        <v>0</v>
      </c>
      <c r="CC252" s="42" t="n">
        <v>0</v>
      </c>
      <c r="CD252" s="42" t="n">
        <v>0</v>
      </c>
      <c r="CE252" s="42" t="n">
        <v>0</v>
      </c>
      <c r="CF252" s="21"/>
    </row>
    <row r="253" customFormat="false" ht="15" hidden="false" customHeight="false" outlineLevel="0" collapsed="false">
      <c r="B253" s="17" t="s">
        <v>418</v>
      </c>
      <c r="C253" s="19" t="n">
        <v>283.4</v>
      </c>
      <c r="D253" s="19" t="n">
        <v>-586</v>
      </c>
      <c r="E253" s="19" t="n">
        <v>-450</v>
      </c>
      <c r="F253" s="19" t="n">
        <v>-829.5</v>
      </c>
      <c r="G253" s="19" t="n">
        <v>-858.9</v>
      </c>
      <c r="H253" s="19" t="n">
        <v>-5142.2</v>
      </c>
      <c r="I253" s="19" t="n">
        <v>-1325.8</v>
      </c>
      <c r="J253" s="19" t="n">
        <v>-67.1</v>
      </c>
      <c r="K253" s="19" t="n">
        <v>-65.3</v>
      </c>
      <c r="L253" s="19" t="n">
        <v>-60.9</v>
      </c>
      <c r="M253" s="19" t="n">
        <v>-70</v>
      </c>
      <c r="N253" s="19" t="n">
        <v>-263.3</v>
      </c>
      <c r="O253" s="19" t="n">
        <v>-12067.9</v>
      </c>
      <c r="P253" s="19" t="n">
        <v>-6.2</v>
      </c>
      <c r="Q253" s="19" t="n">
        <v>417.4</v>
      </c>
      <c r="R253" s="19" t="n">
        <v>-126</v>
      </c>
      <c r="S253" s="19" t="n">
        <v>-11782.7</v>
      </c>
      <c r="T253" s="19" t="n">
        <v>-394.3</v>
      </c>
      <c r="U253" s="19" t="n">
        <v>-75</v>
      </c>
      <c r="V253" s="19" t="n">
        <v>-106.7</v>
      </c>
      <c r="W253" s="19" t="n">
        <v>-511.4</v>
      </c>
      <c r="X253" s="19" t="n">
        <v>-1087.4</v>
      </c>
      <c r="Y253" s="19" t="n">
        <v>-1139.3</v>
      </c>
      <c r="Z253" s="19" t="n">
        <v>-108.7</v>
      </c>
      <c r="AA253" s="19" t="n">
        <v>-4196</v>
      </c>
      <c r="AB253" s="19" t="n">
        <v>-88.1</v>
      </c>
      <c r="AC253" s="19" t="n">
        <v>-5532.1</v>
      </c>
      <c r="AD253" s="19" t="n">
        <v>-381.9</v>
      </c>
      <c r="AE253" s="19" t="n">
        <v>-95.4</v>
      </c>
      <c r="AF253" s="19" t="n">
        <v>-6968.3</v>
      </c>
      <c r="AG253" s="19" t="n">
        <v>-283.4</v>
      </c>
      <c r="AH253" s="19" t="n">
        <v>-7729</v>
      </c>
      <c r="AI253" s="19" t="n">
        <v>-179</v>
      </c>
      <c r="AJ253" s="19" t="n">
        <v>-185</v>
      </c>
      <c r="AK253" s="19" t="n">
        <v>-168</v>
      </c>
      <c r="AL253" s="19" t="n">
        <v>-721</v>
      </c>
      <c r="AM253" s="19" t="n">
        <v>-1253</v>
      </c>
      <c r="AN253" s="19" t="n">
        <v>-181</v>
      </c>
      <c r="AO253" s="19" t="n">
        <v>-769</v>
      </c>
      <c r="AP253" s="19" t="n">
        <v>-198</v>
      </c>
      <c r="AQ253" s="19" t="n">
        <v>-339</v>
      </c>
      <c r="AR253" s="19" t="n">
        <v>-1487</v>
      </c>
      <c r="AS253" s="19" t="n">
        <v>-260</v>
      </c>
      <c r="AT253" s="19" t="n">
        <v>-259</v>
      </c>
      <c r="AU253" s="19" t="n">
        <v>-365</v>
      </c>
      <c r="AV253" s="19" t="n">
        <v>-626</v>
      </c>
      <c r="AW253" s="19" t="n">
        <v>-1510</v>
      </c>
      <c r="AX253" s="19" t="n">
        <v>-1998</v>
      </c>
      <c r="AY253" s="19" t="n">
        <v>-626</v>
      </c>
      <c r="AZ253" s="19" t="n">
        <v>-616</v>
      </c>
      <c r="BA253" s="19" t="n">
        <v>-18692</v>
      </c>
      <c r="BB253" s="19" t="n">
        <v>-21932</v>
      </c>
      <c r="BC253" s="19" t="n">
        <v>-670</v>
      </c>
      <c r="BD253" s="19" t="n">
        <v>-419</v>
      </c>
      <c r="BE253" s="19" t="n">
        <v>-545</v>
      </c>
      <c r="BF253" s="19" t="n">
        <v>-525</v>
      </c>
      <c r="BG253" s="19" t="n">
        <v>-2159</v>
      </c>
      <c r="BH253" s="19" t="n">
        <v>-3142</v>
      </c>
      <c r="BI253" s="19" t="n">
        <v>-443</v>
      </c>
      <c r="BJ253" s="19" t="n">
        <v>-1181</v>
      </c>
      <c r="BK253" s="19" t="n">
        <v>-376</v>
      </c>
      <c r="BL253" s="19" t="n">
        <v>-5142</v>
      </c>
      <c r="BM253" s="19" t="n">
        <v>-2030</v>
      </c>
      <c r="BN253" s="19" t="n">
        <v>-253</v>
      </c>
      <c r="BO253" s="19" t="n">
        <v>-3578</v>
      </c>
      <c r="BP253" s="19" t="n">
        <v>20</v>
      </c>
      <c r="BQ253" s="19" t="n">
        <v>-5841</v>
      </c>
      <c r="BR253" s="19" t="n">
        <v>-527</v>
      </c>
      <c r="BS253" s="19" t="n">
        <v>-288</v>
      </c>
      <c r="BT253" s="19" t="n">
        <v>-4123</v>
      </c>
      <c r="BU253" s="19" t="n">
        <v>891</v>
      </c>
      <c r="BV253" s="19" t="n">
        <v>-4047</v>
      </c>
      <c r="BW253" s="19" t="n">
        <v>-8961</v>
      </c>
      <c r="BX253" s="19" t="n">
        <v>164</v>
      </c>
      <c r="BY253" s="52"/>
      <c r="BZ253" s="52"/>
      <c r="CA253" s="20" t="n">
        <f aca="false">SUM(CA248:CA252)</f>
        <v>-8946</v>
      </c>
      <c r="CB253" s="20" t="n">
        <f aca="false">SUM(CB248:CB252)</f>
        <v>-6127.88166665408</v>
      </c>
      <c r="CC253" s="20" t="n">
        <f aca="false">SUM(CC248:CC252)</f>
        <v>-6289.12732831486</v>
      </c>
      <c r="CD253" s="20" t="n">
        <f aca="false">SUM(CD248:CD252)</f>
        <v>-6462.56386889604</v>
      </c>
      <c r="CE253" s="20" t="n">
        <f aca="false">SUM(CE248:CE252)</f>
        <v>-6646.57348266527</v>
      </c>
      <c r="CF253" s="21"/>
    </row>
    <row r="254" customFormat="false" ht="15" hidden="false" customHeight="false" outlineLevel="0" collapsed="false">
      <c r="B254" s="23" t="s">
        <v>419</v>
      </c>
      <c r="C254" s="37" t="n">
        <v>176.8</v>
      </c>
      <c r="D254" s="37" t="n">
        <v>0</v>
      </c>
      <c r="E254" s="37" t="n">
        <v>0</v>
      </c>
      <c r="F254" s="37" t="n">
        <v>748.2</v>
      </c>
      <c r="G254" s="37" t="n">
        <v>741.4</v>
      </c>
      <c r="H254" s="37" t="n">
        <v>5162.6</v>
      </c>
      <c r="I254" s="37" t="n">
        <v>1306.1</v>
      </c>
      <c r="J254" s="37" t="n">
        <v>0</v>
      </c>
      <c r="K254" s="37" t="n">
        <v>0</v>
      </c>
      <c r="L254" s="37" t="n">
        <v>0</v>
      </c>
      <c r="M254" s="37" t="n">
        <v>3367.7</v>
      </c>
      <c r="N254" s="37" t="n">
        <v>3367.7</v>
      </c>
      <c r="O254" s="37" t="n">
        <v>5213</v>
      </c>
      <c r="P254" s="37" t="n">
        <v>92.2</v>
      </c>
      <c r="Q254" s="37" t="n">
        <v>-93.4</v>
      </c>
      <c r="R254" s="37" t="n">
        <v>1380.5</v>
      </c>
      <c r="S254" s="37" t="n">
        <v>6592.3</v>
      </c>
      <c r="T254" s="37" t="n">
        <v>1218.9</v>
      </c>
      <c r="U254" s="37" t="n">
        <v>-97.4</v>
      </c>
      <c r="V254" s="37" t="n">
        <v>146.8</v>
      </c>
      <c r="W254" s="37" t="n">
        <v>579.2</v>
      </c>
      <c r="X254" s="37" t="n">
        <v>1847.5</v>
      </c>
      <c r="Y254" s="37" t="n">
        <v>2172.9</v>
      </c>
      <c r="Z254" s="37" t="n">
        <v>748.8</v>
      </c>
      <c r="AA254" s="37" t="n">
        <v>5452.9</v>
      </c>
      <c r="AB254" s="37" t="n">
        <v>133.5</v>
      </c>
      <c r="AC254" s="37" t="n">
        <v>8508.1</v>
      </c>
      <c r="AD254" s="37" t="n">
        <v>2880.1</v>
      </c>
      <c r="AE254" s="37" t="n">
        <v>2125.9</v>
      </c>
      <c r="AF254" s="37" t="n">
        <v>7483.2</v>
      </c>
      <c r="AG254" s="37" t="n">
        <v>2349.8</v>
      </c>
      <c r="AH254" s="37" t="n">
        <v>14839</v>
      </c>
      <c r="AI254" s="37" t="n">
        <v>1306</v>
      </c>
      <c r="AJ254" s="37" t="n">
        <v>1455</v>
      </c>
      <c r="AK254" s="37" t="n">
        <v>1307</v>
      </c>
      <c r="AL254" s="37" t="n">
        <v>1682</v>
      </c>
      <c r="AM254" s="37" t="n">
        <v>5750</v>
      </c>
      <c r="AN254" s="37" t="n">
        <v>100</v>
      </c>
      <c r="AO254" s="37" t="n">
        <v>1795</v>
      </c>
      <c r="AP254" s="37" t="n">
        <v>686</v>
      </c>
      <c r="AQ254" s="37" t="n">
        <v>5838</v>
      </c>
      <c r="AR254" s="37" t="n">
        <v>8419</v>
      </c>
      <c r="AS254" s="37" t="n">
        <v>2567</v>
      </c>
      <c r="AT254" s="37" t="n">
        <v>1280</v>
      </c>
      <c r="AU254" s="37" t="n">
        <v>0</v>
      </c>
      <c r="AV254" s="37" t="n">
        <v>0</v>
      </c>
      <c r="AW254" s="37" t="n">
        <v>3847</v>
      </c>
      <c r="AX254" s="37" t="n">
        <v>0</v>
      </c>
      <c r="AY254" s="37" t="n">
        <v>0</v>
      </c>
      <c r="AZ254" s="37" t="n">
        <v>3122</v>
      </c>
      <c r="BA254" s="37" t="n">
        <v>17527</v>
      </c>
      <c r="BB254" s="37" t="n">
        <v>20649</v>
      </c>
      <c r="BC254" s="37" t="n">
        <v>626</v>
      </c>
      <c r="BD254" s="37" t="n">
        <v>406</v>
      </c>
      <c r="BE254" s="37" t="n">
        <v>199</v>
      </c>
      <c r="BF254" s="37" t="n">
        <v>3488</v>
      </c>
      <c r="BG254" s="37" t="n">
        <v>4719</v>
      </c>
      <c r="BH254" s="37" t="n">
        <v>1027</v>
      </c>
      <c r="BI254" s="37" t="n">
        <v>593</v>
      </c>
      <c r="BJ254" s="37" t="n">
        <v>3466</v>
      </c>
      <c r="BK254" s="37" t="n">
        <v>2476</v>
      </c>
      <c r="BL254" s="37" t="n">
        <v>7562</v>
      </c>
      <c r="BM254" s="37" t="n">
        <v>1205</v>
      </c>
      <c r="BN254" s="37" t="n">
        <v>-1</v>
      </c>
      <c r="BO254" s="37" t="n">
        <v>0</v>
      </c>
      <c r="BP254" s="37" t="n">
        <v>0</v>
      </c>
      <c r="BQ254" s="37" t="n">
        <v>1204</v>
      </c>
      <c r="BR254" s="37" t="n">
        <v>2840</v>
      </c>
      <c r="BS254" s="37" t="n">
        <v>0</v>
      </c>
      <c r="BT254" s="37" t="n">
        <v>1095</v>
      </c>
      <c r="BU254" s="37" t="n">
        <v>4919</v>
      </c>
      <c r="BV254" s="37" t="n">
        <v>8854</v>
      </c>
      <c r="BW254" s="37" t="n">
        <v>5627</v>
      </c>
      <c r="BX254" s="37" t="n">
        <v>0</v>
      </c>
      <c r="BY254" s="39"/>
      <c r="BZ254" s="39"/>
      <c r="CA254" s="44" t="n">
        <f aca="false">BW254+BX254+CA351+MAX(0,CA355-BX355)</f>
        <v>7744</v>
      </c>
      <c r="CB254" s="44" t="n">
        <f aca="false">CB351+MAX(0,CB355-CA355)</f>
        <v>3254</v>
      </c>
      <c r="CC254" s="44" t="n">
        <f aca="false">CC351+MAX(0,CC355-CB355)</f>
        <v>3057</v>
      </c>
      <c r="CD254" s="44" t="n">
        <f aca="false">CD351+MAX(0,CD355-CC355)</f>
        <v>4691.7916448727</v>
      </c>
      <c r="CE254" s="44" t="n">
        <f aca="false">CE351+MAX(0,CE355-CD355)</f>
        <v>6739.50177636016</v>
      </c>
      <c r="CF254" s="21"/>
    </row>
    <row r="255" customFormat="false" ht="15" hidden="false" customHeight="false" outlineLevel="0" collapsed="false">
      <c r="B255" s="23" t="s">
        <v>420</v>
      </c>
      <c r="C255" s="37" t="n">
        <v>-334.6</v>
      </c>
      <c r="D255" s="37" t="n">
        <v>-472.9</v>
      </c>
      <c r="E255" s="37" t="n">
        <v>-151.5</v>
      </c>
      <c r="F255" s="37" t="n">
        <v>-948.1</v>
      </c>
      <c r="G255" s="37" t="n">
        <v>-1114.1</v>
      </c>
      <c r="H255" s="37" t="n">
        <v>-453.4</v>
      </c>
      <c r="I255" s="37" t="n">
        <v>-1203.8</v>
      </c>
      <c r="J255" s="37" t="n">
        <v>-2</v>
      </c>
      <c r="K255" s="37" t="n">
        <v>-0.3</v>
      </c>
      <c r="L255" s="37" t="n">
        <v>-3.2</v>
      </c>
      <c r="M255" s="37" t="n">
        <v>-7.5</v>
      </c>
      <c r="N255" s="37" t="n">
        <v>-13</v>
      </c>
      <c r="O255" s="37" t="n">
        <v>-600.9</v>
      </c>
      <c r="P255" s="37" t="n">
        <v>-1870</v>
      </c>
      <c r="Q255" s="37" t="n">
        <v>-987.6</v>
      </c>
      <c r="R255" s="37" t="n">
        <v>-1257.4</v>
      </c>
      <c r="S255" s="37" t="n">
        <v>-4715.9</v>
      </c>
      <c r="T255" s="37" t="n">
        <v>-851.4</v>
      </c>
      <c r="U255" s="37" t="n">
        <v>-703.3</v>
      </c>
      <c r="V255" s="37" t="n">
        <v>-926.3</v>
      </c>
      <c r="W255" s="37" t="n">
        <v>-1299.2</v>
      </c>
      <c r="X255" s="37" t="n">
        <v>-3780.2</v>
      </c>
      <c r="Y255" s="37" t="n">
        <v>-1.4</v>
      </c>
      <c r="Z255" s="37" t="n">
        <v>-1631</v>
      </c>
      <c r="AA255" s="37" t="n">
        <v>-674.7</v>
      </c>
      <c r="AB255" s="37" t="n">
        <v>-2027.1</v>
      </c>
      <c r="AC255" s="37" t="n">
        <v>-4334.2</v>
      </c>
      <c r="AD255" s="37" t="n">
        <v>-2498.5</v>
      </c>
      <c r="AE255" s="37" t="n">
        <v>-2821.1</v>
      </c>
      <c r="AF255" s="37" t="n">
        <v>-3041.2</v>
      </c>
      <c r="AG255" s="37" t="n">
        <v>-3452.2</v>
      </c>
      <c r="AH255" s="37" t="n">
        <v>-11813</v>
      </c>
      <c r="AI255" s="37" t="n">
        <v>-1577</v>
      </c>
      <c r="AJ255" s="37" t="n">
        <v>-2431</v>
      </c>
      <c r="AK255" s="37" t="n">
        <v>-1882</v>
      </c>
      <c r="AL255" s="37" t="n">
        <v>-1416</v>
      </c>
      <c r="AM255" s="37" t="n">
        <v>-7306</v>
      </c>
      <c r="AN255" s="37" t="n">
        <v>-788</v>
      </c>
      <c r="AO255" s="37" t="n">
        <v>-1070</v>
      </c>
      <c r="AP255" s="37" t="n">
        <v>-2422</v>
      </c>
      <c r="AQ255" s="37" t="n">
        <v>-5544</v>
      </c>
      <c r="AR255" s="37" t="n">
        <v>-9824</v>
      </c>
      <c r="AS255" s="37" t="n">
        <v>-322</v>
      </c>
      <c r="AT255" s="37" t="n">
        <v>-67</v>
      </c>
      <c r="AU255" s="37" t="n">
        <v>-710</v>
      </c>
      <c r="AV255" s="37" t="n">
        <v>-1</v>
      </c>
      <c r="AW255" s="37" t="n">
        <v>-1100</v>
      </c>
      <c r="AX255" s="37" t="n">
        <v>-2804</v>
      </c>
      <c r="AY255" s="37" t="n">
        <v>-1</v>
      </c>
      <c r="AZ255" s="37" t="n">
        <v>-2</v>
      </c>
      <c r="BA255" s="37" t="n">
        <v>-8931</v>
      </c>
      <c r="BB255" s="37" t="n">
        <v>-11738</v>
      </c>
      <c r="BC255" s="37" t="n">
        <v>-1634</v>
      </c>
      <c r="BD255" s="37" t="n">
        <v>-2231</v>
      </c>
      <c r="BE255" s="37" t="n">
        <v>-200</v>
      </c>
      <c r="BF255" s="37" t="n">
        <v>0</v>
      </c>
      <c r="BG255" s="37" t="n">
        <v>-4065</v>
      </c>
      <c r="BH255" s="37" t="n">
        <v>-523</v>
      </c>
      <c r="BI255" s="37" t="n">
        <v>-1918</v>
      </c>
      <c r="BJ255" s="37" t="n">
        <v>-1494</v>
      </c>
      <c r="BK255" s="37" t="n">
        <v>-3782</v>
      </c>
      <c r="BL255" s="37" t="n">
        <v>-7717</v>
      </c>
      <c r="BM255" s="37" t="n">
        <v>0</v>
      </c>
      <c r="BN255" s="37" t="n">
        <v>0</v>
      </c>
      <c r="BO255" s="37" t="n">
        <v>-1107</v>
      </c>
      <c r="BP255" s="37" t="n">
        <v>-2500</v>
      </c>
      <c r="BQ255" s="37" t="n">
        <v>-3607</v>
      </c>
      <c r="BR255" s="37" t="n">
        <v>-838</v>
      </c>
      <c r="BS255" s="37" t="n">
        <v>-787</v>
      </c>
      <c r="BT255" s="37" t="n">
        <v>-597</v>
      </c>
      <c r="BU255" s="37" t="n">
        <v>-1285</v>
      </c>
      <c r="BV255" s="37" t="n">
        <v>-3507</v>
      </c>
      <c r="BW255" s="37" t="n">
        <v>-1412</v>
      </c>
      <c r="BX255" s="37" t="n">
        <v>-389</v>
      </c>
      <c r="BY255" s="39"/>
      <c r="BZ255" s="39"/>
      <c r="CA255" s="44" t="n">
        <f aca="false">BW255+BX255+CA349+MIN(0,CA355-BX355)</f>
        <v>-3918</v>
      </c>
      <c r="CB255" s="44" t="n">
        <f aca="false">CB349+MIN(0,CB355-CA355)</f>
        <v>-3254</v>
      </c>
      <c r="CC255" s="44" t="n">
        <f aca="false">CC349+MIN(0,CC355-CB355)</f>
        <v>-3057</v>
      </c>
      <c r="CD255" s="44" t="n">
        <f aca="false">CD349+MIN(0,CD355-CC355)</f>
        <v>-3150</v>
      </c>
      <c r="CE255" s="44" t="n">
        <f aca="false">CE349+MIN(0,CE355-CD355)</f>
        <v>-3105</v>
      </c>
      <c r="CF255" s="21" t="s">
        <v>421</v>
      </c>
    </row>
    <row r="256" customFormat="false" ht="15" hidden="false" customHeight="false" outlineLevel="0" collapsed="false">
      <c r="B256" s="23" t="s">
        <v>422</v>
      </c>
      <c r="C256" s="37" t="n">
        <v>-300</v>
      </c>
      <c r="D256" s="37" t="n">
        <v>-898</v>
      </c>
      <c r="E256" s="37" t="n">
        <v>-187.4</v>
      </c>
      <c r="F256" s="37" t="n">
        <v>-414.6</v>
      </c>
      <c r="G256" s="37" t="n">
        <v>-1012.5</v>
      </c>
      <c r="H256" s="37" t="n">
        <v>-1337.5</v>
      </c>
      <c r="I256" s="37" t="n">
        <v>-1150</v>
      </c>
      <c r="J256" s="37" t="n">
        <v>-89.8</v>
      </c>
      <c r="K256" s="37" t="n">
        <v>0</v>
      </c>
      <c r="L256" s="37" t="n">
        <v>0</v>
      </c>
      <c r="M256" s="37" t="n">
        <v>0</v>
      </c>
      <c r="N256" s="37" t="n">
        <v>-89.8</v>
      </c>
      <c r="O256" s="37" t="n">
        <v>0</v>
      </c>
      <c r="P256" s="37" t="n">
        <v>0</v>
      </c>
      <c r="Q256" s="37" t="n">
        <v>0</v>
      </c>
      <c r="R256" s="37" t="n">
        <v>0</v>
      </c>
      <c r="S256" s="37" t="n">
        <v>0</v>
      </c>
      <c r="T256" s="37" t="n">
        <v>-500</v>
      </c>
      <c r="U256" s="37" t="n">
        <v>0</v>
      </c>
      <c r="V256" s="37" t="n">
        <v>0</v>
      </c>
      <c r="W256" s="37" t="n">
        <v>0</v>
      </c>
      <c r="X256" s="37" t="n">
        <v>-500</v>
      </c>
      <c r="Y256" s="37" t="n">
        <v>-1000</v>
      </c>
      <c r="Z256" s="37" t="n">
        <v>0</v>
      </c>
      <c r="AA256" s="37" t="n">
        <v>0</v>
      </c>
      <c r="AB256" s="37" t="n">
        <v>-250</v>
      </c>
      <c r="AC256" s="37" t="n">
        <v>-1250</v>
      </c>
      <c r="AD256" s="37" t="n">
        <v>-500</v>
      </c>
      <c r="AE256" s="37" t="n">
        <v>-250</v>
      </c>
      <c r="AF256" s="37" t="n">
        <v>0</v>
      </c>
      <c r="AG256" s="37" t="n">
        <v>0</v>
      </c>
      <c r="AH256" s="37" t="n">
        <v>-750</v>
      </c>
      <c r="AI256" s="37" t="n">
        <v>0</v>
      </c>
      <c r="AJ256" s="37" t="n">
        <v>0</v>
      </c>
      <c r="AK256" s="37" t="n">
        <v>-250</v>
      </c>
      <c r="AL256" s="37" t="n">
        <v>-250</v>
      </c>
      <c r="AM256" s="37" t="n">
        <v>-500</v>
      </c>
      <c r="AN256" s="37" t="n">
        <v>-750</v>
      </c>
      <c r="AO256" s="37" t="n">
        <v>0</v>
      </c>
      <c r="AP256" s="37" t="n">
        <v>0</v>
      </c>
      <c r="AQ256" s="37" t="n">
        <v>-750</v>
      </c>
      <c r="AR256" s="37" t="n">
        <v>-1500</v>
      </c>
      <c r="AS256" s="37" t="n">
        <v>-1500</v>
      </c>
      <c r="AT256" s="37" t="n">
        <v>0</v>
      </c>
      <c r="AU256" s="37" t="n">
        <v>0</v>
      </c>
      <c r="AV256" s="37" t="n">
        <v>0</v>
      </c>
      <c r="AW256" s="37" t="n">
        <v>-1500</v>
      </c>
      <c r="AX256" s="37" t="n">
        <v>-2000</v>
      </c>
      <c r="AY256" s="37" t="n">
        <v>0</v>
      </c>
      <c r="AZ256" s="37" t="n">
        <v>0</v>
      </c>
      <c r="BA256" s="37" t="n">
        <v>0</v>
      </c>
      <c r="BB256" s="37" t="n">
        <v>-2000</v>
      </c>
      <c r="BC256" s="37" t="n">
        <v>-2000</v>
      </c>
      <c r="BD256" s="37" t="n">
        <v>0</v>
      </c>
      <c r="BE256" s="37" t="n">
        <v>0</v>
      </c>
      <c r="BF256" s="37" t="n">
        <v>-1000</v>
      </c>
      <c r="BG256" s="37" t="n">
        <v>-3000</v>
      </c>
      <c r="BH256" s="37" t="n">
        <v>-3000</v>
      </c>
      <c r="BI256" s="37" t="n">
        <v>0</v>
      </c>
      <c r="BJ256" s="37" t="n">
        <v>0</v>
      </c>
      <c r="BK256" s="37" t="n">
        <v>0</v>
      </c>
      <c r="BL256" s="37" t="n">
        <v>-3000</v>
      </c>
      <c r="BM256" s="37" t="n">
        <v>-3000</v>
      </c>
      <c r="BN256" s="37" t="n">
        <v>0</v>
      </c>
      <c r="BO256" s="37" t="n">
        <v>0</v>
      </c>
      <c r="BP256" s="37" t="n">
        <v>-1000</v>
      </c>
      <c r="BQ256" s="37" t="n">
        <v>-4000</v>
      </c>
      <c r="BR256" s="37" t="n">
        <v>-2000</v>
      </c>
      <c r="BS256" s="37" t="n">
        <v>0</v>
      </c>
      <c r="BT256" s="37" t="n">
        <v>-963</v>
      </c>
      <c r="BU256" s="37" t="n">
        <v>-37</v>
      </c>
      <c r="BV256" s="37" t="n">
        <v>-3000</v>
      </c>
      <c r="BW256" s="37" t="n">
        <v>-3000</v>
      </c>
      <c r="BX256" s="37" t="n">
        <v>-1000</v>
      </c>
      <c r="BY256" s="39"/>
      <c r="BZ256" s="39"/>
      <c r="CA256" s="44" t="n">
        <f aca="false">BW256+BX256-CHOOSE(MATCH($CF$2,{"Bull","Base","Bear"},0),$CO$24,$CP$24,$CQ$24)</f>
        <v>-4000</v>
      </c>
      <c r="CB256" s="44" t="n">
        <f aca="false">-CB365</f>
        <v>-4340.16673628776</v>
      </c>
      <c r="CC256" s="44" t="n">
        <f aca="false">-CC365</f>
        <v>-7620.56445633455</v>
      </c>
      <c r="CD256" s="44" t="n">
        <f aca="false">-CD365</f>
        <v>-8641.2199745298</v>
      </c>
      <c r="CE256" s="44" t="n">
        <f aca="false">-CE365</f>
        <v>-9754.50194482775</v>
      </c>
      <c r="CF256" s="21" t="s">
        <v>423</v>
      </c>
    </row>
    <row r="257" customFormat="false" ht="15" hidden="false" customHeight="false" outlineLevel="0" collapsed="false">
      <c r="B257" s="23" t="s">
        <v>424</v>
      </c>
      <c r="C257" s="37" t="n">
        <v>0</v>
      </c>
      <c r="D257" s="37" t="n">
        <v>0</v>
      </c>
      <c r="E257" s="37" t="n">
        <v>0</v>
      </c>
      <c r="F257" s="37" t="n">
        <v>0</v>
      </c>
      <c r="G257" s="37" t="n">
        <v>0</v>
      </c>
      <c r="H257" s="37" t="n">
        <v>0</v>
      </c>
      <c r="I257" s="37" t="n">
        <v>-142.2</v>
      </c>
      <c r="J257" s="37" t="n">
        <v>-54</v>
      </c>
      <c r="K257" s="37" t="n">
        <v>-53.9</v>
      </c>
      <c r="L257" s="37" t="n">
        <v>-54.1</v>
      </c>
      <c r="M257" s="37" t="n">
        <v>-54.2</v>
      </c>
      <c r="N257" s="37" t="n">
        <v>-216.2</v>
      </c>
      <c r="O257" s="37" t="n">
        <v>-54.9</v>
      </c>
      <c r="P257" s="37" t="n">
        <v>-59.8</v>
      </c>
      <c r="Q257" s="37" t="n">
        <v>-60.1</v>
      </c>
      <c r="R257" s="37" t="n">
        <v>-60</v>
      </c>
      <c r="S257" s="37" t="n">
        <v>-234.8</v>
      </c>
      <c r="T257" s="37" t="n">
        <v>-60.8</v>
      </c>
      <c r="U257" s="37" t="n">
        <v>-59.7</v>
      </c>
      <c r="V257" s="37" t="n">
        <v>-60.2</v>
      </c>
      <c r="W257" s="37" t="n">
        <v>-59.9</v>
      </c>
      <c r="X257" s="37" t="n">
        <v>-240.6</v>
      </c>
      <c r="Y257" s="37" t="n">
        <v>-60.3</v>
      </c>
      <c r="Z257" s="37" t="n">
        <v>-59.1</v>
      </c>
      <c r="AA257" s="37" t="n">
        <v>-59.8</v>
      </c>
      <c r="AB257" s="37" t="n">
        <v>-59.2</v>
      </c>
      <c r="AC257" s="37" t="n">
        <v>-238.4</v>
      </c>
      <c r="AD257" s="37" t="n">
        <v>-59.1</v>
      </c>
      <c r="AE257" s="37" t="n">
        <v>-58.7</v>
      </c>
      <c r="AF257" s="37" t="n">
        <v>-59.3</v>
      </c>
      <c r="AG257" s="37" t="n">
        <v>-59.9</v>
      </c>
      <c r="AH257" s="37" t="n">
        <v>-237</v>
      </c>
      <c r="AI257" s="37" t="n">
        <v>-60</v>
      </c>
      <c r="AJ257" s="37" t="n">
        <v>-69</v>
      </c>
      <c r="AK257" s="37" t="n">
        <v>-69</v>
      </c>
      <c r="AL257" s="37" t="n">
        <v>-68</v>
      </c>
      <c r="AM257" s="37" t="n">
        <v>-266</v>
      </c>
      <c r="AN257" s="37" t="n">
        <v>-68</v>
      </c>
      <c r="AO257" s="37" t="n">
        <v>-76</v>
      </c>
      <c r="AP257" s="37" t="n">
        <v>-77</v>
      </c>
      <c r="AQ257" s="37" t="n">
        <v>-76</v>
      </c>
      <c r="AR257" s="37" t="n">
        <v>-297</v>
      </c>
      <c r="AS257" s="37" t="n">
        <v>-76</v>
      </c>
      <c r="AT257" s="37" t="n">
        <v>-87</v>
      </c>
      <c r="AU257" s="37" t="n">
        <v>-87</v>
      </c>
      <c r="AV257" s="37" t="n">
        <v>-87</v>
      </c>
      <c r="AW257" s="37" t="n">
        <v>-337</v>
      </c>
      <c r="AX257" s="37" t="n">
        <v>-87</v>
      </c>
      <c r="AY257" s="37" t="n">
        <v>-103</v>
      </c>
      <c r="AZ257" s="37" t="n">
        <v>-102</v>
      </c>
      <c r="BA257" s="37" t="n">
        <v>-103</v>
      </c>
      <c r="BB257" s="37" t="n">
        <v>-395</v>
      </c>
      <c r="BC257" s="37" t="n">
        <v>-103</v>
      </c>
      <c r="BD257" s="37" t="n">
        <v>-117</v>
      </c>
      <c r="BE257" s="37" t="n">
        <v>-118</v>
      </c>
      <c r="BF257" s="37" t="n">
        <v>-117</v>
      </c>
      <c r="BG257" s="37" t="n">
        <v>-455</v>
      </c>
      <c r="BH257" s="37" t="n">
        <v>-117</v>
      </c>
      <c r="BI257" s="37" t="n">
        <v>-135</v>
      </c>
      <c r="BJ257" s="37" t="n">
        <v>-135</v>
      </c>
      <c r="BK257" s="37" t="n">
        <v>-136</v>
      </c>
      <c r="BL257" s="37" t="n">
        <v>-523</v>
      </c>
      <c r="BM257" s="37" t="n">
        <v>-135</v>
      </c>
      <c r="BN257" s="37" t="n">
        <v>-149</v>
      </c>
      <c r="BO257" s="37" t="n">
        <v>-150</v>
      </c>
      <c r="BP257" s="37" t="n">
        <v>-149</v>
      </c>
      <c r="BQ257" s="37" t="n">
        <v>-583</v>
      </c>
      <c r="BR257" s="37" t="n">
        <v>-149</v>
      </c>
      <c r="BS257" s="37" t="n">
        <v>-162</v>
      </c>
      <c r="BT257" s="37" t="n">
        <v>-163</v>
      </c>
      <c r="BU257" s="37" t="n">
        <v>-162</v>
      </c>
      <c r="BV257" s="37" t="n">
        <v>-636</v>
      </c>
      <c r="BW257" s="37" t="n">
        <v>-162</v>
      </c>
      <c r="BX257" s="37" t="n">
        <v>-175</v>
      </c>
      <c r="BY257" s="39"/>
      <c r="BZ257" s="39"/>
      <c r="CA257" s="44" t="n">
        <f aca="false">BW257+BX257-(BY175*BY167+BZ175*BZ167)</f>
        <v>-685.74</v>
      </c>
      <c r="CB257" s="44" t="n">
        <f aca="false">-CB175*CB285</f>
        <v>-765.671387448</v>
      </c>
      <c r="CC257" s="44" t="n">
        <f aca="false">-CC175*CC285</f>
        <v>-832.142721697926</v>
      </c>
      <c r="CD257" s="44" t="n">
        <f aca="false">-CD175*CD285</f>
        <v>-894.953533263577</v>
      </c>
      <c r="CE257" s="44" t="n">
        <f aca="false">-CE175*CE285</f>
        <v>-960.678066207434</v>
      </c>
      <c r="CF257" s="21" t="s">
        <v>425</v>
      </c>
    </row>
    <row r="258" customFormat="false" ht="15" hidden="false" customHeight="false" outlineLevel="0" collapsed="false">
      <c r="B258" s="23" t="s">
        <v>426</v>
      </c>
      <c r="C258" s="37" t="n">
        <v>197.7</v>
      </c>
      <c r="D258" s="37" t="n">
        <v>442.2</v>
      </c>
      <c r="E258" s="37" t="n">
        <v>110.5</v>
      </c>
      <c r="F258" s="37" t="n">
        <v>57</v>
      </c>
      <c r="G258" s="37" t="n">
        <v>90.1</v>
      </c>
      <c r="H258" s="37" t="n">
        <v>175</v>
      </c>
      <c r="I258" s="37" t="n">
        <v>276.8</v>
      </c>
      <c r="J258" s="37" t="n">
        <v>118</v>
      </c>
      <c r="K258" s="37" t="n">
        <v>84.9</v>
      </c>
      <c r="L258" s="37" t="n">
        <v>41.8</v>
      </c>
      <c r="M258" s="37" t="n">
        <v>34.5</v>
      </c>
      <c r="N258" s="37" t="n">
        <v>279.2</v>
      </c>
      <c r="O258" s="37" t="n">
        <v>3077.9</v>
      </c>
      <c r="P258" s="37" t="n">
        <v>28.3</v>
      </c>
      <c r="Q258" s="37" t="n">
        <v>29.6</v>
      </c>
      <c r="R258" s="37" t="n">
        <v>27.2</v>
      </c>
      <c r="S258" s="37" t="n">
        <v>3163</v>
      </c>
      <c r="T258" s="37" t="n">
        <v>99.2</v>
      </c>
      <c r="U258" s="37" t="n">
        <v>31.5</v>
      </c>
      <c r="V258" s="37" t="n">
        <v>21.5</v>
      </c>
      <c r="W258" s="37" t="n">
        <v>35.9</v>
      </c>
      <c r="X258" s="37" t="n">
        <v>188.1</v>
      </c>
      <c r="Y258" s="37" t="n">
        <v>77.2</v>
      </c>
      <c r="Z258" s="37" t="n">
        <v>65.3</v>
      </c>
      <c r="AA258" s="37" t="n">
        <v>34.9</v>
      </c>
      <c r="AB258" s="37" t="n">
        <v>11.4</v>
      </c>
      <c r="AC258" s="37" t="n">
        <v>188.8</v>
      </c>
      <c r="AD258" s="37" t="n">
        <v>58.2</v>
      </c>
      <c r="AE258" s="37" t="n">
        <v>40.9</v>
      </c>
      <c r="AF258" s="37" t="n">
        <v>1698.9</v>
      </c>
      <c r="AG258" s="37" t="n">
        <v>20</v>
      </c>
      <c r="AH258" s="37" t="n">
        <v>1818</v>
      </c>
      <c r="AI258" s="37" t="n">
        <v>39</v>
      </c>
      <c r="AJ258" s="37" t="n">
        <v>39</v>
      </c>
      <c r="AK258" s="37" t="n">
        <v>19</v>
      </c>
      <c r="AL258" s="37" t="n">
        <v>39</v>
      </c>
      <c r="AM258" s="37" t="n">
        <v>136</v>
      </c>
      <c r="AN258" s="37" t="n">
        <v>81</v>
      </c>
      <c r="AO258" s="37" t="n">
        <v>41</v>
      </c>
      <c r="AP258" s="37" t="n">
        <v>-7</v>
      </c>
      <c r="AQ258" s="37" t="n">
        <v>38</v>
      </c>
      <c r="AR258" s="37" t="n">
        <v>153</v>
      </c>
      <c r="AS258" s="37" t="n">
        <v>48</v>
      </c>
      <c r="AT258" s="37" t="n">
        <v>77</v>
      </c>
      <c r="AU258" s="37" t="n">
        <v>31</v>
      </c>
      <c r="AV258" s="37" t="n">
        <v>40</v>
      </c>
      <c r="AW258" s="37" t="n">
        <v>196</v>
      </c>
      <c r="AX258" s="37" t="n">
        <v>20</v>
      </c>
      <c r="AY258" s="37" t="n">
        <v>52</v>
      </c>
      <c r="AZ258" s="37" t="n">
        <v>29</v>
      </c>
      <c r="BA258" s="37" t="n">
        <v>55</v>
      </c>
      <c r="BB258" s="37" t="n">
        <v>156</v>
      </c>
      <c r="BC258" s="37" t="n">
        <v>2</v>
      </c>
      <c r="BD258" s="37" t="n">
        <v>49</v>
      </c>
      <c r="BE258" s="37" t="n">
        <v>6</v>
      </c>
      <c r="BF258" s="37" t="n">
        <v>-57</v>
      </c>
      <c r="BG258" s="37" t="n">
        <v>0</v>
      </c>
      <c r="BH258" s="37" t="n">
        <v>0</v>
      </c>
      <c r="BI258" s="37" t="n">
        <v>0</v>
      </c>
      <c r="BJ258" s="37" t="n">
        <v>0</v>
      </c>
      <c r="BK258" s="37" t="n">
        <v>0</v>
      </c>
      <c r="BL258" s="37" t="n">
        <v>0</v>
      </c>
      <c r="BM258" s="37" t="n">
        <v>0</v>
      </c>
      <c r="BN258" s="37" t="n">
        <v>0</v>
      </c>
      <c r="BO258" s="37" t="n">
        <v>0</v>
      </c>
      <c r="BP258" s="37" t="n">
        <v>0</v>
      </c>
      <c r="BQ258" s="37" t="n">
        <v>0</v>
      </c>
      <c r="BR258" s="37" t="n">
        <v>0</v>
      </c>
      <c r="BS258" s="37" t="n">
        <v>0</v>
      </c>
      <c r="BT258" s="37" t="n">
        <v>0</v>
      </c>
      <c r="BU258" s="37" t="n">
        <v>0</v>
      </c>
      <c r="BV258" s="37" t="n">
        <v>0</v>
      </c>
      <c r="BW258" s="37" t="n">
        <v>0</v>
      </c>
      <c r="BX258" s="37" t="n">
        <v>0</v>
      </c>
      <c r="BY258" s="39"/>
      <c r="BZ258" s="39"/>
      <c r="CA258" s="44" t="n">
        <f aca="false">BW258+BX258</f>
        <v>0</v>
      </c>
      <c r="CB258" s="42" t="n">
        <v>0</v>
      </c>
      <c r="CC258" s="42" t="n">
        <v>0</v>
      </c>
      <c r="CD258" s="42" t="n">
        <v>0</v>
      </c>
      <c r="CE258" s="42" t="n">
        <v>0</v>
      </c>
      <c r="CF258" s="21" t="s">
        <v>427</v>
      </c>
    </row>
    <row r="259" customFormat="false" ht="15" hidden="false" customHeight="false" outlineLevel="0" collapsed="false">
      <c r="B259" s="23" t="s">
        <v>428</v>
      </c>
      <c r="C259" s="61" t="n">
        <f aca="false">C260-(C254+C255+C256+C257+C258)</f>
        <v>0</v>
      </c>
      <c r="D259" s="61" t="n">
        <f aca="false">D260-(D254+D255+D256+D257+D258)</f>
        <v>0</v>
      </c>
      <c r="E259" s="61" t="n">
        <f aca="false">E260-(E254+E255+E256+E257+E258)</f>
        <v>0</v>
      </c>
      <c r="F259" s="61" t="n">
        <f aca="false">F260-(F254+F255+F256+F257+F258)</f>
        <v>0</v>
      </c>
      <c r="G259" s="61" t="n">
        <f aca="false">G260-(G254+G255+G256+G257+G258)</f>
        <v>0</v>
      </c>
      <c r="H259" s="61" t="n">
        <f aca="false">H260-(H254+H255+H256+H257+H258)</f>
        <v>3.89999999999918</v>
      </c>
      <c r="I259" s="61" t="n">
        <f aca="false">I260-(I254+I255+I256+I257+I258)</f>
        <v>-4.59999999999991</v>
      </c>
      <c r="J259" s="61" t="n">
        <f aca="false">J260-(J254+J255+J256+J257+J258)</f>
        <v>0</v>
      </c>
      <c r="K259" s="61" t="n">
        <f aca="false">K260-(K254+K255+K256+K257+K258)</f>
        <v>-0.800000000000011</v>
      </c>
      <c r="L259" s="61" t="n">
        <f aca="false">L260-(L254+L255+L256+L257+L258)</f>
        <v>-0.0999999999999925</v>
      </c>
      <c r="M259" s="61" t="n">
        <f aca="false">M260-(M254+M255+M256+M257+M258)</f>
        <v>-17</v>
      </c>
      <c r="N259" s="61" t="n">
        <f aca="false">N260-(N254+N255+N256+N257+N258)</f>
        <v>-17.8999999999996</v>
      </c>
      <c r="O259" s="61" t="n">
        <f aca="false">O260-(O254+O255+O256+O257+O258)</f>
        <v>0</v>
      </c>
      <c r="P259" s="61" t="n">
        <f aca="false">P260-(P254+P255+P256+P257+P258)</f>
        <v>-4.90000000000009</v>
      </c>
      <c r="Q259" s="61" t="n">
        <f aca="false">Q260-(Q254+Q255+Q256+Q257+Q258)</f>
        <v>-2.59999999999991</v>
      </c>
      <c r="R259" s="61" t="n">
        <f aca="false">R260-(R254+R255+R256+R257+R258)</f>
        <v>-0.999999999999915</v>
      </c>
      <c r="S259" s="61" t="n">
        <f aca="false">S260-(S254+S255+S256+S257+S258)</f>
        <v>-8.5</v>
      </c>
      <c r="T259" s="61" t="n">
        <f aca="false">T260-(T254+T255+T256+T257+T258)</f>
        <v>-6.30000000000011</v>
      </c>
      <c r="U259" s="61" t="n">
        <f aca="false">U260-(U254+U255+U256+U257+U258)</f>
        <v>0</v>
      </c>
      <c r="V259" s="61" t="n">
        <f aca="false">V260-(V254+V255+V256+V257+V258)</f>
        <v>0.400000000000091</v>
      </c>
      <c r="W259" s="61" t="n">
        <f aca="false">W260-(W254+W255+W256+W257+W258)</f>
        <v>-0.200000000000045</v>
      </c>
      <c r="X259" s="61" t="n">
        <f aca="false">X260-(X254+X255+X256+X257+X258)</f>
        <v>-6.10000000000036</v>
      </c>
      <c r="Y259" s="61" t="n">
        <f aca="false">Y260-(Y254+Y255+Y256+Y257+Y258)</f>
        <v>-0.400000000000091</v>
      </c>
      <c r="Z259" s="61" t="n">
        <f aca="false">Z260-(Z254+Z255+Z256+Z257+Z258)</f>
        <v>-13.1999999999999</v>
      </c>
      <c r="AA259" s="61" t="n">
        <f aca="false">AA260-(AA254+AA255+AA256+AA257+AA258)</f>
        <v>0</v>
      </c>
      <c r="AB259" s="61" t="n">
        <f aca="false">AB260-(AB254+AB255+AB256+AB257+AB258)</f>
        <v>-0.100000000000364</v>
      </c>
      <c r="AC259" s="61" t="n">
        <f aca="false">AC260-(AC254+AC255+AC256+AC257+AC258)</f>
        <v>-13.7000000000007</v>
      </c>
      <c r="AD259" s="61" t="n">
        <f aca="false">AD260-(AD254+AD255+AD256+AD257+AD258)</f>
        <v>0</v>
      </c>
      <c r="AE259" s="61" t="n">
        <f aca="false">AE260-(AE254+AE255+AE256+AE257+AE258)</f>
        <v>0</v>
      </c>
      <c r="AF259" s="61" t="n">
        <f aca="false">AF260-(AF254+AF255+AF256+AF257+AF258)</f>
        <v>-1</v>
      </c>
      <c r="AG259" s="61" t="n">
        <f aca="false">AG260-(AG254+AG255+AG256+AG257+AG258)</f>
        <v>-2.00000000000023</v>
      </c>
      <c r="AH259" s="61" t="n">
        <f aca="false">AH260-(AH254+AH255+AH256+AH257+AH258)</f>
        <v>-3</v>
      </c>
      <c r="AI259" s="61" t="n">
        <f aca="false">AI260-(AI254+AI255+AI256+AI257+AI258)</f>
        <v>-50</v>
      </c>
      <c r="AJ259" s="61" t="n">
        <f aca="false">AJ260-(AJ254+AJ255+AJ256+AJ257+AJ258)</f>
        <v>0</v>
      </c>
      <c r="AK259" s="61" t="n">
        <f aca="false">AK260-(AK254+AK255+AK256+AK257+AK258)</f>
        <v>-1</v>
      </c>
      <c r="AL259" s="61" t="n">
        <f aca="false">AL260-(AL254+AL255+AL256+AL257+AL258)</f>
        <v>0</v>
      </c>
      <c r="AM259" s="61" t="n">
        <f aca="false">AM260-(AM254+AM255+AM256+AM257+AM258)</f>
        <v>-51</v>
      </c>
      <c r="AN259" s="61" t="n">
        <f aca="false">AN260-(AN254+AN255+AN256+AN257+AN258)</f>
        <v>0</v>
      </c>
      <c r="AO259" s="61" t="n">
        <f aca="false">AO260-(AO254+AO255+AO256+AO257+AO258)</f>
        <v>0</v>
      </c>
      <c r="AP259" s="61" t="n">
        <f aca="false">AP260-(AP254+AP255+AP256+AP257+AP258)</f>
        <v>-49</v>
      </c>
      <c r="AQ259" s="61" t="n">
        <f aca="false">AQ260-(AQ254+AQ255+AQ256+AQ257+AQ258)</f>
        <v>-20</v>
      </c>
      <c r="AR259" s="61" t="n">
        <f aca="false">AR260-(AR254+AR255+AR256+AR257+AR258)</f>
        <v>-69</v>
      </c>
      <c r="AS259" s="61" t="n">
        <f aca="false">AS260-(AS254+AS255+AS256+AS257+AS258)</f>
        <v>-98</v>
      </c>
      <c r="AT259" s="61" t="n">
        <f aca="false">AT260-(AT254+AT255+AT256+AT257+AT258)</f>
        <v>-23</v>
      </c>
      <c r="AU259" s="61" t="n">
        <f aca="false">AU260-(AU254+AU255+AU256+AU257+AU258)</f>
        <v>-25</v>
      </c>
      <c r="AV259" s="61" t="n">
        <f aca="false">AV260-(AV254+AV255+AV256+AV257+AV258)</f>
        <v>-1</v>
      </c>
      <c r="AW259" s="61" t="n">
        <f aca="false">AW260-(AW254+AW255+AW256+AW257+AW258)</f>
        <v>-147</v>
      </c>
      <c r="AX259" s="61" t="n">
        <f aca="false">AX260-(AX254+AX255+AX256+AX257+AX258)</f>
        <v>21</v>
      </c>
      <c r="AY259" s="61" t="n">
        <f aca="false">AY260-(AY254+AY255+AY256+AY257+AY258)</f>
        <v>-24</v>
      </c>
      <c r="AZ259" s="61" t="n">
        <f aca="false">AZ260-(AZ254+AZ255+AZ256+AZ257+AZ258)</f>
        <v>-7</v>
      </c>
      <c r="BA259" s="61" t="n">
        <f aca="false">BA260-(BA254+BA255+BA256+BA257+BA258)</f>
        <v>-81</v>
      </c>
      <c r="BB259" s="61" t="n">
        <f aca="false">BB260-(BB254+BB255+BB256+BB257+BB258)</f>
        <v>-91</v>
      </c>
      <c r="BC259" s="61" t="n">
        <f aca="false">BC260-(BC254+BC255+BC256+BC257+BC258)</f>
        <v>-36</v>
      </c>
      <c r="BD259" s="61" t="n">
        <f aca="false">BD260-(BD254+BD255+BD256+BD257+BD258)</f>
        <v>-12</v>
      </c>
      <c r="BE259" s="61" t="n">
        <f aca="false">BE260-(BE254+BE255+BE256+BE257+BE258)</f>
        <v>-38</v>
      </c>
      <c r="BF259" s="61" t="n">
        <f aca="false">BF260-(BF254+BF255+BF256+BF257+BF258)</f>
        <v>77</v>
      </c>
      <c r="BG259" s="61" t="n">
        <f aca="false">BG260-(BG254+BG255+BG256+BG257+BG258)</f>
        <v>-9</v>
      </c>
      <c r="BH259" s="61" t="n">
        <f aca="false">BH260-(BH254+BH255+BH256+BH257+BH258)</f>
        <v>20</v>
      </c>
      <c r="BI259" s="61" t="n">
        <f aca="false">BI260-(BI254+BI255+BI256+BI257+BI258)</f>
        <v>4</v>
      </c>
      <c r="BJ259" s="61" t="n">
        <f aca="false">BJ260-(BJ254+BJ255+BJ256+BJ257+BJ258)</f>
        <v>18</v>
      </c>
      <c r="BK259" s="61" t="n">
        <f aca="false">BK260-(BK254+BK255+BK256+BK257+BK258)</f>
        <v>14</v>
      </c>
      <c r="BL259" s="61" t="n">
        <f aca="false">BL260-(BL254+BL255+BL256+BL257+BL258)</f>
        <v>56</v>
      </c>
      <c r="BM259" s="61" t="n">
        <f aca="false">BM260-(BM254+BM255+BM256+BM257+BM258)</f>
        <v>109</v>
      </c>
      <c r="BN259" s="61" t="n">
        <f aca="false">BN260-(BN254+BN255+BN256+BN257+BN258)</f>
        <v>35</v>
      </c>
      <c r="BO259" s="61" t="n">
        <f aca="false">BO260-(BO254+BO255+BO256+BO257+BO258)</f>
        <v>67</v>
      </c>
      <c r="BP259" s="61" t="n">
        <f aca="false">BP260-(BP254+BP255+BP256+BP257+BP258)</f>
        <v>-17</v>
      </c>
      <c r="BQ259" s="61" t="n">
        <f aca="false">BQ260-(BQ254+BQ255+BQ256+BQ257+BQ258)</f>
        <v>194</v>
      </c>
      <c r="BR259" s="61" t="n">
        <f aca="false">BR260-(BR254+BR255+BR256+BR257+BR258)</f>
        <v>45</v>
      </c>
      <c r="BS259" s="61" t="n">
        <f aca="false">BS260-(BS254+BS255+BS256+BS257+BS258)</f>
        <v>-42</v>
      </c>
      <c r="BT259" s="61" t="n">
        <f aca="false">BT260-(BT254+BT255+BT256+BT257+BT258)</f>
        <v>-4</v>
      </c>
      <c r="BU259" s="61" t="n">
        <f aca="false">BU260-(BU254+BU255+BU256+BU257+BU258)</f>
        <v>91</v>
      </c>
      <c r="BV259" s="61" t="n">
        <f aca="false">BV260-(BV254+BV255+BV256+BV257+BV258)</f>
        <v>90</v>
      </c>
      <c r="BW259" s="61" t="n">
        <f aca="false">BW260-(BW254+BW255+BW256+BW257+BW258)</f>
        <v>40</v>
      </c>
      <c r="BX259" s="61" t="n">
        <f aca="false">BX260-(BX254+BX255+BX256+BX257+BX258)</f>
        <v>-7</v>
      </c>
      <c r="BY259" s="39"/>
      <c r="BZ259" s="39"/>
      <c r="CA259" s="44" t="n">
        <f aca="false">BW259+BX259</f>
        <v>33</v>
      </c>
      <c r="CB259" s="42" t="n">
        <v>0</v>
      </c>
      <c r="CC259" s="42" t="n">
        <v>0</v>
      </c>
      <c r="CD259" s="42" t="n">
        <v>0</v>
      </c>
      <c r="CE259" s="42" t="n">
        <v>0</v>
      </c>
      <c r="CF259" s="21"/>
    </row>
    <row r="260" customFormat="false" ht="15" hidden="false" customHeight="false" outlineLevel="0" collapsed="false">
      <c r="B260" s="17" t="s">
        <v>429</v>
      </c>
      <c r="C260" s="19" t="n">
        <v>-260.1</v>
      </c>
      <c r="D260" s="19" t="n">
        <v>-928.7</v>
      </c>
      <c r="E260" s="19" t="n">
        <v>-228.4</v>
      </c>
      <c r="F260" s="19" t="n">
        <v>-557.5</v>
      </c>
      <c r="G260" s="19" t="n">
        <v>-1295.1</v>
      </c>
      <c r="H260" s="19" t="n">
        <v>3550.6</v>
      </c>
      <c r="I260" s="19" t="n">
        <v>-917.7</v>
      </c>
      <c r="J260" s="19" t="n">
        <v>-27.8</v>
      </c>
      <c r="K260" s="19" t="n">
        <v>29.9</v>
      </c>
      <c r="L260" s="19" t="n">
        <v>-15.6</v>
      </c>
      <c r="M260" s="19" t="n">
        <v>3323.5</v>
      </c>
      <c r="N260" s="19" t="n">
        <v>3310</v>
      </c>
      <c r="O260" s="19" t="n">
        <v>7635.1</v>
      </c>
      <c r="P260" s="19" t="n">
        <v>-1814.2</v>
      </c>
      <c r="Q260" s="19" t="n">
        <v>-1114.1</v>
      </c>
      <c r="R260" s="19" t="n">
        <v>89.3</v>
      </c>
      <c r="S260" s="19" t="n">
        <v>4796.1</v>
      </c>
      <c r="T260" s="19" t="n">
        <v>-100.4</v>
      </c>
      <c r="U260" s="19" t="n">
        <v>-828.9</v>
      </c>
      <c r="V260" s="19" t="n">
        <v>-817.8</v>
      </c>
      <c r="W260" s="19" t="n">
        <v>-744.2</v>
      </c>
      <c r="X260" s="19" t="n">
        <v>-2491.3</v>
      </c>
      <c r="Y260" s="19" t="n">
        <v>1188</v>
      </c>
      <c r="Z260" s="19" t="n">
        <v>-889.2</v>
      </c>
      <c r="AA260" s="19" t="n">
        <v>4753.3</v>
      </c>
      <c r="AB260" s="19" t="n">
        <v>-2191.5</v>
      </c>
      <c r="AC260" s="19" t="n">
        <v>2860.6</v>
      </c>
      <c r="AD260" s="19" t="n">
        <v>-119.3</v>
      </c>
      <c r="AE260" s="19" t="n">
        <v>-963</v>
      </c>
      <c r="AF260" s="19" t="n">
        <v>6080.6</v>
      </c>
      <c r="AG260" s="19" t="n">
        <v>-1144.3</v>
      </c>
      <c r="AH260" s="19" t="n">
        <v>3854</v>
      </c>
      <c r="AI260" s="19" t="n">
        <v>-342</v>
      </c>
      <c r="AJ260" s="19" t="n">
        <v>-1006</v>
      </c>
      <c r="AK260" s="19" t="n">
        <v>-876</v>
      </c>
      <c r="AL260" s="19" t="n">
        <v>-13</v>
      </c>
      <c r="AM260" s="19" t="n">
        <v>-2237</v>
      </c>
      <c r="AN260" s="19" t="n">
        <v>-1425</v>
      </c>
      <c r="AO260" s="19" t="n">
        <v>690</v>
      </c>
      <c r="AP260" s="19" t="n">
        <v>-1869</v>
      </c>
      <c r="AQ260" s="19" t="n">
        <v>-514</v>
      </c>
      <c r="AR260" s="19" t="n">
        <v>-3118</v>
      </c>
      <c r="AS260" s="19" t="n">
        <v>619</v>
      </c>
      <c r="AT260" s="19" t="n">
        <v>1180</v>
      </c>
      <c r="AU260" s="19" t="n">
        <v>-791</v>
      </c>
      <c r="AV260" s="19" t="n">
        <v>-49</v>
      </c>
      <c r="AW260" s="19" t="n">
        <v>959</v>
      </c>
      <c r="AX260" s="19" t="n">
        <v>-4850</v>
      </c>
      <c r="AY260" s="19" t="n">
        <v>-76</v>
      </c>
      <c r="AZ260" s="19" t="n">
        <v>3040</v>
      </c>
      <c r="BA260" s="19" t="n">
        <v>8467</v>
      </c>
      <c r="BB260" s="19" t="n">
        <v>6581</v>
      </c>
      <c r="BC260" s="19" t="n">
        <v>-3145</v>
      </c>
      <c r="BD260" s="19" t="n">
        <v>-1905</v>
      </c>
      <c r="BE260" s="19" t="n">
        <v>-151</v>
      </c>
      <c r="BF260" s="19" t="n">
        <v>2391</v>
      </c>
      <c r="BG260" s="19" t="n">
        <v>-2810</v>
      </c>
      <c r="BH260" s="19" t="n">
        <v>-2593</v>
      </c>
      <c r="BI260" s="19" t="n">
        <v>-1456</v>
      </c>
      <c r="BJ260" s="19" t="n">
        <v>1855</v>
      </c>
      <c r="BK260" s="19" t="n">
        <v>-1428</v>
      </c>
      <c r="BL260" s="19" t="n">
        <v>-3622</v>
      </c>
      <c r="BM260" s="19" t="n">
        <v>-1821</v>
      </c>
      <c r="BN260" s="19" t="n">
        <v>-115</v>
      </c>
      <c r="BO260" s="19" t="n">
        <v>-1190</v>
      </c>
      <c r="BP260" s="19" t="n">
        <v>-3666</v>
      </c>
      <c r="BQ260" s="19" t="n">
        <v>-6792</v>
      </c>
      <c r="BR260" s="19" t="n">
        <v>-102</v>
      </c>
      <c r="BS260" s="19" t="n">
        <v>-991</v>
      </c>
      <c r="BT260" s="19" t="n">
        <v>-632</v>
      </c>
      <c r="BU260" s="19" t="n">
        <v>3526</v>
      </c>
      <c r="BV260" s="19" t="n">
        <v>1801</v>
      </c>
      <c r="BW260" s="19" t="n">
        <v>1093</v>
      </c>
      <c r="BX260" s="19" t="n">
        <v>-1571</v>
      </c>
      <c r="BY260" s="52"/>
      <c r="BZ260" s="52"/>
      <c r="CA260" s="20" t="n">
        <f aca="false">SUM(CA254:CA259)</f>
        <v>-826.74</v>
      </c>
      <c r="CB260" s="20" t="n">
        <f aca="false">SUM(CB254:CB259)</f>
        <v>-5105.83812373576</v>
      </c>
      <c r="CC260" s="20" t="n">
        <f aca="false">SUM(CC254:CC259)</f>
        <v>-8452.70717803247</v>
      </c>
      <c r="CD260" s="20" t="n">
        <f aca="false">SUM(CD254:CD259)</f>
        <v>-7994.38186292067</v>
      </c>
      <c r="CE260" s="20" t="n">
        <f aca="false">SUM(CE254:CE259)</f>
        <v>-7080.67823467502</v>
      </c>
      <c r="CF260" s="21"/>
    </row>
    <row r="261" customFormat="false" ht="15" hidden="false" customHeight="false" outlineLevel="0" collapsed="false">
      <c r="B261" s="23" t="s">
        <v>430</v>
      </c>
      <c r="C261" s="37" t="n">
        <v>24.1</v>
      </c>
      <c r="D261" s="37" t="n">
        <v>-11.1</v>
      </c>
      <c r="E261" s="37" t="n">
        <v>-86.4</v>
      </c>
      <c r="F261" s="37" t="n">
        <v>11.4</v>
      </c>
      <c r="G261" s="37" t="n">
        <v>9.2</v>
      </c>
      <c r="H261" s="37" t="n">
        <v>-0.2</v>
      </c>
      <c r="I261" s="37" t="n">
        <v>38.7</v>
      </c>
      <c r="J261" s="37" t="n">
        <v>-50.3</v>
      </c>
      <c r="K261" s="37" t="n">
        <v>-38.2</v>
      </c>
      <c r="L261" s="37" t="n">
        <v>53.1</v>
      </c>
      <c r="M261" s="37" t="n">
        <v>-1.6</v>
      </c>
      <c r="N261" s="37" t="n">
        <v>-37</v>
      </c>
      <c r="O261" s="37" t="n">
        <v>2.8</v>
      </c>
      <c r="P261" s="37" t="n">
        <v>19.4</v>
      </c>
      <c r="Q261" s="37" t="n">
        <v>-29.9</v>
      </c>
      <c r="R261" s="37" t="n">
        <v>-107.8</v>
      </c>
      <c r="S261" s="37" t="n">
        <v>-115.5</v>
      </c>
      <c r="T261" s="37" t="n">
        <v>-64.2</v>
      </c>
      <c r="U261" s="37" t="n">
        <v>42.8</v>
      </c>
      <c r="V261" s="37" t="n">
        <v>-84.4</v>
      </c>
      <c r="W261" s="37" t="n">
        <v>-23.8</v>
      </c>
      <c r="X261" s="37" t="n">
        <v>-129.6</v>
      </c>
      <c r="Y261" s="37" t="n">
        <v>36.9</v>
      </c>
      <c r="Z261" s="37" t="n">
        <v>-55.3</v>
      </c>
      <c r="AA261" s="37" t="n">
        <v>-22.2</v>
      </c>
      <c r="AB261" s="37" t="n">
        <v>-110.1</v>
      </c>
      <c r="AC261" s="37" t="n">
        <v>-150.7</v>
      </c>
      <c r="AD261" s="37" t="n">
        <v>65.8</v>
      </c>
      <c r="AE261" s="37" t="n">
        <v>102.4</v>
      </c>
      <c r="AF261" s="37" t="n">
        <v>87.9</v>
      </c>
      <c r="AG261" s="37" t="n">
        <v>163.9</v>
      </c>
      <c r="AH261" s="37" t="n">
        <v>420</v>
      </c>
      <c r="AI261" s="37" t="n">
        <v>57</v>
      </c>
      <c r="AJ261" s="37" t="n">
        <v>-272</v>
      </c>
      <c r="AK261" s="37" t="n">
        <v>-21</v>
      </c>
      <c r="AL261" s="37" t="n">
        <v>-61</v>
      </c>
      <c r="AM261" s="37" t="n">
        <v>-297</v>
      </c>
      <c r="AN261" s="37" t="n">
        <v>-32</v>
      </c>
      <c r="AO261" s="37" t="n">
        <v>-29</v>
      </c>
      <c r="AP261" s="37" t="n">
        <v>-59</v>
      </c>
      <c r="AQ261" s="37" t="n">
        <v>57</v>
      </c>
      <c r="AR261" s="37" t="n">
        <v>-63</v>
      </c>
      <c r="AS261" s="37" t="n">
        <v>-127</v>
      </c>
      <c r="AT261" s="37" t="n">
        <v>20</v>
      </c>
      <c r="AU261" s="37" t="n">
        <v>181</v>
      </c>
      <c r="AV261" s="37" t="n">
        <v>102</v>
      </c>
      <c r="AW261" s="37" t="n">
        <v>176</v>
      </c>
      <c r="AX261" s="37" t="n">
        <v>137</v>
      </c>
      <c r="AY261" s="37" t="n">
        <v>-93</v>
      </c>
      <c r="AZ261" s="37" t="n">
        <v>-61</v>
      </c>
      <c r="BA261" s="37" t="n">
        <v>-20</v>
      </c>
      <c r="BB261" s="37" t="n">
        <v>-37</v>
      </c>
      <c r="BC261" s="37" t="n">
        <v>-99</v>
      </c>
      <c r="BD261" s="37" t="n">
        <v>-78</v>
      </c>
      <c r="BE261" s="37" t="n">
        <v>-212</v>
      </c>
      <c r="BF261" s="37" t="n">
        <v>250</v>
      </c>
      <c r="BG261" s="37" t="n">
        <v>-139</v>
      </c>
      <c r="BH261" s="37" t="n">
        <v>-31</v>
      </c>
      <c r="BI261" s="37" t="n">
        <v>12</v>
      </c>
      <c r="BJ261" s="37" t="n">
        <v>-73</v>
      </c>
      <c r="BK261" s="37" t="n">
        <v>10</v>
      </c>
      <c r="BL261" s="37" t="n">
        <v>-82</v>
      </c>
      <c r="BM261" s="37" t="n">
        <v>22</v>
      </c>
      <c r="BN261" s="37" t="n">
        <v>-15</v>
      </c>
      <c r="BO261" s="37" t="n">
        <v>175</v>
      </c>
      <c r="BP261" s="37" t="n">
        <v>-273</v>
      </c>
      <c r="BQ261" s="37" t="n">
        <v>-91</v>
      </c>
      <c r="BR261" s="37" t="n">
        <v>37</v>
      </c>
      <c r="BS261" s="37" t="n">
        <v>311</v>
      </c>
      <c r="BT261" s="37" t="n">
        <v>-75</v>
      </c>
      <c r="BU261" s="37" t="n">
        <v>-6</v>
      </c>
      <c r="BV261" s="37" t="n">
        <v>267</v>
      </c>
      <c r="BW261" s="37" t="n">
        <v>78</v>
      </c>
      <c r="BX261" s="37" t="n">
        <v>98</v>
      </c>
      <c r="BY261" s="39"/>
      <c r="BZ261" s="39"/>
      <c r="CA261" s="44" t="n">
        <f aca="false">BW261+BX261</f>
        <v>176</v>
      </c>
      <c r="CB261" s="42" t="n">
        <v>0</v>
      </c>
      <c r="CC261" s="42" t="n">
        <v>0</v>
      </c>
      <c r="CD261" s="42" t="n">
        <v>0</v>
      </c>
      <c r="CE261" s="42" t="n">
        <v>0</v>
      </c>
      <c r="CF261" s="21"/>
    </row>
    <row r="262" customFormat="false" ht="15" hidden="false" customHeight="false" outlineLevel="0" collapsed="false">
      <c r="B262" s="17" t="s">
        <v>431</v>
      </c>
      <c r="C262" s="63" t="n">
        <f aca="false">C247+C253+C260+C261</f>
        <v>453.1</v>
      </c>
      <c r="D262" s="63" t="n">
        <f aca="false">D247+D253+D260+D261</f>
        <v>-42.3000000000001</v>
      </c>
      <c r="E262" s="63" t="n">
        <f aca="false">E247+E253+E260+E261</f>
        <v>655.4</v>
      </c>
      <c r="F262" s="63" t="n">
        <f aca="false">F247+F253+F260+F261</f>
        <v>283.6</v>
      </c>
      <c r="G262" s="63" t="n">
        <f aca="false">G247+G253+G260+G261</f>
        <v>-647</v>
      </c>
      <c r="H262" s="63" t="n">
        <f aca="false">H247+H253+H260+H261</f>
        <v>99.2000000000001</v>
      </c>
      <c r="I262" s="63" t="n">
        <f aca="false">I247+I253+I260+I261</f>
        <v>-165.3</v>
      </c>
      <c r="J262" s="63" t="n">
        <f aca="false">J247+J253+J260+J261</f>
        <v>153.1</v>
      </c>
      <c r="K262" s="63" t="n">
        <f aca="false">K247+K253+K260+K261</f>
        <v>404.8</v>
      </c>
      <c r="L262" s="63" t="n">
        <f aca="false">L247+L253+L260+L261</f>
        <v>482.1</v>
      </c>
      <c r="M262" s="63" t="n">
        <f aca="false">M247+M253+M260+M261</f>
        <v>3980.4</v>
      </c>
      <c r="N262" s="63" t="n">
        <f aca="false">N247+N253+N260+N261</f>
        <v>5020.4</v>
      </c>
      <c r="O262" s="63" t="n">
        <f aca="false">O247+O253+O260+O261</f>
        <v>-4328.8</v>
      </c>
      <c r="P262" s="63" t="n">
        <f aca="false">P247+P253+P260+P261</f>
        <v>-912.3</v>
      </c>
      <c r="Q262" s="63" t="n">
        <f aca="false">Q247+Q253+Q260+Q261</f>
        <v>-50.5999999999998</v>
      </c>
      <c r="R262" s="63" t="n">
        <f aca="false">R247+R253+R260+R261</f>
        <v>809.2</v>
      </c>
      <c r="S262" s="63" t="n">
        <f aca="false">S247+S253+S260+S261</f>
        <v>-4482.5</v>
      </c>
      <c r="T262" s="63" t="n">
        <f aca="false">T247+T253+T260+T261</f>
        <v>-478.9</v>
      </c>
      <c r="U262" s="63" t="n">
        <f aca="false">U247+U253+U260+U261</f>
        <v>-96.2</v>
      </c>
      <c r="V262" s="63" t="n">
        <f aca="false">V247+V253+V260+V261</f>
        <v>-265</v>
      </c>
      <c r="W262" s="63" t="n">
        <f aca="false">W247+W253+W260+W261</f>
        <v>-51.3000000000001</v>
      </c>
      <c r="X262" s="63" t="n">
        <f aca="false">X247+X253+X260+X261</f>
        <v>-891.4</v>
      </c>
      <c r="Y262" s="63" t="n">
        <f aca="false">Y247+Y253+Y260+Y261</f>
        <v>374.7</v>
      </c>
      <c r="Z262" s="63" t="n">
        <f aca="false">Z247+Z253+Z260+Z261</f>
        <v>-163.7</v>
      </c>
      <c r="AA262" s="63" t="n">
        <f aca="false">AA247+AA253+AA260+AA261</f>
        <v>1306.9</v>
      </c>
      <c r="AB262" s="63" t="n">
        <f aca="false">AB247+AB253+AB260+AB261</f>
        <v>-1183.8</v>
      </c>
      <c r="AC262" s="63" t="n">
        <f aca="false">AC247+AC253+AC260+AC261</f>
        <v>334.1</v>
      </c>
      <c r="AD262" s="63" t="n">
        <f aca="false">AD247+AD253+AD260+AD261</f>
        <v>-73.9</v>
      </c>
      <c r="AE262" s="63" t="n">
        <f aca="false">AE247+AE253+AE260+AE261</f>
        <v>-107.6</v>
      </c>
      <c r="AF262" s="63" t="n">
        <f aca="false">AF247+AF253+AF260+AF261</f>
        <v>128.800000000001</v>
      </c>
      <c r="AG262" s="63" t="n">
        <f aca="false">AG247+AG253+AG260+AG261</f>
        <v>602.7</v>
      </c>
      <c r="AH262" s="63" t="n">
        <f aca="false">AH247+AH253+AH260+AH261</f>
        <v>550</v>
      </c>
      <c r="AI262" s="63" t="n">
        <f aca="false">AI247+AI253+AI260+AI261</f>
        <v>-386</v>
      </c>
      <c r="AJ262" s="63" t="n">
        <f aca="false">AJ247+AJ253+AJ260+AJ261</f>
        <v>-19</v>
      </c>
      <c r="AK262" s="63" t="n">
        <f aca="false">AK247+AK253+AK260+AK261</f>
        <v>155</v>
      </c>
      <c r="AL262" s="63" t="n">
        <f aca="false">AL247+AL253+AL260+AL261</f>
        <v>1006</v>
      </c>
      <c r="AM262" s="63" t="n">
        <f aca="false">AM247+AM253+AM260+AM261</f>
        <v>756</v>
      </c>
      <c r="AN262" s="63" t="n">
        <f aca="false">AN247+AN253+AN260+AN261</f>
        <v>-989</v>
      </c>
      <c r="AO262" s="63" t="n">
        <f aca="false">AO247+AO253+AO260+AO261</f>
        <v>1186</v>
      </c>
      <c r="AP262" s="63" t="n">
        <f aca="false">AP247+AP253+AP260+AP261</f>
        <v>-1009</v>
      </c>
      <c r="AQ262" s="63" t="n">
        <f aca="false">AQ247+AQ253+AQ260+AQ261</f>
        <v>1117</v>
      </c>
      <c r="AR262" s="63" t="n">
        <f aca="false">AR247+AR253+AR260+AR261</f>
        <v>305</v>
      </c>
      <c r="AS262" s="63" t="n">
        <f aca="false">AS247+AS253+AS260+AS261</f>
        <v>588</v>
      </c>
      <c r="AT262" s="63" t="n">
        <f aca="false">AT247+AT253+AT260+AT261</f>
        <v>2827</v>
      </c>
      <c r="AU262" s="63" t="n">
        <f aca="false">AU247+AU253+AU260+AU261</f>
        <v>1733</v>
      </c>
      <c r="AV262" s="63" t="n">
        <f aca="false">AV247+AV253+AV260+AV261</f>
        <v>2766</v>
      </c>
      <c r="AW262" s="63" t="n">
        <f aca="false">AW247+AW253+AW260+AW261</f>
        <v>7914</v>
      </c>
      <c r="AX262" s="63" t="n">
        <f aca="false">AX247+AX253+AX260+AX261</f>
        <v>-4733</v>
      </c>
      <c r="AY262" s="63" t="n">
        <f aca="false">AY247+AY253+AY260+AY261</f>
        <v>1432</v>
      </c>
      <c r="AZ262" s="63" t="n">
        <f aca="false">AZ247+AZ253+AZ260+AZ261</f>
        <v>5013</v>
      </c>
      <c r="BA262" s="63" t="n">
        <f aca="false">BA247+BA253+BA260+BA261</f>
        <v>-7557</v>
      </c>
      <c r="BB262" s="63" t="n">
        <f aca="false">BB247+BB253+BB260+BB261</f>
        <v>-5845</v>
      </c>
      <c r="BC262" s="63" t="n">
        <f aca="false">BC247+BC253+BC260+BC261</f>
        <v>-1712</v>
      </c>
      <c r="BD262" s="63" t="n">
        <f aca="false">BD247+BD253+BD260+BD261</f>
        <v>-874</v>
      </c>
      <c r="BE262" s="63" t="n">
        <f aca="false">BE247+BE253+BE260+BE261</f>
        <v>1029</v>
      </c>
      <c r="BF262" s="63" t="n">
        <f aca="false">BF247+BF253+BF260+BF261</f>
        <v>5603</v>
      </c>
      <c r="BG262" s="63" t="n">
        <f aca="false">BG247+BG253+BG260+BG261</f>
        <v>4046</v>
      </c>
      <c r="BH262" s="63" t="n">
        <f aca="false">BH247+BH253+BH260+BH261</f>
        <v>-5037</v>
      </c>
      <c r="BI262" s="63" t="n">
        <f aca="false">BI247+BI253+BI260+BI261</f>
        <v>-347</v>
      </c>
      <c r="BJ262" s="63" t="n">
        <f aca="false">BJ247+BJ253+BJ260+BJ261</f>
        <v>3015</v>
      </c>
      <c r="BK262" s="63" t="n">
        <f aca="false">BK247+BK253+BK260+BK261</f>
        <v>1929</v>
      </c>
      <c r="BL262" s="63" t="n">
        <f aca="false">BL247+BL253+BL260+BL261</f>
        <v>-440</v>
      </c>
      <c r="BM262" s="63" t="n">
        <f aca="false">BM247+BM253+BM260+BM261</f>
        <v>-2578</v>
      </c>
      <c r="BN262" s="63" t="n">
        <f aca="false">BN247+BN253+BN260+BN261</f>
        <v>1577</v>
      </c>
      <c r="BO262" s="63" t="n">
        <f aca="false">BO247+BO253+BO260+BO261</f>
        <v>-2427</v>
      </c>
      <c r="BP262" s="63" t="n">
        <f aca="false">BP247+BP253+BP260+BP261</f>
        <v>-629</v>
      </c>
      <c r="BQ262" s="63" t="n">
        <f aca="false">BQ247+BQ253+BQ260+BQ261</f>
        <v>-4057</v>
      </c>
      <c r="BR262" s="63" t="n">
        <f aca="false">BR247+BR253+BR260+BR261</f>
        <v>131</v>
      </c>
      <c r="BS262" s="63" t="n">
        <f aca="false">BS247+BS253+BS260+BS261</f>
        <v>431</v>
      </c>
      <c r="BT262" s="63" t="n">
        <f aca="false">BT247+BT253+BT260+BT261</f>
        <v>-2591</v>
      </c>
      <c r="BU262" s="63" t="n">
        <f aca="false">BU247+BU253+BU260+BU261</f>
        <v>7868</v>
      </c>
      <c r="BV262" s="63" t="n">
        <f aca="false">BV247+BV253+BV260+BV261</f>
        <v>5839</v>
      </c>
      <c r="BW262" s="63" t="n">
        <f aca="false">BW247+BW253+BW260+BW261</f>
        <v>-6598</v>
      </c>
      <c r="BX262" s="63" t="n">
        <f aca="false">BX247+BX253+BX260+BX261</f>
        <v>816</v>
      </c>
      <c r="BY262" s="52"/>
      <c r="BZ262" s="52"/>
      <c r="CA262" s="20" t="n">
        <f aca="false">CA247+CA253+CA260+CA261</f>
        <v>-459.74</v>
      </c>
      <c r="CB262" s="20" t="n">
        <f aca="false">CB247+CB253+CB260+CB261</f>
        <v>-469.055316745781</v>
      </c>
      <c r="CC262" s="20" t="n">
        <f aca="false">CC247+CC253+CC260+CC261</f>
        <v>-3102.70604016721</v>
      </c>
      <c r="CD262" s="20" t="n">
        <f aca="false">CD247+CD253+CD260+CD261</f>
        <v>-1846.49864308701</v>
      </c>
      <c r="CE262" s="20" t="n">
        <f aca="false">CE247+CE253+CE260+CE261</f>
        <v>0</v>
      </c>
      <c r="CF262" s="21"/>
    </row>
    <row r="263" customFormat="false" ht="15" hidden="false" customHeight="false" outlineLevel="0" collapsed="false">
      <c r="B263" s="23" t="s">
        <v>432</v>
      </c>
      <c r="C263" s="37" t="n">
        <v>214.3</v>
      </c>
      <c r="D263" s="37" t="n">
        <v>667.4</v>
      </c>
      <c r="E263" s="37" t="n">
        <v>625.1</v>
      </c>
      <c r="F263" s="37" t="n">
        <v>1280.5</v>
      </c>
      <c r="G263" s="37" t="n">
        <v>1564.1</v>
      </c>
      <c r="H263" s="37" t="n">
        <v>917.1</v>
      </c>
      <c r="I263" s="37" t="n">
        <v>1016.3</v>
      </c>
      <c r="J263" s="37" t="n">
        <v>851</v>
      </c>
      <c r="K263" s="37" t="n">
        <v>1004.1</v>
      </c>
      <c r="L263" s="37" t="n">
        <v>1363.5</v>
      </c>
      <c r="M263" s="37" t="n">
        <v>1845.6</v>
      </c>
      <c r="N263" s="37" t="n">
        <v>805.6</v>
      </c>
      <c r="O263" s="37" t="n">
        <v>5826</v>
      </c>
      <c r="P263" s="37" t="n">
        <v>1497.2</v>
      </c>
      <c r="Q263" s="37" t="n">
        <v>584.9</v>
      </c>
      <c r="R263" s="37" t="n">
        <v>534.3</v>
      </c>
      <c r="S263" s="37" t="n">
        <v>5826</v>
      </c>
      <c r="T263" s="37" t="n">
        <v>1343.5</v>
      </c>
      <c r="U263" s="37" t="n">
        <v>864.6</v>
      </c>
      <c r="V263" s="37" t="n">
        <v>768.4</v>
      </c>
      <c r="W263" s="37" t="n">
        <v>503.4</v>
      </c>
      <c r="X263" s="37" t="n">
        <v>1343.5</v>
      </c>
      <c r="Y263" s="37" t="n">
        <v>452.1</v>
      </c>
      <c r="Z263" s="37" t="n">
        <v>826.8</v>
      </c>
      <c r="AA263" s="37" t="n">
        <v>663.1</v>
      </c>
      <c r="AB263" s="37" t="n">
        <v>1970</v>
      </c>
      <c r="AC263" s="37" t="n">
        <v>452.1</v>
      </c>
      <c r="AD263" s="37" t="n">
        <v>810.8</v>
      </c>
      <c r="AE263" s="37" t="n">
        <v>736.9</v>
      </c>
      <c r="AF263" s="37" t="n">
        <v>629.3</v>
      </c>
      <c r="AG263" s="37" t="n">
        <v>758.1</v>
      </c>
      <c r="AH263" s="37" t="n">
        <v>811</v>
      </c>
      <c r="AI263" s="37" t="n">
        <v>1361</v>
      </c>
      <c r="AJ263" s="37" t="n">
        <v>975</v>
      </c>
      <c r="AK263" s="37" t="n">
        <v>956</v>
      </c>
      <c r="AL263" s="37" t="n">
        <v>1111</v>
      </c>
      <c r="AM263" s="37" t="n">
        <v>1361</v>
      </c>
      <c r="AN263" s="37" t="n">
        <v>2117</v>
      </c>
      <c r="AO263" s="37" t="n">
        <v>1128</v>
      </c>
      <c r="AP263" s="37" t="n">
        <v>2314</v>
      </c>
      <c r="AQ263" s="37" t="n">
        <v>1305</v>
      </c>
      <c r="AR263" s="37" t="n">
        <v>2117</v>
      </c>
      <c r="AS263" s="37" t="n">
        <v>2422</v>
      </c>
      <c r="AT263" s="37" t="n">
        <v>3010</v>
      </c>
      <c r="AU263" s="37" t="n">
        <v>5837</v>
      </c>
      <c r="AV263" s="37" t="n">
        <v>7570</v>
      </c>
      <c r="AW263" s="37" t="n">
        <v>2422</v>
      </c>
      <c r="AX263" s="37" t="n">
        <v>10336</v>
      </c>
      <c r="AY263" s="37" t="n">
        <v>5603</v>
      </c>
      <c r="AZ263" s="37" t="n">
        <v>7035</v>
      </c>
      <c r="BA263" s="37" t="n">
        <v>12048</v>
      </c>
      <c r="BB263" s="37" t="n">
        <v>10336</v>
      </c>
      <c r="BC263" s="37" t="n">
        <v>4491</v>
      </c>
      <c r="BD263" s="37" t="n">
        <v>2779</v>
      </c>
      <c r="BE263" s="37" t="n">
        <v>1905</v>
      </c>
      <c r="BF263" s="37" t="n">
        <v>2934</v>
      </c>
      <c r="BG263" s="37" t="n">
        <v>4491</v>
      </c>
      <c r="BH263" s="37" t="n">
        <v>8537</v>
      </c>
      <c r="BI263" s="37" t="n">
        <v>3500</v>
      </c>
      <c r="BJ263" s="37" t="n">
        <v>3153</v>
      </c>
      <c r="BK263" s="37" t="n">
        <v>6168</v>
      </c>
      <c r="BL263" s="37" t="n">
        <v>8537</v>
      </c>
      <c r="BM263" s="37" t="n">
        <v>8097</v>
      </c>
      <c r="BN263" s="37" t="n">
        <v>5519</v>
      </c>
      <c r="BO263" s="37" t="n">
        <v>7097</v>
      </c>
      <c r="BP263" s="37" t="n">
        <v>4670</v>
      </c>
      <c r="BQ263" s="37" t="n">
        <v>8097</v>
      </c>
      <c r="BR263" s="37" t="n">
        <v>4040</v>
      </c>
      <c r="BS263" s="37" t="n">
        <v>4172</v>
      </c>
      <c r="BT263" s="37" t="n">
        <v>4603</v>
      </c>
      <c r="BU263" s="37" t="n">
        <v>2011</v>
      </c>
      <c r="BV263" s="37" t="n">
        <v>4040</v>
      </c>
      <c r="BW263" s="37" t="n">
        <v>9879</v>
      </c>
      <c r="BX263" s="37" t="n">
        <v>3280</v>
      </c>
      <c r="BY263" s="39"/>
      <c r="BZ263" s="39"/>
      <c r="CA263" s="44" t="n">
        <f aca="false">BV264</f>
        <v>9879</v>
      </c>
      <c r="CB263" s="44" t="n">
        <f aca="false">CA264</f>
        <v>9418.26</v>
      </c>
      <c r="CC263" s="44" t="n">
        <f aca="false">CB264</f>
        <v>8949.20468325422</v>
      </c>
      <c r="CD263" s="44" t="n">
        <f aca="false">CC264</f>
        <v>5846.49864308701</v>
      </c>
      <c r="CE263" s="44" t="n">
        <f aca="false">CD264</f>
        <v>4000</v>
      </c>
      <c r="CF263" s="21"/>
    </row>
    <row r="264" customFormat="false" ht="15" hidden="false" customHeight="false" outlineLevel="0" collapsed="false">
      <c r="B264" s="17" t="s">
        <v>433</v>
      </c>
      <c r="C264" s="19" t="n">
        <v>667.4</v>
      </c>
      <c r="D264" s="19" t="n">
        <v>625.1</v>
      </c>
      <c r="E264" s="19" t="n">
        <v>1280.5</v>
      </c>
      <c r="F264" s="19" t="n">
        <v>1564.1</v>
      </c>
      <c r="G264" s="19" t="n">
        <v>917.1</v>
      </c>
      <c r="H264" s="19" t="n">
        <v>1016.3</v>
      </c>
      <c r="I264" s="19" t="n">
        <v>851</v>
      </c>
      <c r="J264" s="19" t="n">
        <v>1004.1</v>
      </c>
      <c r="K264" s="19" t="n">
        <v>1408.9</v>
      </c>
      <c r="L264" s="19" t="n">
        <v>1845.6</v>
      </c>
      <c r="M264" s="19" t="n">
        <v>5826</v>
      </c>
      <c r="N264" s="19" t="n">
        <v>5826</v>
      </c>
      <c r="O264" s="19" t="n">
        <v>1497.2</v>
      </c>
      <c r="P264" s="19" t="n">
        <v>584.9</v>
      </c>
      <c r="Q264" s="19" t="n">
        <v>534.3</v>
      </c>
      <c r="R264" s="19" t="n">
        <v>1343.5</v>
      </c>
      <c r="S264" s="19" t="n">
        <v>1343.5</v>
      </c>
      <c r="T264" s="19" t="n">
        <v>864.6</v>
      </c>
      <c r="U264" s="19" t="n">
        <v>768.4</v>
      </c>
      <c r="V264" s="19" t="n">
        <v>503.4</v>
      </c>
      <c r="W264" s="19" t="n">
        <v>452.1</v>
      </c>
      <c r="X264" s="19" t="n">
        <v>452.1</v>
      </c>
      <c r="Y264" s="19" t="n">
        <v>826.8</v>
      </c>
      <c r="Z264" s="19" t="n">
        <v>663.1</v>
      </c>
      <c r="AA264" s="19" t="n">
        <v>1970</v>
      </c>
      <c r="AB264" s="19" t="n">
        <v>786.2</v>
      </c>
      <c r="AC264" s="19" t="n">
        <v>786.2</v>
      </c>
      <c r="AD264" s="19" t="n">
        <v>736.9</v>
      </c>
      <c r="AE264" s="19" t="n">
        <v>629.3</v>
      </c>
      <c r="AF264" s="19" t="n">
        <v>758.1</v>
      </c>
      <c r="AG264" s="19" t="n">
        <v>1361</v>
      </c>
      <c r="AH264" s="19" t="n">
        <v>1361</v>
      </c>
      <c r="AI264" s="19" t="n">
        <v>975</v>
      </c>
      <c r="AJ264" s="19" t="n">
        <v>956</v>
      </c>
      <c r="AK264" s="19" t="n">
        <v>1111</v>
      </c>
      <c r="AL264" s="19" t="n">
        <v>2117</v>
      </c>
      <c r="AM264" s="19" t="n">
        <v>2117</v>
      </c>
      <c r="AN264" s="19" t="n">
        <v>1128</v>
      </c>
      <c r="AO264" s="19" t="n">
        <v>2314</v>
      </c>
      <c r="AP264" s="19" t="n">
        <v>1305</v>
      </c>
      <c r="AQ264" s="19" t="n">
        <v>2422</v>
      </c>
      <c r="AR264" s="19" t="n">
        <v>2422</v>
      </c>
      <c r="AS264" s="19" t="n">
        <v>3010</v>
      </c>
      <c r="AT264" s="19" t="n">
        <v>5837</v>
      </c>
      <c r="AU264" s="19" t="n">
        <v>7570</v>
      </c>
      <c r="AV264" s="19" t="n">
        <v>10336</v>
      </c>
      <c r="AW264" s="19" t="n">
        <v>10336</v>
      </c>
      <c r="AX264" s="19" t="n">
        <v>5603</v>
      </c>
      <c r="AY264" s="19" t="n">
        <v>7035</v>
      </c>
      <c r="AZ264" s="19" t="n">
        <v>12048</v>
      </c>
      <c r="BA264" s="19" t="n">
        <v>4491</v>
      </c>
      <c r="BB264" s="19" t="n">
        <v>4491</v>
      </c>
      <c r="BC264" s="19" t="n">
        <v>2779</v>
      </c>
      <c r="BD264" s="19" t="n">
        <v>1905</v>
      </c>
      <c r="BE264" s="19" t="n">
        <v>2934</v>
      </c>
      <c r="BF264" s="19" t="n">
        <v>8537</v>
      </c>
      <c r="BG264" s="19" t="n">
        <v>8537</v>
      </c>
      <c r="BH264" s="19" t="n">
        <v>3500</v>
      </c>
      <c r="BI264" s="19" t="n">
        <v>3153</v>
      </c>
      <c r="BJ264" s="19" t="n">
        <v>6168</v>
      </c>
      <c r="BK264" s="19" t="n">
        <v>8097</v>
      </c>
      <c r="BL264" s="19" t="n">
        <v>8097</v>
      </c>
      <c r="BM264" s="19" t="n">
        <v>5519</v>
      </c>
      <c r="BN264" s="19" t="n">
        <v>7097</v>
      </c>
      <c r="BO264" s="19" t="n">
        <v>4670</v>
      </c>
      <c r="BP264" s="19" t="n">
        <v>4040</v>
      </c>
      <c r="BQ264" s="19" t="n">
        <v>4040</v>
      </c>
      <c r="BR264" s="19" t="n">
        <v>4172</v>
      </c>
      <c r="BS264" s="19" t="n">
        <v>4603</v>
      </c>
      <c r="BT264" s="19" t="n">
        <v>2011</v>
      </c>
      <c r="BU264" s="19" t="n">
        <v>9879</v>
      </c>
      <c r="BV264" s="19" t="n">
        <v>9879</v>
      </c>
      <c r="BW264" s="19" t="n">
        <v>3280</v>
      </c>
      <c r="BX264" s="19" t="n">
        <v>4096</v>
      </c>
      <c r="BY264" s="52"/>
      <c r="BZ264" s="52"/>
      <c r="CA264" s="20" t="n">
        <f aca="false">BX264+CA262-(BW262+BX262)</f>
        <v>9418.26</v>
      </c>
      <c r="CB264" s="20" t="n">
        <f aca="false">CB263+CB262</f>
        <v>8949.20468325422</v>
      </c>
      <c r="CC264" s="20" t="n">
        <f aca="false">CC263+CC262</f>
        <v>5846.49864308701</v>
      </c>
      <c r="CD264" s="20" t="n">
        <f aca="false">CD263+CD262</f>
        <v>4000</v>
      </c>
      <c r="CE264" s="20" t="n">
        <f aca="false">CE263+CE262</f>
        <v>4000</v>
      </c>
      <c r="CF264" s="21" t="s">
        <v>434</v>
      </c>
    </row>
    <row r="265" customFormat="false" ht="15" hidden="false" customHeight="false" outlineLevel="0" collapsed="false">
      <c r="B265" s="60" t="s">
        <v>435</v>
      </c>
      <c r="C265" s="61" t="n">
        <f aca="false">IF(ISNUMBER(C263),IF(ABS(C263+C262-C264)&lt;=1.001,0,ROUND(C263+C262-C264,1)),"")</f>
        <v>0</v>
      </c>
      <c r="D265" s="61" t="n">
        <f aca="false">IF(ISNUMBER(D263),IF(ABS(D263+D262-D264)&lt;=1.001,0,ROUND(D263+D262-D264,1)),"")</f>
        <v>0</v>
      </c>
      <c r="E265" s="61" t="n">
        <f aca="false">IF(ISNUMBER(E263),IF(ABS(E263+E262-E264)&lt;=1.001,0,ROUND(E263+E262-E264,1)),"")</f>
        <v>0</v>
      </c>
      <c r="F265" s="61" t="n">
        <f aca="false">IF(ISNUMBER(F263),IF(ABS(F263+F262-F264)&lt;=1.001,0,ROUND(F263+F262-F264,1)),"")</f>
        <v>0</v>
      </c>
      <c r="G265" s="61" t="n">
        <f aca="false">IF(ISNUMBER(G263),IF(ABS(G263+G262-G264)&lt;=1.001,0,ROUND(G263+G262-G264,1)),"")</f>
        <v>0</v>
      </c>
      <c r="H265" s="61" t="n">
        <f aca="false">IF(ISNUMBER(H263),IF(ABS(H263+H262-H264)&lt;=1.001,0,ROUND(H263+H262-H264,1)),"")</f>
        <v>0</v>
      </c>
      <c r="I265" s="61" t="n">
        <f aca="false">IF(ISNUMBER(I263),IF(ABS(I263+I262-I264)&lt;=1.001,0,ROUND(I263+I262-I264,1)),"")</f>
        <v>0</v>
      </c>
      <c r="J265" s="61" t="n">
        <f aca="false">IF(ISNUMBER(J263),IF(ABS(J263+J262-J264)&lt;=1.001,0,ROUND(J263+J262-J264,1)),"")</f>
        <v>0</v>
      </c>
      <c r="K265" s="61" t="n">
        <f aca="false">IF(ISNUMBER(K263),IF(ABS(K263+K262-K264)&lt;=1.001,0,ROUND(K263+K262-K264,1)),"")</f>
        <v>0</v>
      </c>
      <c r="L265" s="61" t="n">
        <f aca="false">IF(ISNUMBER(L263),IF(ABS(L263+L262-L264)&lt;=1.001,0,ROUND(L263+L262-L264,1)),"")</f>
        <v>0</v>
      </c>
      <c r="M265" s="61" t="n">
        <f aca="false">IF(ISNUMBER(M263),IF(ABS(M263+M262-M264)&lt;=1.001,0,ROUND(M263+M262-M264,1)),"")</f>
        <v>0</v>
      </c>
      <c r="N265" s="61" t="n">
        <f aca="false">IF(ISNUMBER(N263),IF(ABS(N263+N262-N264)&lt;=1.001,0,ROUND(N263+N262-N264,1)),"")</f>
        <v>0</v>
      </c>
      <c r="O265" s="61" t="n">
        <f aca="false">IF(ISNUMBER(O263),IF(ABS(O263+O262-O264)&lt;=1.001,0,ROUND(O263+O262-O264,1)),"")</f>
        <v>0</v>
      </c>
      <c r="P265" s="61" t="n">
        <f aca="false">IF(ISNUMBER(P263),IF(ABS(P263+P262-P264)&lt;=1.001,0,ROUND(P263+P262-P264,1)),"")</f>
        <v>0</v>
      </c>
      <c r="Q265" s="61" t="n">
        <f aca="false">IF(ISNUMBER(Q263),IF(ABS(Q263+Q262-Q264)&lt;=1.001,0,ROUND(Q263+Q262-Q264,1)),"")</f>
        <v>0</v>
      </c>
      <c r="R265" s="61" t="n">
        <f aca="false">IF(ISNUMBER(R263),IF(ABS(R263+R262-R264)&lt;=1.001,0,ROUND(R263+R262-R264,1)),"")</f>
        <v>0</v>
      </c>
      <c r="S265" s="61" t="n">
        <f aca="false">IF(ISNUMBER(S263),IF(ABS(S263+S262-S264)&lt;=1.001,0,ROUND(S263+S262-S264,1)),"")</f>
        <v>0</v>
      </c>
      <c r="T265" s="61" t="n">
        <f aca="false">IF(ISNUMBER(T263),IF(ABS(T263+T262-T264)&lt;=1.001,0,ROUND(T263+T262-T264,1)),"")</f>
        <v>0</v>
      </c>
      <c r="U265" s="61" t="n">
        <f aca="false">IF(ISNUMBER(U263),IF(ABS(U263+U262-U264)&lt;=1.001,0,ROUND(U263+U262-U264,1)),"")</f>
        <v>0</v>
      </c>
      <c r="V265" s="61" t="n">
        <f aca="false">IF(ISNUMBER(V263),IF(ABS(V263+V262-V264)&lt;=1.001,0,ROUND(V263+V262-V264,1)),"")</f>
        <v>0</v>
      </c>
      <c r="W265" s="61" t="n">
        <f aca="false">IF(ISNUMBER(W263),IF(ABS(W263+W262-W264)&lt;=1.001,0,ROUND(W263+W262-W264,1)),"")</f>
        <v>0</v>
      </c>
      <c r="X265" s="61" t="n">
        <f aca="false">IF(ISNUMBER(X263),IF(ABS(X263+X262-X264)&lt;=1.001,0,ROUND(X263+X262-X264,1)),"")</f>
        <v>0</v>
      </c>
      <c r="Y265" s="61" t="n">
        <f aca="false">IF(ISNUMBER(Y263),IF(ABS(Y263+Y262-Y264)&lt;=1.001,0,ROUND(Y263+Y262-Y264,1)),"")</f>
        <v>0</v>
      </c>
      <c r="Z265" s="61" t="n">
        <f aca="false">IF(ISNUMBER(Z263),IF(ABS(Z263+Z262-Z264)&lt;=1.001,0,ROUND(Z263+Z262-Z264,1)),"")</f>
        <v>0</v>
      </c>
      <c r="AA265" s="61" t="n">
        <f aca="false">IF(ISNUMBER(AA263),IF(ABS(AA263+AA262-AA264)&lt;=1.001,0,ROUND(AA263+AA262-AA264,1)),"")</f>
        <v>0</v>
      </c>
      <c r="AB265" s="61" t="n">
        <f aca="false">IF(ISNUMBER(AB263),IF(ABS(AB263+AB262-AB264)&lt;=1.001,0,ROUND(AB263+AB262-AB264,1)),"")</f>
        <v>0</v>
      </c>
      <c r="AC265" s="61" t="n">
        <f aca="false">IF(ISNUMBER(AC263),IF(ABS(AC263+AC262-AC264)&lt;=1.001,0,ROUND(AC263+AC262-AC264,1)),"")</f>
        <v>0</v>
      </c>
      <c r="AD265" s="61" t="n">
        <f aca="false">IF(ISNUMBER(AD263),IF(ABS(AD263+AD262-AD264)&lt;=1.001,0,ROUND(AD263+AD262-AD264,1)),"")</f>
        <v>0</v>
      </c>
      <c r="AE265" s="61" t="n">
        <f aca="false">IF(ISNUMBER(AE263),IF(ABS(AE263+AE262-AE264)&lt;=1.001,0,ROUND(AE263+AE262-AE264,1)),"")</f>
        <v>0</v>
      </c>
      <c r="AF265" s="61" t="n">
        <f aca="false">IF(ISNUMBER(AF263),IF(ABS(AF263+AF262-AF264)&lt;=1.001,0,ROUND(AF263+AF262-AF264,1)),"")</f>
        <v>0</v>
      </c>
      <c r="AG265" s="61" t="n">
        <f aca="false">IF(ISNUMBER(AG263),IF(ABS(AG263+AG262-AG264)&lt;=1.001,0,ROUND(AG263+AG262-AG264,1)),"")</f>
        <v>0</v>
      </c>
      <c r="AH265" s="61" t="n">
        <f aca="false">IF(ISNUMBER(AH263),IF(ABS(AH263+AH262-AH264)&lt;=1.001,0,ROUND(AH263+AH262-AH264,1)),"")</f>
        <v>0</v>
      </c>
      <c r="AI265" s="61" t="n">
        <f aca="false">IF(ISNUMBER(AI263),IF(ABS(AI263+AI262-AI264)&lt;=1.001,0,ROUND(AI263+AI262-AI264,1)),"")</f>
        <v>0</v>
      </c>
      <c r="AJ265" s="61" t="n">
        <f aca="false">IF(ISNUMBER(AJ263),IF(ABS(AJ263+AJ262-AJ264)&lt;=1.001,0,ROUND(AJ263+AJ262-AJ264,1)),"")</f>
        <v>0</v>
      </c>
      <c r="AK265" s="61" t="n">
        <f aca="false">IF(ISNUMBER(AK263),IF(ABS(AK263+AK262-AK264)&lt;=1.001,0,ROUND(AK263+AK262-AK264,1)),"")</f>
        <v>0</v>
      </c>
      <c r="AL265" s="61" t="n">
        <f aca="false">IF(ISNUMBER(AL263),IF(ABS(AL263+AL262-AL264)&lt;=1.001,0,ROUND(AL263+AL262-AL264,1)),"")</f>
        <v>0</v>
      </c>
      <c r="AM265" s="61" t="n">
        <f aca="false">IF(ISNUMBER(AM263),IF(ABS(AM263+AM262-AM264)&lt;=1.001,0,ROUND(AM263+AM262-AM264,1)),"")</f>
        <v>0</v>
      </c>
      <c r="AN265" s="61" t="n">
        <f aca="false">IF(ISNUMBER(AN263),IF(ABS(AN263+AN262-AN264)&lt;=1.001,0,ROUND(AN263+AN262-AN264,1)),"")</f>
        <v>0</v>
      </c>
      <c r="AO265" s="61" t="n">
        <f aca="false">IF(ISNUMBER(AO263),IF(ABS(AO263+AO262-AO264)&lt;=1.001,0,ROUND(AO263+AO262-AO264,1)),"")</f>
        <v>0</v>
      </c>
      <c r="AP265" s="61" t="n">
        <f aca="false">IF(ISNUMBER(AP263),IF(ABS(AP263+AP262-AP264)&lt;=1.001,0,ROUND(AP263+AP262-AP264,1)),"")</f>
        <v>0</v>
      </c>
      <c r="AQ265" s="61" t="n">
        <f aca="false">IF(ISNUMBER(AQ263),IF(ABS(AQ263+AQ262-AQ264)&lt;=1.001,0,ROUND(AQ263+AQ262-AQ264,1)),"")</f>
        <v>0</v>
      </c>
      <c r="AR265" s="61" t="n">
        <f aca="false">IF(ISNUMBER(AR263),IF(ABS(AR263+AR262-AR264)&lt;=1.001,0,ROUND(AR263+AR262-AR264,1)),"")</f>
        <v>0</v>
      </c>
      <c r="AS265" s="61" t="n">
        <f aca="false">IF(ISNUMBER(AS263),IF(ABS(AS263+AS262-AS264)&lt;=1.001,0,ROUND(AS263+AS262-AS264,1)),"")</f>
        <v>0</v>
      </c>
      <c r="AT265" s="61" t="n">
        <f aca="false">IF(ISNUMBER(AT263),IF(ABS(AT263+AT262-AT264)&lt;=1.001,0,ROUND(AT263+AT262-AT264,1)),"")</f>
        <v>0</v>
      </c>
      <c r="AU265" s="61" t="n">
        <f aca="false">IF(ISNUMBER(AU263),IF(ABS(AU263+AU262-AU264)&lt;=1.001,0,ROUND(AU263+AU262-AU264,1)),"")</f>
        <v>0</v>
      </c>
      <c r="AV265" s="61" t="n">
        <f aca="false">IF(ISNUMBER(AV263),IF(ABS(AV263+AV262-AV264)&lt;=1.001,0,ROUND(AV263+AV262-AV264,1)),"")</f>
        <v>0</v>
      </c>
      <c r="AW265" s="61" t="n">
        <f aca="false">IF(ISNUMBER(AW263),IF(ABS(AW263+AW262-AW264)&lt;=1.001,0,ROUND(AW263+AW262-AW264,1)),"")</f>
        <v>0</v>
      </c>
      <c r="AX265" s="61" t="n">
        <f aca="false">IF(ISNUMBER(AX263),IF(ABS(AX263+AX262-AX264)&lt;=1.001,0,ROUND(AX263+AX262-AX264,1)),"")</f>
        <v>0</v>
      </c>
      <c r="AY265" s="61" t="n">
        <f aca="false">IF(ISNUMBER(AY263),IF(ABS(AY263+AY262-AY264)&lt;=1.001,0,ROUND(AY263+AY262-AY264,1)),"")</f>
        <v>0</v>
      </c>
      <c r="AZ265" s="61" t="n">
        <f aca="false">IF(ISNUMBER(AZ263),IF(ABS(AZ263+AZ262-AZ264)&lt;=1.001,0,ROUND(AZ263+AZ262-AZ264,1)),"")</f>
        <v>0</v>
      </c>
      <c r="BA265" s="61" t="n">
        <f aca="false">IF(ISNUMBER(BA263),IF(ABS(BA263+BA262-BA264)&lt;=1.001,0,ROUND(BA263+BA262-BA264,1)),"")</f>
        <v>0</v>
      </c>
      <c r="BB265" s="61" t="n">
        <f aca="false">IF(ISNUMBER(BB263),IF(ABS(BB263+BB262-BB264)&lt;=1.001,0,ROUND(BB263+BB262-BB264,1)),"")</f>
        <v>0</v>
      </c>
      <c r="BC265" s="61" t="n">
        <f aca="false">IF(ISNUMBER(BC263),IF(ABS(BC263+BC262-BC264)&lt;=1.001,0,ROUND(BC263+BC262-BC264,1)),"")</f>
        <v>0</v>
      </c>
      <c r="BD265" s="61" t="n">
        <f aca="false">IF(ISNUMBER(BD263),IF(ABS(BD263+BD262-BD264)&lt;=1.001,0,ROUND(BD263+BD262-BD264,1)),"")</f>
        <v>0</v>
      </c>
      <c r="BE265" s="61" t="n">
        <f aca="false">IF(ISNUMBER(BE263),IF(ABS(BE263+BE262-BE264)&lt;=1.001,0,ROUND(BE263+BE262-BE264,1)),"")</f>
        <v>0</v>
      </c>
      <c r="BF265" s="61" t="n">
        <f aca="false">IF(ISNUMBER(BF263),IF(ABS(BF263+BF262-BF264)&lt;=1.001,0,ROUND(BF263+BF262-BF264,1)),"")</f>
        <v>0</v>
      </c>
      <c r="BG265" s="61" t="n">
        <f aca="false">IF(ISNUMBER(BG263),IF(ABS(BG263+BG262-BG264)&lt;=1.001,0,ROUND(BG263+BG262-BG264,1)),"")</f>
        <v>0</v>
      </c>
      <c r="BH265" s="61" t="n">
        <f aca="false">IF(ISNUMBER(BH263),IF(ABS(BH263+BH262-BH264)&lt;=1.001,0,ROUND(BH263+BH262-BH264,1)),"")</f>
        <v>0</v>
      </c>
      <c r="BI265" s="61" t="n">
        <f aca="false">IF(ISNUMBER(BI263),IF(ABS(BI263+BI262-BI264)&lt;=1.001,0,ROUND(BI263+BI262-BI264,1)),"")</f>
        <v>0</v>
      </c>
      <c r="BJ265" s="61" t="n">
        <f aca="false">IF(ISNUMBER(BJ263),IF(ABS(BJ263+BJ262-BJ264)&lt;=1.001,0,ROUND(BJ263+BJ262-BJ264,1)),"")</f>
        <v>0</v>
      </c>
      <c r="BK265" s="61" t="n">
        <f aca="false">IF(ISNUMBER(BK263),IF(ABS(BK263+BK262-BK264)&lt;=1.001,0,ROUND(BK263+BK262-BK264,1)),"")</f>
        <v>0</v>
      </c>
      <c r="BL265" s="61" t="n">
        <f aca="false">IF(ISNUMBER(BL263),IF(ABS(BL263+BL262-BL264)&lt;=1.001,0,ROUND(BL263+BL262-BL264,1)),"")</f>
        <v>0</v>
      </c>
      <c r="BM265" s="61" t="n">
        <f aca="false">IF(ISNUMBER(BM263),IF(ABS(BM263+BM262-BM264)&lt;=1.001,0,ROUND(BM263+BM262-BM264,1)),"")</f>
        <v>0</v>
      </c>
      <c r="BN265" s="61" t="n">
        <f aca="false">IF(ISNUMBER(BN263),IF(ABS(BN263+BN262-BN264)&lt;=1.001,0,ROUND(BN263+BN262-BN264,1)),"")</f>
        <v>0</v>
      </c>
      <c r="BO265" s="61" t="n">
        <f aca="false">IF(ISNUMBER(BO263),IF(ABS(BO263+BO262-BO264)&lt;=1.001,0,ROUND(BO263+BO262-BO264,1)),"")</f>
        <v>0</v>
      </c>
      <c r="BP265" s="61" t="n">
        <f aca="false">IF(ISNUMBER(BP263),IF(ABS(BP263+BP262-BP264)&lt;=1.001,0,ROUND(BP263+BP262-BP264,1)),"")</f>
        <v>0</v>
      </c>
      <c r="BQ265" s="61" t="n">
        <f aca="false">IF(ISNUMBER(BQ263),IF(ABS(BQ263+BQ262-BQ264)&lt;=1.001,0,ROUND(BQ263+BQ262-BQ264,1)),"")</f>
        <v>0</v>
      </c>
      <c r="BR265" s="61" t="n">
        <f aca="false">IF(ISNUMBER(BR263),IF(ABS(BR263+BR262-BR264)&lt;=1.001,0,ROUND(BR263+BR262-BR264,1)),"")</f>
        <v>0</v>
      </c>
      <c r="BS265" s="61" t="n">
        <f aca="false">IF(ISNUMBER(BS263),IF(ABS(BS263+BS262-BS264)&lt;=1.001,0,ROUND(BS263+BS262-BS264,1)),"")</f>
        <v>0</v>
      </c>
      <c r="BT265" s="61" t="n">
        <f aca="false">IF(ISNUMBER(BT263),IF(ABS(BT263+BT262-BT264)&lt;=1.001,0,ROUND(BT263+BT262-BT264,1)),"")</f>
        <v>0</v>
      </c>
      <c r="BU265" s="61" t="n">
        <f aca="false">IF(ISNUMBER(BU263),IF(ABS(BU263+BU262-BU264)&lt;=1.001,0,ROUND(BU263+BU262-BU264,1)),"")</f>
        <v>0</v>
      </c>
      <c r="BV265" s="61" t="n">
        <f aca="false">IF(ISNUMBER(BV263),IF(ABS(BV263+BV262-BV264)&lt;=1.001,0,ROUND(BV263+BV262-BV264,1)),"")</f>
        <v>0</v>
      </c>
      <c r="BW265" s="61" t="n">
        <f aca="false">IF(ISNUMBER(BW263),IF(ABS(BW263+BW262-BW264)&lt;=1.001,0,ROUND(BW263+BW262-BW264,1)),"")</f>
        <v>0</v>
      </c>
      <c r="BX265" s="61" t="n">
        <f aca="false">IF(ISNUMBER(BX263),IF(ABS(BX263+BX262-BX264)&lt;=1.001,0,ROUND(BX263+BX262-BX264,1)),"")</f>
        <v>0</v>
      </c>
      <c r="BY265" s="39"/>
      <c r="BZ265" s="39"/>
      <c r="CA265" s="44" t="n">
        <f aca="false">IF(ISNUMBER(CA263),IF(ABS(CA263+CA262-CA264)&lt;=1.001,0,ROUND(CA263+CA262-CA264,1)),"")</f>
        <v>0</v>
      </c>
      <c r="CB265" s="44" t="n">
        <f aca="false">IF(ISNUMBER(CB263),IF(ABS(CB263+CB262-CB264)&lt;=1.001,0,ROUND(CB263+CB262-CB264,1)),"")</f>
        <v>0</v>
      </c>
      <c r="CC265" s="44" t="n">
        <f aca="false">IF(ISNUMBER(CC263),IF(ABS(CC263+CC262-CC264)&lt;=1.001,0,ROUND(CC263+CC262-CC264,1)),"")</f>
        <v>0</v>
      </c>
      <c r="CD265" s="44" t="n">
        <f aca="false">IF(ISNUMBER(CD263),IF(ABS(CD263+CD262-CD264)&lt;=1.001,0,ROUND(CD263+CD262-CD264,1)),"")</f>
        <v>0</v>
      </c>
      <c r="CE265" s="44" t="n">
        <f aca="false">IF(ISNUMBER(CE263),IF(ABS(CE263+CE262-CE264)&lt;=1.001,0,ROUND(CE263+CE262-CE264,1)),"")</f>
        <v>0</v>
      </c>
      <c r="CF265" s="21"/>
    </row>
    <row r="266" customFormat="false" ht="15" hidden="false" customHeight="false" outlineLevel="0" collapsed="false">
      <c r="B266" s="17" t="s">
        <v>436</v>
      </c>
      <c r="CF266" s="64"/>
    </row>
    <row r="267" customFormat="false" ht="15" hidden="false" customHeight="false" outlineLevel="0" collapsed="false">
      <c r="B267" s="58" t="s">
        <v>437</v>
      </c>
      <c r="C267" s="59" t="n">
        <f aca="false">IF(ISNUMBER(C247),C247-N(C246)+C248+N(C249),"")</f>
        <v>336.5</v>
      </c>
      <c r="D267" s="59" t="n">
        <f aca="false">IF(ISNUMBER(D247),D247-N(D246)+D248+N(D249),"")</f>
        <v>1328.9</v>
      </c>
      <c r="E267" s="59" t="n">
        <f aca="false">IF(ISNUMBER(E247),E247-N(E246)+E248+N(E249),"")</f>
        <v>1172.8</v>
      </c>
      <c r="F267" s="59" t="n">
        <f aca="false">IF(ISNUMBER(F247),F247-N(F246)+F248+N(F249),"")</f>
        <v>1466.2</v>
      </c>
      <c r="G267" s="59" t="n">
        <f aca="false">IF(ISNUMBER(G247),G247-N(G246)+G248+N(G249),"")</f>
        <v>1243.2</v>
      </c>
      <c r="H267" s="59" t="n">
        <f aca="false">IF(ISNUMBER(H247),H247-N(H246)+H248+N(H249),"")</f>
        <v>1420.1</v>
      </c>
      <c r="I267" s="59" t="n">
        <f aca="false">IF(ISNUMBER(I247),I247-N(I246)+I248+N(I249),"")</f>
        <v>1765.6</v>
      </c>
      <c r="J267" s="59" t="n">
        <f aca="false">IF(ISNUMBER(J247),J247-N(J246)+J248+N(J249),"")</f>
        <v>236.1</v>
      </c>
      <c r="K267" s="59" t="n">
        <f aca="false">IF(ISNUMBER(K247),K247-N(K246)+K248+N(K249),"")</f>
        <v>414.3</v>
      </c>
      <c r="L267" s="59" t="n">
        <f aca="false">IF(ISNUMBER(L247),L247-N(L246)+L248+N(L249),"")</f>
        <v>463.1</v>
      </c>
      <c r="M267" s="59" t="n">
        <f aca="false">IF(ISNUMBER(M247),M247-N(M246)+M248+N(M249),"")</f>
        <v>640.4</v>
      </c>
      <c r="N267" s="59" t="n">
        <f aca="false">IF(ISNUMBER(N247),N247-N(N246)+N248+N(N249),"")</f>
        <v>1753.9</v>
      </c>
      <c r="O267" s="59" t="n">
        <f aca="false">IF(ISNUMBER(O247),O247-N(O246)+O248+N(O249),"")</f>
        <v>0.9</v>
      </c>
      <c r="P267" s="59" t="n">
        <f aca="false">IF(ISNUMBER(P247),P247-N(P246)+P248+N(P249),"")</f>
        <v>823.4</v>
      </c>
      <c r="Q267" s="59" t="n">
        <f aca="false">IF(ISNUMBER(Q247),Q247-N(Q246)+Q248+N(Q249),"")</f>
        <v>593.9</v>
      </c>
      <c r="R267" s="59" t="n">
        <f aca="false">IF(ISNUMBER(R247),R247-N(R246)+R248+N(R249),"")</f>
        <v>827.4</v>
      </c>
      <c r="S267" s="59" t="n">
        <f aca="false">IF(ISNUMBER(S247),S247-N(S246)+S248+N(S249),"")</f>
        <v>2245.6</v>
      </c>
      <c r="T267" s="59" t="n">
        <f aca="false">IF(ISNUMBER(T247),T247-N(T246)+T248+N(T249),"")</f>
        <v>-14.5</v>
      </c>
      <c r="U267" s="59" t="n">
        <f aca="false">IF(ISNUMBER(U247),U247-N(U246)+U248+N(U249),"")</f>
        <v>677.4</v>
      </c>
      <c r="V267" s="59" t="n">
        <f aca="false">IF(ISNUMBER(V247),V247-N(V246)+V248+N(V249),"")</f>
        <v>647.9</v>
      </c>
      <c r="W267" s="59" t="n">
        <f aca="false">IF(ISNUMBER(W247),W247-N(W246)+W248+N(W249),"")</f>
        <v>1110</v>
      </c>
      <c r="X267" s="59" t="n">
        <f aca="false">IF(ISNUMBER(X247),X247-N(X246)+X248+N(X249),"")</f>
        <v>2420.8</v>
      </c>
      <c r="Y267" s="59" t="n">
        <f aca="false">IF(ISNUMBER(Y247),Y247-N(Y246)+Y248+N(Y249),"")</f>
        <v>181.5</v>
      </c>
      <c r="Z267" s="59" t="n">
        <f aca="false">IF(ISNUMBER(Z247),Z247-N(Z246)+Z248+N(Z249),"")</f>
        <v>790.8</v>
      </c>
      <c r="AA267" s="59" t="n">
        <f aca="false">IF(ISNUMBER(AA247),AA247-N(AA246)+AA248+N(AA249),"")</f>
        <v>693.3</v>
      </c>
      <c r="AB267" s="59" t="n">
        <f aca="false">IF(ISNUMBER(AB247),AB247-N(AB246)+AB248+N(AB249),"")</f>
        <v>1074.6</v>
      </c>
      <c r="AC267" s="59" t="n">
        <f aca="false">IF(ISNUMBER(AC247),AC247-N(AC246)+AC248+N(AC249),"")</f>
        <v>2740.2</v>
      </c>
      <c r="AD267" s="59" t="n">
        <f aca="false">IF(ISNUMBER(AD247),AD247-N(AD246)+AD248+N(AD249),"")</f>
        <v>270.1</v>
      </c>
      <c r="AE267" s="59" t="n">
        <f aca="false">IF(ISNUMBER(AE247),AE247-N(AE246)+AE248+N(AE249),"")</f>
        <v>761.8</v>
      </c>
      <c r="AF267" s="59" t="n">
        <f aca="false">IF(ISNUMBER(AF247),AF247-N(AF246)+AF248+N(AF249),"")</f>
        <v>819.9</v>
      </c>
      <c r="AG267" s="59" t="n">
        <f aca="false">IF(ISNUMBER(AG247),AG247-N(AG246)+AG248+N(AG249),"")</f>
        <v>1653.2</v>
      </c>
      <c r="AH267" s="59" t="n">
        <f aca="false">IF(ISNUMBER(AH247),AH247-N(AH246)+AH248+N(AH249),"")</f>
        <v>3505</v>
      </c>
      <c r="AI267" s="59" t="n">
        <f aca="false">IF(ISNUMBER(AI247),AI247-N(AI246)+AI248+N(AI249),"")</f>
        <v>-38</v>
      </c>
      <c r="AJ267" s="59" t="n">
        <f aca="false">IF(ISNUMBER(AJ247),AJ247-N(AJ246)+AJ248+N(AJ249),"")</f>
        <v>1262</v>
      </c>
      <c r="AK267" s="59" t="n">
        <f aca="false">IF(ISNUMBER(AK247),AK247-N(AK246)+AK248+N(AK249),"")</f>
        <v>1050</v>
      </c>
      <c r="AL267" s="59" t="n">
        <f aca="false">IF(ISNUMBER(AL247),AL247-N(AL246)+AL248+N(AL249),"")</f>
        <v>1561</v>
      </c>
      <c r="AM267" s="59" t="n">
        <f aca="false">IF(ISNUMBER(AM247),AM247-N(AM246)+AM248+N(AM249),"")</f>
        <v>3835</v>
      </c>
      <c r="AN267" s="59" t="n">
        <f aca="false">IF(ISNUMBER(AN247),AN247-N(AN246)+AN248+N(AN249),"")</f>
        <v>454</v>
      </c>
      <c r="AO267" s="59" t="n">
        <f aca="false">IF(ISNUMBER(AO247),AO247-N(AO246)+AO248+N(AO249),"")</f>
        <v>1080</v>
      </c>
      <c r="AP267" s="59" t="n">
        <f aca="false">IF(ISNUMBER(AP247),AP247-N(AP246)+AP248+N(AP249),"")</f>
        <v>907</v>
      </c>
      <c r="AQ267" s="59" t="n">
        <f aca="false">IF(ISNUMBER(AQ247),AQ247-N(AQ246)+AQ248+N(AQ249),"")</f>
        <v>1642</v>
      </c>
      <c r="AR267" s="59" t="n">
        <f aca="false">IF(ISNUMBER(AR247),AR247-N(AR246)+AR248+N(AR249),"")</f>
        <v>4083</v>
      </c>
      <c r="AS267" s="59" t="n">
        <f aca="false">IF(ISNUMBER(AS247),AS247-N(AS246)+AS248+N(AS249),"")</f>
        <v>107</v>
      </c>
      <c r="AT267" s="59" t="n">
        <f aca="false">IF(ISNUMBER(AT247),AT247-N(AT246)+AT248+N(AT249),"")</f>
        <v>1619</v>
      </c>
      <c r="AU267" s="59" t="n">
        <f aca="false">IF(ISNUMBER(AU247),AU247-N(AU246)+AU248+N(AU249),"")</f>
        <v>2343</v>
      </c>
      <c r="AV267" s="59" t="n">
        <f aca="false">IF(ISNUMBER(AV247),AV247-N(AV246)+AV248+N(AV249),"")</f>
        <v>2754</v>
      </c>
      <c r="AW267" s="59" t="n">
        <f aca="false">IF(ISNUMBER(AW247),AW247-N(AW246)+AW248+N(AW249),"")</f>
        <v>6823</v>
      </c>
      <c r="AX267" s="59" t="n">
        <f aca="false">IF(ISNUMBER(AX247),AX247-N(AX246)+AX248+N(AX249),"")</f>
        <v>1355</v>
      </c>
      <c r="AY267" s="59" t="n">
        <f aca="false">IF(ISNUMBER(AY247),AY247-N(AY246)+AY248+N(AY249),"")</f>
        <v>1687</v>
      </c>
      <c r="AZ267" s="59" t="n">
        <f aca="false">IF(ISNUMBER(AZ247),AZ247-N(AZ246)+AZ248+N(AZ249),"")</f>
        <v>2130</v>
      </c>
      <c r="BA267" s="59" t="n">
        <f aca="false">IF(ISNUMBER(BA247),BA247-N(BA246)+BA248+N(BA249),"")</f>
        <v>1868</v>
      </c>
      <c r="BB267" s="59" t="n">
        <f aca="false">IF(ISNUMBER(BB247),BB247-N(BB246)+BB248+N(BB249),"")</f>
        <v>7040</v>
      </c>
      <c r="BC267" s="59" t="n">
        <f aca="false">IF(ISNUMBER(BC247),BC247-N(BC246)+BC248+N(BC249),"")</f>
        <v>1564</v>
      </c>
      <c r="BD267" s="59" t="n">
        <f aca="false">IF(ISNUMBER(BD247),BD247-N(BD246)+BD248+N(BD249),"")</f>
        <v>1034</v>
      </c>
      <c r="BE267" s="59" t="n">
        <f aca="false">IF(ISNUMBER(BE247),BE247-N(BE246)+BE248+N(BE249),"")</f>
        <v>1394</v>
      </c>
      <c r="BF267" s="59" t="n">
        <f aca="false">IF(ISNUMBER(BF247),BF247-N(BF246)+BF248+N(BF249),"")</f>
        <v>2943</v>
      </c>
      <c r="BG267" s="59" t="n">
        <f aca="false">IF(ISNUMBER(BG247),BG247-N(BG246)+BG248+N(BG249),"")</f>
        <v>6935</v>
      </c>
      <c r="BH267" s="59" t="n">
        <f aca="false">IF(ISNUMBER(BH247),BH247-N(BH246)+BH248+N(BH249),"")</f>
        <v>277</v>
      </c>
      <c r="BI267" s="59" t="n">
        <f aca="false">IF(ISNUMBER(BI247),BI247-N(BI246)+BI248+N(BI249),"")</f>
        <v>1260</v>
      </c>
      <c r="BJ267" s="59" t="n">
        <f aca="false">IF(ISNUMBER(BJ247),BJ247-N(BJ246)+BJ248+N(BJ249),"")</f>
        <v>2148</v>
      </c>
      <c r="BK267" s="59" t="n">
        <f aca="false">IF(ISNUMBER(BK247),BK247-N(BK246)+BK248+N(BK249),"")</f>
        <v>3329</v>
      </c>
      <c r="BL267" s="59" t="n">
        <f aca="false">IF(ISNUMBER(BL247),BL247-N(BL246)+BL248+N(BL249),"")</f>
        <v>7014</v>
      </c>
      <c r="BM267" s="59" t="n">
        <f aca="false">IF(ISNUMBER(BM247),BM247-N(BM246)+BM248+N(BM249),"")</f>
        <v>908</v>
      </c>
      <c r="BN267" s="59" t="n">
        <f aca="false">IF(ISNUMBER(BN247),BN247-N(BN246)+BN248+N(BN249),"")</f>
        <v>1675</v>
      </c>
      <c r="BO267" s="59" t="n">
        <f aca="false">IF(ISNUMBER(BO247),BO247-N(BO246)+BO248+N(BO249),"")</f>
        <v>1914</v>
      </c>
      <c r="BP267" s="59" t="n">
        <f aca="false">IF(ISNUMBER(BP247),BP247-N(BP246)+BP248+N(BP249),"")</f>
        <v>2827</v>
      </c>
      <c r="BQ267" s="59" t="n">
        <f aca="false">IF(ISNUMBER(BQ247),BQ247-N(BQ246)+BQ248+N(BQ249),"")</f>
        <v>7324</v>
      </c>
      <c r="BR267" s="59" t="n">
        <f aca="false">IF(ISNUMBER(BR247),BR247-N(BR246)+BR248+N(BR249),"")</f>
        <v>373</v>
      </c>
      <c r="BS267" s="59" t="n">
        <f aca="false">IF(ISNUMBER(BS247),BS247-N(BS246)+BS248+N(BS249),"")</f>
        <v>1106</v>
      </c>
      <c r="BT267" s="59" t="n">
        <f aca="false">IF(ISNUMBER(BT247),BT247-N(BT246)+BT248+N(BT249),"")</f>
        <v>1839</v>
      </c>
      <c r="BU267" s="59" t="n">
        <f aca="false">IF(ISNUMBER(BU247),BU247-N(BU246)+BU248+N(BU249),"")</f>
        <v>3019</v>
      </c>
      <c r="BV267" s="59" t="n">
        <f aca="false">IF(ISNUMBER(BV247),BV247-N(BV246)+BV248+N(BV249),"")</f>
        <v>6337</v>
      </c>
      <c r="BW267" s="59" t="n">
        <f aca="false">IF(ISNUMBER(BW247),BW247-N(BW246)+BW248+N(BW249),"")</f>
        <v>825</v>
      </c>
      <c r="BX267" s="59" t="n">
        <f aca="false">IF(ISNUMBER(BX247),BX247-N(BX246)+BX248+N(BX249),"")</f>
        <v>1679</v>
      </c>
      <c r="BY267" s="75"/>
      <c r="BZ267" s="75"/>
      <c r="CA267" s="59" t="n">
        <f aca="false">IF(ISNUMBER(CA247),CA247-N(CA246)+CA248+N(CA249),"")</f>
        <v>7150</v>
      </c>
      <c r="CB267" s="59" t="n">
        <f aca="false">IF(ISNUMBER(CB247),CB247-N(CB246)+CB248+N(CB249),"")</f>
        <v>8636.78280698998</v>
      </c>
      <c r="CC267" s="59" t="n">
        <f aca="false">IF(ISNUMBER(CC247),CC247-N(CC246)+CC248+N(CC249),"")</f>
        <v>9350.00113786526</v>
      </c>
      <c r="CD267" s="59" t="n">
        <f aca="false">IF(ISNUMBER(CD247),CD247-N(CD246)+CD248+N(CD249),"")</f>
        <v>10147.8832198337</v>
      </c>
      <c r="CE267" s="59" t="n">
        <f aca="false">IF(ISNUMBER(CE247),CE247-N(CE246)+CE248+N(CE249),"")</f>
        <v>11080.678234675</v>
      </c>
      <c r="CF267" s="21" t="s">
        <v>438</v>
      </c>
      <c r="CH267" s="22" t="n">
        <f aca="false">IFERROR((CE267/BV267)^(1/5)-1,"n/m")</f>
        <v>0.11824387311744</v>
      </c>
      <c r="CI267" s="22" t="n">
        <f aca="false">IFERROR((BV267/AW267)^(1/5)-1,"n/m")</f>
        <v>-0.0146700876555169</v>
      </c>
      <c r="CJ267" s="22" t="n">
        <f aca="false">IFERROR((BV267/X267)^(1/10)-1,"n/m")</f>
        <v>0.101013083137861</v>
      </c>
      <c r="CK267" s="22" t="n">
        <f aca="false">IFERROR((BV267/C267)^(1/19)-1,"n/m")</f>
        <v>0.167078123281115</v>
      </c>
    </row>
    <row r="268" customFormat="false" ht="15" hidden="false" customHeight="false" outlineLevel="0" collapsed="false">
      <c r="B268" s="43" t="s">
        <v>439</v>
      </c>
      <c r="C268" s="38"/>
      <c r="D268" s="38"/>
      <c r="E268" s="37" t="n">
        <v>1172.8</v>
      </c>
      <c r="F268" s="37" t="n">
        <v>1466.2</v>
      </c>
      <c r="G268" s="37" t="n">
        <v>1243.2</v>
      </c>
      <c r="H268" s="37" t="n">
        <v>1420.1</v>
      </c>
      <c r="I268" s="37" t="n">
        <v>1765.6</v>
      </c>
      <c r="J268" s="37" t="n">
        <v>236.1</v>
      </c>
      <c r="K268" s="37" t="n">
        <v>414.3</v>
      </c>
      <c r="L268" s="37" t="n">
        <v>463.1</v>
      </c>
      <c r="M268" s="37" t="n">
        <v>640.4</v>
      </c>
      <c r="N268" s="37" t="n">
        <v>1753.9</v>
      </c>
      <c r="O268" s="37" t="n">
        <v>0.9</v>
      </c>
      <c r="P268" s="37" t="n">
        <v>823.4</v>
      </c>
      <c r="Q268" s="37" t="n">
        <v>593.9</v>
      </c>
      <c r="R268" s="37" t="n">
        <v>827.4</v>
      </c>
      <c r="S268" s="37" t="n">
        <v>2245.6</v>
      </c>
      <c r="T268" s="37" t="n">
        <v>-14.5</v>
      </c>
      <c r="U268" s="37" t="n">
        <v>677.4</v>
      </c>
      <c r="V268" s="37" t="n">
        <v>647.9</v>
      </c>
      <c r="W268" s="37" t="n">
        <v>1110</v>
      </c>
      <c r="X268" s="37" t="n">
        <v>2420.8</v>
      </c>
      <c r="Y268" s="37" t="n">
        <v>181.5</v>
      </c>
      <c r="Z268" s="37" t="n">
        <v>790.8</v>
      </c>
      <c r="AA268" s="37" t="n">
        <v>693.3</v>
      </c>
      <c r="AB268" s="37" t="n">
        <v>1074.6</v>
      </c>
      <c r="AC268" s="37" t="n">
        <v>2740.2</v>
      </c>
      <c r="AD268" s="37" t="n">
        <v>270.1</v>
      </c>
      <c r="AE268" s="37" t="n">
        <v>761.8</v>
      </c>
      <c r="AF268" s="37" t="n">
        <v>819.9</v>
      </c>
      <c r="AG268" s="37" t="n">
        <v>1653</v>
      </c>
      <c r="AH268" s="37" t="n">
        <v>3505</v>
      </c>
      <c r="AI268" s="37" t="n">
        <v>-38</v>
      </c>
      <c r="AJ268" s="37" t="n">
        <v>1262</v>
      </c>
      <c r="AK268" s="37" t="n">
        <v>1050</v>
      </c>
      <c r="AL268" s="37" t="n">
        <v>1561</v>
      </c>
      <c r="AM268" s="37" t="n">
        <v>3835</v>
      </c>
      <c r="AN268" s="37" t="n">
        <v>454</v>
      </c>
      <c r="AO268" s="37" t="n">
        <v>1080</v>
      </c>
      <c r="AP268" s="37" t="n">
        <v>907</v>
      </c>
      <c r="AQ268" s="37" t="n">
        <v>1642</v>
      </c>
      <c r="AR268" s="37" t="n">
        <v>4083</v>
      </c>
      <c r="AS268" s="37" t="n">
        <v>107</v>
      </c>
      <c r="AT268" s="37" t="n">
        <v>1619</v>
      </c>
      <c r="AU268" s="37" t="n">
        <v>2343</v>
      </c>
      <c r="AV268" s="37" t="n">
        <v>2754</v>
      </c>
      <c r="AW268" s="37" t="n">
        <v>6823</v>
      </c>
      <c r="AX268" s="37" t="n">
        <v>1355</v>
      </c>
      <c r="AY268" s="37" t="n">
        <v>1687</v>
      </c>
      <c r="AZ268" s="37" t="n">
        <v>2130</v>
      </c>
      <c r="BA268" s="37" t="n">
        <v>1868</v>
      </c>
      <c r="BB268" s="37" t="n">
        <v>7040</v>
      </c>
      <c r="BC268" s="37" t="n">
        <v>1564</v>
      </c>
      <c r="BD268" s="37" t="n">
        <v>1034</v>
      </c>
      <c r="BE268" s="37" t="n">
        <v>1394</v>
      </c>
      <c r="BF268" s="37" t="n">
        <v>2943</v>
      </c>
      <c r="BG268" s="37" t="n">
        <v>6935</v>
      </c>
      <c r="BH268" s="37" t="n">
        <v>277</v>
      </c>
      <c r="BI268" s="37" t="n">
        <v>1260</v>
      </c>
      <c r="BJ268" s="37" t="n">
        <v>2148</v>
      </c>
      <c r="BK268" s="37" t="n">
        <v>3329</v>
      </c>
      <c r="BL268" s="37" t="n">
        <v>7014</v>
      </c>
      <c r="BM268" s="37" t="n">
        <v>908</v>
      </c>
      <c r="BN268" s="37" t="n">
        <v>1674</v>
      </c>
      <c r="BO268" s="37" t="n">
        <v>1915</v>
      </c>
      <c r="BP268" s="37" t="n">
        <v>2826</v>
      </c>
      <c r="BQ268" s="37" t="n">
        <v>7324</v>
      </c>
      <c r="BR268" s="37" t="n">
        <v>373</v>
      </c>
      <c r="BS268" s="37" t="n">
        <v>1105</v>
      </c>
      <c r="BT268" s="37" t="n">
        <v>1840</v>
      </c>
      <c r="BU268" s="37" t="n">
        <v>3018</v>
      </c>
      <c r="BV268" s="37" t="n">
        <v>6337</v>
      </c>
      <c r="BW268" s="37" t="n">
        <v>825</v>
      </c>
      <c r="BX268" s="37" t="n">
        <v>1678</v>
      </c>
      <c r="BY268" s="39"/>
      <c r="BZ268" s="39"/>
      <c r="CA268" s="39"/>
      <c r="CB268" s="39"/>
      <c r="CC268" s="39"/>
      <c r="CD268" s="39"/>
      <c r="CE268" s="39"/>
      <c r="CF268" s="21"/>
    </row>
    <row r="269" customFormat="false" ht="15" hidden="false" customHeight="false" outlineLevel="0" collapsed="false">
      <c r="B269" s="23" t="s">
        <v>440</v>
      </c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9"/>
      <c r="BZ269" s="39"/>
      <c r="CA269" s="44" t="n">
        <f aca="false">CHOOSE(MATCH($CF$2,{"Bull","Base","Bear"},0),$CO$15,$CP$15,$CQ$15)-(CA238+CA240+CA241+CA242+CA243+BW244+BX244+CA245+CA248+CA249)</f>
        <v>-588.108176283869</v>
      </c>
      <c r="CB269" s="39"/>
      <c r="CC269" s="39"/>
      <c r="CD269" s="39"/>
      <c r="CE269" s="39"/>
      <c r="CF269" s="21" t="s">
        <v>441</v>
      </c>
    </row>
    <row r="270" customFormat="false" ht="15" hidden="false" customHeight="false" outlineLevel="0" collapsed="false">
      <c r="B270" s="60" t="s">
        <v>442</v>
      </c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9"/>
      <c r="BZ270" s="39"/>
      <c r="CA270" s="44" t="n">
        <f aca="false">ROUND(CA267-CHOOSE(MATCH($CF$2,{"Bull","Base","Bear"},0),$CO$15,$CP$15,$CQ$15),1)</f>
        <v>0</v>
      </c>
      <c r="CB270" s="39"/>
      <c r="CC270" s="39"/>
      <c r="CD270" s="39"/>
      <c r="CE270" s="39"/>
      <c r="CF270" s="21"/>
    </row>
    <row r="271" customFormat="false" ht="15" hidden="false" customHeight="false" outlineLevel="0" collapsed="false">
      <c r="B271" s="60" t="s">
        <v>443</v>
      </c>
      <c r="C271" s="61" t="str">
        <f aca="false">IF(ISNUMBER(C268),IF(ABS(C267-C268)&lt;=1.001,0,ROUND(C267-C268,1)),"")</f>
        <v/>
      </c>
      <c r="D271" s="61" t="str">
        <f aca="false">IF(ISNUMBER(D268),IF(ABS(D267-D268)&lt;=1.001,0,ROUND(D267-D268,1)),"")</f>
        <v/>
      </c>
      <c r="E271" s="61" t="n">
        <f aca="false">IF(ISNUMBER(E268),IF(ABS(E267-E268)&lt;=1.001,0,ROUND(E267-E268,1)),"")</f>
        <v>0</v>
      </c>
      <c r="F271" s="61" t="n">
        <f aca="false">IF(ISNUMBER(F268),IF(ABS(F267-F268)&lt;=1.001,0,ROUND(F267-F268,1)),"")</f>
        <v>0</v>
      </c>
      <c r="G271" s="61" t="n">
        <f aca="false">IF(ISNUMBER(G268),IF(ABS(G267-G268)&lt;=1.001,0,ROUND(G267-G268,1)),"")</f>
        <v>0</v>
      </c>
      <c r="H271" s="61" t="n">
        <f aca="false">IF(ISNUMBER(H268),IF(ABS(H267-H268)&lt;=1.001,0,ROUND(H267-H268,1)),"")</f>
        <v>0</v>
      </c>
      <c r="I271" s="61" t="n">
        <f aca="false">IF(ISNUMBER(I268),IF(ABS(I267-I268)&lt;=1.001,0,ROUND(I267-I268,1)),"")</f>
        <v>0</v>
      </c>
      <c r="J271" s="61" t="n">
        <f aca="false">IF(ISNUMBER(J268),IF(ABS(J267-J268)&lt;=1.001,0,ROUND(J267-J268,1)),"")</f>
        <v>0</v>
      </c>
      <c r="K271" s="61" t="n">
        <f aca="false">IF(ISNUMBER(K268),IF(ABS(K267-K268)&lt;=1.001,0,ROUND(K267-K268,1)),"")</f>
        <v>0</v>
      </c>
      <c r="L271" s="61" t="n">
        <f aca="false">IF(ISNUMBER(L268),IF(ABS(L267-L268)&lt;=1.001,0,ROUND(L267-L268,1)),"")</f>
        <v>0</v>
      </c>
      <c r="M271" s="61" t="n">
        <f aca="false">IF(ISNUMBER(M268),IF(ABS(M267-M268)&lt;=1.001,0,ROUND(M267-M268,1)),"")</f>
        <v>0</v>
      </c>
      <c r="N271" s="61" t="n">
        <f aca="false">IF(ISNUMBER(N268),IF(ABS(N267-N268)&lt;=1.001,0,ROUND(N267-N268,1)),"")</f>
        <v>0</v>
      </c>
      <c r="O271" s="61" t="n">
        <f aca="false">IF(ISNUMBER(O268),IF(ABS(O267-O268)&lt;=1.001,0,ROUND(O267-O268,1)),"")</f>
        <v>0</v>
      </c>
      <c r="P271" s="61" t="n">
        <f aca="false">IF(ISNUMBER(P268),IF(ABS(P267-P268)&lt;=1.001,0,ROUND(P267-P268,1)),"")</f>
        <v>0</v>
      </c>
      <c r="Q271" s="61" t="n">
        <f aca="false">IF(ISNUMBER(Q268),IF(ABS(Q267-Q268)&lt;=1.001,0,ROUND(Q267-Q268,1)),"")</f>
        <v>0</v>
      </c>
      <c r="R271" s="61" t="n">
        <f aca="false">IF(ISNUMBER(R268),IF(ABS(R267-R268)&lt;=1.001,0,ROUND(R267-R268,1)),"")</f>
        <v>0</v>
      </c>
      <c r="S271" s="61" t="n">
        <f aca="false">IF(ISNUMBER(S268),IF(ABS(S267-S268)&lt;=1.001,0,ROUND(S267-S268,1)),"")</f>
        <v>0</v>
      </c>
      <c r="T271" s="61" t="n">
        <f aca="false">IF(ISNUMBER(T268),IF(ABS(T267-T268)&lt;=1.001,0,ROUND(T267-T268,1)),"")</f>
        <v>0</v>
      </c>
      <c r="U271" s="61" t="n">
        <f aca="false">IF(ISNUMBER(U268),IF(ABS(U267-U268)&lt;=1.001,0,ROUND(U267-U268,1)),"")</f>
        <v>0</v>
      </c>
      <c r="V271" s="61" t="n">
        <f aca="false">IF(ISNUMBER(V268),IF(ABS(V267-V268)&lt;=1.001,0,ROUND(V267-V268,1)),"")</f>
        <v>0</v>
      </c>
      <c r="W271" s="61" t="n">
        <f aca="false">IF(ISNUMBER(W268),IF(ABS(W267-W268)&lt;=1.001,0,ROUND(W267-W268,1)),"")</f>
        <v>0</v>
      </c>
      <c r="X271" s="61" t="n">
        <f aca="false">IF(ISNUMBER(X268),IF(ABS(X267-X268)&lt;=1.001,0,ROUND(X267-X268,1)),"")</f>
        <v>0</v>
      </c>
      <c r="Y271" s="61" t="n">
        <f aca="false">IF(ISNUMBER(Y268),IF(ABS(Y267-Y268)&lt;=1.001,0,ROUND(Y267-Y268,1)),"")</f>
        <v>0</v>
      </c>
      <c r="Z271" s="61" t="n">
        <f aca="false">IF(ISNUMBER(Z268),IF(ABS(Z267-Z268)&lt;=1.001,0,ROUND(Z267-Z268,1)),"")</f>
        <v>0</v>
      </c>
      <c r="AA271" s="61" t="n">
        <f aca="false">IF(ISNUMBER(AA268),IF(ABS(AA267-AA268)&lt;=1.001,0,ROUND(AA267-AA268,1)),"")</f>
        <v>0</v>
      </c>
      <c r="AB271" s="61" t="n">
        <f aca="false">IF(ISNUMBER(AB268),IF(ABS(AB267-AB268)&lt;=1.001,0,ROUND(AB267-AB268,1)),"")</f>
        <v>0</v>
      </c>
      <c r="AC271" s="61" t="n">
        <f aca="false">IF(ISNUMBER(AC268),IF(ABS(AC267-AC268)&lt;=1.001,0,ROUND(AC267-AC268,1)),"")</f>
        <v>0</v>
      </c>
      <c r="AD271" s="61" t="n">
        <f aca="false">IF(ISNUMBER(AD268),IF(ABS(AD267-AD268)&lt;=1.001,0,ROUND(AD267-AD268,1)),"")</f>
        <v>0</v>
      </c>
      <c r="AE271" s="61" t="n">
        <f aca="false">IF(ISNUMBER(AE268),IF(ABS(AE267-AE268)&lt;=1.001,0,ROUND(AE267-AE268,1)),"")</f>
        <v>0</v>
      </c>
      <c r="AF271" s="61" t="n">
        <f aca="false">IF(ISNUMBER(AF268),IF(ABS(AF267-AF268)&lt;=1.001,0,ROUND(AF267-AF268,1)),"")</f>
        <v>0</v>
      </c>
      <c r="AG271" s="61" t="n">
        <f aca="false">IF(ISNUMBER(AG268),IF(ABS(AG267-AG268)&lt;=1.001,0,ROUND(AG267-AG268,1)),"")</f>
        <v>0</v>
      </c>
      <c r="AH271" s="61" t="n">
        <f aca="false">IF(ISNUMBER(AH268),IF(ABS(AH267-AH268)&lt;=1.001,0,ROUND(AH267-AH268,1)),"")</f>
        <v>0</v>
      </c>
      <c r="AI271" s="61" t="n">
        <f aca="false">IF(ISNUMBER(AI268),IF(ABS(AI267-AI268)&lt;=1.001,0,ROUND(AI267-AI268,1)),"")</f>
        <v>0</v>
      </c>
      <c r="AJ271" s="61" t="n">
        <f aca="false">IF(ISNUMBER(AJ268),IF(ABS(AJ267-AJ268)&lt;=1.001,0,ROUND(AJ267-AJ268,1)),"")</f>
        <v>0</v>
      </c>
      <c r="AK271" s="61" t="n">
        <f aca="false">IF(ISNUMBER(AK268),IF(ABS(AK267-AK268)&lt;=1.001,0,ROUND(AK267-AK268,1)),"")</f>
        <v>0</v>
      </c>
      <c r="AL271" s="61" t="n">
        <f aca="false">IF(ISNUMBER(AL268),IF(ABS(AL267-AL268)&lt;=1.001,0,ROUND(AL267-AL268,1)),"")</f>
        <v>0</v>
      </c>
      <c r="AM271" s="61" t="n">
        <f aca="false">IF(ISNUMBER(AM268),IF(ABS(AM267-AM268)&lt;=1.001,0,ROUND(AM267-AM268,1)),"")</f>
        <v>0</v>
      </c>
      <c r="AN271" s="61" t="n">
        <f aca="false">IF(ISNUMBER(AN268),IF(ABS(AN267-AN268)&lt;=1.001,0,ROUND(AN267-AN268,1)),"")</f>
        <v>0</v>
      </c>
      <c r="AO271" s="61" t="n">
        <f aca="false">IF(ISNUMBER(AO268),IF(ABS(AO267-AO268)&lt;=1.001,0,ROUND(AO267-AO268,1)),"")</f>
        <v>0</v>
      </c>
      <c r="AP271" s="61" t="n">
        <f aca="false">IF(ISNUMBER(AP268),IF(ABS(AP267-AP268)&lt;=1.001,0,ROUND(AP267-AP268,1)),"")</f>
        <v>0</v>
      </c>
      <c r="AQ271" s="61" t="n">
        <f aca="false">IF(ISNUMBER(AQ268),IF(ABS(AQ267-AQ268)&lt;=1.001,0,ROUND(AQ267-AQ268,1)),"")</f>
        <v>0</v>
      </c>
      <c r="AR271" s="61" t="n">
        <f aca="false">IF(ISNUMBER(AR268),IF(ABS(AR267-AR268)&lt;=1.001,0,ROUND(AR267-AR268,1)),"")</f>
        <v>0</v>
      </c>
      <c r="AS271" s="61" t="n">
        <f aca="false">IF(ISNUMBER(AS268),IF(ABS(AS267-AS268)&lt;=1.001,0,ROUND(AS267-AS268,1)),"")</f>
        <v>0</v>
      </c>
      <c r="AT271" s="61" t="n">
        <f aca="false">IF(ISNUMBER(AT268),IF(ABS(AT267-AT268)&lt;=1.001,0,ROUND(AT267-AT268,1)),"")</f>
        <v>0</v>
      </c>
      <c r="AU271" s="61" t="n">
        <f aca="false">IF(ISNUMBER(AU268),IF(ABS(AU267-AU268)&lt;=1.001,0,ROUND(AU267-AU268,1)),"")</f>
        <v>0</v>
      </c>
      <c r="AV271" s="61" t="n">
        <f aca="false">IF(ISNUMBER(AV268),IF(ABS(AV267-AV268)&lt;=1.001,0,ROUND(AV267-AV268,1)),"")</f>
        <v>0</v>
      </c>
      <c r="AW271" s="61" t="n">
        <f aca="false">IF(ISNUMBER(AW268),IF(ABS(AW267-AW268)&lt;=1.001,0,ROUND(AW267-AW268,1)),"")</f>
        <v>0</v>
      </c>
      <c r="AX271" s="61" t="n">
        <f aca="false">IF(ISNUMBER(AX268),IF(ABS(AX267-AX268)&lt;=1.001,0,ROUND(AX267-AX268,1)),"")</f>
        <v>0</v>
      </c>
      <c r="AY271" s="61" t="n">
        <f aca="false">IF(ISNUMBER(AY268),IF(ABS(AY267-AY268)&lt;=1.001,0,ROUND(AY267-AY268,1)),"")</f>
        <v>0</v>
      </c>
      <c r="AZ271" s="61" t="n">
        <f aca="false">IF(ISNUMBER(AZ268),IF(ABS(AZ267-AZ268)&lt;=1.001,0,ROUND(AZ267-AZ268,1)),"")</f>
        <v>0</v>
      </c>
      <c r="BA271" s="61" t="n">
        <f aca="false">IF(ISNUMBER(BA268),IF(ABS(BA267-BA268)&lt;=1.001,0,ROUND(BA267-BA268,1)),"")</f>
        <v>0</v>
      </c>
      <c r="BB271" s="61" t="n">
        <f aca="false">IF(ISNUMBER(BB268),IF(ABS(BB267-BB268)&lt;=1.001,0,ROUND(BB267-BB268,1)),"")</f>
        <v>0</v>
      </c>
      <c r="BC271" s="61" t="n">
        <f aca="false">IF(ISNUMBER(BC268),IF(ABS(BC267-BC268)&lt;=1.001,0,ROUND(BC267-BC268,1)),"")</f>
        <v>0</v>
      </c>
      <c r="BD271" s="61" t="n">
        <f aca="false">IF(ISNUMBER(BD268),IF(ABS(BD267-BD268)&lt;=1.001,0,ROUND(BD267-BD268,1)),"")</f>
        <v>0</v>
      </c>
      <c r="BE271" s="61" t="n">
        <f aca="false">IF(ISNUMBER(BE268),IF(ABS(BE267-BE268)&lt;=1.001,0,ROUND(BE267-BE268,1)),"")</f>
        <v>0</v>
      </c>
      <c r="BF271" s="61" t="n">
        <f aca="false">IF(ISNUMBER(BF268),IF(ABS(BF267-BF268)&lt;=1.001,0,ROUND(BF267-BF268,1)),"")</f>
        <v>0</v>
      </c>
      <c r="BG271" s="61" t="n">
        <f aca="false">IF(ISNUMBER(BG268),IF(ABS(BG267-BG268)&lt;=1.001,0,ROUND(BG267-BG268,1)),"")</f>
        <v>0</v>
      </c>
      <c r="BH271" s="61" t="n">
        <f aca="false">IF(ISNUMBER(BH268),IF(ABS(BH267-BH268)&lt;=1.001,0,ROUND(BH267-BH268,1)),"")</f>
        <v>0</v>
      </c>
      <c r="BI271" s="61" t="n">
        <f aca="false">IF(ISNUMBER(BI268),IF(ABS(BI267-BI268)&lt;=1.001,0,ROUND(BI267-BI268,1)),"")</f>
        <v>0</v>
      </c>
      <c r="BJ271" s="61" t="n">
        <f aca="false">IF(ISNUMBER(BJ268),IF(ABS(BJ267-BJ268)&lt;=1.001,0,ROUND(BJ267-BJ268,1)),"")</f>
        <v>0</v>
      </c>
      <c r="BK271" s="61" t="n">
        <f aca="false">IF(ISNUMBER(BK268),IF(ABS(BK267-BK268)&lt;=1.001,0,ROUND(BK267-BK268,1)),"")</f>
        <v>0</v>
      </c>
      <c r="BL271" s="61" t="n">
        <f aca="false">IF(ISNUMBER(BL268),IF(ABS(BL267-BL268)&lt;=1.001,0,ROUND(BL267-BL268,1)),"")</f>
        <v>0</v>
      </c>
      <c r="BM271" s="61" t="n">
        <f aca="false">IF(ISNUMBER(BM268),IF(ABS(BM267-BM268)&lt;=1.001,0,ROUND(BM267-BM268,1)),"")</f>
        <v>0</v>
      </c>
      <c r="BN271" s="61" t="n">
        <f aca="false">IF(ISNUMBER(BN268),IF(ABS(BN267-BN268)&lt;=1.001,0,ROUND(BN267-BN268,1)),"")</f>
        <v>0</v>
      </c>
      <c r="BO271" s="61" t="n">
        <f aca="false">IF(ISNUMBER(BO268),IF(ABS(BO267-BO268)&lt;=1.001,0,ROUND(BO267-BO268,1)),"")</f>
        <v>0</v>
      </c>
      <c r="BP271" s="61" t="n">
        <f aca="false">IF(ISNUMBER(BP268),IF(ABS(BP267-BP268)&lt;=1.001,0,ROUND(BP267-BP268,1)),"")</f>
        <v>0</v>
      </c>
      <c r="BQ271" s="61" t="n">
        <f aca="false">IF(ISNUMBER(BQ268),IF(ABS(BQ267-BQ268)&lt;=1.001,0,ROUND(BQ267-BQ268,1)),"")</f>
        <v>0</v>
      </c>
      <c r="BR271" s="61" t="n">
        <f aca="false">IF(ISNUMBER(BR268),IF(ABS(BR267-BR268)&lt;=1.001,0,ROUND(BR267-BR268,1)),"")</f>
        <v>0</v>
      </c>
      <c r="BS271" s="61" t="n">
        <f aca="false">IF(ISNUMBER(BS268),IF(ABS(BS267-BS268)&lt;=1.001,0,ROUND(BS267-BS268,1)),"")</f>
        <v>0</v>
      </c>
      <c r="BT271" s="61" t="n">
        <f aca="false">IF(ISNUMBER(BT268),IF(ABS(BT267-BT268)&lt;=1.001,0,ROUND(BT267-BT268,1)),"")</f>
        <v>0</v>
      </c>
      <c r="BU271" s="61" t="n">
        <f aca="false">IF(ISNUMBER(BU268),IF(ABS(BU267-BU268)&lt;=1.001,0,ROUND(BU267-BU268,1)),"")</f>
        <v>0</v>
      </c>
      <c r="BV271" s="61" t="n">
        <f aca="false">IF(ISNUMBER(BV268),IF(ABS(BV267-BV268)&lt;=1.001,0,ROUND(BV267-BV268,1)),"")</f>
        <v>0</v>
      </c>
      <c r="BW271" s="61" t="n">
        <f aca="false">IF(ISNUMBER(BW268),IF(ABS(BW267-BW268)&lt;=1.001,0,ROUND(BW267-BW268,1)),"")</f>
        <v>0</v>
      </c>
      <c r="BX271" s="61" t="n">
        <f aca="false">IF(ISNUMBER(BX268),IF(ABS(BX267-BX268)&lt;=1.001,0,ROUND(BX267-BX268,1)),"")</f>
        <v>0</v>
      </c>
      <c r="BY271" s="39"/>
      <c r="BZ271" s="39"/>
      <c r="CA271" s="39"/>
      <c r="CB271" s="39"/>
      <c r="CC271" s="39"/>
      <c r="CD271" s="39"/>
      <c r="CE271" s="39"/>
      <c r="CF271" s="21"/>
    </row>
    <row r="272" customFormat="false" ht="15" hidden="false" customHeight="false" outlineLevel="0" collapsed="false">
      <c r="B272" s="23" t="s">
        <v>444</v>
      </c>
      <c r="C272" s="24"/>
      <c r="D272" s="25" t="n">
        <f aca="false">IF(AND(ISNUMBER(D267),ISNUMBER(C267)),IFERROR(D267/C267-1,""),"")</f>
        <v>2.94918276374443</v>
      </c>
      <c r="E272" s="25" t="n">
        <f aca="false">IF(AND(ISNUMBER(E267),ISNUMBER(D267)),IFERROR(E267/D267-1,""),"")</f>
        <v>-0.117465573030326</v>
      </c>
      <c r="F272" s="25" t="n">
        <f aca="false">IF(AND(ISNUMBER(F267),ISNUMBER(E267)),IFERROR(F267/E267-1,""),"")</f>
        <v>0.250170532060027</v>
      </c>
      <c r="G272" s="25" t="n">
        <f aca="false">IF(AND(ISNUMBER(G267),ISNUMBER(F267)),IFERROR(G267/F267-1,""),"")</f>
        <v>-0.152093848042559</v>
      </c>
      <c r="H272" s="25" t="n">
        <f aca="false">IF(AND(ISNUMBER(H267),ISNUMBER(G267)),IFERROR(H267/G267-1,""),"")</f>
        <v>0.14229407979408</v>
      </c>
      <c r="I272" s="25" t="n">
        <f aca="false">IF(AND(ISNUMBER(I267),ISNUMBER(H267)),IFERROR(I267/H267-1,""),"")</f>
        <v>0.243292725864376</v>
      </c>
      <c r="J272" s="24"/>
      <c r="K272" s="24"/>
      <c r="L272" s="24"/>
      <c r="M272" s="24"/>
      <c r="N272" s="25" t="n">
        <f aca="false">IF(AND(ISNUMBER(N267),ISNUMBER(I267)),IFERROR(N267/I267-1,""),"")</f>
        <v>-0.00662664250113265</v>
      </c>
      <c r="O272" s="25" t="n">
        <f aca="false">IF(AND(ISNUMBER(O267),ISNUMBER(J267)),IFERROR(O267/J267-1,""),"")</f>
        <v>-0.996188055908513</v>
      </c>
      <c r="P272" s="25" t="n">
        <f aca="false">IF(AND(ISNUMBER(P267),ISNUMBER(K267)),IFERROR(P267/K267-1,""),"")</f>
        <v>0.987448708665219</v>
      </c>
      <c r="Q272" s="25" t="n">
        <f aca="false">IF(AND(ISNUMBER(Q267),ISNUMBER(L267)),IFERROR(Q267/L267-1,""),"")</f>
        <v>0.282444396458648</v>
      </c>
      <c r="R272" s="25" t="n">
        <f aca="false">IF(AND(ISNUMBER(R267),ISNUMBER(M267)),IFERROR(R267/M267-1,""),"")</f>
        <v>0.292004996876952</v>
      </c>
      <c r="S272" s="25" t="n">
        <f aca="false">IF(AND(ISNUMBER(S267),ISNUMBER(N267)),IFERROR(S267/N267-1,""),"")</f>
        <v>0.280346656023718</v>
      </c>
      <c r="T272" s="25" t="n">
        <f aca="false">IF(AND(ISNUMBER(T267),ISNUMBER(O267)),IFERROR(T267/O267-1,""),"")</f>
        <v>-17.1111111111111</v>
      </c>
      <c r="U272" s="25" t="n">
        <f aca="false">IF(AND(ISNUMBER(U267),ISNUMBER(P267)),IFERROR(U267/P267-1,""),"")</f>
        <v>-0.177313577847947</v>
      </c>
      <c r="V272" s="25" t="n">
        <f aca="false">IF(AND(ISNUMBER(V267),ISNUMBER(Q267)),IFERROR(V267/Q267-1,""),"")</f>
        <v>0.0909243980468093</v>
      </c>
      <c r="W272" s="25" t="n">
        <f aca="false">IF(AND(ISNUMBER(W267),ISNUMBER(R267)),IFERROR(W267/R267-1,""),"")</f>
        <v>0.341551849166062</v>
      </c>
      <c r="X272" s="25" t="n">
        <f aca="false">IF(AND(ISNUMBER(X267),ISNUMBER(S267)),IFERROR(X267/S267-1,""),"")</f>
        <v>0.0780192376202349</v>
      </c>
      <c r="Y272" s="25" t="n">
        <f aca="false">IF(AND(ISNUMBER(Y267),ISNUMBER(T267)),IFERROR(Y267/T267-1,""),"")</f>
        <v>-13.5172413793103</v>
      </c>
      <c r="Z272" s="25" t="n">
        <f aca="false">IF(AND(ISNUMBER(Z267),ISNUMBER(U267)),IFERROR(Z267/U267-1,""),"")</f>
        <v>0.1674047829938</v>
      </c>
      <c r="AA272" s="25" t="n">
        <f aca="false">IF(AND(ISNUMBER(AA267),ISNUMBER(V267)),IFERROR(AA267/V267-1,""),"")</f>
        <v>0.0700725420589596</v>
      </c>
      <c r="AB272" s="25" t="n">
        <f aca="false">IF(AND(ISNUMBER(AB267),ISNUMBER(W267)),IFERROR(AB267/W267-1,""),"")</f>
        <v>-0.0318918918918916</v>
      </c>
      <c r="AC272" s="25" t="n">
        <f aca="false">IF(AND(ISNUMBER(AC267),ISNUMBER(X267)),IFERROR(AC267/X267-1,""),"")</f>
        <v>0.131939854593523</v>
      </c>
      <c r="AD272" s="25" t="n">
        <f aca="false">IF(AND(ISNUMBER(AD267),ISNUMBER(Y267)),IFERROR(AD267/Y267-1,""),"")</f>
        <v>0.488154269972452</v>
      </c>
      <c r="AE272" s="25" t="n">
        <f aca="false">IF(AND(ISNUMBER(AE267),ISNUMBER(Z267)),IFERROR(AE267/Z267-1,""),"")</f>
        <v>-0.0366717248356095</v>
      </c>
      <c r="AF272" s="25" t="n">
        <f aca="false">IF(AND(ISNUMBER(AF267),ISNUMBER(AA267)),IFERROR(AF267/AA267-1,""),"")</f>
        <v>0.182604932929468</v>
      </c>
      <c r="AG272" s="25" t="n">
        <f aca="false">IF(AND(ISNUMBER(AG267),ISNUMBER(AB267)),IFERROR(AG267/AB267-1,""),"")</f>
        <v>0.538432905267076</v>
      </c>
      <c r="AH272" s="25" t="n">
        <f aca="false">IF(AND(ISNUMBER(AH267),ISNUMBER(AC267)),IFERROR(AH267/AC267-1,""),"")</f>
        <v>0.279103715057295</v>
      </c>
      <c r="AI272" s="25" t="n">
        <f aca="false">IF(AND(ISNUMBER(AI267),ISNUMBER(AD267)),IFERROR(AI267/AD267-1,""),"")</f>
        <v>-1.14068863383932</v>
      </c>
      <c r="AJ272" s="25" t="n">
        <f aca="false">IF(AND(ISNUMBER(AJ267),ISNUMBER(AE267)),IFERROR(AJ267/AE267-1,""),"")</f>
        <v>0.656602782882646</v>
      </c>
      <c r="AK272" s="25" t="n">
        <f aca="false">IF(AND(ISNUMBER(AK267),ISNUMBER(AF267)),IFERROR(AK267/AF267-1,""),"")</f>
        <v>0.280643980973289</v>
      </c>
      <c r="AL272" s="25" t="n">
        <f aca="false">IF(AND(ISNUMBER(AL267),ISNUMBER(AG267)),IFERROR(AL267/AG267-1,""),"")</f>
        <v>-0.0557706266634407</v>
      </c>
      <c r="AM272" s="25" t="n">
        <f aca="false">IF(AND(ISNUMBER(AM267),ISNUMBER(AH267)),IFERROR(AM267/AH267-1,""),"")</f>
        <v>0.0941512125534949</v>
      </c>
      <c r="AN272" s="25" t="n">
        <f aca="false">IF(AND(ISNUMBER(AN267),ISNUMBER(AI267)),IFERROR(AN267/AI267-1,""),"")</f>
        <v>-12.9473684210526</v>
      </c>
      <c r="AO272" s="25" t="n">
        <f aca="false">IF(AND(ISNUMBER(AO267),ISNUMBER(AJ267)),IFERROR(AO267/AJ267-1,""),"")</f>
        <v>-0.144215530903328</v>
      </c>
      <c r="AP272" s="25" t="n">
        <f aca="false">IF(AND(ISNUMBER(AP267),ISNUMBER(AK267)),IFERROR(AP267/AK267-1,""),"")</f>
        <v>-0.136190476190476</v>
      </c>
      <c r="AQ272" s="25" t="n">
        <f aca="false">IF(AND(ISNUMBER(AQ267),ISNUMBER(AL267)),IFERROR(AQ267/AL267-1,""),"")</f>
        <v>0.0518898142216528</v>
      </c>
      <c r="AR272" s="25" t="n">
        <f aca="false">IF(AND(ISNUMBER(AR267),ISNUMBER(AM267)),IFERROR(AR267/AM267-1,""),"")</f>
        <v>0.0646675358539766</v>
      </c>
      <c r="AS272" s="25" t="n">
        <f aca="false">IF(AND(ISNUMBER(AS267),ISNUMBER(AN267)),IFERROR(AS267/AN267-1,""),"")</f>
        <v>-0.76431718061674</v>
      </c>
      <c r="AT272" s="25" t="n">
        <f aca="false">IF(AND(ISNUMBER(AT267),ISNUMBER(AO267)),IFERROR(AT267/AO267-1,""),"")</f>
        <v>0.499074074074074</v>
      </c>
      <c r="AU272" s="25" t="n">
        <f aca="false">IF(AND(ISNUMBER(AU267),ISNUMBER(AP267)),IFERROR(AU267/AP267-1,""),"")</f>
        <v>1.5832414553473</v>
      </c>
      <c r="AV272" s="25" t="n">
        <f aca="false">IF(AND(ISNUMBER(AV267),ISNUMBER(AQ267)),IFERROR(AV267/AQ267-1,""),"")</f>
        <v>0.677222898903776</v>
      </c>
      <c r="AW272" s="25" t="n">
        <f aca="false">IF(AND(ISNUMBER(AW267),ISNUMBER(AR267)),IFERROR(AW267/AR267-1,""),"")</f>
        <v>0.671075189811413</v>
      </c>
      <c r="AX272" s="25" t="n">
        <f aca="false">IF(AND(ISNUMBER(AX267),ISNUMBER(AS267)),IFERROR(AX267/AS267-1,""),"")</f>
        <v>11.6635514018692</v>
      </c>
      <c r="AY272" s="25" t="n">
        <f aca="false">IF(AND(ISNUMBER(AY267),ISNUMBER(AT267)),IFERROR(AY267/AT267-1,""),"")</f>
        <v>0.0420012353304509</v>
      </c>
      <c r="AZ272" s="25" t="n">
        <f aca="false">IF(AND(ISNUMBER(AZ267),ISNUMBER(AU267)),IFERROR(AZ267/AU267-1,""),"")</f>
        <v>-0.0909090909090909</v>
      </c>
      <c r="BA272" s="25" t="n">
        <f aca="false">IF(AND(ISNUMBER(BA267),ISNUMBER(AV267)),IFERROR(BA267/AV267-1,""),"")</f>
        <v>-0.321713870733479</v>
      </c>
      <c r="BB272" s="25" t="n">
        <f aca="false">IF(AND(ISNUMBER(BB267),ISNUMBER(AW267)),IFERROR(BB267/AW267-1,""),"")</f>
        <v>0.0318041917045289</v>
      </c>
      <c r="BC272" s="25" t="n">
        <f aca="false">IF(AND(ISNUMBER(BC267),ISNUMBER(AX267)),IFERROR(BC267/AX267-1,""),"")</f>
        <v>0.154243542435424</v>
      </c>
      <c r="BD272" s="25" t="n">
        <f aca="false">IF(AND(ISNUMBER(BD267),ISNUMBER(AY267)),IFERROR(BD267/AY267-1,""),"")</f>
        <v>-0.387077652637819</v>
      </c>
      <c r="BE272" s="25" t="n">
        <f aca="false">IF(AND(ISNUMBER(BE267),ISNUMBER(AZ267)),IFERROR(BE267/AZ267-1,""),"")</f>
        <v>-0.345539906103286</v>
      </c>
      <c r="BF272" s="25" t="n">
        <f aca="false">IF(AND(ISNUMBER(BF267),ISNUMBER(BA267)),IFERROR(BF267/BA267-1,""),"")</f>
        <v>0.575481798715203</v>
      </c>
      <c r="BG272" s="25" t="n">
        <f aca="false">IF(AND(ISNUMBER(BG267),ISNUMBER(BB267)),IFERROR(BG267/BB267-1,""),"")</f>
        <v>-0.0149147727272727</v>
      </c>
      <c r="BH272" s="25" t="n">
        <f aca="false">IF(AND(ISNUMBER(BH267),ISNUMBER(BC267)),IFERROR(BH267/BC267-1,""),"")</f>
        <v>-0.822890025575448</v>
      </c>
      <c r="BI272" s="25" t="n">
        <f aca="false">IF(AND(ISNUMBER(BI267),ISNUMBER(BD267)),IFERROR(BI267/BD267-1,""),"")</f>
        <v>0.218568665377176</v>
      </c>
      <c r="BJ272" s="25" t="n">
        <f aca="false">IF(AND(ISNUMBER(BJ267),ISNUMBER(BE267)),IFERROR(BJ267/BE267-1,""),"")</f>
        <v>0.540889526542324</v>
      </c>
      <c r="BK272" s="25" t="n">
        <f aca="false">IF(AND(ISNUMBER(BK267),ISNUMBER(BF267)),IFERROR(BK267/BF267-1,""),"")</f>
        <v>0.131158681617397</v>
      </c>
      <c r="BL272" s="25" t="n">
        <f aca="false">IF(AND(ISNUMBER(BL267),ISNUMBER(BG267)),IFERROR(BL267/BG267-1,""),"")</f>
        <v>0.0113914924297045</v>
      </c>
      <c r="BM272" s="25" t="n">
        <f aca="false">IF(AND(ISNUMBER(BM267),ISNUMBER(BH267)),IFERROR(BM267/BH267-1,""),"")</f>
        <v>2.27797833935018</v>
      </c>
      <c r="BN272" s="25" t="n">
        <f aca="false">IF(AND(ISNUMBER(BN267),ISNUMBER(BI267)),IFERROR(BN267/BI267-1,""),"")</f>
        <v>0.329365079365079</v>
      </c>
      <c r="BO272" s="25" t="n">
        <f aca="false">IF(AND(ISNUMBER(BO267),ISNUMBER(BJ267)),IFERROR(BO267/BJ267-1,""),"")</f>
        <v>-0.108938547486033</v>
      </c>
      <c r="BP272" s="25" t="n">
        <f aca="false">IF(AND(ISNUMBER(BP267),ISNUMBER(BK267)),IFERROR(BP267/BK267-1,""),"")</f>
        <v>-0.150796034845299</v>
      </c>
      <c r="BQ272" s="25" t="n">
        <f aca="false">IF(AND(ISNUMBER(BQ267),ISNUMBER(BL267)),IFERROR(BQ267/BL267-1,""),"")</f>
        <v>0.0441973196464214</v>
      </c>
      <c r="BR272" s="25" t="n">
        <f aca="false">IF(AND(ISNUMBER(BR267),ISNUMBER(BM267)),IFERROR(BR267/BM267-1,""),"")</f>
        <v>-0.58920704845815</v>
      </c>
      <c r="BS272" s="25" t="n">
        <f aca="false">IF(AND(ISNUMBER(BS267),ISNUMBER(BN267)),IFERROR(BS267/BN267-1,""),"")</f>
        <v>-0.339701492537313</v>
      </c>
      <c r="BT272" s="25" t="n">
        <f aca="false">IF(AND(ISNUMBER(BT267),ISNUMBER(BO267)),IFERROR(BT267/BO267-1,""),"")</f>
        <v>-0.0391849529780565</v>
      </c>
      <c r="BU272" s="25" t="n">
        <f aca="false">IF(AND(ISNUMBER(BU267),ISNUMBER(BP267)),IFERROR(BU267/BP267-1,""),"")</f>
        <v>0.067916519278387</v>
      </c>
      <c r="BV272" s="25" t="n">
        <f aca="false">IF(AND(ISNUMBER(BV267),ISNUMBER(BQ267)),IFERROR(BV267/BQ267-1,""),"")</f>
        <v>-0.134762424904424</v>
      </c>
      <c r="BW272" s="25" t="n">
        <f aca="false">IF(AND(ISNUMBER(BW267),ISNUMBER(BR267)),IFERROR(BW267/BR267-1,""),"")</f>
        <v>1.21179624664879</v>
      </c>
      <c r="BX272" s="25" t="n">
        <f aca="false">IF(AND(ISNUMBER(BX267),ISNUMBER(BS267)),IFERROR(BX267/BS267-1,""),"")</f>
        <v>0.518083182640145</v>
      </c>
      <c r="BY272" s="29"/>
      <c r="BZ272" s="29"/>
      <c r="CA272" s="26" t="n">
        <f aca="false">IFERROR(CA267/BV267-1,"")</f>
        <v>0.128294145494714</v>
      </c>
      <c r="CB272" s="26" t="n">
        <f aca="false">IFERROR(CB267/CA267-1,"")</f>
        <v>0.20794165132727</v>
      </c>
      <c r="CC272" s="26" t="n">
        <f aca="false">IFERROR(CC267/CB267-1,"")</f>
        <v>0.0825791671289979</v>
      </c>
      <c r="CD272" s="26" t="n">
        <f aca="false">IFERROR(CD267/CC267-1,"")</f>
        <v>0.0853349716437124</v>
      </c>
      <c r="CE272" s="26" t="n">
        <f aca="false">IFERROR(CE267/CD267-1,"")</f>
        <v>0.0919201566114043</v>
      </c>
      <c r="CF272" s="21"/>
    </row>
    <row r="273" customFormat="false" ht="15" hidden="false" customHeight="false" outlineLevel="0" collapsed="false">
      <c r="B273" s="23" t="s">
        <v>445</v>
      </c>
      <c r="C273" s="25" t="n">
        <f aca="false">IF(AND(ISNUMBER(C267),ISNUMBER(C136)),C267/C136,"")</f>
        <v>0.0887484152539668</v>
      </c>
      <c r="D273" s="25" t="n">
        <f aca="false">IF(AND(ISNUMBER(D267),ISNUMBER(D136)),D267/D136,"")</f>
        <v>0.136347779693015</v>
      </c>
      <c r="E273" s="25" t="n">
        <f aca="false">IF(AND(ISNUMBER(E267),ISNUMBER(E136)),E267/E136,"")</f>
        <v>0.111716517431892</v>
      </c>
      <c r="F273" s="25" t="n">
        <f aca="false">IF(AND(ISNUMBER(F267),ISNUMBER(F136)),F267/F136,"")</f>
        <v>0.14502903152418</v>
      </c>
      <c r="G273" s="25" t="n">
        <f aca="false">IF(AND(ISNUMBER(G267),ISNUMBER(G136)),G267/G136,"")</f>
        <v>0.115231677588588</v>
      </c>
      <c r="H273" s="25" t="n">
        <f aca="false">IF(AND(ISNUMBER(H267),ISNUMBER(H136)),H267/H136,"")</f>
        <v>0.121107974654398</v>
      </c>
      <c r="I273" s="25" t="n">
        <f aca="false">IF(AND(ISNUMBER(I267),ISNUMBER(I136)),I267/I136,"")</f>
        <v>0.14113622011367</v>
      </c>
      <c r="J273" s="25" t="n">
        <f aca="false">IF(AND(ISNUMBER(J267),ISNUMBER(J136)),J267/J136,"")</f>
        <v>0.0739777534074887</v>
      </c>
      <c r="K273" s="25" t="n">
        <f aca="false">IF(AND(ISNUMBER(K267),ISNUMBER(K136)),K267/K136,"")</f>
        <v>0.127866423875806</v>
      </c>
      <c r="L273" s="25" t="n">
        <f aca="false">IF(AND(ISNUMBER(L267),ISNUMBER(L136)),L267/L136,"")</f>
        <v>0.145090544520333</v>
      </c>
      <c r="M273" s="25" t="n">
        <f aca="false">IF(AND(ISNUMBER(M267),ISNUMBER(M136)),M267/M136,"")</f>
        <v>0.184718336265828</v>
      </c>
      <c r="N273" s="25" t="n">
        <f aca="false">IF(AND(ISNUMBER(N267),ISNUMBER(N136)),N267/N136,"")</f>
        <v>0.13398470623286</v>
      </c>
      <c r="O273" s="25" t="n">
        <f aca="false">IF(AND(ISNUMBER(O267),ISNUMBER(O136)),O267/O136,"")</f>
        <v>0.000230562315870373</v>
      </c>
      <c r="P273" s="25" t="n">
        <f aca="false">IF(AND(ISNUMBER(P267),ISNUMBER(P136)),P267/P136,"")</f>
        <v>0.190518059186932</v>
      </c>
      <c r="Q273" s="25" t="n">
        <f aca="false">IF(AND(ISNUMBER(Q267),ISNUMBER(Q136)),Q267/Q136,"")</f>
        <v>0.142374262837417</v>
      </c>
      <c r="R273" s="25" t="n">
        <f aca="false">IF(AND(ISNUMBER(R267),ISNUMBER(R136)),R267/R136,"")</f>
        <v>0.184161324786325</v>
      </c>
      <c r="S273" s="25" t="n">
        <f aca="false">IF(AND(ISNUMBER(S267),ISNUMBER(S136)),S267/S136,"")</f>
        <v>0.132957559681698</v>
      </c>
      <c r="T273" s="25" t="n">
        <f aca="false">IF(AND(ISNUMBER(T267),ISNUMBER(T136)),T267/T136,"")</f>
        <v>-0.00370011227926917</v>
      </c>
      <c r="U273" s="25" t="n">
        <f aca="false">IF(AND(ISNUMBER(U267),ISNUMBER(U136)),U267/U136,"")</f>
        <v>0.158608255871128</v>
      </c>
      <c r="V273" s="25" t="n">
        <f aca="false">IF(AND(ISNUMBER(V267),ISNUMBER(V136)),V267/V136,"")</f>
        <v>0.157135234769111</v>
      </c>
      <c r="W273" s="25" t="n">
        <f aca="false">IF(AND(ISNUMBER(W267),ISNUMBER(W136)),W267/W136,"")</f>
        <v>0.238581407845244</v>
      </c>
      <c r="X273" s="25" t="n">
        <f aca="false">IF(AND(ISNUMBER(X267),ISNUMBER(X136)),X267/X136,"")</f>
        <v>0.142690416966296</v>
      </c>
      <c r="Y273" s="25" t="n">
        <f aca="false">IF(AND(ISNUMBER(Y267),ISNUMBER(Y136)),Y267/Y136,"")</f>
        <v>0.0422604079351774</v>
      </c>
      <c r="Z273" s="25" t="n">
        <f aca="false">IF(AND(ISNUMBER(Z267),ISNUMBER(Z136)),Z267/Z136,"")</f>
        <v>0.174369377315223</v>
      </c>
      <c r="AA273" s="25" t="n">
        <f aca="false">IF(AND(ISNUMBER(AA267),ISNUMBER(AA136)),AA267/AA136,"")</f>
        <v>0.154378855017925</v>
      </c>
      <c r="AB273" s="25" t="n">
        <f aca="false">IF(AND(ISNUMBER(AB267),ISNUMBER(AB136)),AB267/AB136,"")</f>
        <v>0.216950658160381</v>
      </c>
      <c r="AC273" s="25" t="n">
        <f aca="false">IF(AND(ISNUMBER(AC267),ISNUMBER(AC136)),AC267/AC136,"")</f>
        <v>0.149949929134677</v>
      </c>
      <c r="AD273" s="25" t="n">
        <f aca="false">IF(AND(ISNUMBER(AD267),ISNUMBER(AD136)),AD267/AD136,"")</f>
        <v>0.0566841552990556</v>
      </c>
      <c r="AE273" s="25" t="n">
        <f aca="false">IF(AND(ISNUMBER(AE267),ISNUMBER(AE136)),AE267/AE136,"")</f>
        <v>0.152665330661323</v>
      </c>
      <c r="AF273" s="25" t="n">
        <f aca="false">IF(AND(ISNUMBER(AF267),ISNUMBER(AF136)),AF267/AF136,"")</f>
        <v>0.16025565849654</v>
      </c>
      <c r="AG273" s="25" t="n">
        <f aca="false">IF(AND(ISNUMBER(AG267),ISNUMBER(AG136)),AG267/AG136,"")</f>
        <v>0.273391764511328</v>
      </c>
      <c r="AH273" s="25" t="n">
        <f aca="false">IF(AND(ISNUMBER(AH267),ISNUMBER(AH136)),AH267/AH136,"")</f>
        <v>0.167559040061191</v>
      </c>
      <c r="AI273" s="25" t="n">
        <f aca="false">IF(AND(ISNUMBER(AI267),ISNUMBER(AI136)),AI267/AI136,"")</f>
        <v>-0.00649239706133607</v>
      </c>
      <c r="AJ273" s="25" t="n">
        <f aca="false">IF(AND(ISNUMBER(AJ267),ISNUMBER(AJ136)),AJ267/AJ136,"")</f>
        <v>0.207634090161237</v>
      </c>
      <c r="AK273" s="25" t="n">
        <f aca="false">IF(AND(ISNUMBER(AK267),ISNUMBER(AK136)),AK267/AK136,"")</f>
        <v>0.177364864864865</v>
      </c>
      <c r="AL273" s="25" t="n">
        <f aca="false">IF(AND(ISNUMBER(AL267),ISNUMBER(AL136)),AL267/AL136,"")</f>
        <v>0.239895497156908</v>
      </c>
      <c r="AM273" s="25" t="n">
        <f aca="false">IF(AND(ISNUMBER(AM267),ISNUMBER(AM136)),AM267/AM136,"")</f>
        <v>0.157443139830856</v>
      </c>
      <c r="AN273" s="25" t="n">
        <f aca="false">IF(AND(ISNUMBER(AN267),ISNUMBER(AN136)),AN267/AN136,"")</f>
        <v>0.0741224489795918</v>
      </c>
      <c r="AO273" s="25" t="n">
        <f aca="false">IF(AND(ISNUMBER(AO267),ISNUMBER(AO136)),AO267/AO136,"")</f>
        <v>0.170994300189994</v>
      </c>
      <c r="AP273" s="25" t="n">
        <f aca="false">IF(AND(ISNUMBER(AP267),ISNUMBER(AP136)),AP267/AP136,"")</f>
        <v>0.144610969387755</v>
      </c>
      <c r="AQ273" s="25" t="n">
        <f aca="false">IF(AND(ISNUMBER(AQ267),ISNUMBER(AQ136)),AQ267/AQ136,"")</f>
        <v>0.240445160345585</v>
      </c>
      <c r="AR273" s="25" t="n">
        <f aca="false">IF(AND(ISNUMBER(AR267),ISNUMBER(AR136)),AR267/AR136,"")</f>
        <v>0.159854357528776</v>
      </c>
      <c r="AS273" s="25" t="n">
        <f aca="false">IF(AND(ISNUMBER(AS267),ISNUMBER(AS136)),AS267/AS136,"")</f>
        <v>0.0171749598715891</v>
      </c>
      <c r="AT273" s="25" t="n">
        <f aca="false">IF(AND(ISNUMBER(AT267),ISNUMBER(AT136)),AT267/AT136,"")</f>
        <v>0.234061009107995</v>
      </c>
      <c r="AU273" s="25" t="n">
        <f aca="false">IF(AND(ISNUMBER(AU267),ISNUMBER(AU136)),AU267/AU136,"")</f>
        <v>0.27496772679263</v>
      </c>
      <c r="AV273" s="25" t="n">
        <f aca="false">IF(AND(ISNUMBER(AV267),ISNUMBER(AV136)),AV267/AV136,"")</f>
        <v>0.261042654028436</v>
      </c>
      <c r="AW273" s="25" t="n">
        <f aca="false">IF(AND(ISNUMBER(AW267),ISNUMBER(AW136)),AW267/AW136,"")</f>
        <v>0.211776025824074</v>
      </c>
      <c r="AX273" s="25" t="n">
        <f aca="false">IF(AND(ISNUMBER(AX267),ISNUMBER(AX136)),AX267/AX136,"")</f>
        <v>0.136785786392086</v>
      </c>
      <c r="AY273" s="25" t="n">
        <f aca="false">IF(AND(ISNUMBER(AY267),ISNUMBER(AY136)),AY267/AY136,"")</f>
        <v>0.181926021783673</v>
      </c>
      <c r="AZ273" s="25" t="n">
        <f aca="false">IF(AND(ISNUMBER(AZ267),ISNUMBER(AZ136)),AZ267/AZ136,"")</f>
        <v>0.228295819935691</v>
      </c>
      <c r="BA273" s="25" t="n">
        <f aca="false">IF(AND(ISNUMBER(BA267),ISNUMBER(BA136)),BA267/BA136,"")</f>
        <v>0.174546813679686</v>
      </c>
      <c r="BB273" s="25" t="n">
        <f aca="false">IF(AND(ISNUMBER(BB267),ISNUMBER(BB136)),BB267/BB136,"")</f>
        <v>0.179541455203897</v>
      </c>
      <c r="BC273" s="25" t="n">
        <f aca="false">IF(AND(ISNUMBER(BC267),ISNUMBER(BC136)),BC267/BC136,"")</f>
        <v>0.132340497546116</v>
      </c>
      <c r="BD273" s="25" t="n">
        <f aca="false">IF(AND(ISNUMBER(BD267),ISNUMBER(BD136)),BD267/BD136,"")</f>
        <v>0.094257064721969</v>
      </c>
      <c r="BE273" s="25" t="n">
        <f aca="false">IF(AND(ISNUMBER(BE267),ISNUMBER(BE136)),BE267/BE136,"")</f>
        <v>0.130561019012831</v>
      </c>
      <c r="BF273" s="25" t="n">
        <f aca="false">IF(AND(ISNUMBER(BF267),ISNUMBER(BF136)),BF267/BF136,"")</f>
        <v>0.25703056768559</v>
      </c>
      <c r="BG273" s="25" t="n">
        <f aca="false">IF(AND(ISNUMBER(BG267),ISNUMBER(BG136)),BG267/BG136,"")</f>
        <v>0.154402760770344</v>
      </c>
      <c r="BH273" s="25" t="n">
        <f aca="false">IF(AND(ISNUMBER(BH267),ISNUMBER(BH136)),BH267/BH136,"")</f>
        <v>0.0258636788048553</v>
      </c>
      <c r="BI273" s="25" t="n">
        <f aca="false">IF(AND(ISNUMBER(BI267),ISNUMBER(BI136)),BI267/BI136,"")</f>
        <v>0.117900252643399</v>
      </c>
      <c r="BJ273" s="25" t="n">
        <f aca="false">IF(AND(ISNUMBER(BJ267),ISNUMBER(BJ136)),BJ267/BJ136,"")</f>
        <v>0.203139776811046</v>
      </c>
      <c r="BK273" s="25" t="n">
        <f aca="false">IF(AND(ISNUMBER(BK267),ISNUMBER(BK136)),BK267/BK136,"")</f>
        <v>0.305805621899688</v>
      </c>
      <c r="BL273" s="25" t="n">
        <f aca="false">IF(AND(ISNUMBER(BL267),ISNUMBER(BL136)),BL267/BL136,"")</f>
        <v>0.163660545535152</v>
      </c>
      <c r="BM273" s="25" t="n">
        <f aca="false">IF(AND(ISNUMBER(BM267),ISNUMBER(BM136)),BM267/BM136,"")</f>
        <v>0.0877718704688255</v>
      </c>
      <c r="BN273" s="25" t="n">
        <f aca="false">IF(AND(ISNUMBER(BN267),ISNUMBER(BN136)),BN267/BN136,"")</f>
        <v>0.158903329854852</v>
      </c>
      <c r="BO273" s="25" t="n">
        <f aca="false">IF(AND(ISNUMBER(BO267),ISNUMBER(BO136)),BO267/BO136,"")</f>
        <v>0.180600113228911</v>
      </c>
      <c r="BP273" s="25" t="n">
        <f aca="false">IF(AND(ISNUMBER(BP267),ISNUMBER(BP136)),BP267/BP136,"")</f>
        <v>0.248091268100044</v>
      </c>
      <c r="BQ273" s="25" t="n">
        <f aca="false">IF(AND(ISNUMBER(BQ267),ISNUMBER(BQ136)),BQ267/BQ136,"")</f>
        <v>0.170806222160032</v>
      </c>
      <c r="BR273" s="25" t="n">
        <f aca="false">IF(AND(ISNUMBER(BR267),ISNUMBER(BR136)),BR267/BR136,"")</f>
        <v>0.0359899652643767</v>
      </c>
      <c r="BS273" s="25" t="n">
        <f aca="false">IF(AND(ISNUMBER(BS267),ISNUMBER(BS136)),BS267/BS136,"")</f>
        <v>0.101888530631046</v>
      </c>
      <c r="BT273" s="25" t="n">
        <f aca="false">IF(AND(ISNUMBER(BT267),ISNUMBER(BT136)),BT267/BT136,"")</f>
        <v>0.16534795900018</v>
      </c>
      <c r="BU273" s="25" t="n">
        <f aca="false">IF(AND(ISNUMBER(BU267),ISNUMBER(BU136)),BU267/BU136,"")</f>
        <v>0.247155137126484</v>
      </c>
      <c r="BV273" s="25" t="n">
        <f aca="false">IF(AND(ISNUMBER(BV267),ISNUMBER(BV136)),BV267/BV136,"")</f>
        <v>0.142225513959961</v>
      </c>
      <c r="BW273" s="25" t="n">
        <f aca="false">IF(AND(ISNUMBER(BW267),ISNUMBER(BW136)),BW267/BW136,"")</f>
        <v>0.0749659245797365</v>
      </c>
      <c r="BX273" s="25" t="n">
        <f aca="false">IF(AND(ISNUMBER(BX267),ISNUMBER(BX136)),BX267/BX136,"")</f>
        <v>0.139986659996665</v>
      </c>
      <c r="BY273" s="29"/>
      <c r="BZ273" s="29"/>
      <c r="CA273" s="26" t="n">
        <f aca="false">IFERROR(CA267/CA136,"")</f>
        <v>0.149738219895288</v>
      </c>
      <c r="CB273" s="26" t="n">
        <f aca="false">IFERROR(CB267/CB136,"")</f>
        <v>0.170472298144269</v>
      </c>
      <c r="CC273" s="26" t="n">
        <f aca="false">IFERROR(CC267/CC136,"")</f>
        <v>0.171550111229255</v>
      </c>
      <c r="CD273" s="26" t="n">
        <f aca="false">IFERROR(CD267/CD136,"")</f>
        <v>0.173076158801958</v>
      </c>
      <c r="CE273" s="26" t="n">
        <f aca="false">IFERROR(CE267/CE136,"")</f>
        <v>0.17584566946831</v>
      </c>
      <c r="CF273" s="21"/>
    </row>
    <row r="274" customFormat="false" ht="15" hidden="false" customHeight="false" outlineLevel="0" collapsed="false">
      <c r="B274" s="23" t="s">
        <v>446</v>
      </c>
      <c r="C274" s="25" t="n">
        <f aca="false">IF(AND(ISNUMBER(C267),ISNUMBER(C208)),C267/C208,"")</f>
        <v>0.868037641620405</v>
      </c>
      <c r="D274" s="25" t="n">
        <f aca="false">IF(AND(ISNUMBER(D267),ISNUMBER(D208)),D267/D208,"")</f>
        <v>1.12867334805504</v>
      </c>
      <c r="E274" s="25" t="n">
        <f aca="false">IF(AND(ISNUMBER(E267),ISNUMBER(E208)),E267/E208,"")</f>
        <v>0.852759397949538</v>
      </c>
      <c r="F274" s="25" t="n">
        <f aca="false">IF(AND(ISNUMBER(F267),ISNUMBER(F208)),F267/F208,"")</f>
        <v>1.13597272797707</v>
      </c>
      <c r="G274" s="25" t="n">
        <f aca="false">IF(AND(ISNUMBER(G267),ISNUMBER(G208)),G267/G208,"")</f>
        <v>0.850225687320476</v>
      </c>
      <c r="H274" s="25" t="n">
        <f aca="false">IF(AND(ISNUMBER(H267),ISNUMBER(H208)),H267/H208,"")</f>
        <v>0.88772894917797</v>
      </c>
      <c r="I274" s="25" t="n">
        <f aca="false">IF(AND(ISNUMBER(I267),ISNUMBER(I208)),I267/I208,"")</f>
        <v>0.975577411868715</v>
      </c>
      <c r="J274" s="25" t="n">
        <f aca="false">IF(AND(ISNUMBER(J267),ISNUMBER(J208)),J267/J208,"")</f>
        <v>0.476296146863022</v>
      </c>
      <c r="K274" s="25" t="n">
        <f aca="false">IF(AND(ISNUMBER(K267),ISNUMBER(K208)),K267/K208,"")</f>
        <v>0.865468978483392</v>
      </c>
      <c r="L274" s="25" t="n">
        <f aca="false">IF(AND(ISNUMBER(L267),ISNUMBER(L208)),L267/L208,"")</f>
        <v>0.970859538784067</v>
      </c>
      <c r="M274" s="25" t="n">
        <f aca="false">IF(AND(ISNUMBER(M267),ISNUMBER(M208)),M267/M208,"")</f>
        <v>1.2076183292476</v>
      </c>
      <c r="N274" s="25" t="n">
        <f aca="false">IF(AND(ISNUMBER(N267),ISNUMBER(N208)),N267/N208,"")</f>
        <v>0.885048190947167</v>
      </c>
      <c r="O274" s="25" t="n">
        <f aca="false">IF(AND(ISNUMBER(O267),ISNUMBER(O208)),O267/O208,"")</f>
        <v>0.00147347740667976</v>
      </c>
      <c r="P274" s="25" t="n">
        <f aca="false">IF(AND(ISNUMBER(P267),ISNUMBER(P208)),P267/P208,"")</f>
        <v>1.18457775859589</v>
      </c>
      <c r="Q274" s="25" t="n">
        <f aca="false">IF(AND(ISNUMBER(Q267),ISNUMBER(Q208)),Q267/Q208,"")</f>
        <v>0.86035057221498</v>
      </c>
      <c r="R274" s="25" t="n">
        <f aca="false">IF(AND(ISNUMBER(R267),ISNUMBER(R208)),R267/R208,"")</f>
        <v>1.0282092705356</v>
      </c>
      <c r="S274" s="25" t="n">
        <f aca="false">IF(AND(ISNUMBER(S267),ISNUMBER(S208)),S267/S208,"")</f>
        <v>0.801742297118784</v>
      </c>
      <c r="T274" s="25" t="n">
        <f aca="false">IF(AND(ISNUMBER(T267),ISNUMBER(T208)),T267/T208,"")</f>
        <v>-0.0221171446003661</v>
      </c>
      <c r="U274" s="25" t="n">
        <f aca="false">IF(AND(ISNUMBER(U267),ISNUMBER(U208)),U267/U208,"")</f>
        <v>0.917264725795532</v>
      </c>
      <c r="V274" s="25" t="n">
        <f aca="false">IF(AND(ISNUMBER(V267),ISNUMBER(V208)),V267/V208,"")</f>
        <v>0.894271911663216</v>
      </c>
      <c r="W274" s="25" t="n">
        <f aca="false">IF(AND(ISNUMBER(W267),ISNUMBER(W208)),W267/W208,"")</f>
        <v>1.301442138586</v>
      </c>
      <c r="X274" s="25" t="n">
        <f aca="false">IF(AND(ISNUMBER(X267),ISNUMBER(X208)),X267/X208,"")</f>
        <v>0.81467272421336</v>
      </c>
      <c r="Y274" s="25" t="n">
        <f aca="false">IF(AND(ISNUMBER(Y267),ISNUMBER(Y208)),Y267/Y208,"")</f>
        <v>0.253102775066239</v>
      </c>
      <c r="Z274" s="25" t="n">
        <f aca="false">IF(AND(ISNUMBER(Z267),ISNUMBER(Z208)),Z267/Z208,"")</f>
        <v>0.98053316800992</v>
      </c>
      <c r="AA274" s="25" t="n">
        <f aca="false">IF(AND(ISNUMBER(AA267),ISNUMBER(AA208)),AA267/AA208,"")</f>
        <v>0.857513914656772</v>
      </c>
      <c r="AB274" s="25" t="n">
        <f aca="false">IF(AND(ISNUMBER(AB267),ISNUMBER(AB208)),AB267/AB208,"")</f>
        <v>1.123470987977</v>
      </c>
      <c r="AC274" s="25" t="n">
        <f aca="false">IF(AND(ISNUMBER(AC267),ISNUMBER(AC208)),AC267/AC208,"")</f>
        <v>0.833242109104179</v>
      </c>
      <c r="AD274" s="25" t="n">
        <f aca="false">IF(AND(ISNUMBER(AD267),ISNUMBER(AD208)),AD267/AD208,"")</f>
        <v>0.329309924408681</v>
      </c>
      <c r="AE274" s="25" t="n">
        <f aca="false">IF(AND(ISNUMBER(AE267),ISNUMBER(AE208)),AE267/AE208,"")</f>
        <v>0.843819229065131</v>
      </c>
      <c r="AF274" s="25" t="n">
        <f aca="false">IF(AND(ISNUMBER(AF267),ISNUMBER(AF208)),AF267/AF208,"")</f>
        <v>0.887818083378452</v>
      </c>
      <c r="AG274" s="25" t="n">
        <f aca="false">IF(AND(ISNUMBER(AG267),ISNUMBER(AG208)),AG267/AG208,"")</f>
        <v>1.46560283687943</v>
      </c>
      <c r="AH274" s="25" t="n">
        <f aca="false">IF(AND(ISNUMBER(AH267),ISNUMBER(AH208)),AH267/AH208,"")</f>
        <v>0.928476821192053</v>
      </c>
      <c r="AI274" s="25" t="n">
        <f aca="false">IF(AND(ISNUMBER(AI267),ISNUMBER(AI208)),AI267/AI208,"")</f>
        <v>-0.0375494071146245</v>
      </c>
      <c r="AJ274" s="25" t="n">
        <f aca="false">IF(AND(ISNUMBER(AJ267),ISNUMBER(AJ208)),AJ267/AJ208,"")</f>
        <v>1.13082437275986</v>
      </c>
      <c r="AK274" s="25" t="n">
        <f aca="false">IF(AND(ISNUMBER(AK267),ISNUMBER(AK208)),AK267/AK208,"")</f>
        <v>0.984990619136961</v>
      </c>
      <c r="AL274" s="25" t="n">
        <f aca="false">IF(AND(ISNUMBER(AL267),ISNUMBER(AL208)),AL267/AL208,"")</f>
        <v>1.18526955201215</v>
      </c>
      <c r="AM274" s="25" t="n">
        <f aca="false">IF(AND(ISNUMBER(AM267),ISNUMBER(AM208)),AM267/AM208,"")</f>
        <v>0.85014409221902</v>
      </c>
      <c r="AN274" s="25" t="n">
        <f aca="false">IF(AND(ISNUMBER(AN267),ISNUMBER(AN208)),AN267/AN208,"")</f>
        <v>0.400706090026478</v>
      </c>
      <c r="AO274" s="25" t="n">
        <f aca="false">IF(AND(ISNUMBER(AO267),ISNUMBER(AO208)),AO267/AO208,"")</f>
        <v>0.880195599022005</v>
      </c>
      <c r="AP274" s="25" t="n">
        <f aca="false">IF(AND(ISNUMBER(AP267),ISNUMBER(AP208)),AP267/AP208,"")</f>
        <v>0.764111204717776</v>
      </c>
      <c r="AQ274" s="25" t="n">
        <f aca="false">IF(AND(ISNUMBER(AQ267),ISNUMBER(AQ208)),AQ267/AQ208,"")</f>
        <v>1.14985994397759</v>
      </c>
      <c r="AR274" s="25" t="n">
        <f aca="false">IF(AND(ISNUMBER(AR267),ISNUMBER(AR208)),AR267/AR208,"")</f>
        <v>0.82070351758794</v>
      </c>
      <c r="AS274" s="25" t="n">
        <f aca="false">IF(AND(ISNUMBER(AS267),ISNUMBER(AS208)),AS267/AS208,"")</f>
        <v>0.091063829787234</v>
      </c>
      <c r="AT274" s="25" t="n">
        <f aca="false">IF(AND(ISNUMBER(AT267),ISNUMBER(AT208)),AT267/AT208,"")</f>
        <v>1.04451612903226</v>
      </c>
      <c r="AU274" s="25" t="n">
        <f aca="false">IF(AND(ISNUMBER(AU267),ISNUMBER(AU208)),AU267/AU208,"")</f>
        <v>1.04133333333333</v>
      </c>
      <c r="AV274" s="25" t="n">
        <f aca="false">IF(AND(ISNUMBER(AV267),ISNUMBER(AV208)),AV267/AV208,"")</f>
        <v>0.971428571428571</v>
      </c>
      <c r="AW274" s="25" t="n">
        <f aca="false">IF(AND(ISNUMBER(AW267),ISNUMBER(AW208)),AW267/AW208,"")</f>
        <v>0.873623559539053</v>
      </c>
      <c r="AX274" s="25" t="n">
        <f aca="false">IF(AND(ISNUMBER(AX267),ISNUMBER(AX208)),AX267/AX208,"")</f>
        <v>0.472949389179756</v>
      </c>
      <c r="AY274" s="25" t="n">
        <f aca="false">IF(AND(ISNUMBER(AY267),ISNUMBER(AY208)),AY267/AY208,"")</f>
        <v>0.75990990990991</v>
      </c>
      <c r="AZ274" s="25" t="n">
        <f aca="false">IF(AND(ISNUMBER(AZ267),ISNUMBER(AZ208)),AZ267/AZ208,"")</f>
        <v>0.930537352555701</v>
      </c>
      <c r="BA274" s="25" t="n">
        <f aca="false">IF(AND(ISNUMBER(BA267),ISNUMBER(BA208)),BA267/BA208,"")</f>
        <v>0.718185313341023</v>
      </c>
      <c r="BB274" s="25" t="n">
        <f aca="false">IF(AND(ISNUMBER(BB267),ISNUMBER(BB208)),BB267/BB208,"")</f>
        <v>0.70555221487272</v>
      </c>
      <c r="BC274" s="25" t="n">
        <f aca="false">IF(AND(ISNUMBER(BC267),ISNUMBER(BC208)),BC267/BC208,"")</f>
        <v>0.546662006291507</v>
      </c>
      <c r="BD274" s="25" t="n">
        <f aca="false">IF(AND(ISNUMBER(BD267),ISNUMBER(BD208)),BD267/BD208,"")</f>
        <v>0.475620975160994</v>
      </c>
      <c r="BE274" s="25" t="n">
        <f aca="false">IF(AND(ISNUMBER(BE267),ISNUMBER(BE208)),BE267/BE208,"")</f>
        <v>0.695956065901148</v>
      </c>
      <c r="BF274" s="25" t="n">
        <f aca="false">IF(AND(ISNUMBER(BF267),ISNUMBER(BF208)),BF267/BF208,"")</f>
        <v>1.38755304101839</v>
      </c>
      <c r="BG274" s="25" t="n">
        <f aca="false">IF(AND(ISNUMBER(BG267),ISNUMBER(BG208)),BG267/BG208,"")</f>
        <v>0.757178731302544</v>
      </c>
      <c r="BH274" s="25" t="n">
        <f aca="false">IF(AND(ISNUMBER(BH267),ISNUMBER(BH208)),BH267/BH208,"")</f>
        <v>0.14161554192229</v>
      </c>
      <c r="BI274" s="25" t="n">
        <f aca="false">IF(AND(ISNUMBER(BI267),ISNUMBER(BI208)),BI267/BI208,"")</f>
        <v>0.630946419629444</v>
      </c>
      <c r="BJ274" s="25" t="n">
        <f aca="false">IF(AND(ISNUMBER(BJ267),ISNUMBER(BJ208)),BJ267/BJ208,"")</f>
        <v>0.972826086956522</v>
      </c>
      <c r="BK274" s="25" t="n">
        <f aca="false">IF(AND(ISNUMBER(BK267),ISNUMBER(BK208)),BK267/BK208,"")</f>
        <v>1.51112119836586</v>
      </c>
      <c r="BL274" s="25" t="n">
        <f aca="false">IF(AND(ISNUMBER(BL267),ISNUMBER(BL208)),BL267/BL208,"")</f>
        <v>0.838593974175036</v>
      </c>
      <c r="BM274" s="25" t="n">
        <f aca="false">IF(AND(ISNUMBER(BM267),ISNUMBER(BM208)),BM267/BM208,"")</f>
        <v>0.463738508682329</v>
      </c>
      <c r="BN274" s="25" t="n">
        <f aca="false">IF(AND(ISNUMBER(BN267),ISNUMBER(BN208)),BN267/BN208,"")</f>
        <v>0.814688715953307</v>
      </c>
      <c r="BO274" s="25" t="n">
        <f aca="false">IF(AND(ISNUMBER(BO267),ISNUMBER(BO208)),BO267/BO208,"")</f>
        <v>0.944252590034534</v>
      </c>
      <c r="BP274" s="25" t="n">
        <f aca="false">IF(AND(ISNUMBER(BP267),ISNUMBER(BP208)),BP267/BP208,"")</f>
        <v>1.20915312232678</v>
      </c>
      <c r="BQ274" s="25" t="n">
        <f aca="false">IF(AND(ISNUMBER(BQ267),ISNUMBER(BQ208)),BQ267/BQ208,"")</f>
        <v>0.873985680190931</v>
      </c>
      <c r="BR274" s="25" t="n">
        <f aca="false">IF(AND(ISNUMBER(BR267),ISNUMBER(BR208)),BR267/BR208,"")</f>
        <v>0.191282051282051</v>
      </c>
      <c r="BS274" s="25" t="n">
        <f aca="false">IF(AND(ISNUMBER(BS267),ISNUMBER(BS208)),BS267/BS208,"")</f>
        <v>0.545633941785891</v>
      </c>
      <c r="BT274" s="25" t="n">
        <f aca="false">IF(AND(ISNUMBER(BT267),ISNUMBER(BT208)),BT267/BT208,"")</f>
        <v>0.839342765860338</v>
      </c>
      <c r="BU274" s="25" t="n">
        <f aca="false">IF(AND(ISNUMBER(BU267),ISNUMBER(BU208)),BU267/BU208,"")</f>
        <v>1.22029102667745</v>
      </c>
      <c r="BV274" s="25" t="n">
        <f aca="false">IF(AND(ISNUMBER(BV267),ISNUMBER(BV208)),BV267/BV208,"")</f>
        <v>0.733194492653014</v>
      </c>
      <c r="BW274" s="25" t="n">
        <f aca="false">IF(AND(ISNUMBER(BW267),ISNUMBER(BW208)),BW267/BW208,"")</f>
        <v>0.406804733727811</v>
      </c>
      <c r="BX274" s="25" t="n">
        <f aca="false">IF(AND(ISNUMBER(BX267),ISNUMBER(BX208)),BX267/BX208,"")</f>
        <v>0.749553571428571</v>
      </c>
      <c r="BY274" s="29"/>
      <c r="BZ274" s="29"/>
      <c r="CA274" s="26" t="n">
        <f aca="false">IFERROR(CA267/CA208,"")</f>
        <v>0.765606083623726</v>
      </c>
      <c r="CB274" s="26" t="n">
        <f aca="false">IFERROR(CB267/CB208,"")</f>
        <v>0.87658865541792</v>
      </c>
      <c r="CC274" s="26" t="n">
        <f aca="false">IFERROR(CC267/CC208,"")</f>
        <v>0.870554975116517</v>
      </c>
      <c r="CD274" s="26" t="n">
        <f aca="false">IFERROR(CD267/CD208,"")</f>
        <v>0.872604517638742</v>
      </c>
      <c r="CE274" s="26" t="n">
        <f aca="false">IFERROR(CE267/CE208,"")</f>
        <v>0.876329954266427</v>
      </c>
      <c r="CF274" s="21"/>
    </row>
    <row r="275" customFormat="false" ht="15" hidden="false" customHeight="false" outlineLevel="0" collapsed="false">
      <c r="B275" s="23" t="s">
        <v>447</v>
      </c>
      <c r="C275" s="66" t="n">
        <f aca="false">IF(AND(ISNUMBER(C267),ISNUMBER(C168)),C267/C168,"")</f>
        <v>1.65216622805295</v>
      </c>
      <c r="D275" s="66" t="n">
        <f aca="false">IF(AND(ISNUMBER(D267),ISNUMBER(D168)),D267/D168,"")</f>
        <v>2.99504169483886</v>
      </c>
      <c r="E275" s="66" t="n">
        <f aca="false">IF(AND(ISNUMBER(E267),ISNUMBER(E168)),E267/E168,"")</f>
        <v>2.69733210671573</v>
      </c>
      <c r="F275" s="66" t="n">
        <f aca="false">IF(AND(ISNUMBER(F267),ISNUMBER(F168)),F267/F168,"")</f>
        <v>3.4678334910123</v>
      </c>
      <c r="G275" s="66" t="n">
        <f aca="false">IF(AND(ISNUMBER(G267),ISNUMBER(G168)),G267/G168,"")</f>
        <v>3.03663898387885</v>
      </c>
      <c r="H275" s="66" t="n">
        <f aca="false">IF(AND(ISNUMBER(H267),ISNUMBER(H168)),H267/H168,"")</f>
        <v>3.69048856548857</v>
      </c>
      <c r="I275" s="66" t="n">
        <f aca="false">IF(AND(ISNUMBER(I267),ISNUMBER(I168)),I267/I168,"")</f>
        <v>4.81614839061648</v>
      </c>
      <c r="J275" s="66" t="n">
        <f aca="false">IF(AND(ISNUMBER(J267),ISNUMBER(J168)),J267/J168,"")</f>
        <v>0.652750898534697</v>
      </c>
      <c r="K275" s="66" t="n">
        <f aca="false">IF(AND(ISNUMBER(K267),ISNUMBER(K168)),K267/K168,"")</f>
        <v>1.13975240715268</v>
      </c>
      <c r="L275" s="66" t="n">
        <f aca="false">IF(AND(ISNUMBER(L267),ISNUMBER(L168)),L267/L168,"")</f>
        <v>1.26082221617207</v>
      </c>
      <c r="M275" s="66" t="n">
        <f aca="false">IF(AND(ISNUMBER(M267),ISNUMBER(M168)),M267/M168,"")</f>
        <v>1.72661094634672</v>
      </c>
      <c r="N275" s="66" t="n">
        <f aca="false">IF(AND(ISNUMBER(N267),ISNUMBER(N168)),N267/N168,"")</f>
        <v>4.79469655549481</v>
      </c>
      <c r="O275" s="66" t="n">
        <f aca="false">IF(AND(ISNUMBER(O267),ISNUMBER(O168)),O267/O168,"")</f>
        <v>0.00225903614457831</v>
      </c>
      <c r="P275" s="66" t="n">
        <f aca="false">IF(AND(ISNUMBER(P267),ISNUMBER(P168)),P267/P168,"")</f>
        <v>2.0426693128256</v>
      </c>
      <c r="Q275" s="66" t="n">
        <f aca="false">IF(AND(ISNUMBER(Q267),ISNUMBER(Q168)),Q267/Q168,"")</f>
        <v>1.47114193708199</v>
      </c>
      <c r="R275" s="66" t="n">
        <f aca="false">IF(AND(ISNUMBER(R267),ISNUMBER(R168)),R267/R168,"")</f>
        <v>2.0475129918337</v>
      </c>
      <c r="S275" s="66" t="n">
        <f aca="false">IF(AND(ISNUMBER(S267),ISNUMBER(S168)),S267/S168,"")</f>
        <v>5.58190405170271</v>
      </c>
      <c r="T275" s="66" t="n">
        <f aca="false">IF(AND(ISNUMBER(T267),ISNUMBER(T168)),T267/T168,"")</f>
        <v>-0.0361235675137021</v>
      </c>
      <c r="U275" s="66" t="n">
        <f aca="false">IF(AND(ISNUMBER(U267),ISNUMBER(U168)),U267/U168,"")</f>
        <v>1.68717310087173</v>
      </c>
      <c r="V275" s="66" t="n">
        <f aca="false">IF(AND(ISNUMBER(V267),ISNUMBER(V168)),V267/V168,"")</f>
        <v>1.61169154228856</v>
      </c>
      <c r="W275" s="66" t="n">
        <f aca="false">IF(AND(ISNUMBER(W267),ISNUMBER(W168)),W267/W168,"")</f>
        <v>2.75844930417495</v>
      </c>
      <c r="X275" s="66" t="n">
        <f aca="false">IF(AND(ISNUMBER(X267),ISNUMBER(X168)),X267/X168,"")</f>
        <v>6.02338890271212</v>
      </c>
      <c r="Y275" s="66" t="n">
        <f aca="false">IF(AND(ISNUMBER(Y267),ISNUMBER(Y168)),Y267/Y168,"")</f>
        <v>0.45522949586155</v>
      </c>
      <c r="Z275" s="66" t="n">
        <f aca="false">IF(AND(ISNUMBER(Z267),ISNUMBER(Z168)),Z267/Z168,"")</f>
        <v>1.99344592891354</v>
      </c>
      <c r="AA275" s="66" t="n">
        <f aca="false">IF(AND(ISNUMBER(AA267),ISNUMBER(AA168)),AA267/AA168,"")</f>
        <v>1.74458983392048</v>
      </c>
      <c r="AB275" s="66" t="n">
        <f aca="false">IF(AND(ISNUMBER(AB267),ISNUMBER(AB168)),AB267/AB168,"")</f>
        <v>2.70680100755668</v>
      </c>
      <c r="AC275" s="66" t="n">
        <f aca="false">IF(AND(ISNUMBER(AC267),ISNUMBER(AC168)),AC267/AC168,"")</f>
        <v>6.89531957725214</v>
      </c>
      <c r="AD275" s="66" t="n">
        <f aca="false">IF(AND(ISNUMBER(AD267),ISNUMBER(AD168)),AD267/AD168,"")</f>
        <v>0.68535904592743</v>
      </c>
      <c r="AE275" s="66" t="n">
        <f aca="false">IF(AND(ISNUMBER(AE267),ISNUMBER(AE168)),AE267/AE168,"")</f>
        <v>1.93694380879736</v>
      </c>
      <c r="AF275" s="66" t="n">
        <f aca="false">IF(AND(ISNUMBER(AF267),ISNUMBER(AF168)),AF267/AF168,"")</f>
        <v>2.0518018018018</v>
      </c>
      <c r="AG275" s="66" t="n">
        <f aca="false">IF(AND(ISNUMBER(AG267),ISNUMBER(AG168)),AG267/AG168,"")</f>
        <v>4.08197530864198</v>
      </c>
      <c r="AH275" s="66" t="n">
        <f aca="false">IF(AND(ISNUMBER(AH267),ISNUMBER(AH168)),AH267/AH168,"")</f>
        <v>8.80653266331658</v>
      </c>
      <c r="AI275" s="66" t="n">
        <f aca="false">IF(AND(ISNUMBER(AI267),ISNUMBER(AI168)),AI267/AI168,"")</f>
        <v>-0.0935960591133005</v>
      </c>
      <c r="AJ275" s="66" t="n">
        <f aca="false">IF(AND(ISNUMBER(AJ267),ISNUMBER(AJ168)),AJ267/AJ168,"")</f>
        <v>3.10837438423645</v>
      </c>
      <c r="AK275" s="66" t="n">
        <f aca="false">IF(AND(ISNUMBER(AK267),ISNUMBER(AK168)),AK267/AK168,"")</f>
        <v>2.58620689655172</v>
      </c>
      <c r="AL275" s="66" t="n">
        <f aca="false">IF(AND(ISNUMBER(AL267),ISNUMBER(AL168)),AL267/AL168,"")</f>
        <v>3.85432098765432</v>
      </c>
      <c r="AM275" s="66" t="n">
        <f aca="false">IF(AND(ISNUMBER(AM267),ISNUMBER(AM168)),AM267/AM168,"")</f>
        <v>9.44581280788177</v>
      </c>
      <c r="AN275" s="66" t="n">
        <f aca="false">IF(AND(ISNUMBER(AN267),ISNUMBER(AN168)),AN267/AN168,"")</f>
        <v>1.12655086848635</v>
      </c>
      <c r="AO275" s="66" t="n">
        <f aca="false">IF(AND(ISNUMBER(AO267),ISNUMBER(AO168)),AO267/AO168,"")</f>
        <v>2.67990074441687</v>
      </c>
      <c r="AP275" s="66" t="n">
        <f aca="false">IF(AND(ISNUMBER(AP267),ISNUMBER(AP168)),AP267/AP168,"")</f>
        <v>2.2450495049505</v>
      </c>
      <c r="AQ275" s="66" t="n">
        <f aca="false">IF(AND(ISNUMBER(AQ267),ISNUMBER(AQ168)),AQ267/AQ168,"")</f>
        <v>4.08457711442786</v>
      </c>
      <c r="AR275" s="66" t="n">
        <f aca="false">IF(AND(ISNUMBER(AR267),ISNUMBER(AR168)),AR267/AR168,"")</f>
        <v>10.1315136476427</v>
      </c>
      <c r="AS275" s="66" t="n">
        <f aca="false">IF(AND(ISNUMBER(AS267),ISNUMBER(AS168)),AS267/AS168,"")</f>
        <v>0.2675</v>
      </c>
      <c r="AT275" s="66" t="n">
        <f aca="false">IF(AND(ISNUMBER(AT267),ISNUMBER(AT168)),AT267/AT168,"")</f>
        <v>4.0678391959799</v>
      </c>
      <c r="AU275" s="66" t="n">
        <f aca="false">IF(AND(ISNUMBER(AU267),ISNUMBER(AU168)),AU267/AU168,"")</f>
        <v>5.87218045112782</v>
      </c>
      <c r="AV275" s="66" t="n">
        <f aca="false">IF(AND(ISNUMBER(AV267),ISNUMBER(AV168)),AV267/AV168,"")</f>
        <v>6.885</v>
      </c>
      <c r="AW275" s="66" t="n">
        <f aca="false">IF(AND(ISNUMBER(AW267),ISNUMBER(AW168)),AW267/AW168,"")</f>
        <v>17.1002506265664</v>
      </c>
      <c r="AX275" s="66" t="n">
        <f aca="false">IF(AND(ISNUMBER(AX267),ISNUMBER(AX168)),AX267/AX168,"")</f>
        <v>3.41309823677582</v>
      </c>
      <c r="AY275" s="66" t="n">
        <f aca="false">IF(AND(ISNUMBER(AY267),ISNUMBER(AY168)),AY267/AY168,"")</f>
        <v>4.26010101010101</v>
      </c>
      <c r="AZ275" s="66" t="n">
        <f aca="false">IF(AND(ISNUMBER(AZ267),ISNUMBER(AZ168)),AZ267/AZ168,"")</f>
        <v>5.36523929471033</v>
      </c>
      <c r="BA275" s="66" t="n">
        <f aca="false">IF(AND(ISNUMBER(BA267),ISNUMBER(BA168)),BA267/BA168,"")</f>
        <v>4.69346733668342</v>
      </c>
      <c r="BB275" s="66" t="n">
        <f aca="false">IF(AND(ISNUMBER(BB267),ISNUMBER(BB168)),BB267/BB168,"")</f>
        <v>17.7329974811083</v>
      </c>
      <c r="BC275" s="66" t="n">
        <f aca="false">IF(AND(ISNUMBER(BC267),ISNUMBER(BC168)),BC267/BC168,"")</f>
        <v>3.95949367088608</v>
      </c>
      <c r="BD275" s="66" t="n">
        <f aca="false">IF(AND(ISNUMBER(BD267),ISNUMBER(BD168)),BD267/BD168,"")</f>
        <v>2.6243654822335</v>
      </c>
      <c r="BE275" s="66" t="n">
        <f aca="false">IF(AND(ISNUMBER(BE267),ISNUMBER(BE168)),BE267/BE168,"")</f>
        <v>3.52911392405063</v>
      </c>
      <c r="BF275" s="66" t="n">
        <f aca="false">IF(AND(ISNUMBER(BF267),ISNUMBER(BF168)),BF267/BF168,"")</f>
        <v>7.48854961832061</v>
      </c>
      <c r="BG275" s="66" t="n">
        <f aca="false">IF(AND(ISNUMBER(BG267),ISNUMBER(BG168)),BG267/BG168,"")</f>
        <v>17.6015228426396</v>
      </c>
      <c r="BH275" s="66" t="n">
        <f aca="false">IF(AND(ISNUMBER(BH267),ISNUMBER(BH168)),BH267/BH168,"")</f>
        <v>0.713917525773196</v>
      </c>
      <c r="BI275" s="66" t="n">
        <f aca="false">IF(AND(ISNUMBER(BI267),ISNUMBER(BI168)),BI267/BI168,"")</f>
        <v>3.24742268041237</v>
      </c>
      <c r="BJ275" s="66" t="n">
        <f aca="false">IF(AND(ISNUMBER(BJ267),ISNUMBER(BJ168)),BJ267/BJ168,"")</f>
        <v>5.5360824742268</v>
      </c>
      <c r="BK275" s="66" t="n">
        <f aca="false">IF(AND(ISNUMBER(BK267),ISNUMBER(BK168)),BK267/BK168,"")</f>
        <v>8.5798969072165</v>
      </c>
      <c r="BL275" s="66" t="n">
        <f aca="false">IF(AND(ISNUMBER(BL267),ISNUMBER(BL168)),BL267/BL168,"")</f>
        <v>18.0773195876289</v>
      </c>
      <c r="BM275" s="66" t="n">
        <f aca="false">IF(AND(ISNUMBER(BM267),ISNUMBER(BM168)),BM267/BM168,"")</f>
        <v>2.36458333333333</v>
      </c>
      <c r="BN275" s="66" t="n">
        <f aca="false">IF(AND(ISNUMBER(BN267),ISNUMBER(BN168)),BN267/BN168,"")</f>
        <v>4.3733681462141</v>
      </c>
      <c r="BO275" s="66" t="n">
        <f aca="false">IF(AND(ISNUMBER(BO267),ISNUMBER(BO168)),BO267/BO168,"")</f>
        <v>4.984375</v>
      </c>
      <c r="BP275" s="66" t="n">
        <f aca="false">IF(AND(ISNUMBER(BP267),ISNUMBER(BP168)),BP267/BP168,"")</f>
        <v>7.38120104438642</v>
      </c>
      <c r="BQ275" s="66" t="n">
        <f aca="false">IF(AND(ISNUMBER(BQ267),ISNUMBER(BQ168)),BQ267/BQ168,"")</f>
        <v>19.1227154046997</v>
      </c>
      <c r="BR275" s="66" t="n">
        <f aca="false">IF(AND(ISNUMBER(BR267),ISNUMBER(BR168)),BR267/BR168,"")</f>
        <v>0.984168865435356</v>
      </c>
      <c r="BS275" s="66" t="n">
        <f aca="false">IF(AND(ISNUMBER(BS267),ISNUMBER(BS168)),BS267/BS168,"")</f>
        <v>2.92592592592593</v>
      </c>
      <c r="BT275" s="66" t="n">
        <f aca="false">IF(AND(ISNUMBER(BT267),ISNUMBER(BT168)),BT267/BT168,"")</f>
        <v>4.86507936507937</v>
      </c>
      <c r="BU275" s="66" t="n">
        <f aca="false">IF(AND(ISNUMBER(BU267),ISNUMBER(BU168)),BU267/BU168,"")</f>
        <v>8.0079575596817</v>
      </c>
      <c r="BV275" s="66" t="n">
        <f aca="false">IF(AND(ISNUMBER(BV267),ISNUMBER(BV168)),BV267/BV168,"")</f>
        <v>16.7645502645503</v>
      </c>
      <c r="BW275" s="66" t="n">
        <f aca="false">IF(AND(ISNUMBER(BW267),ISNUMBER(BW168)),BW267/BW168,"")</f>
        <v>2.21179624664879</v>
      </c>
      <c r="BX275" s="66" t="n">
        <f aca="false">IF(AND(ISNUMBER(BX267),ISNUMBER(BX168)),BX267/BX168,"")</f>
        <v>4.5256064690027</v>
      </c>
      <c r="BY275" s="71"/>
      <c r="BZ275" s="71"/>
      <c r="CA275" s="67" t="n">
        <f aca="false">IFERROR(CA267/CA168,"")</f>
        <v>19.2462987886945</v>
      </c>
      <c r="CB275" s="67" t="n">
        <f aca="false">IFERROR(CB267/CB168,"")</f>
        <v>23.4041247786038</v>
      </c>
      <c r="CC275" s="67" t="n">
        <f aca="false">IFERROR(CC267/CC168,"")</f>
        <v>25.7765949427878</v>
      </c>
      <c r="CD275" s="67" t="n">
        <f aca="false">IFERROR(CD267/CD168,"")</f>
        <v>28.639056667239</v>
      </c>
      <c r="CE275" s="67" t="n">
        <f aca="false">IFERROR(CE267/CE168,"")</f>
        <v>32.0740283346595</v>
      </c>
      <c r="CF275" s="21"/>
    </row>
    <row r="276" customFormat="false" ht="15" hidden="false" customHeight="false" outlineLevel="0" collapsed="false">
      <c r="B276" s="17" t="s">
        <v>448</v>
      </c>
      <c r="CF276" s="64"/>
    </row>
    <row r="277" customFormat="false" ht="15" hidden="false" customHeight="false" outlineLevel="0" collapsed="false">
      <c r="B277" s="23" t="s">
        <v>449</v>
      </c>
      <c r="C277" s="25" t="n">
        <f aca="false">IFERROR(-N(C248)/C136,"")</f>
        <v>0.0202552103759425</v>
      </c>
      <c r="D277" s="25" t="n">
        <f aca="false">IFERROR(-N(D248)/D136,"")</f>
        <v>0.0180066486087171</v>
      </c>
      <c r="E277" s="25" t="n">
        <f aca="false">IFERROR(-N(E248)/E136,"")</f>
        <v>0.0251857496666032</v>
      </c>
      <c r="F277" s="25" t="n">
        <f aca="false">IFERROR(-N(F248)/F136,"")</f>
        <v>0.0205248424780162</v>
      </c>
      <c r="G277" s="25" t="n">
        <f aca="false">IFERROR(-N(G248)/G136,"")</f>
        <v>0.0246090817243968</v>
      </c>
      <c r="H277" s="25" t="n">
        <f aca="false">IFERROR(-N(H248)/H136,"")</f>
        <v>0.0227274665484099</v>
      </c>
      <c r="I277" s="25" t="n">
        <f aca="false">IFERROR(-N(I248)/I136,"")</f>
        <v>0.0251880510635577</v>
      </c>
      <c r="J277" s="25" t="n">
        <f aca="false">IFERROR(-N(J248)/J136,"")</f>
        <v>0.0206799310668964</v>
      </c>
      <c r="K277" s="25" t="n">
        <f aca="false">IFERROR(-N(K248)/K136,"")</f>
        <v>0.0202462886947934</v>
      </c>
      <c r="L277" s="25" t="n">
        <f aca="false">IFERROR(-N(L248)/L136,"")</f>
        <v>0.0176389498088853</v>
      </c>
      <c r="M277" s="25" t="n">
        <f aca="false">IFERROR(-N(M248)/M136,"")</f>
        <v>0.0272577807262973</v>
      </c>
      <c r="N277" s="25" t="n">
        <f aca="false">IFERROR(-N(N248)/N136,"")</f>
        <v>0.0215732259764864</v>
      </c>
      <c r="O277" s="25" t="n">
        <f aca="false">IFERROR(-N(O248)/O136,"")</f>
        <v>0.0268220827462534</v>
      </c>
      <c r="P277" s="25" t="n">
        <f aca="false">IFERROR(-N(P248)/P136,"")</f>
        <v>0.0174691686526759</v>
      </c>
      <c r="Q277" s="25" t="n">
        <f aca="false">IFERROR(-N(Q248)/Q136,"")</f>
        <v>0.0217432996116412</v>
      </c>
      <c r="R277" s="25" t="n">
        <f aca="false">IFERROR(-N(R248)/R136,"")</f>
        <v>0.0348780270655271</v>
      </c>
      <c r="S277" s="25" t="n">
        <f aca="false">IFERROR(-N(S248)/S136,"")</f>
        <v>0.0253173550587344</v>
      </c>
      <c r="T277" s="25" t="n">
        <f aca="false">IFERROR(-N(T248)/T136,"")</f>
        <v>0.0248035112789629</v>
      </c>
      <c r="U277" s="25" t="n">
        <f aca="false">IFERROR(-N(U248)/U136,"")</f>
        <v>0.0223137980285186</v>
      </c>
      <c r="V277" s="25" t="n">
        <f aca="false">IFERROR(-N(V248)/V136,"")</f>
        <v>0.0244955374466434</v>
      </c>
      <c r="W277" s="25" t="n">
        <f aca="false">IFERROR(-N(W248)/W136,"")</f>
        <v>0.0278130037614186</v>
      </c>
      <c r="X277" s="25" t="n">
        <f aca="false">IFERROR(-N(X248)/X136,"")</f>
        <v>0.0249272047814965</v>
      </c>
      <c r="Y277" s="25" t="n">
        <f aca="false">IFERROR(-N(Y248)/Y136,"")</f>
        <v>0.0267998509825836</v>
      </c>
      <c r="Z277" s="25" t="n">
        <f aca="false">IFERROR(-N(Z248)/Z136,"")</f>
        <v>0.0253131063679661</v>
      </c>
      <c r="AA277" s="25" t="n">
        <f aca="false">IFERROR(-N(AA248)/AA136,"")</f>
        <v>0.018036473758044</v>
      </c>
      <c r="AB277" s="25" t="n">
        <f aca="false">IFERROR(-N(AB248)/AB136,"")</f>
        <v>0.026952273277881</v>
      </c>
      <c r="AC277" s="25" t="n">
        <f aca="false">IFERROR(-N(AC248)/AC136,"")</f>
        <v>0.0243185710924204</v>
      </c>
      <c r="AD277" s="25" t="n">
        <f aca="false">IFERROR(-N(AD248)/AD136,"")</f>
        <v>0.019601259181532</v>
      </c>
      <c r="AE277" s="25" t="n">
        <f aca="false">IFERROR(-N(AE248)/AE136,"")</f>
        <v>0.0176352705410822</v>
      </c>
      <c r="AF277" s="25" t="n">
        <f aca="false">IFERROR(-N(AF248)/AF136,"")</f>
        <v>0.0217739728704898</v>
      </c>
      <c r="AG277" s="25" t="n">
        <f aca="false">IFERROR(-N(AG248)/AG136,"")</f>
        <v>0.0355878948238796</v>
      </c>
      <c r="AH277" s="25" t="n">
        <f aca="false">IFERROR(-N(AH248)/AH136,"")</f>
        <v>0.0242853045224209</v>
      </c>
      <c r="AI277" s="25" t="n">
        <f aca="false">IFERROR(-N(AI248)/AI136,"")</f>
        <v>0.0201606014009909</v>
      </c>
      <c r="AJ277" s="25" t="n">
        <f aca="false">IFERROR(-N(AJ248)/AJ136,"")</f>
        <v>0.0301085883514314</v>
      </c>
      <c r="AK277" s="25" t="n">
        <f aca="false">IFERROR(-N(AK248)/AK136,"")</f>
        <v>0.029222972972973</v>
      </c>
      <c r="AL277" s="25" t="n">
        <f aca="false">IFERROR(-N(AL248)/AL136,"")</f>
        <v>0.0436453050560934</v>
      </c>
      <c r="AM277" s="25" t="n">
        <f aca="false">IFERROR(-N(AM248)/AM136,"")</f>
        <v>0.0311191395024222</v>
      </c>
      <c r="AN277" s="25" t="n">
        <f aca="false">IFERROR(-N(AN248)/AN136,"")</f>
        <v>0.0328163265306122</v>
      </c>
      <c r="AO277" s="25" t="n">
        <f aca="false">IFERROR(-N(AO248)/AO136,"")</f>
        <v>0.0348321722609246</v>
      </c>
      <c r="AP277" s="25" t="n">
        <f aca="false">IFERROR(-N(AP248)/AP136,"")</f>
        <v>0.0344387755102041</v>
      </c>
      <c r="AQ277" s="25" t="n">
        <f aca="false">IFERROR(-N(AQ248)/AQ136,"")</f>
        <v>0.0423195196954166</v>
      </c>
      <c r="AR277" s="25" t="n">
        <f aca="false">IFERROR(-N(AR248)/AR136,"")</f>
        <v>0.036254012998199</v>
      </c>
      <c r="AS277" s="25" t="n">
        <f aca="false">IFERROR(-N(AS248)/AS136,"")</f>
        <v>0.0406099518459069</v>
      </c>
      <c r="AT277" s="25" t="n">
        <f aca="false">IFERROR(-N(AT248)/AT136,"")</f>
        <v>0.0388896920630331</v>
      </c>
      <c r="AU277" s="25" t="n">
        <f aca="false">IFERROR(-N(AU248)/AU136,"")</f>
        <v>0.0429527050815632</v>
      </c>
      <c r="AV277" s="25" t="n">
        <f aca="false">IFERROR(-N(AV248)/AV136,"")</f>
        <v>0.0555450236966825</v>
      </c>
      <c r="AW277" s="25" t="n">
        <f aca="false">IFERROR(-N(AW248)/AW136,"")</f>
        <v>0.0457508225215718</v>
      </c>
      <c r="AX277" s="25" t="n">
        <f aca="false">IFERROR(-N(AX248)/AX136,"")</f>
        <v>0.0633959216636382</v>
      </c>
      <c r="AY277" s="25" t="n">
        <f aca="false">IFERROR(-N(AY248)/AY136,"")</f>
        <v>0.058233581365254</v>
      </c>
      <c r="AZ277" s="25" t="n">
        <f aca="false">IFERROR(-N(AZ248)/AZ136,"")</f>
        <v>0.0561629153269025</v>
      </c>
      <c r="BA277" s="25" t="n">
        <f aca="false">IFERROR(-N(BA248)/BA136,"")</f>
        <v>0.0776490375630723</v>
      </c>
      <c r="BB277" s="25" t="n">
        <f aca="false">IFERROR(-N(BB248)/BB136,"")</f>
        <v>0.0643441891306011</v>
      </c>
      <c r="BC277" s="25" t="n">
        <f aca="false">IFERROR(-N(BC248)/BC136,"")</f>
        <v>0.0541546793027585</v>
      </c>
      <c r="BD277" s="25" t="n">
        <f aca="false">IFERROR(-N(BD248)/BD136,"")</f>
        <v>0.0461257976298997</v>
      </c>
      <c r="BE277" s="25" t="n">
        <f aca="false">IFERROR(-N(BE248)/BE136,"")</f>
        <v>0.0512316193687365</v>
      </c>
      <c r="BF277" s="25" t="n">
        <f aca="false">IFERROR(-N(BF248)/BF136,"")</f>
        <v>0.0480349344978166</v>
      </c>
      <c r="BG277" s="25" t="n">
        <f aca="false">IFERROR(-N(BG248)/BG136,"")</f>
        <v>0.0499387732383391</v>
      </c>
      <c r="BH277" s="25" t="n">
        <f aca="false">IFERROR(-N(BH248)/BH136,"")</f>
        <v>0.0427637721755369</v>
      </c>
      <c r="BI277" s="25" t="n">
        <f aca="false">IFERROR(-N(BI248)/BI136,"")</f>
        <v>0.0265743426593057</v>
      </c>
      <c r="BJ277" s="25" t="n">
        <f aca="false">IFERROR(-N(BJ248)/BJ136,"")</f>
        <v>0.0313977681104596</v>
      </c>
      <c r="BK277" s="25" t="n">
        <f aca="false">IFERROR(-N(BK248)/BK136,"")</f>
        <v>0.0372037479331251</v>
      </c>
      <c r="BL277" s="25" t="n">
        <f aca="false">IFERROR(-N(BL248)/BL136,"")</f>
        <v>0.0345101150337168</v>
      </c>
      <c r="BM277" s="25" t="n">
        <f aca="false">IFERROR(-N(BM248)/BM136,"")</f>
        <v>0.0335427742870952</v>
      </c>
      <c r="BN277" s="25" t="n">
        <f aca="false">IFERROR(-N(BN248)/BN136,"")</f>
        <v>0.028555165544066</v>
      </c>
      <c r="BO277" s="25" t="n">
        <f aca="false">IFERROR(-N(BO248)/BO136,"")</f>
        <v>0.0256652198528024</v>
      </c>
      <c r="BP277" s="25" t="n">
        <f aca="false">IFERROR(-N(BP248)/BP136,"")</f>
        <v>0.0421237384817903</v>
      </c>
      <c r="BQ277" s="25" t="n">
        <f aca="false">IFERROR(-N(BQ248)/BQ136,"")</f>
        <v>0.0326500151589356</v>
      </c>
      <c r="BR277" s="25" t="n">
        <f aca="false">IFERROR(-N(BR248)/BR136,"")</f>
        <v>0.0349285989965264</v>
      </c>
      <c r="BS277" s="25" t="n">
        <f aca="false">IFERROR(-N(BS248)/BS136,"")</f>
        <v>0.0270842929525564</v>
      </c>
      <c r="BT277" s="25" t="n">
        <f aca="false">IFERROR(-N(BT248)/BT136,"")</f>
        <v>0.0363244020859558</v>
      </c>
      <c r="BU277" s="25" t="n">
        <f aca="false">IFERROR(-N(BU248)/BU136,"")</f>
        <v>0.0380679492427343</v>
      </c>
      <c r="BV277" s="25" t="n">
        <f aca="false">IFERROR(-N(BV248)/BV136,"")</f>
        <v>0.0342265912559476</v>
      </c>
      <c r="BW277" s="25" t="n">
        <f aca="false">IFERROR(-N(BW248)/BW136,"")</f>
        <v>0.034166288050886</v>
      </c>
      <c r="BX277" s="25" t="n">
        <f aca="false">IFERROR(-N(BX248)/BX136,"")</f>
        <v>0.0375187593796899</v>
      </c>
      <c r="BY277" s="29"/>
      <c r="BZ277" s="29"/>
      <c r="CA277" s="26" t="n">
        <f aca="false">IFERROR(-N(CA248)/CA136,"")</f>
        <v>0.0418848167539267</v>
      </c>
      <c r="CB277" s="31" t="n">
        <v>0.042</v>
      </c>
      <c r="CC277" s="31" t="n">
        <v>0.042</v>
      </c>
      <c r="CD277" s="31" t="n">
        <v>0.042</v>
      </c>
      <c r="CE277" s="31" t="n">
        <v>0.042</v>
      </c>
      <c r="CF277" s="21" t="s">
        <v>450</v>
      </c>
    </row>
    <row r="278" customFormat="false" ht="15" hidden="false" customHeight="false" outlineLevel="0" collapsed="false">
      <c r="B278" s="23" t="s">
        <v>451</v>
      </c>
      <c r="C278" s="76" t="n">
        <f aca="false">IFERROR(-N(C248)/C126,"")</f>
        <v>1.09797418045091</v>
      </c>
      <c r="D278" s="76" t="n">
        <f aca="false">IFERROR(-N(D248)/D126,"")</f>
        <v>0.945072697899839</v>
      </c>
      <c r="E278" s="76" t="n">
        <f aca="false">IFERROR(-N(E248)/E126,"")</f>
        <v>1.39231174302264</v>
      </c>
      <c r="F278" s="76" t="n">
        <f aca="false">IFERROR(-N(F248)/F126,"")</f>
        <v>1.09038360483447</v>
      </c>
      <c r="G278" s="76" t="n">
        <f aca="false">IFERROR(-N(G248)/G126,"")</f>
        <v>1.33888048411498</v>
      </c>
      <c r="H278" s="76" t="n">
        <f aca="false">IFERROR(-N(H248)/H126,"")</f>
        <v>1.2360853432282</v>
      </c>
      <c r="I278" s="76" t="n">
        <f aca="false">IFERROR(-N(I248)/I126,"")</f>
        <v>1.33460398136383</v>
      </c>
      <c r="J278" s="76" t="n">
        <f aca="false">IFERROR(-N(J248)/J126,"")</f>
        <v>1.11864406779661</v>
      </c>
      <c r="K278" s="76" t="n">
        <f aca="false">IFERROR(-N(K248)/K126,"")</f>
        <v>1.13103448275862</v>
      </c>
      <c r="L278" s="76" t="n">
        <f aca="false">IFERROR(-N(L248)/L126,"")</f>
        <v>0.947811447811448</v>
      </c>
      <c r="M278" s="76" t="n">
        <f aca="false">IFERROR(-N(M248)/M126,"")</f>
        <v>1.56456953642384</v>
      </c>
      <c r="N278" s="76" t="n">
        <f aca="false">IFERROR(-N(N248)/N126,"")</f>
        <v>1.19256756756757</v>
      </c>
      <c r="O278" s="76" t="n">
        <f aca="false">IFERROR(-N(O248)/O126,"")</f>
        <v>1.31367628607277</v>
      </c>
      <c r="P278" s="76" t="n">
        <f aca="false">IFERROR(-N(P248)/P126,"")</f>
        <v>0.827850877192982</v>
      </c>
      <c r="Q278" s="76" t="n">
        <f aca="false">IFERROR(-N(Q248)/Q126,"")</f>
        <v>0.977370689655173</v>
      </c>
      <c r="R278" s="76" t="n">
        <f aca="false">IFERROR(-N(R248)/R126,"")</f>
        <v>1.75279642058166</v>
      </c>
      <c r="S278" s="76" t="n">
        <f aca="false">IFERROR(-N(S248)/S126,"")</f>
        <v>1.21098838855848</v>
      </c>
      <c r="T278" s="76" t="n">
        <f aca="false">IFERROR(-N(T248)/T126,"")</f>
        <v>1.11467889908257</v>
      </c>
      <c r="U278" s="76" t="n">
        <f aca="false">IFERROR(-N(U248)/U126,"")</f>
        <v>1.06006674082314</v>
      </c>
      <c r="V278" s="76" t="n">
        <f aca="false">IFERROR(-N(V248)/V126,"")</f>
        <v>1.03271983640082</v>
      </c>
      <c r="W278" s="76" t="n">
        <f aca="false">IFERROR(-N(W248)/W126,"")</f>
        <v>1.31370558375635</v>
      </c>
      <c r="X278" s="76" t="n">
        <f aca="false">IFERROR(-N(X248)/X126,"")</f>
        <v>1.13256561328334</v>
      </c>
      <c r="Y278" s="76" t="n">
        <f aca="false">IFERROR(-N(Y248)/Y126,"")</f>
        <v>1.22316684378321</v>
      </c>
      <c r="Z278" s="76" t="n">
        <f aca="false">IFERROR(-N(Z248)/Z126,"")</f>
        <v>1.18228630278064</v>
      </c>
      <c r="AA278" s="76" t="n">
        <f aca="false">IFERROR(-N(AA248)/AA126,"")</f>
        <v>0.886214442013129</v>
      </c>
      <c r="AB278" s="76" t="n">
        <f aca="false">IFERROR(-N(AB248)/AB126,"")</f>
        <v>1.37063655030801</v>
      </c>
      <c r="AC278" s="76" t="n">
        <f aca="false">IFERROR(-N(AC248)/AC126,"")</f>
        <v>1.16947368421053</v>
      </c>
      <c r="AD278" s="76" t="n">
        <f aca="false">IFERROR(-N(AD248)/AD126,"")</f>
        <v>0.962886597938144</v>
      </c>
      <c r="AE278" s="76" t="n">
        <f aca="false">IFERROR(-N(AE248)/AE126,"")</f>
        <v>0.904419321685509</v>
      </c>
      <c r="AF278" s="76" t="n">
        <f aca="false">IFERROR(-N(AF248)/AF126,"")</f>
        <v>0.996422182468694</v>
      </c>
      <c r="AG278" s="76" t="n">
        <f aca="false">IFERROR(-N(AG248)/AG126,"")</f>
        <v>1.61804511278195</v>
      </c>
      <c r="AH278" s="76" t="n">
        <f aca="false">IFERROR(-N(AH248)/AH126,"")</f>
        <v>1.15717539863326</v>
      </c>
      <c r="AI278" s="76" t="n">
        <f aca="false">IFERROR(-N(AI248)/AI126,"")</f>
        <v>0.900763358778626</v>
      </c>
      <c r="AJ278" s="76" t="n">
        <f aca="false">IFERROR(-N(AJ248)/AJ126,"")</f>
        <v>1.40769230769231</v>
      </c>
      <c r="AK278" s="76" t="n">
        <f aca="false">IFERROR(-N(AK248)/AK126,"")</f>
        <v>1.31060606060606</v>
      </c>
      <c r="AL278" s="76" t="n">
        <f aca="false">IFERROR(-N(AL248)/AL126,"")</f>
        <v>2.13533834586466</v>
      </c>
      <c r="AM278" s="76" t="n">
        <f aca="false">IFERROR(-N(AM248)/AM126,"")</f>
        <v>1.44106463878327</v>
      </c>
      <c r="AN278" s="76" t="n">
        <f aca="false">IFERROR(-N(AN248)/AN126,"")</f>
        <v>1.51127819548872</v>
      </c>
      <c r="AO278" s="76" t="n">
        <f aca="false">IFERROR(-N(AO248)/AO126,"")</f>
        <v>1.54929577464789</v>
      </c>
      <c r="AP278" s="76" t="n">
        <f aca="false">IFERROR(-N(AP248)/AP126,"")</f>
        <v>1.53191489361702</v>
      </c>
      <c r="AQ278" s="76" t="n">
        <f aca="false">IFERROR(-N(AQ248)/AQ126,"")</f>
        <v>1.9527027027027</v>
      </c>
      <c r="AR278" s="76" t="n">
        <f aca="false">IFERROR(-N(AR248)/AR126,"")</f>
        <v>1.64184397163121</v>
      </c>
      <c r="AS278" s="76" t="n">
        <f aca="false">IFERROR(-N(AS248)/AS126,"")</f>
        <v>1.69798657718121</v>
      </c>
      <c r="AT278" s="76" t="n">
        <f aca="false">IFERROR(-N(AT248)/AT126,"")</f>
        <v>1.71337579617834</v>
      </c>
      <c r="AU278" s="76" t="n">
        <f aca="false">IFERROR(-N(AU248)/AU126,"")</f>
        <v>2.27329192546584</v>
      </c>
      <c r="AV278" s="76" t="n">
        <f aca="false">IFERROR(-N(AV248)/AV126,"")</f>
        <v>3.06806282722513</v>
      </c>
      <c r="AW278" s="76" t="n">
        <f aca="false">IFERROR(-N(AW248)/AW126,"")</f>
        <v>2.24012158054711</v>
      </c>
      <c r="AX278" s="76" t="n">
        <f aca="false">IFERROR(-N(AX248)/AX126,"")</f>
        <v>3.17171717171717</v>
      </c>
      <c r="AY278" s="76" t="n">
        <f aca="false">IFERROR(-N(AY248)/AY126,"")</f>
        <v>2.55924170616114</v>
      </c>
      <c r="AZ278" s="76" t="n">
        <f aca="false">IFERROR(-N(AZ248)/AZ126,"")</f>
        <v>2.55609756097561</v>
      </c>
      <c r="BA278" s="76" t="n">
        <f aca="false">IFERROR(-N(BA248)/BA126,"")</f>
        <v>3.8294930875576</v>
      </c>
      <c r="BB278" s="76" t="n">
        <f aca="false">IFERROR(-N(BB248)/BB126,"")</f>
        <v>3.03610108303249</v>
      </c>
      <c r="BC278" s="76" t="n">
        <f aca="false">IFERROR(-N(BC248)/BC126,"")</f>
        <v>2.56</v>
      </c>
      <c r="BD278" s="76" t="n">
        <f aca="false">IFERROR(-N(BD248)/BD126,"")</f>
        <v>2.14406779661017</v>
      </c>
      <c r="BE278" s="76" t="n">
        <f aca="false">IFERROR(-N(BE248)/BE126,"")</f>
        <v>2.24180327868852</v>
      </c>
      <c r="BF278" s="76" t="n">
        <f aca="false">IFERROR(-N(BF248)/BF126,"")</f>
        <v>2.1484375</v>
      </c>
      <c r="BG278" s="76" t="n">
        <f aca="false">IFERROR(-N(BG248)/BG126,"")</f>
        <v>2.27484787018256</v>
      </c>
      <c r="BH278" s="76" t="n">
        <f aca="false">IFERROR(-N(BH248)/BH126,"")</f>
        <v>1.8102766798419</v>
      </c>
      <c r="BI278" s="76" t="n">
        <f aca="false">IFERROR(-N(BI248)/BI126,"")</f>
        <v>1.05185185185185</v>
      </c>
      <c r="BJ278" s="76" t="n">
        <f aca="false">IFERROR(-N(BJ248)/BJ126,"")</f>
        <v>1.23420074349442</v>
      </c>
      <c r="BK278" s="76" t="n">
        <f aca="false">IFERROR(-N(BK248)/BK126,"")</f>
        <v>1.46739130434783</v>
      </c>
      <c r="BL278" s="76" t="n">
        <f aca="false">IFERROR(-N(BL248)/BL126,"")</f>
        <v>1.38483146067416</v>
      </c>
      <c r="BM278" s="76" t="n">
        <f aca="false">IFERROR(-N(BM248)/BM126,"")</f>
        <v>1.21754385964912</v>
      </c>
      <c r="BN278" s="76" t="n">
        <f aca="false">IFERROR(-N(BN248)/BN126,"")</f>
        <v>1.09057971014493</v>
      </c>
      <c r="BO278" s="76" t="n">
        <f aca="false">IFERROR(-N(BO248)/BO126,"")</f>
        <v>0.934707903780069</v>
      </c>
      <c r="BP278" s="76" t="n">
        <f aca="false">IFERROR(-N(BP248)/BP126,"")</f>
        <v>1.57894736842105</v>
      </c>
      <c r="BQ278" s="76" t="n">
        <f aca="false">IFERROR(-N(BQ248)/BQ126,"")</f>
        <v>1.21107266435986</v>
      </c>
      <c r="BR278" s="76" t="n">
        <f aca="false">IFERROR(-N(BR248)/BR126,"")</f>
        <v>1.31159420289855</v>
      </c>
      <c r="BS278" s="76" t="n">
        <f aca="false">IFERROR(-N(BS248)/BS126,"")</f>
        <v>1.1484375</v>
      </c>
      <c r="BT278" s="76" t="n">
        <f aca="false">IFERROR(-N(BT248)/BT126,"")</f>
        <v>1.77973568281938</v>
      </c>
      <c r="BU278" s="76" t="n">
        <f aca="false">IFERROR(-N(BU248)/BU126,"")</f>
        <v>1.5979381443299</v>
      </c>
      <c r="BV278" s="76" t="n">
        <f aca="false">IFERROR(-N(BV248)/BV126,"")</f>
        <v>1.45238095238095</v>
      </c>
      <c r="BW278" s="76" t="n">
        <f aca="false">IFERROR(-N(BW248)/BW126,"")</f>
        <v>1.22875816993464</v>
      </c>
      <c r="BX278" s="76" t="n">
        <f aca="false">IFERROR(-N(BX248)/BX126,"")</f>
        <v>1.3595166163142</v>
      </c>
      <c r="BY278" s="49"/>
      <c r="BZ278" s="49"/>
      <c r="CA278" s="51" t="n">
        <f aca="false">IFERROR(-N(CA248)/CA126,"")</f>
        <v>1.51232221386244</v>
      </c>
      <c r="CB278" s="51" t="n">
        <f aca="false">IFERROR(-N(CB248)/CB126,"")</f>
        <v>1.55555555555556</v>
      </c>
      <c r="CC278" s="51" t="n">
        <f aca="false">IFERROR(-N(CC248)/CC126,"")</f>
        <v>1.55555555555556</v>
      </c>
      <c r="CD278" s="51" t="n">
        <f aca="false">IFERROR(-N(CD248)/CD126,"")</f>
        <v>1.55555555555556</v>
      </c>
      <c r="CE278" s="51" t="n">
        <f aca="false">IFERROR(-N(CE248)/CE126,"")</f>
        <v>1.55555555555556</v>
      </c>
      <c r="CF278" s="21"/>
    </row>
    <row r="280" customFormat="false" ht="15" hidden="false" customHeight="false" outlineLevel="0" collapsed="false">
      <c r="B280" s="11" t="s">
        <v>452</v>
      </c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 t="s">
        <v>453</v>
      </c>
    </row>
    <row r="281" customFormat="false" ht="15" hidden="false" customHeight="false" outlineLevel="0" collapsed="false">
      <c r="B281" s="23" t="s">
        <v>454</v>
      </c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  <c r="BX281" s="72"/>
      <c r="BY281" s="71"/>
      <c r="BZ281" s="71"/>
      <c r="CA281" s="67" t="n">
        <f aca="false">CA400</f>
        <v>676.76</v>
      </c>
      <c r="CB281" s="67" t="n">
        <f aca="false">CA281*(1+CB346)</f>
        <v>730.9008</v>
      </c>
      <c r="CC281" s="67" t="n">
        <f aca="false">CB281*(1+CC346)</f>
        <v>789.372864</v>
      </c>
      <c r="CD281" s="67" t="n">
        <f aca="false">CC281*(1+CD346)</f>
        <v>852.52269312</v>
      </c>
      <c r="CE281" s="67" t="n">
        <f aca="false">CD281*(1+CE346)</f>
        <v>920.7245085696</v>
      </c>
      <c r="CF281" s="21" t="s">
        <v>455</v>
      </c>
    </row>
    <row r="282" customFormat="false" ht="15" hidden="false" customHeight="false" outlineLevel="0" collapsed="false">
      <c r="B282" s="23" t="s">
        <v>456</v>
      </c>
      <c r="C282" s="61" t="n">
        <f aca="false">IF(ISNUMBER(C256),-C256,"")</f>
        <v>300</v>
      </c>
      <c r="D282" s="61" t="n">
        <f aca="false">IF(ISNUMBER(D256),-D256,"")</f>
        <v>898</v>
      </c>
      <c r="E282" s="61" t="n">
        <f aca="false">IF(ISNUMBER(E256),-E256,"")</f>
        <v>187.4</v>
      </c>
      <c r="F282" s="61" t="n">
        <f aca="false">IF(ISNUMBER(F256),-F256,"")</f>
        <v>414.6</v>
      </c>
      <c r="G282" s="61" t="n">
        <f aca="false">IF(ISNUMBER(G256),-G256,"")</f>
        <v>1012.5</v>
      </c>
      <c r="H282" s="61" t="n">
        <f aca="false">IF(ISNUMBER(H256),-H256,"")</f>
        <v>1337.5</v>
      </c>
      <c r="I282" s="61" t="n">
        <f aca="false">IF(ISNUMBER(I256),-I256,"")</f>
        <v>1150</v>
      </c>
      <c r="J282" s="61" t="n">
        <f aca="false">IF(ISNUMBER(J256),-J256,"")</f>
        <v>89.8</v>
      </c>
      <c r="K282" s="61" t="n">
        <f aca="false">IF(ISNUMBER(K256),-K256,"")</f>
        <v>-0</v>
      </c>
      <c r="L282" s="61" t="n">
        <f aca="false">IF(ISNUMBER(L256),-L256,"")</f>
        <v>-0</v>
      </c>
      <c r="M282" s="61" t="n">
        <f aca="false">IF(ISNUMBER(M256),-M256,"")</f>
        <v>-0</v>
      </c>
      <c r="N282" s="61" t="n">
        <f aca="false">IF(ISNUMBER(N256),-N256,"")</f>
        <v>89.8</v>
      </c>
      <c r="O282" s="61" t="n">
        <f aca="false">IF(ISNUMBER(O256),-O256,"")</f>
        <v>-0</v>
      </c>
      <c r="P282" s="61" t="n">
        <f aca="false">IF(ISNUMBER(P256),-P256,"")</f>
        <v>-0</v>
      </c>
      <c r="Q282" s="61" t="n">
        <f aca="false">IF(ISNUMBER(Q256),-Q256,"")</f>
        <v>-0</v>
      </c>
      <c r="R282" s="61" t="n">
        <f aca="false">IF(ISNUMBER(R256),-R256,"")</f>
        <v>-0</v>
      </c>
      <c r="S282" s="61" t="n">
        <f aca="false">IF(ISNUMBER(S256),-S256,"")</f>
        <v>-0</v>
      </c>
      <c r="T282" s="61" t="n">
        <f aca="false">IF(ISNUMBER(T256),-T256,"")</f>
        <v>500</v>
      </c>
      <c r="U282" s="61" t="n">
        <f aca="false">IF(ISNUMBER(U256),-U256,"")</f>
        <v>-0</v>
      </c>
      <c r="V282" s="61" t="n">
        <f aca="false">IF(ISNUMBER(V256),-V256,"")</f>
        <v>-0</v>
      </c>
      <c r="W282" s="61" t="n">
        <f aca="false">IF(ISNUMBER(W256),-W256,"")</f>
        <v>-0</v>
      </c>
      <c r="X282" s="61" t="n">
        <f aca="false">IF(ISNUMBER(X256),-X256,"")</f>
        <v>500</v>
      </c>
      <c r="Y282" s="61" t="n">
        <f aca="false">IF(ISNUMBER(Y256),-Y256,"")</f>
        <v>1000</v>
      </c>
      <c r="Z282" s="61" t="n">
        <f aca="false">IF(ISNUMBER(Z256),-Z256,"")</f>
        <v>-0</v>
      </c>
      <c r="AA282" s="61" t="n">
        <f aca="false">IF(ISNUMBER(AA256),-AA256,"")</f>
        <v>-0</v>
      </c>
      <c r="AB282" s="61" t="n">
        <f aca="false">IF(ISNUMBER(AB256),-AB256,"")</f>
        <v>250</v>
      </c>
      <c r="AC282" s="61" t="n">
        <f aca="false">IF(ISNUMBER(AC256),-AC256,"")</f>
        <v>1250</v>
      </c>
      <c r="AD282" s="61" t="n">
        <f aca="false">IF(ISNUMBER(AD256),-AD256,"")</f>
        <v>500</v>
      </c>
      <c r="AE282" s="61" t="n">
        <f aca="false">IF(ISNUMBER(AE256),-AE256,"")</f>
        <v>250</v>
      </c>
      <c r="AF282" s="61" t="n">
        <f aca="false">IF(ISNUMBER(AF256),-AF256,"")</f>
        <v>-0</v>
      </c>
      <c r="AG282" s="61" t="n">
        <f aca="false">IF(ISNUMBER(AG256),-AG256,"")</f>
        <v>-0</v>
      </c>
      <c r="AH282" s="61" t="n">
        <f aca="false">IF(ISNUMBER(AH256),-AH256,"")</f>
        <v>750</v>
      </c>
      <c r="AI282" s="61" t="n">
        <f aca="false">IF(ISNUMBER(AI256),-AI256,"")</f>
        <v>-0</v>
      </c>
      <c r="AJ282" s="61" t="n">
        <f aca="false">IF(ISNUMBER(AJ256),-AJ256,"")</f>
        <v>-0</v>
      </c>
      <c r="AK282" s="61" t="n">
        <f aca="false">IF(ISNUMBER(AK256),-AK256,"")</f>
        <v>250</v>
      </c>
      <c r="AL282" s="61" t="n">
        <f aca="false">IF(ISNUMBER(AL256),-AL256,"")</f>
        <v>250</v>
      </c>
      <c r="AM282" s="61" t="n">
        <f aca="false">IF(ISNUMBER(AM256),-AM256,"")</f>
        <v>500</v>
      </c>
      <c r="AN282" s="61" t="n">
        <f aca="false">IF(ISNUMBER(AN256),-AN256,"")</f>
        <v>750</v>
      </c>
      <c r="AO282" s="61" t="n">
        <f aca="false">IF(ISNUMBER(AO256),-AO256,"")</f>
        <v>-0</v>
      </c>
      <c r="AP282" s="61" t="n">
        <f aca="false">IF(ISNUMBER(AP256),-AP256,"")</f>
        <v>-0</v>
      </c>
      <c r="AQ282" s="61" t="n">
        <f aca="false">IF(ISNUMBER(AQ256),-AQ256,"")</f>
        <v>750</v>
      </c>
      <c r="AR282" s="61" t="n">
        <f aca="false">IF(ISNUMBER(AR256),-AR256,"")</f>
        <v>1500</v>
      </c>
      <c r="AS282" s="61" t="n">
        <f aca="false">IF(ISNUMBER(AS256),-AS256,"")</f>
        <v>1500</v>
      </c>
      <c r="AT282" s="61" t="n">
        <f aca="false">IF(ISNUMBER(AT256),-AT256,"")</f>
        <v>-0</v>
      </c>
      <c r="AU282" s="61" t="n">
        <f aca="false">IF(ISNUMBER(AU256),-AU256,"")</f>
        <v>-0</v>
      </c>
      <c r="AV282" s="61" t="n">
        <f aca="false">IF(ISNUMBER(AV256),-AV256,"")</f>
        <v>-0</v>
      </c>
      <c r="AW282" s="61" t="n">
        <f aca="false">IF(ISNUMBER(AW256),-AW256,"")</f>
        <v>1500</v>
      </c>
      <c r="AX282" s="61" t="n">
        <f aca="false">IF(ISNUMBER(AX256),-AX256,"")</f>
        <v>2000</v>
      </c>
      <c r="AY282" s="61" t="n">
        <f aca="false">IF(ISNUMBER(AY256),-AY256,"")</f>
        <v>-0</v>
      </c>
      <c r="AZ282" s="61" t="n">
        <f aca="false">IF(ISNUMBER(AZ256),-AZ256,"")</f>
        <v>-0</v>
      </c>
      <c r="BA282" s="61" t="n">
        <f aca="false">IF(ISNUMBER(BA256),-BA256,"")</f>
        <v>-0</v>
      </c>
      <c r="BB282" s="61" t="n">
        <f aca="false">IF(ISNUMBER(BB256),-BB256,"")</f>
        <v>2000</v>
      </c>
      <c r="BC282" s="61" t="n">
        <f aca="false">IF(ISNUMBER(BC256),-BC256,"")</f>
        <v>2000</v>
      </c>
      <c r="BD282" s="61" t="n">
        <f aca="false">IF(ISNUMBER(BD256),-BD256,"")</f>
        <v>-0</v>
      </c>
      <c r="BE282" s="61" t="n">
        <f aca="false">IF(ISNUMBER(BE256),-BE256,"")</f>
        <v>-0</v>
      </c>
      <c r="BF282" s="61" t="n">
        <f aca="false">IF(ISNUMBER(BF256),-BF256,"")</f>
        <v>1000</v>
      </c>
      <c r="BG282" s="61" t="n">
        <f aca="false">IF(ISNUMBER(BG256),-BG256,"")</f>
        <v>3000</v>
      </c>
      <c r="BH282" s="61" t="n">
        <f aca="false">IF(ISNUMBER(BH256),-BH256,"")</f>
        <v>3000</v>
      </c>
      <c r="BI282" s="61" t="n">
        <f aca="false">IF(ISNUMBER(BI256),-BI256,"")</f>
        <v>-0</v>
      </c>
      <c r="BJ282" s="61" t="n">
        <f aca="false">IF(ISNUMBER(BJ256),-BJ256,"")</f>
        <v>-0</v>
      </c>
      <c r="BK282" s="61" t="n">
        <f aca="false">IF(ISNUMBER(BK256),-BK256,"")</f>
        <v>-0</v>
      </c>
      <c r="BL282" s="61" t="n">
        <f aca="false">IF(ISNUMBER(BL256),-BL256,"")</f>
        <v>3000</v>
      </c>
      <c r="BM282" s="61" t="n">
        <f aca="false">IF(ISNUMBER(BM256),-BM256,"")</f>
        <v>3000</v>
      </c>
      <c r="BN282" s="61" t="n">
        <f aca="false">IF(ISNUMBER(BN256),-BN256,"")</f>
        <v>-0</v>
      </c>
      <c r="BO282" s="61" t="n">
        <f aca="false">IF(ISNUMBER(BO256),-BO256,"")</f>
        <v>-0</v>
      </c>
      <c r="BP282" s="61" t="n">
        <f aca="false">IF(ISNUMBER(BP256),-BP256,"")</f>
        <v>1000</v>
      </c>
      <c r="BQ282" s="61" t="n">
        <f aca="false">IF(ISNUMBER(BQ256),-BQ256,"")</f>
        <v>4000</v>
      </c>
      <c r="BR282" s="61" t="n">
        <f aca="false">IF(ISNUMBER(BR256),-BR256,"")</f>
        <v>2000</v>
      </c>
      <c r="BS282" s="61" t="n">
        <f aca="false">IF(ISNUMBER(BS256),-BS256,"")</f>
        <v>-0</v>
      </c>
      <c r="BT282" s="61" t="n">
        <f aca="false">IF(ISNUMBER(BT256),-BT256,"")</f>
        <v>963</v>
      </c>
      <c r="BU282" s="61" t="n">
        <f aca="false">IF(ISNUMBER(BU256),-BU256,"")</f>
        <v>37</v>
      </c>
      <c r="BV282" s="61" t="n">
        <f aca="false">IF(ISNUMBER(BV256),-BV256,"")</f>
        <v>3000</v>
      </c>
      <c r="BW282" s="61" t="n">
        <f aca="false">IF(ISNUMBER(BW256),-BW256,"")</f>
        <v>3000</v>
      </c>
      <c r="BX282" s="61" t="n">
        <f aca="false">IF(ISNUMBER(BX256),-BX256,"")</f>
        <v>1000</v>
      </c>
      <c r="BY282" s="39"/>
      <c r="BZ282" s="39"/>
      <c r="CA282" s="44" t="n">
        <f aca="false">CHOOSE(MATCH($CF$2,{"Bull","Base","Bear"},0),$CO$24,$CP$24,$CQ$24)</f>
        <v>0</v>
      </c>
      <c r="CB282" s="44" t="n">
        <f aca="false">-CB256</f>
        <v>4340.16673628776</v>
      </c>
      <c r="CC282" s="44" t="n">
        <f aca="false">-CC256</f>
        <v>7620.56445633455</v>
      </c>
      <c r="CD282" s="44" t="n">
        <f aca="false">-CD256</f>
        <v>8641.2199745298</v>
      </c>
      <c r="CE282" s="44" t="n">
        <f aca="false">-CE256</f>
        <v>9754.50194482775</v>
      </c>
      <c r="CF282" s="21" t="s">
        <v>457</v>
      </c>
    </row>
    <row r="283" customFormat="false" ht="15" hidden="false" customHeight="false" outlineLevel="0" collapsed="false">
      <c r="B283" s="23" t="s">
        <v>458</v>
      </c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5"/>
      <c r="BZ283" s="55"/>
      <c r="CA283" s="57" t="n">
        <f aca="false">IFERROR(CA282/CA281,0)</f>
        <v>0</v>
      </c>
      <c r="CB283" s="57" t="n">
        <f aca="false">IFERROR(CB282/CB281,0)</f>
        <v>5.93810642468548</v>
      </c>
      <c r="CC283" s="57" t="n">
        <f aca="false">IFERROR(CC282/CC281,0)</f>
        <v>9.65394784122519</v>
      </c>
      <c r="CD283" s="57" t="n">
        <f aca="false">IFERROR(CD282/CD281,0)</f>
        <v>10.1360585991034</v>
      </c>
      <c r="CE283" s="57" t="n">
        <f aca="false">IFERROR(CE282/CE281,0)</f>
        <v>10.5943763351993</v>
      </c>
      <c r="CF283" s="21"/>
    </row>
    <row r="284" customFormat="false" ht="15" hidden="false" customHeight="false" outlineLevel="0" collapsed="false">
      <c r="B284" s="23" t="s">
        <v>459</v>
      </c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5"/>
      <c r="BZ284" s="55"/>
      <c r="CA284" s="56" t="n">
        <v>0.5</v>
      </c>
      <c r="CB284" s="56" t="n">
        <v>1.5</v>
      </c>
      <c r="CC284" s="56" t="n">
        <v>1.5</v>
      </c>
      <c r="CD284" s="56" t="n">
        <v>1.5</v>
      </c>
      <c r="CE284" s="56" t="n">
        <v>1.5</v>
      </c>
      <c r="CF284" s="21"/>
    </row>
    <row r="285" customFormat="false" ht="15" hidden="false" customHeight="false" outlineLevel="0" collapsed="false">
      <c r="B285" s="23" t="s">
        <v>460</v>
      </c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5"/>
      <c r="BZ285" s="55"/>
      <c r="CA285" s="57" t="n">
        <f aca="false">BX328</f>
        <v>369.747286</v>
      </c>
      <c r="CB285" s="57" t="n">
        <f aca="false">CA286</f>
        <v>370.247286</v>
      </c>
      <c r="CC285" s="57" t="n">
        <f aca="false">CB286</f>
        <v>365.809179575315</v>
      </c>
      <c r="CD285" s="57" t="n">
        <f aca="false">CC286</f>
        <v>357.655231734089</v>
      </c>
      <c r="CE285" s="57" t="n">
        <f aca="false">CD286</f>
        <v>349.019173134986</v>
      </c>
      <c r="CF285" s="21" t="s">
        <v>461</v>
      </c>
    </row>
    <row r="286" customFormat="false" ht="15" hidden="false" customHeight="false" outlineLevel="0" collapsed="false">
      <c r="B286" s="23" t="s">
        <v>462</v>
      </c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  <c r="BI286" s="54"/>
      <c r="BJ286" s="54"/>
      <c r="BK286" s="54"/>
      <c r="BL286" s="54"/>
      <c r="BM286" s="54"/>
      <c r="BN286" s="54"/>
      <c r="BO286" s="54"/>
      <c r="BP286" s="54"/>
      <c r="BQ286" s="54"/>
      <c r="BR286" s="54"/>
      <c r="BS286" s="54"/>
      <c r="BT286" s="54"/>
      <c r="BU286" s="54"/>
      <c r="BV286" s="54"/>
      <c r="BW286" s="54"/>
      <c r="BX286" s="54"/>
      <c r="BY286" s="55"/>
      <c r="BZ286" s="55"/>
      <c r="CA286" s="57" t="n">
        <f aca="false">CA285-CA283+CA284</f>
        <v>370.247286</v>
      </c>
      <c r="CB286" s="57" t="n">
        <f aca="false">CB285-CB283+CB284</f>
        <v>365.809179575315</v>
      </c>
      <c r="CC286" s="57" t="n">
        <f aca="false">CC285-CC283+CC284</f>
        <v>357.655231734089</v>
      </c>
      <c r="CD286" s="57" t="n">
        <f aca="false">CD285-CD283+CD284</f>
        <v>349.019173134986</v>
      </c>
      <c r="CE286" s="57" t="n">
        <f aca="false">CE285-CE283+CE284</f>
        <v>339.924796799787</v>
      </c>
      <c r="CF286" s="21"/>
    </row>
    <row r="287" customFormat="false" ht="15" hidden="false" customHeight="false" outlineLevel="0" collapsed="false">
      <c r="B287" s="23" t="s">
        <v>463</v>
      </c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9"/>
      <c r="BZ287" s="29"/>
      <c r="CA287" s="26" t="n">
        <f aca="false">IFERROR(CA283/CA285,"")</f>
        <v>0</v>
      </c>
      <c r="CB287" s="26" t="n">
        <f aca="false">IFERROR(CB283/CB285,"")</f>
        <v>0.0160382172921194</v>
      </c>
      <c r="CC287" s="26" t="n">
        <f aca="false">IFERROR(CC283/CC285,"")</f>
        <v>0.0263906658997265</v>
      </c>
      <c r="CD287" s="26" t="n">
        <f aca="false">IFERROR(CD283/CD285,"")</f>
        <v>0.0283403056903678</v>
      </c>
      <c r="CE287" s="26" t="n">
        <f aca="false">IFERROR(CE283/CE285,"")</f>
        <v>0.0303547115765523</v>
      </c>
      <c r="CF287" s="21"/>
    </row>
    <row r="288" customFormat="false" ht="15" hidden="false" customHeight="false" outlineLevel="0" collapsed="false">
      <c r="B288" s="23" t="s">
        <v>464</v>
      </c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  <c r="BD288" s="54"/>
      <c r="BE288" s="54"/>
      <c r="BF288" s="54"/>
      <c r="BG288" s="54"/>
      <c r="BH288" s="54"/>
      <c r="BI288" s="54"/>
      <c r="BJ288" s="54"/>
      <c r="BK288" s="54"/>
      <c r="BL288" s="54"/>
      <c r="BM288" s="54"/>
      <c r="BN288" s="54"/>
      <c r="BO288" s="54"/>
      <c r="BP288" s="54"/>
      <c r="BQ288" s="54"/>
      <c r="BR288" s="54"/>
      <c r="BS288" s="54"/>
      <c r="BT288" s="54"/>
      <c r="BU288" s="54"/>
      <c r="BV288" s="54"/>
      <c r="BW288" s="54"/>
      <c r="BX288" s="54"/>
      <c r="BY288" s="55"/>
      <c r="BZ288" s="55"/>
      <c r="CA288" s="57" t="n">
        <f aca="false">CA283</f>
        <v>0</v>
      </c>
      <c r="CB288" s="57" t="n">
        <f aca="false">CA288+CB283</f>
        <v>5.93810642468548</v>
      </c>
      <c r="CC288" s="57" t="n">
        <f aca="false">CB288+CC283</f>
        <v>15.5920542659107</v>
      </c>
      <c r="CD288" s="57" t="n">
        <f aca="false">CC288+CD283</f>
        <v>25.7281128650141</v>
      </c>
      <c r="CE288" s="57" t="n">
        <f aca="false">CD288+CE283</f>
        <v>36.3224892002134</v>
      </c>
      <c r="CF288" s="21"/>
    </row>
    <row r="290" customFormat="false" ht="15" hidden="false" customHeight="false" outlineLevel="0" collapsed="false">
      <c r="B290" s="11" t="s">
        <v>465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 t="s">
        <v>466</v>
      </c>
    </row>
    <row r="291" customFormat="false" ht="15" hidden="false" customHeight="false" outlineLevel="0" collapsed="false">
      <c r="B291" s="17" t="s">
        <v>467</v>
      </c>
      <c r="CF291" s="64"/>
    </row>
    <row r="292" customFormat="false" ht="15" hidden="false" customHeight="false" outlineLevel="0" collapsed="false">
      <c r="B292" s="23" t="s">
        <v>468</v>
      </c>
      <c r="C292" s="37" t="n">
        <v>667.434</v>
      </c>
      <c r="D292" s="37" t="n">
        <v>636.2</v>
      </c>
      <c r="E292" s="37" t="n">
        <v>1280.5</v>
      </c>
      <c r="F292" s="37" t="n">
        <v>1564.1</v>
      </c>
      <c r="G292" s="37" t="n">
        <v>917.1</v>
      </c>
      <c r="H292" s="37" t="n">
        <v>1016.3</v>
      </c>
      <c r="I292" s="37" t="n">
        <v>851</v>
      </c>
      <c r="J292" s="37" t="n">
        <v>1004.1</v>
      </c>
      <c r="K292" s="37" t="n">
        <v>1408.9</v>
      </c>
      <c r="L292" s="37" t="n">
        <v>1845.6</v>
      </c>
      <c r="M292" s="37" t="n">
        <v>5826</v>
      </c>
      <c r="N292" s="37" t="n">
        <v>5826</v>
      </c>
      <c r="O292" s="37" t="n">
        <v>1497.2</v>
      </c>
      <c r="P292" s="37" t="n">
        <v>584.9</v>
      </c>
      <c r="Q292" s="37" t="n">
        <v>534.3</v>
      </c>
      <c r="R292" s="37" t="n">
        <v>1343.5</v>
      </c>
      <c r="S292" s="37" t="n">
        <v>1343.5</v>
      </c>
      <c r="T292" s="37" t="n">
        <v>864.6</v>
      </c>
      <c r="U292" s="37" t="n">
        <v>768.4</v>
      </c>
      <c r="V292" s="37" t="n">
        <v>503.4</v>
      </c>
      <c r="W292" s="37" t="n">
        <v>452.1</v>
      </c>
      <c r="X292" s="37" t="n">
        <v>452.1</v>
      </c>
      <c r="Y292" s="37" t="n">
        <v>826.8</v>
      </c>
      <c r="Z292" s="37" t="n">
        <v>663.1</v>
      </c>
      <c r="AA292" s="37" t="n">
        <v>1970</v>
      </c>
      <c r="AB292" s="37" t="n">
        <v>786.2</v>
      </c>
      <c r="AC292" s="37" t="n">
        <v>786.2</v>
      </c>
      <c r="AD292" s="37" t="n">
        <v>713.3</v>
      </c>
      <c r="AE292" s="37" t="n">
        <v>611</v>
      </c>
      <c r="AF292" s="37" t="n">
        <v>741.1</v>
      </c>
      <c r="AG292" s="37" t="n">
        <v>1335</v>
      </c>
      <c r="AH292" s="37" t="n">
        <v>1335</v>
      </c>
      <c r="AI292" s="37" t="n">
        <v>950</v>
      </c>
      <c r="AJ292" s="37" t="n">
        <v>937</v>
      </c>
      <c r="AK292" s="37" t="n">
        <v>1098</v>
      </c>
      <c r="AL292" s="37" t="n">
        <v>2103</v>
      </c>
      <c r="AM292" s="37" t="n">
        <v>2103</v>
      </c>
      <c r="AN292" s="37" t="n">
        <v>1106</v>
      </c>
      <c r="AO292" s="37" t="n">
        <v>2288</v>
      </c>
      <c r="AP292" s="37" t="n">
        <v>1273</v>
      </c>
      <c r="AQ292" s="37" t="n">
        <v>2399</v>
      </c>
      <c r="AR292" s="37" t="n">
        <v>2399</v>
      </c>
      <c r="AS292" s="37" t="n">
        <v>2981</v>
      </c>
      <c r="AT292" s="37" t="n">
        <v>5818</v>
      </c>
      <c r="AU292" s="37" t="n">
        <v>7540</v>
      </c>
      <c r="AV292" s="37" t="n">
        <v>10325</v>
      </c>
      <c r="AW292" s="37" t="n">
        <v>10325</v>
      </c>
      <c r="AX292" s="37" t="n">
        <v>5583</v>
      </c>
      <c r="AY292" s="37" t="n">
        <v>7023</v>
      </c>
      <c r="AZ292" s="37" t="n">
        <v>12027</v>
      </c>
      <c r="BA292" s="37" t="n">
        <v>4477</v>
      </c>
      <c r="BB292" s="37" t="n">
        <v>4477</v>
      </c>
      <c r="BC292" s="37" t="n">
        <v>2752</v>
      </c>
      <c r="BD292" s="37" t="n">
        <v>1888</v>
      </c>
      <c r="BE292" s="37" t="n">
        <v>2919</v>
      </c>
      <c r="BF292" s="37" t="n">
        <v>8524</v>
      </c>
      <c r="BG292" s="37" t="n">
        <v>8524</v>
      </c>
      <c r="BH292" s="37" t="n">
        <v>3482</v>
      </c>
      <c r="BI292" s="37" t="n">
        <v>3133</v>
      </c>
      <c r="BJ292" s="37" t="n">
        <v>6151</v>
      </c>
      <c r="BK292" s="37" t="n">
        <v>8077</v>
      </c>
      <c r="BL292" s="37" t="n">
        <v>8077</v>
      </c>
      <c r="BM292" s="37" t="n">
        <v>5499</v>
      </c>
      <c r="BN292" s="37" t="n">
        <v>7073</v>
      </c>
      <c r="BO292" s="37" t="n">
        <v>4645</v>
      </c>
      <c r="BP292" s="37" t="n">
        <v>4009</v>
      </c>
      <c r="BQ292" s="37" t="n">
        <v>4009</v>
      </c>
      <c r="BR292" s="37" t="n">
        <v>4134</v>
      </c>
      <c r="BS292" s="37" t="n">
        <v>4576</v>
      </c>
      <c r="BT292" s="37" t="n">
        <v>1982</v>
      </c>
      <c r="BU292" s="37" t="n">
        <v>9852</v>
      </c>
      <c r="BV292" s="37" t="n">
        <v>9852</v>
      </c>
      <c r="BW292" s="37" t="n">
        <v>3254</v>
      </c>
      <c r="BX292" s="37" t="n">
        <v>4064</v>
      </c>
      <c r="BY292" s="39"/>
      <c r="BZ292" s="39"/>
      <c r="CA292" s="44" t="n">
        <f aca="false">CA264-CA326</f>
        <v>9386.26</v>
      </c>
      <c r="CB292" s="44" t="n">
        <f aca="false">CB264-CB326</f>
        <v>8917.20468325422</v>
      </c>
      <c r="CC292" s="44" t="n">
        <f aca="false">CC264-CC326</f>
        <v>5814.49864308701</v>
      </c>
      <c r="CD292" s="44" t="n">
        <f aca="false">CD264-CD326</f>
        <v>3968</v>
      </c>
      <c r="CE292" s="44" t="n">
        <f aca="false">CE264-CE326</f>
        <v>3968</v>
      </c>
      <c r="CF292" s="21"/>
    </row>
    <row r="293" customFormat="false" ht="15" hidden="false" customHeight="false" outlineLevel="0" collapsed="false">
      <c r="B293" s="23" t="s">
        <v>469</v>
      </c>
      <c r="C293" s="37" t="n">
        <v>23.762</v>
      </c>
      <c r="D293" s="37" t="n">
        <v>14.1</v>
      </c>
      <c r="E293" s="37" t="n">
        <v>7.5</v>
      </c>
      <c r="F293" s="37" t="n">
        <v>7.1</v>
      </c>
      <c r="G293" s="37" t="n">
        <v>8.9</v>
      </c>
      <c r="H293" s="37" t="n">
        <v>4.3</v>
      </c>
      <c r="I293" s="37" t="n">
        <v>4.3</v>
      </c>
      <c r="J293" s="37" t="n">
        <v>4.2</v>
      </c>
      <c r="K293" s="37" t="n">
        <v>4.2</v>
      </c>
      <c r="L293" s="37" t="n">
        <v>4.2</v>
      </c>
      <c r="M293" s="37" t="n">
        <v>4.5</v>
      </c>
      <c r="N293" s="37" t="n">
        <v>4.5</v>
      </c>
      <c r="O293" s="37" t="n">
        <v>25.5</v>
      </c>
      <c r="P293" s="37" t="n">
        <v>21</v>
      </c>
      <c r="Q293" s="37" t="n">
        <v>9.3</v>
      </c>
      <c r="R293" s="37" t="n">
        <v>8.5</v>
      </c>
      <c r="S293" s="37" t="n">
        <v>8.5</v>
      </c>
      <c r="T293" s="37" t="n">
        <v>8.4</v>
      </c>
      <c r="U293" s="37" t="n">
        <v>2</v>
      </c>
      <c r="V293" s="37" t="n">
        <v>2</v>
      </c>
      <c r="W293" s="37" t="n">
        <v>0</v>
      </c>
      <c r="X293" s="37" t="n">
        <v>0</v>
      </c>
      <c r="Y293" s="37" t="n">
        <v>0</v>
      </c>
      <c r="Z293" s="37" t="n">
        <v>0</v>
      </c>
      <c r="AA293" s="37" t="n">
        <v>0</v>
      </c>
      <c r="AB293" s="37" t="n">
        <v>0</v>
      </c>
      <c r="AC293" s="37" t="n">
        <v>0</v>
      </c>
      <c r="AD293" s="37" t="n">
        <v>0</v>
      </c>
      <c r="AE293" s="37" t="n">
        <v>0</v>
      </c>
      <c r="AF293" s="37" t="n">
        <v>0</v>
      </c>
      <c r="AG293" s="37" t="n">
        <v>0</v>
      </c>
      <c r="AH293" s="37" t="n">
        <v>0</v>
      </c>
      <c r="AI293" s="37" t="n">
        <v>0</v>
      </c>
      <c r="AJ293" s="37" t="n">
        <v>0</v>
      </c>
      <c r="AK293" s="37" t="n">
        <v>0</v>
      </c>
      <c r="AL293" s="37" t="n">
        <v>0</v>
      </c>
      <c r="AM293" s="37" t="n">
        <v>0</v>
      </c>
      <c r="AN293" s="37" t="n">
        <v>0</v>
      </c>
      <c r="AO293" s="37" t="n">
        <v>0</v>
      </c>
      <c r="AP293" s="37" t="n">
        <v>0</v>
      </c>
      <c r="AQ293" s="37" t="n">
        <v>0</v>
      </c>
      <c r="AR293" s="37" t="n">
        <v>0</v>
      </c>
      <c r="AS293" s="37" t="n">
        <v>0</v>
      </c>
      <c r="AT293" s="37" t="n">
        <v>0</v>
      </c>
      <c r="AU293" s="37" t="n">
        <v>0</v>
      </c>
      <c r="AV293" s="37" t="n">
        <v>0</v>
      </c>
      <c r="AW293" s="37" t="n">
        <v>0</v>
      </c>
      <c r="AX293" s="37" t="n">
        <v>0</v>
      </c>
      <c r="AY293" s="37" t="n">
        <v>0</v>
      </c>
      <c r="AZ293" s="37" t="n">
        <v>0</v>
      </c>
      <c r="BA293" s="37" t="n">
        <v>0</v>
      </c>
      <c r="BB293" s="37" t="n">
        <v>0</v>
      </c>
      <c r="BC293" s="37" t="n">
        <v>0</v>
      </c>
      <c r="BD293" s="37" t="n">
        <v>0</v>
      </c>
      <c r="BE293" s="37" t="n">
        <v>0</v>
      </c>
      <c r="BF293" s="37" t="n">
        <v>0</v>
      </c>
      <c r="BG293" s="37" t="n">
        <v>0</v>
      </c>
      <c r="BH293" s="37" t="n">
        <v>0</v>
      </c>
      <c r="BI293" s="37" t="n">
        <v>0</v>
      </c>
      <c r="BJ293" s="37" t="n">
        <v>0</v>
      </c>
      <c r="BK293" s="37" t="n">
        <v>0</v>
      </c>
      <c r="BL293" s="37" t="n">
        <v>0</v>
      </c>
      <c r="BM293" s="37" t="n">
        <v>1751</v>
      </c>
      <c r="BN293" s="37" t="n">
        <v>1750</v>
      </c>
      <c r="BO293" s="37" t="n">
        <v>2000</v>
      </c>
      <c r="BP293" s="37" t="n">
        <v>1561</v>
      </c>
      <c r="BQ293" s="37" t="n">
        <v>1561</v>
      </c>
      <c r="BR293" s="37" t="n">
        <v>1813</v>
      </c>
      <c r="BS293" s="37" t="n">
        <v>1814</v>
      </c>
      <c r="BT293" s="37" t="n">
        <v>1564</v>
      </c>
      <c r="BU293" s="37" t="n">
        <v>253</v>
      </c>
      <c r="BV293" s="37" t="n">
        <v>253</v>
      </c>
      <c r="BW293" s="37" t="n">
        <v>2</v>
      </c>
      <c r="BX293" s="37" t="n">
        <v>0</v>
      </c>
      <c r="BY293" s="39"/>
      <c r="BZ293" s="39"/>
      <c r="CA293" s="44" t="n">
        <f aca="false">BX293</f>
        <v>0</v>
      </c>
      <c r="CB293" s="44" t="n">
        <f aca="false">CA293</f>
        <v>0</v>
      </c>
      <c r="CC293" s="44" t="n">
        <f aca="false">CB293</f>
        <v>0</v>
      </c>
      <c r="CD293" s="44" t="n">
        <f aca="false">CC293</f>
        <v>0</v>
      </c>
      <c r="CE293" s="44" t="n">
        <f aca="false">CD293</f>
        <v>0</v>
      </c>
      <c r="CF293" s="21"/>
    </row>
    <row r="294" customFormat="false" ht="15" hidden="false" customHeight="false" outlineLevel="0" collapsed="false">
      <c r="B294" s="23" t="s">
        <v>470</v>
      </c>
      <c r="C294" s="37" t="n">
        <v>1392.743</v>
      </c>
      <c r="D294" s="37" t="n">
        <v>1450</v>
      </c>
      <c r="E294" s="37" t="n">
        <v>1478.1</v>
      </c>
      <c r="F294" s="37" t="n">
        <v>1409.6</v>
      </c>
      <c r="G294" s="37" t="n">
        <v>1516.8</v>
      </c>
      <c r="H294" s="37" t="n">
        <v>1814.1</v>
      </c>
      <c r="I294" s="37" t="n">
        <v>1804.9</v>
      </c>
      <c r="J294" s="37" t="n">
        <v>1904.5</v>
      </c>
      <c r="K294" s="37" t="n">
        <v>1901.5</v>
      </c>
      <c r="L294" s="37" t="n">
        <v>1945.1</v>
      </c>
      <c r="M294" s="37" t="n">
        <v>1942.3</v>
      </c>
      <c r="N294" s="37" t="n">
        <v>1942.3</v>
      </c>
      <c r="O294" s="37" t="n">
        <v>2695.5</v>
      </c>
      <c r="P294" s="37" t="n">
        <v>2660.1</v>
      </c>
      <c r="Q294" s="37" t="n">
        <v>2507.1</v>
      </c>
      <c r="R294" s="37" t="n">
        <v>2473.6</v>
      </c>
      <c r="S294" s="37" t="n">
        <v>2473.6</v>
      </c>
      <c r="T294" s="37" t="n">
        <v>2538</v>
      </c>
      <c r="U294" s="37" t="n">
        <v>2631</v>
      </c>
      <c r="V294" s="37" t="n">
        <v>2543.9</v>
      </c>
      <c r="W294" s="37" t="n">
        <v>2544.9</v>
      </c>
      <c r="X294" s="37" t="n">
        <v>2544.9</v>
      </c>
      <c r="Y294" s="37" t="n">
        <v>2668.3</v>
      </c>
      <c r="Z294" s="37" t="n">
        <v>2709.1</v>
      </c>
      <c r="AA294" s="37" t="n">
        <v>2895.1</v>
      </c>
      <c r="AB294" s="37" t="n">
        <v>3048.5</v>
      </c>
      <c r="AC294" s="37" t="n">
        <v>3048.5</v>
      </c>
      <c r="AD294" s="37" t="n">
        <v>3096.5</v>
      </c>
      <c r="AE294" s="37" t="n">
        <v>3258.3</v>
      </c>
      <c r="AF294" s="37" t="n">
        <v>3657</v>
      </c>
      <c r="AG294" s="37" t="n">
        <v>3879</v>
      </c>
      <c r="AH294" s="37" t="n">
        <v>3879</v>
      </c>
      <c r="AI294" s="37" t="n">
        <v>3990</v>
      </c>
      <c r="AJ294" s="37" t="n">
        <v>3911</v>
      </c>
      <c r="AK294" s="37" t="n">
        <v>3852</v>
      </c>
      <c r="AL294" s="37" t="n">
        <v>4136</v>
      </c>
      <c r="AM294" s="37" t="n">
        <v>4136</v>
      </c>
      <c r="AN294" s="37" t="n">
        <v>4155</v>
      </c>
      <c r="AO294" s="37" t="n">
        <v>4129</v>
      </c>
      <c r="AP294" s="37" t="n">
        <v>4384</v>
      </c>
      <c r="AQ294" s="37" t="n">
        <v>4349</v>
      </c>
      <c r="AR294" s="37" t="n">
        <v>4349</v>
      </c>
      <c r="AS294" s="37" t="n">
        <v>4508</v>
      </c>
      <c r="AT294" s="37" t="n">
        <v>4478</v>
      </c>
      <c r="AU294" s="37" t="n">
        <v>5186</v>
      </c>
      <c r="AV294" s="37" t="n">
        <v>5741</v>
      </c>
      <c r="AW294" s="37" t="n">
        <v>5741</v>
      </c>
      <c r="AX294" s="37" t="n">
        <v>5554</v>
      </c>
      <c r="AY294" s="37" t="n">
        <v>5476</v>
      </c>
      <c r="AZ294" s="37" t="n">
        <v>5557</v>
      </c>
      <c r="BA294" s="37" t="n">
        <v>7977</v>
      </c>
      <c r="BB294" s="37" t="n">
        <v>7977</v>
      </c>
      <c r="BC294" s="37" t="n">
        <v>7889</v>
      </c>
      <c r="BD294" s="37" t="n">
        <v>7745</v>
      </c>
      <c r="BE294" s="37" t="n">
        <v>7671</v>
      </c>
      <c r="BF294" s="37" t="n">
        <v>8274</v>
      </c>
      <c r="BG294" s="37" t="n">
        <v>8274</v>
      </c>
      <c r="BH294" s="37" t="n">
        <v>7922</v>
      </c>
      <c r="BI294" s="37" t="n">
        <v>8019</v>
      </c>
      <c r="BJ294" s="37" t="n">
        <v>8370</v>
      </c>
      <c r="BK294" s="37" t="n">
        <v>8221</v>
      </c>
      <c r="BL294" s="37" t="n">
        <v>8221</v>
      </c>
      <c r="BM294" s="37" t="n">
        <v>7931</v>
      </c>
      <c r="BN294" s="37" t="n">
        <v>7943</v>
      </c>
      <c r="BO294" s="37" t="n">
        <v>8255</v>
      </c>
      <c r="BP294" s="37" t="n">
        <v>8191</v>
      </c>
      <c r="BQ294" s="37" t="n">
        <v>8191</v>
      </c>
      <c r="BR294" s="37" t="n">
        <v>8455</v>
      </c>
      <c r="BS294" s="37" t="n">
        <v>8594</v>
      </c>
      <c r="BT294" s="37" t="n">
        <v>8911</v>
      </c>
      <c r="BU294" s="37" t="n">
        <v>8900</v>
      </c>
      <c r="BV294" s="37" t="n">
        <v>8900</v>
      </c>
      <c r="BW294" s="37" t="n">
        <v>9204</v>
      </c>
      <c r="BX294" s="37" t="n">
        <v>9451</v>
      </c>
      <c r="BY294" s="39"/>
      <c r="BZ294" s="39"/>
      <c r="CA294" s="44" t="n">
        <f aca="false">CA331*CA333/365</f>
        <v>9550</v>
      </c>
      <c r="CB294" s="44" t="n">
        <f aca="false">CB331*CB333/365</f>
        <v>10132.7698412099</v>
      </c>
      <c r="CC294" s="44" t="n">
        <f aca="false">CC331*CC333/365</f>
        <v>10900.6063253089</v>
      </c>
      <c r="CD294" s="44" t="n">
        <f aca="false">CD331*CD333/365</f>
        <v>11726.4946137907</v>
      </c>
      <c r="CE294" s="44" t="n">
        <f aca="false">CE331*CE333/365</f>
        <v>12602.7308698346</v>
      </c>
      <c r="CF294" s="21" t="s">
        <v>471</v>
      </c>
    </row>
    <row r="295" customFormat="false" ht="15" hidden="false" customHeight="false" outlineLevel="0" collapsed="false">
      <c r="B295" s="23" t="s">
        <v>472</v>
      </c>
      <c r="C295" s="37" t="n">
        <v>1164.465</v>
      </c>
      <c r="D295" s="37" t="n">
        <v>1169.9</v>
      </c>
      <c r="E295" s="37" t="n">
        <v>1171.4</v>
      </c>
      <c r="F295" s="37" t="n">
        <v>1131.4</v>
      </c>
      <c r="G295" s="37" t="n">
        <v>1175.1</v>
      </c>
      <c r="H295" s="37" t="n">
        <v>1355.4</v>
      </c>
      <c r="I295" s="37" t="n">
        <v>1443.3</v>
      </c>
      <c r="J295" s="37" t="n">
        <v>1474.6</v>
      </c>
      <c r="K295" s="37" t="n">
        <v>1487.1</v>
      </c>
      <c r="L295" s="37" t="n">
        <v>1546.8</v>
      </c>
      <c r="M295" s="37" t="n">
        <v>1494.5</v>
      </c>
      <c r="N295" s="37" t="n">
        <v>1494.5</v>
      </c>
      <c r="O295" s="37" t="n">
        <v>2060.5</v>
      </c>
      <c r="P295" s="37" t="n">
        <v>1933.8</v>
      </c>
      <c r="Q295" s="37" t="n">
        <v>1913.7</v>
      </c>
      <c r="R295" s="37" t="n">
        <v>1859.5</v>
      </c>
      <c r="S295" s="37" t="n">
        <v>1859.5</v>
      </c>
      <c r="T295" s="37" t="n">
        <v>1898.8</v>
      </c>
      <c r="U295" s="37" t="n">
        <v>1962.3</v>
      </c>
      <c r="V295" s="37" t="n">
        <v>1987.2</v>
      </c>
      <c r="W295" s="37" t="n">
        <v>1991.7</v>
      </c>
      <c r="X295" s="37" t="n">
        <v>1991.7</v>
      </c>
      <c r="Y295" s="37" t="n">
        <v>2154.9</v>
      </c>
      <c r="Z295" s="37" t="n">
        <v>2086.3</v>
      </c>
      <c r="AA295" s="37" t="n">
        <v>2390.9</v>
      </c>
      <c r="AB295" s="37" t="n">
        <v>2213.3</v>
      </c>
      <c r="AC295" s="37" t="n">
        <v>2213.3</v>
      </c>
      <c r="AD295" s="37" t="n">
        <v>2327.1</v>
      </c>
      <c r="AE295" s="37" t="n">
        <v>2422.2</v>
      </c>
      <c r="AF295" s="37" t="n">
        <v>3125.5</v>
      </c>
      <c r="AG295" s="37" t="n">
        <v>2971</v>
      </c>
      <c r="AH295" s="37" t="n">
        <v>2971</v>
      </c>
      <c r="AI295" s="37" t="n">
        <v>2891</v>
      </c>
      <c r="AJ295" s="37" t="n">
        <v>2866</v>
      </c>
      <c r="AK295" s="37" t="n">
        <v>2982</v>
      </c>
      <c r="AL295" s="37" t="n">
        <v>3005</v>
      </c>
      <c r="AM295" s="37" t="n">
        <v>3005</v>
      </c>
      <c r="AN295" s="37" t="n">
        <v>3124</v>
      </c>
      <c r="AO295" s="37" t="n">
        <v>3209</v>
      </c>
      <c r="AP295" s="37" t="n">
        <v>3308</v>
      </c>
      <c r="AQ295" s="37" t="n">
        <v>3370</v>
      </c>
      <c r="AR295" s="37" t="n">
        <v>3370</v>
      </c>
      <c r="AS295" s="37" t="n">
        <v>3454</v>
      </c>
      <c r="AT295" s="37" t="n">
        <v>3648</v>
      </c>
      <c r="AU295" s="37" t="n">
        <v>3829</v>
      </c>
      <c r="AV295" s="37" t="n">
        <v>4029</v>
      </c>
      <c r="AW295" s="37" t="n">
        <v>4029</v>
      </c>
      <c r="AX295" s="37" t="n">
        <v>4342</v>
      </c>
      <c r="AY295" s="37" t="n">
        <v>4625</v>
      </c>
      <c r="AZ295" s="37" t="n">
        <v>4906</v>
      </c>
      <c r="BA295" s="37" t="n">
        <v>5051</v>
      </c>
      <c r="BB295" s="37" t="n">
        <v>5051</v>
      </c>
      <c r="BC295" s="37" t="n">
        <v>5483</v>
      </c>
      <c r="BD295" s="37" t="n">
        <v>5668</v>
      </c>
      <c r="BE295" s="37" t="n">
        <v>5722</v>
      </c>
      <c r="BF295" s="37" t="n">
        <v>5634</v>
      </c>
      <c r="BG295" s="37" t="n">
        <v>5634</v>
      </c>
      <c r="BH295" s="37" t="n">
        <v>5664</v>
      </c>
      <c r="BI295" s="37" t="n">
        <v>5655</v>
      </c>
      <c r="BJ295" s="37" t="n">
        <v>5404</v>
      </c>
      <c r="BK295" s="37" t="n">
        <v>5088</v>
      </c>
      <c r="BL295" s="37" t="n">
        <v>5088</v>
      </c>
      <c r="BM295" s="37" t="n">
        <v>5133</v>
      </c>
      <c r="BN295" s="37" t="n">
        <v>5198</v>
      </c>
      <c r="BO295" s="37" t="n">
        <v>5430</v>
      </c>
      <c r="BP295" s="37" t="n">
        <v>4978</v>
      </c>
      <c r="BQ295" s="37" t="n">
        <v>4978</v>
      </c>
      <c r="BR295" s="37" t="n">
        <v>5224</v>
      </c>
      <c r="BS295" s="37" t="n">
        <v>5559</v>
      </c>
      <c r="BT295" s="37" t="n">
        <v>5745</v>
      </c>
      <c r="BU295" s="37" t="n">
        <v>5425</v>
      </c>
      <c r="BV295" s="37" t="n">
        <v>5425</v>
      </c>
      <c r="BW295" s="37" t="n">
        <v>5496</v>
      </c>
      <c r="BX295" s="37" t="n">
        <v>5627</v>
      </c>
      <c r="BY295" s="39"/>
      <c r="BZ295" s="39"/>
      <c r="CA295" s="44" t="n">
        <f aca="false">CA332*CA334/365</f>
        <v>5869.30509688629</v>
      </c>
      <c r="CB295" s="44" t="n">
        <f aca="false">CB332*CB334/365</f>
        <v>6181.6842073999</v>
      </c>
      <c r="CC295" s="44" t="n">
        <f aca="false">CC332*CC334/365</f>
        <v>6649.32818114017</v>
      </c>
      <c r="CD295" s="44" t="n">
        <f aca="false">CD332*CD334/365</f>
        <v>7152.32808944017</v>
      </c>
      <c r="CE295" s="44" t="n">
        <f aca="false">CE332*CE334/365</f>
        <v>7685.99197908008</v>
      </c>
      <c r="CF295" s="21"/>
    </row>
    <row r="296" customFormat="false" ht="15" hidden="false" customHeight="false" outlineLevel="0" collapsed="false">
      <c r="B296" s="23" t="s">
        <v>473</v>
      </c>
      <c r="C296" s="37" t="n">
        <v>411.132</v>
      </c>
      <c r="D296" s="37" t="n">
        <v>408.9</v>
      </c>
      <c r="E296" s="37" t="n">
        <v>408.4</v>
      </c>
      <c r="F296" s="37" t="n">
        <v>418.7</v>
      </c>
      <c r="G296" s="37" t="n">
        <v>518.7</v>
      </c>
      <c r="H296" s="37" t="n">
        <v>631.8</v>
      </c>
      <c r="I296" s="37" t="n">
        <v>691.1</v>
      </c>
      <c r="J296" s="37" t="n">
        <v>748.7</v>
      </c>
      <c r="K296" s="37" t="n">
        <v>839.8</v>
      </c>
      <c r="L296" s="37" t="n">
        <v>868.7</v>
      </c>
      <c r="M296" s="37" t="n">
        <v>617.1</v>
      </c>
      <c r="N296" s="37" t="n">
        <v>617.1</v>
      </c>
      <c r="O296" s="37" t="n">
        <v>1027.4</v>
      </c>
      <c r="P296" s="37" t="n">
        <v>744.6</v>
      </c>
      <c r="Q296" s="37" t="n">
        <v>755.5</v>
      </c>
      <c r="R296" s="37" t="n">
        <v>716.4</v>
      </c>
      <c r="S296" s="37" t="n">
        <v>716.4</v>
      </c>
      <c r="T296" s="37" t="n">
        <v>870.7</v>
      </c>
      <c r="U296" s="37" t="n">
        <v>872.9</v>
      </c>
      <c r="V296" s="37" t="n">
        <v>989.4</v>
      </c>
      <c r="W296" s="37" t="n">
        <v>663.7</v>
      </c>
      <c r="X296" s="37" t="n">
        <v>663.7</v>
      </c>
      <c r="Y296" s="37" t="n">
        <v>889</v>
      </c>
      <c r="Z296" s="37" t="n">
        <v>872.5</v>
      </c>
      <c r="AA296" s="37" t="n">
        <v>948.4</v>
      </c>
      <c r="AB296" s="37" t="n">
        <v>905.6</v>
      </c>
      <c r="AC296" s="37" t="n">
        <v>905.6</v>
      </c>
      <c r="AD296" s="37" t="n">
        <v>1111.2</v>
      </c>
      <c r="AE296" s="37" t="n">
        <v>1161</v>
      </c>
      <c r="AF296" s="37" t="n">
        <v>1320.4</v>
      </c>
      <c r="AG296" s="37" t="n">
        <v>1250</v>
      </c>
      <c r="AH296" s="37" t="n">
        <v>1250</v>
      </c>
      <c r="AI296" s="37" t="n">
        <v>1757</v>
      </c>
      <c r="AJ296" s="37" t="n">
        <v>1760</v>
      </c>
      <c r="AK296" s="37" t="n">
        <v>1634</v>
      </c>
      <c r="AL296" s="37" t="n">
        <v>1396</v>
      </c>
      <c r="AM296" s="37" t="n">
        <v>1396</v>
      </c>
      <c r="AN296" s="37" t="n">
        <v>1554</v>
      </c>
      <c r="AO296" s="37" t="n">
        <v>1597</v>
      </c>
      <c r="AP296" s="37" t="n">
        <v>1549</v>
      </c>
      <c r="AQ296" s="37" t="n">
        <v>1744</v>
      </c>
      <c r="AR296" s="37" t="n">
        <v>1744</v>
      </c>
      <c r="AS296" s="37" t="n">
        <v>1795</v>
      </c>
      <c r="AT296" s="37" t="n">
        <v>1831</v>
      </c>
      <c r="AU296" s="37" t="n">
        <v>1679</v>
      </c>
      <c r="AV296" s="37" t="n">
        <v>1862</v>
      </c>
      <c r="AW296" s="37" t="n">
        <v>1862</v>
      </c>
      <c r="AX296" s="37" t="n">
        <v>2206</v>
      </c>
      <c r="AY296" s="37" t="n">
        <v>2136</v>
      </c>
      <c r="AZ296" s="37" t="n">
        <v>2234</v>
      </c>
      <c r="BA296" s="37" t="n">
        <v>2564</v>
      </c>
      <c r="BB296" s="37" t="n">
        <v>2564</v>
      </c>
      <c r="BC296" s="37" t="n">
        <v>2652</v>
      </c>
      <c r="BD296" s="37" t="n">
        <v>2799</v>
      </c>
      <c r="BE296" s="37" t="n">
        <v>2987</v>
      </c>
      <c r="BF296" s="37" t="n">
        <v>2933</v>
      </c>
      <c r="BG296" s="37" t="n">
        <v>2933</v>
      </c>
      <c r="BH296" s="37" t="n">
        <v>3141</v>
      </c>
      <c r="BI296" s="37" t="n">
        <v>3188</v>
      </c>
      <c r="BJ296" s="37" t="n">
        <v>3167</v>
      </c>
      <c r="BK296" s="37" t="n">
        <v>3203</v>
      </c>
      <c r="BL296" s="37" t="n">
        <v>3203</v>
      </c>
      <c r="BM296" s="37" t="n">
        <v>3326</v>
      </c>
      <c r="BN296" s="37" t="n">
        <v>3512</v>
      </c>
      <c r="BO296" s="37" t="n">
        <v>3453</v>
      </c>
      <c r="BP296" s="37" t="n">
        <v>3399</v>
      </c>
      <c r="BQ296" s="37" t="n">
        <v>3399</v>
      </c>
      <c r="BR296" s="37" t="n">
        <v>3753</v>
      </c>
      <c r="BS296" s="37" t="n">
        <v>4040</v>
      </c>
      <c r="BT296" s="37" t="n">
        <v>4092</v>
      </c>
      <c r="BU296" s="37" t="n">
        <v>4278</v>
      </c>
      <c r="BV296" s="37" t="n">
        <v>4278</v>
      </c>
      <c r="BW296" s="37" t="n">
        <v>4361</v>
      </c>
      <c r="BX296" s="37" t="n">
        <v>4224</v>
      </c>
      <c r="BY296" s="39"/>
      <c r="BZ296" s="39"/>
      <c r="CA296" s="44" t="n">
        <f aca="false">BX296-$CA$83</f>
        <v>3236</v>
      </c>
      <c r="CB296" s="44" t="n">
        <f aca="false">CA296</f>
        <v>3236</v>
      </c>
      <c r="CC296" s="44" t="n">
        <f aca="false">CB296</f>
        <v>3236</v>
      </c>
      <c r="CD296" s="44" t="n">
        <f aca="false">CC296</f>
        <v>3236</v>
      </c>
      <c r="CE296" s="44" t="n">
        <f aca="false">CD296</f>
        <v>3236</v>
      </c>
      <c r="CF296" s="21" t="s">
        <v>474</v>
      </c>
    </row>
    <row r="297" customFormat="false" ht="15" hidden="false" customHeight="false" outlineLevel="0" collapsed="false">
      <c r="B297" s="17" t="s">
        <v>475</v>
      </c>
      <c r="C297" s="63" t="n">
        <f aca="false">IF(ISNUMBER(C292),SUM(C292:C296),"")</f>
        <v>3659.536</v>
      </c>
      <c r="D297" s="63" t="n">
        <f aca="false">IF(ISNUMBER(D292),SUM(D292:D296),"")</f>
        <v>3679.1</v>
      </c>
      <c r="E297" s="63" t="n">
        <f aca="false">IF(ISNUMBER(E292),SUM(E292:E296),"")</f>
        <v>4345.9</v>
      </c>
      <c r="F297" s="63" t="n">
        <f aca="false">IF(ISNUMBER(F292),SUM(F292:F296),"")</f>
        <v>4530.9</v>
      </c>
      <c r="G297" s="63" t="n">
        <f aca="false">IF(ISNUMBER(G292),SUM(G292:G296),"")</f>
        <v>4136.6</v>
      </c>
      <c r="H297" s="63" t="n">
        <f aca="false">IF(ISNUMBER(H292),SUM(H292:H296),"")</f>
        <v>4821.9</v>
      </c>
      <c r="I297" s="63" t="n">
        <f aca="false">IF(ISNUMBER(I292),SUM(I292:I296),"")</f>
        <v>4794.6</v>
      </c>
      <c r="J297" s="63" t="n">
        <f aca="false">IF(ISNUMBER(J292),SUM(J292:J296),"")</f>
        <v>5136.1</v>
      </c>
      <c r="K297" s="63" t="n">
        <f aca="false">IF(ISNUMBER(K292),SUM(K292:K296),"")</f>
        <v>5641.5</v>
      </c>
      <c r="L297" s="63" t="n">
        <f aca="false">IF(ISNUMBER(L292),SUM(L292:L296),"")</f>
        <v>6210.4</v>
      </c>
      <c r="M297" s="63" t="n">
        <f aca="false">IF(ISNUMBER(M292),SUM(M292:M296),"")</f>
        <v>9884.4</v>
      </c>
      <c r="N297" s="63" t="n">
        <f aca="false">IF(ISNUMBER(N292),SUM(N292:N296),"")</f>
        <v>9884.4</v>
      </c>
      <c r="O297" s="63" t="n">
        <f aca="false">IF(ISNUMBER(O292),SUM(O292:O296),"")</f>
        <v>7306.1</v>
      </c>
      <c r="P297" s="63" t="n">
        <f aca="false">IF(ISNUMBER(P292),SUM(P292:P296),"")</f>
        <v>5944.4</v>
      </c>
      <c r="Q297" s="63" t="n">
        <f aca="false">IF(ISNUMBER(Q292),SUM(Q292:Q296),"")</f>
        <v>5719.9</v>
      </c>
      <c r="R297" s="63" t="n">
        <f aca="false">IF(ISNUMBER(R292),SUM(R292:R296),"")</f>
        <v>6401.5</v>
      </c>
      <c r="S297" s="63" t="n">
        <f aca="false">IF(ISNUMBER(S292),SUM(S292:S296),"")</f>
        <v>6401.5</v>
      </c>
      <c r="T297" s="63" t="n">
        <f aca="false">IF(ISNUMBER(T292),SUM(T292:T296),"")</f>
        <v>6180.5</v>
      </c>
      <c r="U297" s="63" t="n">
        <f aca="false">IF(ISNUMBER(U292),SUM(U292:U296),"")</f>
        <v>6236.6</v>
      </c>
      <c r="V297" s="63" t="n">
        <f aca="false">IF(ISNUMBER(V292),SUM(V292:V296),"")</f>
        <v>6025.9</v>
      </c>
      <c r="W297" s="63" t="n">
        <f aca="false">IF(ISNUMBER(W292),SUM(W292:W296),"")</f>
        <v>5652.4</v>
      </c>
      <c r="X297" s="63" t="n">
        <f aca="false">IF(ISNUMBER(X292),SUM(X292:X296),"")</f>
        <v>5652.4</v>
      </c>
      <c r="Y297" s="63" t="n">
        <f aca="false">IF(ISNUMBER(Y292),SUM(Y292:Y296),"")</f>
        <v>6539</v>
      </c>
      <c r="Z297" s="63" t="n">
        <f aca="false">IF(ISNUMBER(Z292),SUM(Z292:Z296),"")</f>
        <v>6331</v>
      </c>
      <c r="AA297" s="63" t="n">
        <f aca="false">IF(ISNUMBER(AA292),SUM(AA292:AA296),"")</f>
        <v>8204.4</v>
      </c>
      <c r="AB297" s="63" t="n">
        <f aca="false">IF(ISNUMBER(AB292),SUM(AB292:AB296),"")</f>
        <v>6953.6</v>
      </c>
      <c r="AC297" s="63" t="n">
        <f aca="false">IF(ISNUMBER(AC292),SUM(AC292:AC296),"")</f>
        <v>6953.6</v>
      </c>
      <c r="AD297" s="63" t="n">
        <f aca="false">IF(ISNUMBER(AD292),SUM(AD292:AD296),"")</f>
        <v>7248.1</v>
      </c>
      <c r="AE297" s="63" t="n">
        <f aca="false">IF(ISNUMBER(AE292),SUM(AE292:AE296),"")</f>
        <v>7452.5</v>
      </c>
      <c r="AF297" s="63" t="n">
        <f aca="false">IF(ISNUMBER(AF292),SUM(AF292:AF296),"")</f>
        <v>8844</v>
      </c>
      <c r="AG297" s="63" t="n">
        <f aca="false">IF(ISNUMBER(AG292),SUM(AG292:AG296),"")</f>
        <v>9435</v>
      </c>
      <c r="AH297" s="63" t="n">
        <f aca="false">IF(ISNUMBER(AH292),SUM(AH292:AH296),"")</f>
        <v>9435</v>
      </c>
      <c r="AI297" s="63" t="n">
        <f aca="false">IF(ISNUMBER(AI292),SUM(AI292:AI296),"")</f>
        <v>9588</v>
      </c>
      <c r="AJ297" s="63" t="n">
        <f aca="false">IF(ISNUMBER(AJ292),SUM(AJ292:AJ296),"")</f>
        <v>9474</v>
      </c>
      <c r="AK297" s="63" t="n">
        <f aca="false">IF(ISNUMBER(AK292),SUM(AK292:AK296),"")</f>
        <v>9566</v>
      </c>
      <c r="AL297" s="63" t="n">
        <f aca="false">IF(ISNUMBER(AL292),SUM(AL292:AL296),"")</f>
        <v>10640</v>
      </c>
      <c r="AM297" s="63" t="n">
        <f aca="false">IF(ISNUMBER(AM292),SUM(AM292:AM296),"")</f>
        <v>10640</v>
      </c>
      <c r="AN297" s="63" t="n">
        <f aca="false">IF(ISNUMBER(AN292),SUM(AN292:AN296),"")</f>
        <v>9939</v>
      </c>
      <c r="AO297" s="63" t="n">
        <f aca="false">IF(ISNUMBER(AO292),SUM(AO292:AO296),"")</f>
        <v>11223</v>
      </c>
      <c r="AP297" s="63" t="n">
        <f aca="false">IF(ISNUMBER(AP292),SUM(AP292:AP296),"")</f>
        <v>10514</v>
      </c>
      <c r="AQ297" s="63" t="n">
        <f aca="false">IF(ISNUMBER(AQ292),SUM(AQ292:AQ296),"")</f>
        <v>11862</v>
      </c>
      <c r="AR297" s="63" t="n">
        <f aca="false">IF(ISNUMBER(AR292),SUM(AR292:AR296),"")</f>
        <v>11862</v>
      </c>
      <c r="AS297" s="63" t="n">
        <f aca="false">IF(ISNUMBER(AS292),SUM(AS292:AS296),"")</f>
        <v>12738</v>
      </c>
      <c r="AT297" s="63" t="n">
        <f aca="false">IF(ISNUMBER(AT292),SUM(AT292:AT296),"")</f>
        <v>15775</v>
      </c>
      <c r="AU297" s="63" t="n">
        <f aca="false">IF(ISNUMBER(AU292),SUM(AU292:AU296),"")</f>
        <v>18234</v>
      </c>
      <c r="AV297" s="63" t="n">
        <f aca="false">IF(ISNUMBER(AV292),SUM(AV292:AV296),"")</f>
        <v>21957</v>
      </c>
      <c r="AW297" s="63" t="n">
        <f aca="false">IF(ISNUMBER(AW292),SUM(AW292:AW296),"")</f>
        <v>21957</v>
      </c>
      <c r="AX297" s="63" t="n">
        <f aca="false">IF(ISNUMBER(AX292),SUM(AX292:AX296),"")</f>
        <v>17685</v>
      </c>
      <c r="AY297" s="63" t="n">
        <f aca="false">IF(ISNUMBER(AY292),SUM(AY292:AY296),"")</f>
        <v>19260</v>
      </c>
      <c r="AZ297" s="63" t="n">
        <f aca="false">IF(ISNUMBER(AZ292),SUM(AZ292:AZ296),"")</f>
        <v>24724</v>
      </c>
      <c r="BA297" s="63" t="n">
        <f aca="false">IF(ISNUMBER(BA292),SUM(BA292:BA296),"")</f>
        <v>20069</v>
      </c>
      <c r="BB297" s="63" t="n">
        <f aca="false">IF(ISNUMBER(BB292),SUM(BB292:BB296),"")</f>
        <v>20069</v>
      </c>
      <c r="BC297" s="63" t="n">
        <f aca="false">IF(ISNUMBER(BC292),SUM(BC292:BC296),"")</f>
        <v>18776</v>
      </c>
      <c r="BD297" s="63" t="n">
        <f aca="false">IF(ISNUMBER(BD292),SUM(BD292:BD296),"")</f>
        <v>18100</v>
      </c>
      <c r="BE297" s="63" t="n">
        <f aca="false">IF(ISNUMBER(BE292),SUM(BE292:BE296),"")</f>
        <v>19299</v>
      </c>
      <c r="BF297" s="63" t="n">
        <f aca="false">IF(ISNUMBER(BF292),SUM(BF292:BF296),"")</f>
        <v>25365</v>
      </c>
      <c r="BG297" s="63" t="n">
        <f aca="false">IF(ISNUMBER(BG292),SUM(BG292:BG296),"")</f>
        <v>25365</v>
      </c>
      <c r="BH297" s="63" t="n">
        <f aca="false">IF(ISNUMBER(BH292),SUM(BH292:BH296),"")</f>
        <v>20209</v>
      </c>
      <c r="BI297" s="63" t="n">
        <f aca="false">IF(ISNUMBER(BI292),SUM(BI292:BI296),"")</f>
        <v>19995</v>
      </c>
      <c r="BJ297" s="63" t="n">
        <f aca="false">IF(ISNUMBER(BJ292),SUM(BJ292:BJ296),"")</f>
        <v>23092</v>
      </c>
      <c r="BK297" s="63" t="n">
        <f aca="false">IF(ISNUMBER(BK292),SUM(BK292:BK296),"")</f>
        <v>24589</v>
      </c>
      <c r="BL297" s="63" t="n">
        <f aca="false">IF(ISNUMBER(BL292),SUM(BL292:BL296),"")</f>
        <v>24589</v>
      </c>
      <c r="BM297" s="63" t="n">
        <f aca="false">IF(ISNUMBER(BM292),SUM(BM292:BM296),"")</f>
        <v>23640</v>
      </c>
      <c r="BN297" s="63" t="n">
        <f aca="false">IF(ISNUMBER(BN292),SUM(BN292:BN296),"")</f>
        <v>25476</v>
      </c>
      <c r="BO297" s="63" t="n">
        <f aca="false">IF(ISNUMBER(BO292),SUM(BO292:BO296),"")</f>
        <v>23783</v>
      </c>
      <c r="BP297" s="63" t="n">
        <f aca="false">IF(ISNUMBER(BP292),SUM(BP292:BP296),"")</f>
        <v>22138</v>
      </c>
      <c r="BQ297" s="63" t="n">
        <f aca="false">IF(ISNUMBER(BQ292),SUM(BQ292:BQ296),"")</f>
        <v>22138</v>
      </c>
      <c r="BR297" s="63" t="n">
        <f aca="false">IF(ISNUMBER(BR292),SUM(BR292:BR296),"")</f>
        <v>23379</v>
      </c>
      <c r="BS297" s="63" t="n">
        <f aca="false">IF(ISNUMBER(BS292),SUM(BS292:BS296),"")</f>
        <v>24583</v>
      </c>
      <c r="BT297" s="63" t="n">
        <f aca="false">IF(ISNUMBER(BT292),SUM(BT292:BT296),"")</f>
        <v>22294</v>
      </c>
      <c r="BU297" s="63" t="n">
        <f aca="false">IF(ISNUMBER(BU292),SUM(BU292:BU296),"")</f>
        <v>28708</v>
      </c>
      <c r="BV297" s="63" t="n">
        <f aca="false">IF(ISNUMBER(BV292),SUM(BV292:BV296),"")</f>
        <v>28708</v>
      </c>
      <c r="BW297" s="63" t="n">
        <f aca="false">IF(ISNUMBER(BW292),SUM(BW292:BW296),"")</f>
        <v>22317</v>
      </c>
      <c r="BX297" s="63" t="n">
        <f aca="false">IF(ISNUMBER(BX292),SUM(BX292:BX296),"")</f>
        <v>23366</v>
      </c>
      <c r="BY297" s="52"/>
      <c r="BZ297" s="52"/>
      <c r="CA297" s="20" t="n">
        <f aca="false">IF(ISNUMBER(CA292),SUM(CA292:CA296),"")</f>
        <v>28041.5650968863</v>
      </c>
      <c r="CB297" s="20" t="n">
        <f aca="false">IF(ISNUMBER(CB292),SUM(CB292:CB296),"")</f>
        <v>28467.658731864</v>
      </c>
      <c r="CC297" s="20" t="n">
        <f aca="false">IF(ISNUMBER(CC292),SUM(CC292:CC296),"")</f>
        <v>26600.433149536</v>
      </c>
      <c r="CD297" s="20" t="n">
        <f aca="false">IF(ISNUMBER(CD292),SUM(CD292:CD296),"")</f>
        <v>26082.8227032308</v>
      </c>
      <c r="CE297" s="20" t="n">
        <f aca="false">IF(ISNUMBER(CE292),SUM(CE292:CE296),"")</f>
        <v>27492.7228489147</v>
      </c>
      <c r="CF297" s="21"/>
    </row>
    <row r="298" customFormat="false" ht="15" hidden="false" customHeight="false" outlineLevel="0" collapsed="false">
      <c r="B298" s="23" t="s">
        <v>476</v>
      </c>
      <c r="C298" s="37" t="n">
        <v>1256.727</v>
      </c>
      <c r="D298" s="37" t="n">
        <v>1267.4</v>
      </c>
      <c r="E298" s="37" t="n">
        <v>1275.3</v>
      </c>
      <c r="F298" s="37" t="n">
        <v>1333.4</v>
      </c>
      <c r="G298" s="37" t="n">
        <v>1408.6</v>
      </c>
      <c r="H298" s="37" t="n">
        <v>1656.2</v>
      </c>
      <c r="I298" s="37" t="n">
        <v>1726.4</v>
      </c>
      <c r="J298" s="37" t="n">
        <v>1685.8</v>
      </c>
      <c r="K298" s="37" t="n">
        <v>1688.8</v>
      </c>
      <c r="L298" s="37" t="n">
        <v>1708.7</v>
      </c>
      <c r="M298" s="37" t="n">
        <v>1767.4</v>
      </c>
      <c r="N298" s="37" t="n">
        <v>1767.4</v>
      </c>
      <c r="O298" s="37" t="n">
        <v>2488.7</v>
      </c>
      <c r="P298" s="37" t="n">
        <v>2472</v>
      </c>
      <c r="Q298" s="37" t="n">
        <v>2406.1</v>
      </c>
      <c r="R298" s="37" t="n">
        <v>2426.5</v>
      </c>
      <c r="S298" s="37" t="n">
        <v>2426.5</v>
      </c>
      <c r="T298" s="37" t="n">
        <v>2384.2</v>
      </c>
      <c r="U298" s="37" t="n">
        <v>2406.9</v>
      </c>
      <c r="V298" s="37" t="n">
        <v>2392.2</v>
      </c>
      <c r="W298" s="37" t="n">
        <v>2448.8</v>
      </c>
      <c r="X298" s="37" t="n">
        <v>2448.8</v>
      </c>
      <c r="Y298" s="37" t="n">
        <v>2483.1</v>
      </c>
      <c r="Z298" s="37" t="n">
        <v>2451.6</v>
      </c>
      <c r="AA298" s="37" t="n">
        <v>2599.3</v>
      </c>
      <c r="AB298" s="37" t="n">
        <v>2577.8</v>
      </c>
      <c r="AC298" s="37" t="n">
        <v>2577.8</v>
      </c>
      <c r="AD298" s="37" t="n">
        <v>2563.3</v>
      </c>
      <c r="AE298" s="37" t="n">
        <v>2599.7</v>
      </c>
      <c r="AF298" s="37" t="n">
        <v>3931.6</v>
      </c>
      <c r="AG298" s="37" t="n">
        <v>4047</v>
      </c>
      <c r="AH298" s="37" t="n">
        <v>4047</v>
      </c>
      <c r="AI298" s="37" t="n">
        <v>4059</v>
      </c>
      <c r="AJ298" s="37" t="n">
        <v>3952</v>
      </c>
      <c r="AK298" s="37" t="n">
        <v>3978</v>
      </c>
      <c r="AL298" s="37" t="n">
        <v>4165</v>
      </c>
      <c r="AM298" s="37" t="n">
        <v>4165</v>
      </c>
      <c r="AN298" s="37" t="n">
        <v>4192</v>
      </c>
      <c r="AO298" s="37" t="n">
        <v>4394</v>
      </c>
      <c r="AP298" s="37" t="n">
        <v>4420</v>
      </c>
      <c r="AQ298" s="37" t="n">
        <v>4749</v>
      </c>
      <c r="AR298" s="37" t="n">
        <v>4749</v>
      </c>
      <c r="AS298" s="37" t="n">
        <v>4736</v>
      </c>
      <c r="AT298" s="37" t="n">
        <v>4887</v>
      </c>
      <c r="AU298" s="37" t="n">
        <v>5180</v>
      </c>
      <c r="AV298" s="37" t="n">
        <v>5912</v>
      </c>
      <c r="AW298" s="37" t="n">
        <v>5912</v>
      </c>
      <c r="AX298" s="37" t="n">
        <v>6133</v>
      </c>
      <c r="AY298" s="37" t="n">
        <v>6560</v>
      </c>
      <c r="AZ298" s="37" t="n">
        <v>7049</v>
      </c>
      <c r="BA298" s="37" t="n">
        <v>8333</v>
      </c>
      <c r="BB298" s="37" t="n">
        <v>8333</v>
      </c>
      <c r="BC298" s="37" t="n">
        <v>8448</v>
      </c>
      <c r="BD298" s="37" t="n">
        <v>8529</v>
      </c>
      <c r="BE298" s="37" t="n">
        <v>8628</v>
      </c>
      <c r="BF298" s="37" t="n">
        <v>9280</v>
      </c>
      <c r="BG298" s="37" t="n">
        <v>9280</v>
      </c>
      <c r="BH298" s="37" t="n">
        <v>9354</v>
      </c>
      <c r="BI298" s="37" t="n">
        <v>9292</v>
      </c>
      <c r="BJ298" s="37" t="n">
        <v>9167</v>
      </c>
      <c r="BK298" s="37" t="n">
        <v>9448</v>
      </c>
      <c r="BL298" s="37" t="n">
        <v>9448</v>
      </c>
      <c r="BM298" s="37" t="n">
        <v>9324</v>
      </c>
      <c r="BN298" s="37" t="n">
        <v>9282</v>
      </c>
      <c r="BO298" s="37" t="n">
        <v>9412</v>
      </c>
      <c r="BP298" s="37" t="n">
        <v>9306</v>
      </c>
      <c r="BQ298" s="37" t="n">
        <v>9306</v>
      </c>
      <c r="BR298" s="37" t="n">
        <v>9331</v>
      </c>
      <c r="BS298" s="37" t="n">
        <v>9635</v>
      </c>
      <c r="BT298" s="37" t="n">
        <v>10177</v>
      </c>
      <c r="BU298" s="37" t="n">
        <v>10565</v>
      </c>
      <c r="BV298" s="37" t="n">
        <v>10565</v>
      </c>
      <c r="BW298" s="37" t="n">
        <v>10658</v>
      </c>
      <c r="BX298" s="37" t="n">
        <v>10755</v>
      </c>
      <c r="BY298" s="39"/>
      <c r="BZ298" s="39"/>
      <c r="CA298" s="44" t="n">
        <f aca="false">BX298-(CA248-BW248-BX248)-(BY126+BZ126)</f>
        <v>11243.5305013261</v>
      </c>
      <c r="CB298" s="44" t="n">
        <f aca="false">CA298-CB248-CB126+CB88*CB96</f>
        <v>12203.4882394169</v>
      </c>
      <c r="CC298" s="44" t="n">
        <f aca="false">CB298-CC248-CC126+CC88*CC96</f>
        <v>13221.0337138151</v>
      </c>
      <c r="CD298" s="44" t="n">
        <f aca="false">CC298-CD248-CD126+CD88*CD96</f>
        <v>14300.5208098494</v>
      </c>
      <c r="CE298" s="44" t="n">
        <f aca="false">CD298-CE248-CE126+CE88*CE96</f>
        <v>15445.7256250869</v>
      </c>
      <c r="CF298" s="21" t="s">
        <v>477</v>
      </c>
    </row>
    <row r="299" customFormat="false" ht="15" hidden="false" customHeight="false" outlineLevel="0" collapsed="false">
      <c r="B299" s="23" t="s">
        <v>478</v>
      </c>
      <c r="C299" s="37" t="n">
        <v>7511.565</v>
      </c>
      <c r="D299" s="37" t="n">
        <v>7157.8</v>
      </c>
      <c r="E299" s="37" t="n">
        <v>6423.2</v>
      </c>
      <c r="F299" s="37" t="n">
        <v>6337</v>
      </c>
      <c r="G299" s="37" t="n">
        <v>6041.1</v>
      </c>
      <c r="H299" s="37" t="n">
        <v>7815.9</v>
      </c>
      <c r="I299" s="37" t="n">
        <v>7804.5</v>
      </c>
      <c r="J299" s="37" t="n">
        <v>7560.9</v>
      </c>
      <c r="K299" s="37" t="n">
        <v>7330.2</v>
      </c>
      <c r="L299" s="37" t="n">
        <v>7248.2</v>
      </c>
      <c r="M299" s="37" t="n">
        <v>7071.3</v>
      </c>
      <c r="N299" s="37" t="n">
        <v>7071.3</v>
      </c>
      <c r="O299" s="37" t="n">
        <v>15976.4</v>
      </c>
      <c r="P299" s="37" t="n">
        <v>15621.6</v>
      </c>
      <c r="Q299" s="37" t="n">
        <v>14698.3</v>
      </c>
      <c r="R299" s="37" t="n">
        <v>14110.1</v>
      </c>
      <c r="S299" s="37" t="n">
        <v>14110.1</v>
      </c>
      <c r="T299" s="37" t="n">
        <v>13622.5</v>
      </c>
      <c r="U299" s="37" t="n">
        <v>13383.7</v>
      </c>
      <c r="V299" s="37" t="n">
        <v>13015.1</v>
      </c>
      <c r="W299" s="37" t="n">
        <v>12758.3</v>
      </c>
      <c r="X299" s="37" t="n">
        <v>12758.3</v>
      </c>
      <c r="Y299" s="37" t="n">
        <v>13237.8</v>
      </c>
      <c r="Z299" s="37" t="n">
        <v>12842.2</v>
      </c>
      <c r="AA299" s="37" t="n">
        <v>14522.4</v>
      </c>
      <c r="AB299" s="37" t="n">
        <v>13969</v>
      </c>
      <c r="AC299" s="37" t="n">
        <v>13969</v>
      </c>
      <c r="AD299" s="37" t="n">
        <v>13821.7</v>
      </c>
      <c r="AE299" s="37" t="n">
        <v>13575.6</v>
      </c>
      <c r="AF299" s="37" t="n">
        <v>17029.6</v>
      </c>
      <c r="AG299" s="37" t="n">
        <v>16684</v>
      </c>
      <c r="AH299" s="37" t="n">
        <v>16684</v>
      </c>
      <c r="AI299" s="37" t="n">
        <v>16393</v>
      </c>
      <c r="AJ299" s="37" t="n">
        <v>15680</v>
      </c>
      <c r="AK299" s="37" t="n">
        <v>15219</v>
      </c>
      <c r="AL299" s="37" t="n">
        <v>14978</v>
      </c>
      <c r="AM299" s="37" t="n">
        <v>14978</v>
      </c>
      <c r="AN299" s="37" t="n">
        <v>14489</v>
      </c>
      <c r="AO299" s="37" t="n">
        <v>14863</v>
      </c>
      <c r="AP299" s="37" t="n">
        <v>14311</v>
      </c>
      <c r="AQ299" s="37" t="n">
        <v>14014</v>
      </c>
      <c r="AR299" s="37" t="n">
        <v>14014</v>
      </c>
      <c r="AS299" s="37" t="n">
        <v>13543</v>
      </c>
      <c r="AT299" s="37" t="n">
        <v>13170</v>
      </c>
      <c r="AU299" s="37" t="n">
        <v>12870</v>
      </c>
      <c r="AV299" s="37" t="n">
        <v>12685</v>
      </c>
      <c r="AW299" s="37" t="n">
        <v>12685</v>
      </c>
      <c r="AX299" s="37" t="n">
        <v>12831</v>
      </c>
      <c r="AY299" s="37" t="n">
        <v>12390</v>
      </c>
      <c r="AZ299" s="37" t="n">
        <v>11927</v>
      </c>
      <c r="BA299" s="37" t="n">
        <v>20113</v>
      </c>
      <c r="BB299" s="37" t="n">
        <v>20113</v>
      </c>
      <c r="BC299" s="37" t="n">
        <v>19378</v>
      </c>
      <c r="BD299" s="37" t="n">
        <v>18578</v>
      </c>
      <c r="BE299" s="37" t="n">
        <v>17813</v>
      </c>
      <c r="BF299" s="37" t="n">
        <v>17442</v>
      </c>
      <c r="BG299" s="37" t="n">
        <v>17442</v>
      </c>
      <c r="BH299" s="37" t="n">
        <v>17972</v>
      </c>
      <c r="BI299" s="37" t="n">
        <v>17437</v>
      </c>
      <c r="BJ299" s="37" t="n">
        <v>17091</v>
      </c>
      <c r="BK299" s="37" t="n">
        <v>16670</v>
      </c>
      <c r="BL299" s="37" t="n">
        <v>16670</v>
      </c>
      <c r="BM299" s="37" t="n">
        <v>16048</v>
      </c>
      <c r="BN299" s="37" t="n">
        <v>15519</v>
      </c>
      <c r="BO299" s="37" t="n">
        <v>16262</v>
      </c>
      <c r="BP299" s="37" t="n">
        <v>15533</v>
      </c>
      <c r="BQ299" s="37" t="n">
        <v>15533</v>
      </c>
      <c r="BR299" s="37" t="n">
        <v>15323</v>
      </c>
      <c r="BS299" s="37" t="n">
        <v>15148</v>
      </c>
      <c r="BT299" s="37" t="n">
        <v>16242</v>
      </c>
      <c r="BU299" s="37" t="n">
        <v>15838</v>
      </c>
      <c r="BV299" s="37" t="n">
        <v>15838</v>
      </c>
      <c r="BW299" s="37" t="n">
        <v>19146</v>
      </c>
      <c r="BX299" s="37" t="n">
        <v>18606</v>
      </c>
      <c r="BY299" s="39"/>
      <c r="BZ299" s="39"/>
      <c r="CA299" s="44" t="n">
        <f aca="false">BX299-(BY141+BZ141)</f>
        <v>17636</v>
      </c>
      <c r="CB299" s="44" t="n">
        <f aca="false">CA299-CB141+CB88*CB97</f>
        <v>17247.9523809524</v>
      </c>
      <c r="CC299" s="44" t="n">
        <f aca="false">CB299-CC141+CC88*CC97</f>
        <v>16780.619047619</v>
      </c>
      <c r="CD299" s="44" t="n">
        <f aca="false">CC299-CD141+CD88*CD97</f>
        <v>16319.8766666667</v>
      </c>
      <c r="CE299" s="44" t="n">
        <f aca="false">CD299-CE141+CE88*CE97</f>
        <v>16043.3052380952</v>
      </c>
      <c r="CF299" s="21" t="s">
        <v>479</v>
      </c>
    </row>
    <row r="300" customFormat="false" ht="15" hidden="false" customHeight="false" outlineLevel="0" collapsed="false">
      <c r="B300" s="23" t="s">
        <v>480</v>
      </c>
      <c r="C300" s="37" t="n">
        <v>8524.989</v>
      </c>
      <c r="D300" s="37" t="n">
        <v>8713.2</v>
      </c>
      <c r="E300" s="37" t="n">
        <v>8677.7</v>
      </c>
      <c r="F300" s="37" t="n">
        <v>8982.9</v>
      </c>
      <c r="G300" s="37" t="n">
        <v>9270.6</v>
      </c>
      <c r="H300" s="37" t="n">
        <v>11988</v>
      </c>
      <c r="I300" s="37" t="n">
        <v>12474.5</v>
      </c>
      <c r="J300" s="37" t="n">
        <v>12444.1</v>
      </c>
      <c r="K300" s="37" t="n">
        <v>12390.2</v>
      </c>
      <c r="L300" s="37" t="n">
        <v>12495.3</v>
      </c>
      <c r="M300" s="37" t="n">
        <v>12503.3</v>
      </c>
      <c r="N300" s="37" t="n">
        <v>12503.3</v>
      </c>
      <c r="O300" s="37" t="n">
        <v>19529.5</v>
      </c>
      <c r="P300" s="37" t="n">
        <v>19439.3</v>
      </c>
      <c r="Q300" s="37" t="n">
        <v>19046.8</v>
      </c>
      <c r="R300" s="37" t="n">
        <v>18842.6</v>
      </c>
      <c r="S300" s="37" t="n">
        <v>18842.6</v>
      </c>
      <c r="T300" s="37" t="n">
        <v>18732.9</v>
      </c>
      <c r="U300" s="37" t="n">
        <v>18806.9</v>
      </c>
      <c r="V300" s="37" t="n">
        <v>18746.3</v>
      </c>
      <c r="W300" s="37" t="n">
        <v>18827.6</v>
      </c>
      <c r="X300" s="37" t="n">
        <v>18827.6</v>
      </c>
      <c r="Y300" s="37" t="n">
        <v>19632.5</v>
      </c>
      <c r="Z300" s="37" t="n">
        <v>19546.8</v>
      </c>
      <c r="AA300" s="37" t="n">
        <v>21580</v>
      </c>
      <c r="AB300" s="37" t="n">
        <v>21327.8</v>
      </c>
      <c r="AC300" s="37" t="n">
        <v>21327.8</v>
      </c>
      <c r="AD300" s="37" t="n">
        <v>21560.3</v>
      </c>
      <c r="AE300" s="37" t="n">
        <v>21845.5</v>
      </c>
      <c r="AF300" s="37" t="n">
        <v>25128.9</v>
      </c>
      <c r="AG300" s="37" t="n">
        <v>25290</v>
      </c>
      <c r="AH300" s="37" t="n">
        <v>25290</v>
      </c>
      <c r="AI300" s="37" t="n">
        <v>25362</v>
      </c>
      <c r="AJ300" s="37" t="n">
        <v>25120</v>
      </c>
      <c r="AK300" s="37" t="n">
        <v>25142</v>
      </c>
      <c r="AL300" s="37" t="n">
        <v>25347</v>
      </c>
      <c r="AM300" s="37" t="n">
        <v>25347</v>
      </c>
      <c r="AN300" s="37" t="n">
        <v>25236</v>
      </c>
      <c r="AO300" s="37" t="n">
        <v>25757</v>
      </c>
      <c r="AP300" s="37" t="n">
        <v>25624</v>
      </c>
      <c r="AQ300" s="37" t="n">
        <v>25714</v>
      </c>
      <c r="AR300" s="37" t="n">
        <v>25714</v>
      </c>
      <c r="AS300" s="37" t="n">
        <v>25614</v>
      </c>
      <c r="AT300" s="37" t="n">
        <v>25700</v>
      </c>
      <c r="AU300" s="37" t="n">
        <v>25782</v>
      </c>
      <c r="AV300" s="37" t="n">
        <v>26041</v>
      </c>
      <c r="AW300" s="37" t="n">
        <v>26041</v>
      </c>
      <c r="AX300" s="37" t="n">
        <v>26823</v>
      </c>
      <c r="AY300" s="37" t="n">
        <v>26904</v>
      </c>
      <c r="AZ300" s="37" t="n">
        <v>26909</v>
      </c>
      <c r="BA300" s="37" t="n">
        <v>41924</v>
      </c>
      <c r="BB300" s="37" t="n">
        <v>41924</v>
      </c>
      <c r="BC300" s="37" t="n">
        <v>41721</v>
      </c>
      <c r="BD300" s="37" t="n">
        <v>41066</v>
      </c>
      <c r="BE300" s="37" t="n">
        <v>40488</v>
      </c>
      <c r="BF300" s="37" t="n">
        <v>41196</v>
      </c>
      <c r="BG300" s="37" t="n">
        <v>41196</v>
      </c>
      <c r="BH300" s="37" t="n">
        <v>43140</v>
      </c>
      <c r="BI300" s="37" t="n">
        <v>43273</v>
      </c>
      <c r="BJ300" s="37" t="n">
        <v>43583</v>
      </c>
      <c r="BK300" s="37" t="n">
        <v>44020</v>
      </c>
      <c r="BL300" s="37" t="n">
        <v>44020</v>
      </c>
      <c r="BM300" s="37" t="n">
        <v>43843</v>
      </c>
      <c r="BN300" s="37" t="n">
        <v>43843</v>
      </c>
      <c r="BO300" s="37" t="n">
        <v>46726</v>
      </c>
      <c r="BP300" s="37" t="n">
        <v>45853</v>
      </c>
      <c r="BQ300" s="37" t="n">
        <v>45853</v>
      </c>
      <c r="BR300" s="37" t="n">
        <v>46493</v>
      </c>
      <c r="BS300" s="37" t="n">
        <v>47249</v>
      </c>
      <c r="BT300" s="37" t="n">
        <v>49287</v>
      </c>
      <c r="BU300" s="37" t="n">
        <v>49362</v>
      </c>
      <c r="BV300" s="37" t="n">
        <v>49362</v>
      </c>
      <c r="BW300" s="37" t="n">
        <v>55187</v>
      </c>
      <c r="BX300" s="37" t="n">
        <v>54832</v>
      </c>
      <c r="BY300" s="39"/>
      <c r="BZ300" s="39"/>
      <c r="CA300" s="44" t="n">
        <f aca="false">BX300</f>
        <v>54832</v>
      </c>
      <c r="CB300" s="44" t="n">
        <f aca="false">CA300+CB88*(1-CB96-CB97)</f>
        <v>57032</v>
      </c>
      <c r="CC300" s="44" t="n">
        <f aca="false">CB300+CC88*(1-CC96-CC97)</f>
        <v>59232</v>
      </c>
      <c r="CD300" s="44" t="n">
        <f aca="false">CC300+CD88*(1-CD96-CD97)</f>
        <v>61432</v>
      </c>
      <c r="CE300" s="44" t="n">
        <f aca="false">CD300+CE88*(1-CE96-CE97)</f>
        <v>63632</v>
      </c>
      <c r="CF300" s="21"/>
    </row>
    <row r="301" customFormat="false" ht="15" hidden="false" customHeight="false" outlineLevel="0" collapsed="false">
      <c r="B301" s="23" t="s">
        <v>481</v>
      </c>
      <c r="C301" s="37" t="n">
        <v>309.421</v>
      </c>
      <c r="D301" s="37" t="n">
        <v>383.8</v>
      </c>
      <c r="E301" s="37" t="n">
        <v>367.9</v>
      </c>
      <c r="F301" s="37" t="n">
        <v>416.6</v>
      </c>
      <c r="G301" s="37" t="n">
        <v>529.9</v>
      </c>
      <c r="H301" s="37" t="n">
        <v>551.7</v>
      </c>
      <c r="I301" s="37" t="n">
        <v>559.8</v>
      </c>
      <c r="J301" s="37" t="n">
        <v>583.8</v>
      </c>
      <c r="K301" s="37" t="n">
        <v>578.8</v>
      </c>
      <c r="L301" s="37" t="n">
        <v>609.9</v>
      </c>
      <c r="M301" s="37" t="n">
        <v>649.8</v>
      </c>
      <c r="N301" s="37" t="n">
        <v>649.8</v>
      </c>
      <c r="O301" s="37" t="n">
        <v>833</v>
      </c>
      <c r="P301" s="37" t="n">
        <v>836.1</v>
      </c>
      <c r="Q301" s="37" t="n">
        <v>819.7</v>
      </c>
      <c r="R301" s="37" t="n">
        <v>858.7</v>
      </c>
      <c r="S301" s="37" t="n">
        <v>858.7</v>
      </c>
      <c r="T301" s="37" t="n">
        <v>937.2</v>
      </c>
      <c r="U301" s="37" t="n">
        <v>940.3</v>
      </c>
      <c r="V301" s="37" t="n">
        <v>967.6</v>
      </c>
      <c r="W301" s="37" t="n">
        <v>1312</v>
      </c>
      <c r="X301" s="37" t="n">
        <v>1312</v>
      </c>
      <c r="Y301" s="37" t="n">
        <v>1060.3</v>
      </c>
      <c r="Z301" s="37" t="n">
        <v>1081.8</v>
      </c>
      <c r="AA301" s="37" t="n">
        <v>1104.6</v>
      </c>
      <c r="AB301" s="37" t="n">
        <v>1008.5</v>
      </c>
      <c r="AC301" s="37" t="n">
        <v>1008.5</v>
      </c>
      <c r="AD301" s="37" t="n">
        <v>1020.2</v>
      </c>
      <c r="AE301" s="37" t="n">
        <v>1040.4</v>
      </c>
      <c r="AF301" s="37" t="n">
        <v>1051.2</v>
      </c>
      <c r="AG301" s="37" t="n">
        <v>1133</v>
      </c>
      <c r="AH301" s="37" t="n">
        <v>1133</v>
      </c>
      <c r="AI301" s="37" t="n">
        <v>1178</v>
      </c>
      <c r="AJ301" s="37" t="n">
        <v>1177</v>
      </c>
      <c r="AK301" s="37" t="n">
        <v>1173</v>
      </c>
      <c r="AL301" s="37" t="n">
        <v>1051</v>
      </c>
      <c r="AM301" s="37" t="n">
        <v>1051</v>
      </c>
      <c r="AN301" s="37" t="n">
        <v>1740</v>
      </c>
      <c r="AO301" s="37" t="n">
        <v>1733</v>
      </c>
      <c r="AP301" s="37" t="n">
        <v>1860</v>
      </c>
      <c r="AQ301" s="37" t="n">
        <v>1850</v>
      </c>
      <c r="AR301" s="37" t="n">
        <v>1850</v>
      </c>
      <c r="AS301" s="37" t="n">
        <v>2057</v>
      </c>
      <c r="AT301" s="37" t="n">
        <v>2061</v>
      </c>
      <c r="AU301" s="37" t="n">
        <v>1995</v>
      </c>
      <c r="AV301" s="37" t="n">
        <v>2457</v>
      </c>
      <c r="AW301" s="37" t="n">
        <v>2457</v>
      </c>
      <c r="AX301" s="37" t="n">
        <v>2459</v>
      </c>
      <c r="AY301" s="37" t="n">
        <v>2584</v>
      </c>
      <c r="AZ301" s="37" t="n">
        <v>2991</v>
      </c>
      <c r="BA301" s="37" t="n">
        <v>4352</v>
      </c>
      <c r="BB301" s="37" t="n">
        <v>4352</v>
      </c>
      <c r="BC301" s="37" t="n">
        <v>4424</v>
      </c>
      <c r="BD301" s="37" t="n">
        <v>4306</v>
      </c>
      <c r="BE301" s="37" t="n">
        <v>4308</v>
      </c>
      <c r="BF301" s="37" t="n">
        <v>4007</v>
      </c>
      <c r="BG301" s="37" t="n">
        <v>4007</v>
      </c>
      <c r="BH301" s="37" t="n">
        <v>3983</v>
      </c>
      <c r="BI301" s="37" t="n">
        <v>4108</v>
      </c>
      <c r="BJ301" s="37" t="n">
        <v>4124</v>
      </c>
      <c r="BK301" s="37" t="n">
        <v>3999</v>
      </c>
      <c r="BL301" s="37" t="n">
        <v>3999</v>
      </c>
      <c r="BM301" s="37" t="n">
        <v>4241</v>
      </c>
      <c r="BN301" s="37" t="n">
        <v>4377</v>
      </c>
      <c r="BO301" s="37" t="n">
        <v>4180</v>
      </c>
      <c r="BP301" s="37" t="n">
        <v>4492</v>
      </c>
      <c r="BQ301" s="37" t="n">
        <v>4492</v>
      </c>
      <c r="BR301" s="37" t="n">
        <v>4516</v>
      </c>
      <c r="BS301" s="37" t="n">
        <v>4615</v>
      </c>
      <c r="BT301" s="37" t="n">
        <v>5019</v>
      </c>
      <c r="BU301" s="37" t="n">
        <v>5871</v>
      </c>
      <c r="BV301" s="37" t="n">
        <v>5871</v>
      </c>
      <c r="BW301" s="37" t="n">
        <v>5973</v>
      </c>
      <c r="BX301" s="37" t="n">
        <v>5616</v>
      </c>
      <c r="BY301" s="39"/>
      <c r="BZ301" s="39"/>
      <c r="CA301" s="44" t="n">
        <f aca="false">BX301+$CA$82</f>
        <v>5666</v>
      </c>
      <c r="CB301" s="44" t="n">
        <f aca="false">CA301</f>
        <v>5666</v>
      </c>
      <c r="CC301" s="44" t="n">
        <f aca="false">CB301</f>
        <v>5666</v>
      </c>
      <c r="CD301" s="44" t="n">
        <f aca="false">CC301</f>
        <v>5666</v>
      </c>
      <c r="CE301" s="44" t="n">
        <f aca="false">CD301</f>
        <v>5666</v>
      </c>
      <c r="CF301" s="21" t="s">
        <v>482</v>
      </c>
    </row>
    <row r="302" customFormat="false" ht="15" hidden="false" customHeight="false" outlineLevel="0" collapsed="false">
      <c r="B302" s="58" t="s">
        <v>483</v>
      </c>
      <c r="C302" s="59" t="n">
        <f aca="false">IF(ISNUMBER(C292),C297+SUM(C298:C301),"")</f>
        <v>21262.238</v>
      </c>
      <c r="D302" s="59" t="n">
        <f aca="false">IF(ISNUMBER(D292),D297+SUM(D298:D301),"")</f>
        <v>21201.3</v>
      </c>
      <c r="E302" s="59" t="n">
        <f aca="false">IF(ISNUMBER(E292),E297+SUM(E298:E301),"")</f>
        <v>21090</v>
      </c>
      <c r="F302" s="59" t="n">
        <f aca="false">IF(ISNUMBER(F292),F297+SUM(F298:F301),"")</f>
        <v>21600.8</v>
      </c>
      <c r="G302" s="59" t="n">
        <f aca="false">IF(ISNUMBER(G292),G297+SUM(G298:G301),"")</f>
        <v>21386.8</v>
      </c>
      <c r="H302" s="59" t="n">
        <f aca="false">IF(ISNUMBER(H292),H297+SUM(H298:H301),"")</f>
        <v>26833.7</v>
      </c>
      <c r="I302" s="59" t="n">
        <f aca="false">IF(ISNUMBER(I292),I297+SUM(I298:I301),"")</f>
        <v>27359.8</v>
      </c>
      <c r="J302" s="59" t="n">
        <f aca="false">IF(ISNUMBER(J292),J297+SUM(J298:J301),"")</f>
        <v>27410.7</v>
      </c>
      <c r="K302" s="59" t="n">
        <f aca="false">IF(ISNUMBER(K292),K297+SUM(K298:K301),"")</f>
        <v>27629.5</v>
      </c>
      <c r="L302" s="59" t="n">
        <f aca="false">IF(ISNUMBER(L292),L297+SUM(L298:L301),"")</f>
        <v>28272.5</v>
      </c>
      <c r="M302" s="59" t="n">
        <f aca="false">IF(ISNUMBER(M292),M297+SUM(M298:M301),"")</f>
        <v>31876.2</v>
      </c>
      <c r="N302" s="59" t="n">
        <f aca="false">IF(ISNUMBER(N292),N297+SUM(N298:N301),"")</f>
        <v>31876.2</v>
      </c>
      <c r="O302" s="59" t="n">
        <f aca="false">IF(ISNUMBER(O292),O297+SUM(O298:O301),"")</f>
        <v>46133.7</v>
      </c>
      <c r="P302" s="59" t="n">
        <f aca="false">IF(ISNUMBER(P292),P297+SUM(P298:P301),"")</f>
        <v>44313.4</v>
      </c>
      <c r="Q302" s="59" t="n">
        <f aca="false">IF(ISNUMBER(Q292),Q297+SUM(Q298:Q301),"")</f>
        <v>42690.8</v>
      </c>
      <c r="R302" s="59" t="n">
        <f aca="false">IF(ISNUMBER(R292),R297+SUM(R298:R301),"")</f>
        <v>42639.4</v>
      </c>
      <c r="S302" s="59" t="n">
        <f aca="false">IF(ISNUMBER(S292),S297+SUM(S298:S301),"")</f>
        <v>42639.4</v>
      </c>
      <c r="T302" s="59" t="n">
        <f aca="false">IF(ISNUMBER(T292),T297+SUM(T298:T301),"")</f>
        <v>41857.3</v>
      </c>
      <c r="U302" s="59" t="n">
        <f aca="false">IF(ISNUMBER(U292),U297+SUM(U298:U301),"")</f>
        <v>41774.4</v>
      </c>
      <c r="V302" s="59" t="n">
        <f aca="false">IF(ISNUMBER(V292),V297+SUM(V298:V301),"")</f>
        <v>41147.1</v>
      </c>
      <c r="W302" s="59" t="n">
        <f aca="false">IF(ISNUMBER(W292),W297+SUM(W298:W301),"")</f>
        <v>40999.1</v>
      </c>
      <c r="X302" s="59" t="n">
        <f aca="false">IF(ISNUMBER(X292),X297+SUM(X298:X301),"")</f>
        <v>40999.1</v>
      </c>
      <c r="Y302" s="59" t="n">
        <f aca="false">IF(ISNUMBER(Y292),Y297+SUM(Y298:Y301),"")</f>
        <v>42952.7</v>
      </c>
      <c r="Z302" s="59" t="n">
        <f aca="false">IF(ISNUMBER(Z292),Z297+SUM(Z298:Z301),"")</f>
        <v>42253.4</v>
      </c>
      <c r="AA302" s="59" t="n">
        <f aca="false">IF(ISNUMBER(AA292),AA297+SUM(AA298:AA301),"")</f>
        <v>48010.7</v>
      </c>
      <c r="AB302" s="59" t="n">
        <f aca="false">IF(ISNUMBER(AB292),AB297+SUM(AB298:AB301),"")</f>
        <v>45836.7</v>
      </c>
      <c r="AC302" s="59" t="n">
        <f aca="false">IF(ISNUMBER(AC292),AC297+SUM(AC298:AC301),"")</f>
        <v>45836.7</v>
      </c>
      <c r="AD302" s="59" t="n">
        <f aca="false">IF(ISNUMBER(AD292),AD297+SUM(AD298:AD301),"")</f>
        <v>46213.6</v>
      </c>
      <c r="AE302" s="59" t="n">
        <f aca="false">IF(ISNUMBER(AE292),AE297+SUM(AE298:AE301),"")</f>
        <v>46513.7</v>
      </c>
      <c r="AF302" s="59" t="n">
        <f aca="false">IF(ISNUMBER(AF292),AF297+SUM(AF298:AF301),"")</f>
        <v>55985.3</v>
      </c>
      <c r="AG302" s="59" t="n">
        <f aca="false">IF(ISNUMBER(AG292),AG297+SUM(AG298:AG301),"")</f>
        <v>56589</v>
      </c>
      <c r="AH302" s="59" t="n">
        <f aca="false">IF(ISNUMBER(AH292),AH297+SUM(AH298:AH301),"")</f>
        <v>56589</v>
      </c>
      <c r="AI302" s="59" t="n">
        <f aca="false">IF(ISNUMBER(AI292),AI297+SUM(AI298:AI301),"")</f>
        <v>56580</v>
      </c>
      <c r="AJ302" s="59" t="n">
        <f aca="false">IF(ISNUMBER(AJ292),AJ297+SUM(AJ298:AJ301),"")</f>
        <v>55403</v>
      </c>
      <c r="AK302" s="59" t="n">
        <f aca="false">IF(ISNUMBER(AK292),AK297+SUM(AK298:AK301),"")</f>
        <v>55078</v>
      </c>
      <c r="AL302" s="59" t="n">
        <f aca="false">IF(ISNUMBER(AL292),AL297+SUM(AL298:AL301),"")</f>
        <v>56181</v>
      </c>
      <c r="AM302" s="59" t="n">
        <f aca="false">IF(ISNUMBER(AM292),AM297+SUM(AM298:AM301),"")</f>
        <v>56181</v>
      </c>
      <c r="AN302" s="59" t="n">
        <f aca="false">IF(ISNUMBER(AN292),AN297+SUM(AN298:AN301),"")</f>
        <v>55596</v>
      </c>
      <c r="AO302" s="59" t="n">
        <f aca="false">IF(ISNUMBER(AO292),AO297+SUM(AO298:AO301),"")</f>
        <v>57970</v>
      </c>
      <c r="AP302" s="59" t="n">
        <f aca="false">IF(ISNUMBER(AP292),AP297+SUM(AP298:AP301),"")</f>
        <v>56729</v>
      </c>
      <c r="AQ302" s="59" t="n">
        <f aca="false">IF(ISNUMBER(AQ292),AQ297+SUM(AQ298:AQ301),"")</f>
        <v>58189</v>
      </c>
      <c r="AR302" s="59" t="n">
        <f aca="false">IF(ISNUMBER(AR292),AR297+SUM(AR298:AR301),"")</f>
        <v>58189</v>
      </c>
      <c r="AS302" s="59" t="n">
        <f aca="false">IF(ISNUMBER(AS292),AS297+SUM(AS298:AS301),"")</f>
        <v>58688</v>
      </c>
      <c r="AT302" s="59" t="n">
        <f aca="false">IF(ISNUMBER(AT292),AT297+SUM(AT298:AT301),"")</f>
        <v>61593</v>
      </c>
      <c r="AU302" s="59" t="n">
        <f aca="false">IF(ISNUMBER(AU292),AU297+SUM(AU298:AU301),"")</f>
        <v>64061</v>
      </c>
      <c r="AV302" s="59" t="n">
        <f aca="false">IF(ISNUMBER(AV292),AV297+SUM(AV298:AV301),"")</f>
        <v>69052</v>
      </c>
      <c r="AW302" s="59" t="n">
        <f aca="false">IF(ISNUMBER(AW292),AW297+SUM(AW298:AW301),"")</f>
        <v>69052</v>
      </c>
      <c r="AX302" s="59" t="n">
        <f aca="false">IF(ISNUMBER(AX292),AX297+SUM(AX298:AX301),"")</f>
        <v>65931</v>
      </c>
      <c r="AY302" s="59" t="n">
        <f aca="false">IF(ISNUMBER(AY292),AY297+SUM(AY298:AY301),"")</f>
        <v>67698</v>
      </c>
      <c r="AZ302" s="59" t="n">
        <f aca="false">IF(ISNUMBER(AZ292),AZ297+SUM(AZ298:AZ301),"")</f>
        <v>73600</v>
      </c>
      <c r="BA302" s="59" t="n">
        <f aca="false">IF(ISNUMBER(BA292),BA297+SUM(BA298:BA301),"")</f>
        <v>94791</v>
      </c>
      <c r="BB302" s="59" t="n">
        <f aca="false">IF(ISNUMBER(BB292),BB297+SUM(BB298:BB301),"")</f>
        <v>94791</v>
      </c>
      <c r="BC302" s="59" t="n">
        <f aca="false">IF(ISNUMBER(BC292),BC297+SUM(BC298:BC301),"")</f>
        <v>92747</v>
      </c>
      <c r="BD302" s="59" t="n">
        <f aca="false">IF(ISNUMBER(BD292),BD297+SUM(BD298:BD301),"")</f>
        <v>90579</v>
      </c>
      <c r="BE302" s="59" t="n">
        <f aca="false">IF(ISNUMBER(BE292),BE297+SUM(BE298:BE301),"")</f>
        <v>90536</v>
      </c>
      <c r="BF302" s="59" t="n">
        <f aca="false">IF(ISNUMBER(BF292),BF297+SUM(BF298:BF301),"")</f>
        <v>97290</v>
      </c>
      <c r="BG302" s="59" t="n">
        <f aca="false">IF(ISNUMBER(BG292),BG297+SUM(BG298:BG301),"")</f>
        <v>97290</v>
      </c>
      <c r="BH302" s="59" t="n">
        <f aca="false">IF(ISNUMBER(BH292),BH297+SUM(BH298:BH301),"")</f>
        <v>94658</v>
      </c>
      <c r="BI302" s="59" t="n">
        <f aca="false">IF(ISNUMBER(BI292),BI297+SUM(BI298:BI301),"")</f>
        <v>94105</v>
      </c>
      <c r="BJ302" s="59" t="n">
        <f aca="false">IF(ISNUMBER(BJ292),BJ297+SUM(BJ298:BJ301),"")</f>
        <v>97057</v>
      </c>
      <c r="BK302" s="59" t="n">
        <f aca="false">IF(ISNUMBER(BK292),BK297+SUM(BK298:BK301),"")</f>
        <v>98726</v>
      </c>
      <c r="BL302" s="59" t="n">
        <f aca="false">IF(ISNUMBER(BL292),BL297+SUM(BL298:BL301),"")</f>
        <v>98726</v>
      </c>
      <c r="BM302" s="59" t="n">
        <f aca="false">IF(ISNUMBER(BM292),BM297+SUM(BM298:BM301),"")</f>
        <v>97096</v>
      </c>
      <c r="BN302" s="59" t="n">
        <f aca="false">IF(ISNUMBER(BN292),BN297+SUM(BN298:BN301),"")</f>
        <v>98497</v>
      </c>
      <c r="BO302" s="59" t="n">
        <f aca="false">IF(ISNUMBER(BO292),BO297+SUM(BO298:BO301),"")</f>
        <v>100363</v>
      </c>
      <c r="BP302" s="59" t="n">
        <f aca="false">IF(ISNUMBER(BP292),BP297+SUM(BP298:BP301),"")</f>
        <v>97322</v>
      </c>
      <c r="BQ302" s="59" t="n">
        <f aca="false">IF(ISNUMBER(BQ292),BQ297+SUM(BQ298:BQ301),"")</f>
        <v>97322</v>
      </c>
      <c r="BR302" s="59" t="n">
        <f aca="false">IF(ISNUMBER(BR292),BR297+SUM(BR298:BR301),"")</f>
        <v>99042</v>
      </c>
      <c r="BS302" s="59" t="n">
        <f aca="false">IF(ISNUMBER(BS292),BS297+SUM(BS298:BS301),"")</f>
        <v>101230</v>
      </c>
      <c r="BT302" s="59" t="n">
        <f aca="false">IF(ISNUMBER(BT292),BT297+SUM(BT298:BT301),"")</f>
        <v>103019</v>
      </c>
      <c r="BU302" s="59" t="n">
        <f aca="false">IF(ISNUMBER(BU292),BU297+SUM(BU298:BU301),"")</f>
        <v>110344</v>
      </c>
      <c r="BV302" s="59" t="n">
        <f aca="false">IF(ISNUMBER(BV292),BV297+SUM(BV298:BV301),"")</f>
        <v>110344</v>
      </c>
      <c r="BW302" s="59" t="n">
        <f aca="false">IF(ISNUMBER(BW292),BW297+SUM(BW298:BW301),"")</f>
        <v>113281</v>
      </c>
      <c r="BX302" s="59" t="n">
        <f aca="false">IF(ISNUMBER(BX292),BX297+SUM(BX298:BX301),"")</f>
        <v>113175</v>
      </c>
      <c r="BY302" s="75"/>
      <c r="BZ302" s="75"/>
      <c r="CA302" s="59" t="n">
        <f aca="false">IF(ISNUMBER(CA292),CA297+SUM(CA298:CA301),"")</f>
        <v>117419.095598212</v>
      </c>
      <c r="CB302" s="59" t="n">
        <f aca="false">IF(ISNUMBER(CB292),CB297+SUM(CB298:CB301),"")</f>
        <v>120617.099352233</v>
      </c>
      <c r="CC302" s="59" t="n">
        <f aca="false">IF(ISNUMBER(CC292),CC297+SUM(CC298:CC301),"")</f>
        <v>121500.08591097</v>
      </c>
      <c r="CD302" s="59" t="n">
        <f aca="false">IF(ISNUMBER(CD292),CD297+SUM(CD298:CD301),"")</f>
        <v>123801.220179747</v>
      </c>
      <c r="CE302" s="59" t="n">
        <f aca="false">IF(ISNUMBER(CE292),CE297+SUM(CE298:CE301),"")</f>
        <v>128279.753712097</v>
      </c>
      <c r="CF302" s="21"/>
    </row>
    <row r="303" customFormat="false" ht="15" hidden="false" customHeight="false" outlineLevel="0" collapsed="false">
      <c r="B303" s="17" t="s">
        <v>484</v>
      </c>
      <c r="CF303" s="64"/>
    </row>
    <row r="304" customFormat="false" ht="15" hidden="false" customHeight="false" outlineLevel="0" collapsed="false">
      <c r="B304" s="23" t="s">
        <v>485</v>
      </c>
      <c r="C304" s="37" t="n">
        <v>483.298</v>
      </c>
      <c r="D304" s="37" t="n">
        <v>149.3</v>
      </c>
      <c r="E304" s="37" t="n">
        <v>14.8</v>
      </c>
      <c r="F304" s="37" t="n">
        <v>117.5</v>
      </c>
      <c r="G304" s="37" t="n">
        <v>105.8</v>
      </c>
      <c r="H304" s="37" t="n">
        <v>1272.8</v>
      </c>
      <c r="I304" s="37" t="n">
        <v>93.1</v>
      </c>
      <c r="J304" s="37" t="n">
        <v>394</v>
      </c>
      <c r="K304" s="37" t="n">
        <v>393.3</v>
      </c>
      <c r="L304" s="37" t="n">
        <v>393.6</v>
      </c>
      <c r="M304" s="37" t="n">
        <v>4178.6</v>
      </c>
      <c r="N304" s="37" t="n">
        <v>4178.6</v>
      </c>
      <c r="O304" s="37" t="n">
        <v>2165.7</v>
      </c>
      <c r="P304" s="37" t="n">
        <v>3075.1</v>
      </c>
      <c r="Q304" s="37" t="n">
        <v>3088.5</v>
      </c>
      <c r="R304" s="37" t="n">
        <v>2212.4</v>
      </c>
      <c r="S304" s="37" t="n">
        <v>2212.4</v>
      </c>
      <c r="T304" s="37" t="n">
        <v>4160.6</v>
      </c>
      <c r="U304" s="37" t="n">
        <v>3359.8</v>
      </c>
      <c r="V304" s="37" t="n">
        <v>3034</v>
      </c>
      <c r="W304" s="37" t="n">
        <v>1052.8</v>
      </c>
      <c r="X304" s="37" t="n">
        <v>1052.8</v>
      </c>
      <c r="Y304" s="37" t="n">
        <v>3383</v>
      </c>
      <c r="Z304" s="37" t="n">
        <v>2515.9</v>
      </c>
      <c r="AA304" s="37" t="n">
        <v>1972.1</v>
      </c>
      <c r="AB304" s="37" t="n">
        <v>1255.5</v>
      </c>
      <c r="AC304" s="37" t="n">
        <v>1255.5</v>
      </c>
      <c r="AD304" s="37" t="n">
        <v>1882.4</v>
      </c>
      <c r="AE304" s="37" t="n">
        <v>1540.4</v>
      </c>
      <c r="AF304" s="37" t="n">
        <v>2762.3</v>
      </c>
      <c r="AG304" s="37" t="n">
        <v>2135</v>
      </c>
      <c r="AH304" s="37" t="n">
        <v>2135</v>
      </c>
      <c r="AI304" s="37" t="n">
        <v>2814</v>
      </c>
      <c r="AJ304" s="37" t="n">
        <v>1711</v>
      </c>
      <c r="AK304" s="37" t="n">
        <v>1014</v>
      </c>
      <c r="AL304" s="37" t="n">
        <v>1271</v>
      </c>
      <c r="AM304" s="37" t="n">
        <v>1271</v>
      </c>
      <c r="AN304" s="37" t="n">
        <v>1336</v>
      </c>
      <c r="AO304" s="37" t="n">
        <v>2377</v>
      </c>
      <c r="AP304" s="37" t="n">
        <v>661</v>
      </c>
      <c r="AQ304" s="37" t="n">
        <v>676</v>
      </c>
      <c r="AR304" s="37" t="n">
        <v>676</v>
      </c>
      <c r="AS304" s="37" t="n">
        <v>738</v>
      </c>
      <c r="AT304" s="37" t="n">
        <v>675</v>
      </c>
      <c r="AU304" s="37" t="n">
        <v>2</v>
      </c>
      <c r="AV304" s="37" t="n">
        <v>2628</v>
      </c>
      <c r="AW304" s="37" t="n">
        <v>2628</v>
      </c>
      <c r="AX304" s="37" t="n">
        <v>4</v>
      </c>
      <c r="AY304" s="37" t="n">
        <v>4</v>
      </c>
      <c r="AZ304" s="37" t="n">
        <v>19</v>
      </c>
      <c r="BA304" s="37" t="n">
        <v>2537</v>
      </c>
      <c r="BB304" s="37" t="n">
        <v>2537</v>
      </c>
      <c r="BC304" s="37" t="n">
        <v>1866</v>
      </c>
      <c r="BD304" s="37" t="n">
        <v>1010</v>
      </c>
      <c r="BE304" s="37" t="n">
        <v>1010</v>
      </c>
      <c r="BF304" s="37" t="n">
        <v>5579</v>
      </c>
      <c r="BG304" s="37" t="n">
        <v>5579</v>
      </c>
      <c r="BH304" s="37" t="n">
        <v>6122</v>
      </c>
      <c r="BI304" s="37" t="n">
        <v>4814</v>
      </c>
      <c r="BJ304" s="37" t="n">
        <v>4795</v>
      </c>
      <c r="BK304" s="37" t="n">
        <v>3609</v>
      </c>
      <c r="BL304" s="37" t="n">
        <v>3609</v>
      </c>
      <c r="BM304" s="37" t="n">
        <v>4451</v>
      </c>
      <c r="BN304" s="37" t="n">
        <v>5121</v>
      </c>
      <c r="BO304" s="37" t="n">
        <v>4116</v>
      </c>
      <c r="BP304" s="37" t="n">
        <v>2214</v>
      </c>
      <c r="BQ304" s="37" t="n">
        <v>2214</v>
      </c>
      <c r="BR304" s="37" t="n">
        <v>2819</v>
      </c>
      <c r="BS304" s="37" t="n">
        <v>2214</v>
      </c>
      <c r="BT304" s="37" t="n">
        <v>3823</v>
      </c>
      <c r="BU304" s="37" t="n">
        <v>3533</v>
      </c>
      <c r="BV304" s="37" t="n">
        <v>3533</v>
      </c>
      <c r="BW304" s="37" t="n">
        <v>3090</v>
      </c>
      <c r="BX304" s="37" t="n">
        <v>3368</v>
      </c>
      <c r="BY304" s="39"/>
      <c r="BZ304" s="39"/>
      <c r="CA304" s="44" t="n">
        <f aca="false">MIN(CA348,-CB349)</f>
        <v>3254</v>
      </c>
      <c r="CB304" s="44" t="n">
        <f aca="false">MIN(CB348,-CC349)</f>
        <v>3057</v>
      </c>
      <c r="CC304" s="44" t="n">
        <f aca="false">MIN(CC348,-CD349)</f>
        <v>3150</v>
      </c>
      <c r="CD304" s="44" t="n">
        <f aca="false">MIN(CD348,-CE349)</f>
        <v>3105</v>
      </c>
      <c r="CE304" s="44" t="n">
        <f aca="false">MIN(CE348,-CE349)</f>
        <v>3105</v>
      </c>
      <c r="CF304" s="21" t="s">
        <v>486</v>
      </c>
    </row>
    <row r="305" customFormat="false" ht="15" hidden="false" customHeight="false" outlineLevel="0" collapsed="false">
      <c r="B305" s="23" t="s">
        <v>487</v>
      </c>
      <c r="C305" s="37" t="n">
        <v>630.8</v>
      </c>
      <c r="D305" s="37" t="n">
        <v>676.9</v>
      </c>
      <c r="E305" s="37" t="n">
        <v>539.5</v>
      </c>
      <c r="F305" s="37" t="n">
        <v>533.6</v>
      </c>
      <c r="G305" s="37" t="n">
        <v>551</v>
      </c>
      <c r="H305" s="37" t="n">
        <v>628.7</v>
      </c>
      <c r="I305" s="37" t="n">
        <v>641.4</v>
      </c>
      <c r="J305" s="37" t="n">
        <v>660.6</v>
      </c>
      <c r="K305" s="37" t="n">
        <v>648.9</v>
      </c>
      <c r="L305" s="37" t="n">
        <v>672.7</v>
      </c>
      <c r="M305" s="37" t="n">
        <v>691.5</v>
      </c>
      <c r="N305" s="37" t="n">
        <v>691.5</v>
      </c>
      <c r="O305" s="37" t="n">
        <v>828.8</v>
      </c>
      <c r="P305" s="37" t="n">
        <v>849.9</v>
      </c>
      <c r="Q305" s="37" t="n">
        <v>818.1</v>
      </c>
      <c r="R305" s="37" t="n">
        <v>820.7</v>
      </c>
      <c r="S305" s="37" t="n">
        <v>820.7</v>
      </c>
      <c r="T305" s="37" t="n">
        <v>827.6</v>
      </c>
      <c r="U305" s="37" t="n">
        <v>819</v>
      </c>
      <c r="V305" s="37" t="n">
        <v>783.3</v>
      </c>
      <c r="W305" s="37" t="n">
        <v>822.2</v>
      </c>
      <c r="X305" s="37" t="n">
        <v>822.2</v>
      </c>
      <c r="Y305" s="37" t="n">
        <v>853</v>
      </c>
      <c r="Z305" s="37" t="n">
        <v>846.5</v>
      </c>
      <c r="AA305" s="37" t="n">
        <v>941.7</v>
      </c>
      <c r="AB305" s="37" t="n">
        <v>926.2</v>
      </c>
      <c r="AC305" s="37" t="n">
        <v>926.2</v>
      </c>
      <c r="AD305" s="37" t="n">
        <v>1031</v>
      </c>
      <c r="AE305" s="37" t="n">
        <v>982.2</v>
      </c>
      <c r="AF305" s="37" t="n">
        <v>1123.8</v>
      </c>
      <c r="AG305" s="37" t="n">
        <v>1428</v>
      </c>
      <c r="AH305" s="37" t="n">
        <v>1428</v>
      </c>
      <c r="AI305" s="37" t="n">
        <v>1354</v>
      </c>
      <c r="AJ305" s="37" t="n">
        <v>1359</v>
      </c>
      <c r="AK305" s="37" t="n">
        <v>1344</v>
      </c>
      <c r="AL305" s="37" t="n">
        <v>1615</v>
      </c>
      <c r="AM305" s="37" t="n">
        <v>1615</v>
      </c>
      <c r="AN305" s="37" t="n">
        <v>1462</v>
      </c>
      <c r="AO305" s="37" t="n">
        <v>1391</v>
      </c>
      <c r="AP305" s="37" t="n">
        <v>1659</v>
      </c>
      <c r="AQ305" s="37" t="n">
        <v>1920</v>
      </c>
      <c r="AR305" s="37" t="n">
        <v>1920</v>
      </c>
      <c r="AS305" s="37" t="n">
        <v>1599</v>
      </c>
      <c r="AT305" s="37" t="n">
        <v>1385</v>
      </c>
      <c r="AU305" s="37" t="n">
        <v>1703</v>
      </c>
      <c r="AV305" s="37" t="n">
        <v>2175</v>
      </c>
      <c r="AW305" s="37" t="n">
        <v>2175</v>
      </c>
      <c r="AX305" s="37" t="n">
        <v>2146</v>
      </c>
      <c r="AY305" s="37" t="n">
        <v>2098</v>
      </c>
      <c r="AZ305" s="37" t="n">
        <v>2301</v>
      </c>
      <c r="BA305" s="37" t="n">
        <v>2867</v>
      </c>
      <c r="BB305" s="37" t="n">
        <v>2867</v>
      </c>
      <c r="BC305" s="37" t="n">
        <v>2667</v>
      </c>
      <c r="BD305" s="37" t="n">
        <v>2586</v>
      </c>
      <c r="BE305" s="37" t="n">
        <v>2471</v>
      </c>
      <c r="BF305" s="37" t="n">
        <v>3381</v>
      </c>
      <c r="BG305" s="37" t="n">
        <v>3381</v>
      </c>
      <c r="BH305" s="37" t="n">
        <v>2798</v>
      </c>
      <c r="BI305" s="37" t="n">
        <v>2423</v>
      </c>
      <c r="BJ305" s="37" t="n">
        <v>2508</v>
      </c>
      <c r="BK305" s="37" t="n">
        <v>2872</v>
      </c>
      <c r="BL305" s="37" t="n">
        <v>2872</v>
      </c>
      <c r="BM305" s="37" t="n">
        <v>2555</v>
      </c>
      <c r="BN305" s="37" t="n">
        <v>2547</v>
      </c>
      <c r="BO305" s="37" t="n">
        <v>2606</v>
      </c>
      <c r="BP305" s="37" t="n">
        <v>3079</v>
      </c>
      <c r="BQ305" s="37" t="n">
        <v>3079</v>
      </c>
      <c r="BR305" s="37" t="n">
        <v>3049</v>
      </c>
      <c r="BS305" s="37" t="n">
        <v>2980</v>
      </c>
      <c r="BT305" s="37" t="n">
        <v>3120</v>
      </c>
      <c r="BU305" s="37" t="n">
        <v>3622</v>
      </c>
      <c r="BV305" s="37" t="n">
        <v>3622</v>
      </c>
      <c r="BW305" s="37" t="n">
        <v>3344</v>
      </c>
      <c r="BX305" s="37" t="n">
        <v>3268</v>
      </c>
      <c r="BY305" s="39"/>
      <c r="BZ305" s="39"/>
      <c r="CA305" s="44" t="n">
        <f aca="false">CA332*CA335/365</f>
        <v>3938.61263080527</v>
      </c>
      <c r="CB305" s="44" t="n">
        <f aca="false">CB332*CB335/365</f>
        <v>4148.23545496572</v>
      </c>
      <c r="CC305" s="44" t="n">
        <f aca="false">CC332*CC335/365</f>
        <v>4462.04917418617</v>
      </c>
      <c r="CD305" s="44" t="n">
        <f aca="false">CD332*CD335/365</f>
        <v>4799.58858633485</v>
      </c>
      <c r="CE305" s="44" t="n">
        <f aca="false">CE332*CE335/365</f>
        <v>5157.70514385637</v>
      </c>
      <c r="CF305" s="21"/>
    </row>
    <row r="306" customFormat="false" ht="15" hidden="false" customHeight="false" outlineLevel="0" collapsed="false">
      <c r="B306" s="23" t="s">
        <v>488</v>
      </c>
      <c r="C306" s="37" t="n">
        <v>253.3</v>
      </c>
      <c r="D306" s="37" t="n">
        <v>295.1</v>
      </c>
      <c r="E306" s="37" t="n">
        <v>296.2</v>
      </c>
      <c r="F306" s="37" t="n">
        <v>286</v>
      </c>
      <c r="G306" s="37" t="n">
        <v>311.1</v>
      </c>
      <c r="H306" s="37" t="n">
        <v>327.2</v>
      </c>
      <c r="I306" s="37" t="n">
        <v>388</v>
      </c>
      <c r="J306" s="37" t="n">
        <v>312.2</v>
      </c>
      <c r="K306" s="37" t="n">
        <v>317.1</v>
      </c>
      <c r="L306" s="37" t="n">
        <v>388.7</v>
      </c>
      <c r="M306" s="37" t="n">
        <v>432</v>
      </c>
      <c r="N306" s="37" t="n">
        <v>432</v>
      </c>
      <c r="O306" s="37" t="n">
        <v>518.5</v>
      </c>
      <c r="P306" s="37" t="n">
        <v>535.8</v>
      </c>
      <c r="Q306" s="37" t="n">
        <v>627.8</v>
      </c>
      <c r="R306" s="37" t="n">
        <v>668.9</v>
      </c>
      <c r="S306" s="37" t="n">
        <v>668.9</v>
      </c>
      <c r="T306" s="37" t="n">
        <v>486.9</v>
      </c>
      <c r="U306" s="37" t="n">
        <v>478.5</v>
      </c>
      <c r="V306" s="37" t="n">
        <v>549.3</v>
      </c>
      <c r="W306" s="37" t="n">
        <v>598.2</v>
      </c>
      <c r="X306" s="37" t="n">
        <v>598.2</v>
      </c>
      <c r="Y306" s="37" t="n">
        <v>421.2</v>
      </c>
      <c r="Z306" s="37" t="n">
        <v>521.6</v>
      </c>
      <c r="AA306" s="37" t="n">
        <v>611.2</v>
      </c>
      <c r="AB306" s="37" t="n">
        <v>708.7</v>
      </c>
      <c r="AC306" s="37" t="n">
        <v>708.7</v>
      </c>
      <c r="AD306" s="37" t="n">
        <v>520.8</v>
      </c>
      <c r="AE306" s="37" t="n">
        <v>612.6</v>
      </c>
      <c r="AF306" s="37" t="n">
        <v>771.1</v>
      </c>
      <c r="AG306" s="37" t="n">
        <v>918</v>
      </c>
      <c r="AH306" s="37" t="n">
        <v>918</v>
      </c>
      <c r="AI306" s="37" t="n">
        <v>643</v>
      </c>
      <c r="AJ306" s="37" t="n">
        <v>755</v>
      </c>
      <c r="AK306" s="37" t="n">
        <v>817</v>
      </c>
      <c r="AL306" s="37" t="n">
        <v>982</v>
      </c>
      <c r="AM306" s="37" t="n">
        <v>982</v>
      </c>
      <c r="AN306" s="37" t="n">
        <v>704</v>
      </c>
      <c r="AO306" s="37" t="n">
        <v>809</v>
      </c>
      <c r="AP306" s="37" t="n">
        <v>883</v>
      </c>
      <c r="AQ306" s="37" t="n">
        <v>1010</v>
      </c>
      <c r="AR306" s="37" t="n">
        <v>1010</v>
      </c>
      <c r="AS306" s="37" t="n">
        <v>755</v>
      </c>
      <c r="AT306" s="37" t="n">
        <v>1184</v>
      </c>
      <c r="AU306" s="37" t="n">
        <v>1538</v>
      </c>
      <c r="AV306" s="37" t="n">
        <v>1916</v>
      </c>
      <c r="AW306" s="37" t="n">
        <v>1916</v>
      </c>
      <c r="AX306" s="37" t="n">
        <v>1314</v>
      </c>
      <c r="AY306" s="37" t="n">
        <v>1492</v>
      </c>
      <c r="AZ306" s="37" t="n">
        <v>1816</v>
      </c>
      <c r="BA306" s="37" t="n">
        <v>2427</v>
      </c>
      <c r="BB306" s="37" t="n">
        <v>2427</v>
      </c>
      <c r="BC306" s="37" t="n">
        <v>1634</v>
      </c>
      <c r="BD306" s="37" t="n">
        <v>1722</v>
      </c>
      <c r="BE306" s="37" t="n">
        <v>1864</v>
      </c>
      <c r="BF306" s="37" t="n">
        <v>2095</v>
      </c>
      <c r="BG306" s="37" t="n">
        <v>2095</v>
      </c>
      <c r="BH306" s="37" t="n">
        <v>1307</v>
      </c>
      <c r="BI306" s="37" t="n">
        <v>1310</v>
      </c>
      <c r="BJ306" s="37" t="n">
        <v>1460</v>
      </c>
      <c r="BK306" s="37" t="n">
        <v>1596</v>
      </c>
      <c r="BL306" s="37" t="n">
        <v>1596</v>
      </c>
      <c r="BM306" s="37" t="n">
        <v>1314</v>
      </c>
      <c r="BN306" s="37" t="n">
        <v>1495</v>
      </c>
      <c r="BO306" s="37" t="n">
        <v>1823</v>
      </c>
      <c r="BP306" s="37" t="n">
        <v>1988</v>
      </c>
      <c r="BQ306" s="37" t="n">
        <v>1988</v>
      </c>
      <c r="BR306" s="37" t="n">
        <v>1419</v>
      </c>
      <c r="BS306" s="37" t="n">
        <v>1518</v>
      </c>
      <c r="BT306" s="37" t="n">
        <v>1884</v>
      </c>
      <c r="BU306" s="37" t="n">
        <v>1995</v>
      </c>
      <c r="BV306" s="37" t="n">
        <v>1995</v>
      </c>
      <c r="BW306" s="37" t="n">
        <v>1565</v>
      </c>
      <c r="BX306" s="37" t="n">
        <v>1694</v>
      </c>
      <c r="BY306" s="39"/>
      <c r="BZ306" s="39"/>
      <c r="CA306" s="44" t="n">
        <f aca="false">CA331*CA336</f>
        <v>2148.75</v>
      </c>
      <c r="CB306" s="44" t="n">
        <f aca="false">CB331*CB336</f>
        <v>2279.87321427223</v>
      </c>
      <c r="CC306" s="44" t="n">
        <f aca="false">CC331*CC336</f>
        <v>2452.6364231945</v>
      </c>
      <c r="CD306" s="44" t="n">
        <f aca="false">CD331*CD336</f>
        <v>2638.4612881029</v>
      </c>
      <c r="CE306" s="44" t="n">
        <f aca="false">CE331*CE336</f>
        <v>2835.61444571278</v>
      </c>
      <c r="CF306" s="21"/>
    </row>
    <row r="307" customFormat="false" ht="15" hidden="false" customHeight="false" outlineLevel="0" collapsed="false">
      <c r="B307" s="23" t="s">
        <v>489</v>
      </c>
      <c r="C307" s="37" t="n">
        <v>0</v>
      </c>
      <c r="D307" s="37" t="n">
        <v>0</v>
      </c>
      <c r="E307" s="37" t="n">
        <v>0</v>
      </c>
      <c r="F307" s="37" t="n">
        <v>0</v>
      </c>
      <c r="G307" s="37" t="n">
        <v>0</v>
      </c>
      <c r="H307" s="37" t="n">
        <v>0</v>
      </c>
      <c r="I307" s="37" t="n">
        <v>0</v>
      </c>
      <c r="J307" s="37" t="n">
        <v>0</v>
      </c>
      <c r="K307" s="37" t="n">
        <v>0</v>
      </c>
      <c r="L307" s="37" t="n">
        <v>0</v>
      </c>
      <c r="M307" s="37" t="n">
        <v>0</v>
      </c>
      <c r="N307" s="37" t="n">
        <v>0</v>
      </c>
      <c r="O307" s="37" t="n">
        <v>0</v>
      </c>
      <c r="P307" s="37" t="n">
        <v>0</v>
      </c>
      <c r="Q307" s="37" t="n">
        <v>0</v>
      </c>
      <c r="R307" s="37" t="n">
        <v>0</v>
      </c>
      <c r="S307" s="37" t="n">
        <v>0</v>
      </c>
      <c r="T307" s="37" t="n">
        <v>0</v>
      </c>
      <c r="U307" s="37" t="n">
        <v>0</v>
      </c>
      <c r="V307" s="37" t="n">
        <v>0</v>
      </c>
      <c r="W307" s="37" t="n">
        <v>0</v>
      </c>
      <c r="X307" s="37" t="n">
        <v>0</v>
      </c>
      <c r="Y307" s="37" t="n">
        <v>0</v>
      </c>
      <c r="Z307" s="37" t="n">
        <v>0</v>
      </c>
      <c r="AA307" s="37" t="n">
        <v>0</v>
      </c>
      <c r="AB307" s="37" t="n">
        <v>0</v>
      </c>
      <c r="AC307" s="37" t="n">
        <v>0</v>
      </c>
      <c r="AD307" s="37" t="n">
        <v>0</v>
      </c>
      <c r="AE307" s="37" t="n">
        <v>0</v>
      </c>
      <c r="AF307" s="37" t="n">
        <v>0</v>
      </c>
      <c r="AG307" s="37" t="n">
        <v>0</v>
      </c>
      <c r="AH307" s="37" t="n">
        <v>0</v>
      </c>
      <c r="AI307" s="37" t="n">
        <v>909</v>
      </c>
      <c r="AJ307" s="37" t="n">
        <v>816</v>
      </c>
      <c r="AK307" s="37" t="n">
        <v>797</v>
      </c>
      <c r="AL307" s="37" t="n">
        <v>809</v>
      </c>
      <c r="AM307" s="37" t="n">
        <v>809</v>
      </c>
      <c r="AN307" s="37" t="n">
        <v>967</v>
      </c>
      <c r="AO307" s="37" t="n">
        <v>1062</v>
      </c>
      <c r="AP307" s="37" t="n">
        <v>943</v>
      </c>
      <c r="AQ307" s="37" t="n">
        <v>916</v>
      </c>
      <c r="AR307" s="37" t="n">
        <v>916</v>
      </c>
      <c r="AS307" s="37" t="n">
        <v>938</v>
      </c>
      <c r="AT307" s="37" t="n">
        <v>975</v>
      </c>
      <c r="AU307" s="37" t="n">
        <v>1047</v>
      </c>
      <c r="AV307" s="37" t="n">
        <v>1271</v>
      </c>
      <c r="AW307" s="37" t="n">
        <v>1271</v>
      </c>
      <c r="AX307" s="37" t="n">
        <v>1396</v>
      </c>
      <c r="AY307" s="37" t="n">
        <v>1470</v>
      </c>
      <c r="AZ307" s="37" t="n">
        <v>1442</v>
      </c>
      <c r="BA307" s="37" t="n">
        <v>2655</v>
      </c>
      <c r="BB307" s="37" t="n">
        <v>2655</v>
      </c>
      <c r="BC307" s="37" t="n">
        <v>2871</v>
      </c>
      <c r="BD307" s="37" t="n">
        <v>2722</v>
      </c>
      <c r="BE307" s="37" t="n">
        <v>2567</v>
      </c>
      <c r="BF307" s="37" t="n">
        <v>2601</v>
      </c>
      <c r="BG307" s="37" t="n">
        <v>2601</v>
      </c>
      <c r="BH307" s="37" t="n">
        <v>2662</v>
      </c>
      <c r="BI307" s="37" t="n">
        <v>2590</v>
      </c>
      <c r="BJ307" s="37" t="n">
        <v>2547</v>
      </c>
      <c r="BK307" s="37" t="n">
        <v>2689</v>
      </c>
      <c r="BL307" s="37" t="n">
        <v>2689</v>
      </c>
      <c r="BM307" s="37" t="n">
        <v>2632</v>
      </c>
      <c r="BN307" s="37" t="n">
        <v>2591</v>
      </c>
      <c r="BO307" s="37" t="n">
        <v>2663</v>
      </c>
      <c r="BP307" s="37" t="n">
        <v>2852</v>
      </c>
      <c r="BQ307" s="37" t="n">
        <v>2852</v>
      </c>
      <c r="BR307" s="37" t="n">
        <v>2866</v>
      </c>
      <c r="BS307" s="37" t="n">
        <v>2805</v>
      </c>
      <c r="BT307" s="37" t="n">
        <v>2852</v>
      </c>
      <c r="BU307" s="37" t="n">
        <v>2710</v>
      </c>
      <c r="BV307" s="37" t="n">
        <v>2710</v>
      </c>
      <c r="BW307" s="37" t="n">
        <v>2928</v>
      </c>
      <c r="BX307" s="37" t="n">
        <v>2918</v>
      </c>
      <c r="BY307" s="39"/>
      <c r="BZ307" s="39"/>
      <c r="CA307" s="44" t="n">
        <f aca="false">CA331*CA337</f>
        <v>2912.75</v>
      </c>
      <c r="CB307" s="44" t="n">
        <f aca="false">CB331*CB337</f>
        <v>3090.49480156902</v>
      </c>
      <c r="CC307" s="44" t="n">
        <f aca="false">CC331*CC337</f>
        <v>3324.6849292192</v>
      </c>
      <c r="CD307" s="44" t="n">
        <f aca="false">CD331*CD337</f>
        <v>3576.58085720615</v>
      </c>
      <c r="CE307" s="44" t="n">
        <f aca="false">CE331*CE337</f>
        <v>3843.83291529955</v>
      </c>
      <c r="CF307" s="21"/>
    </row>
    <row r="308" customFormat="false" ht="15" hidden="false" customHeight="false" outlineLevel="0" collapsed="false">
      <c r="B308" s="23" t="s">
        <v>490</v>
      </c>
      <c r="C308" s="37" t="n">
        <v>784.923</v>
      </c>
      <c r="D308" s="37" t="n">
        <v>784.1</v>
      </c>
      <c r="E308" s="37" t="n">
        <v>689.7</v>
      </c>
      <c r="F308" s="37" t="n">
        <v>702.2</v>
      </c>
      <c r="G308" s="37" t="n">
        <v>774.5</v>
      </c>
      <c r="H308" s="37" t="n">
        <v>860.5</v>
      </c>
      <c r="I308" s="37" t="n">
        <v>1001.3</v>
      </c>
      <c r="J308" s="37" t="n">
        <v>936</v>
      </c>
      <c r="K308" s="37" t="n">
        <v>1003.6</v>
      </c>
      <c r="L308" s="37" t="n">
        <v>998</v>
      </c>
      <c r="M308" s="37" t="n">
        <v>1006.1</v>
      </c>
      <c r="N308" s="37" t="n">
        <v>1006.1</v>
      </c>
      <c r="O308" s="37" t="n">
        <v>1878.5</v>
      </c>
      <c r="P308" s="37" t="n">
        <v>1774.8</v>
      </c>
      <c r="Q308" s="37" t="n">
        <v>1687.7</v>
      </c>
      <c r="R308" s="37" t="n">
        <v>1702.5</v>
      </c>
      <c r="S308" s="37" t="n">
        <v>1702.5</v>
      </c>
      <c r="T308" s="37" t="n">
        <v>1385.9</v>
      </c>
      <c r="U308" s="37" t="n">
        <v>1443.1</v>
      </c>
      <c r="V308" s="37" t="n">
        <v>1368.5</v>
      </c>
      <c r="W308" s="37" t="n">
        <v>1628</v>
      </c>
      <c r="X308" s="37" t="n">
        <v>1628</v>
      </c>
      <c r="Y308" s="37" t="n">
        <v>1665.6</v>
      </c>
      <c r="Z308" s="37" t="n">
        <v>1644.2</v>
      </c>
      <c r="AA308" s="37" t="n">
        <v>1734.9</v>
      </c>
      <c r="AB308" s="37" t="n">
        <v>1890.6</v>
      </c>
      <c r="AC308" s="37" t="n">
        <v>1890.6</v>
      </c>
      <c r="AD308" s="37" t="n">
        <v>1868.7</v>
      </c>
      <c r="AE308" s="37" t="n">
        <v>1940.6</v>
      </c>
      <c r="AF308" s="37" t="n">
        <v>2374.1</v>
      </c>
      <c r="AG308" s="37" t="n">
        <v>2515</v>
      </c>
      <c r="AH308" s="37" t="n">
        <v>2515</v>
      </c>
      <c r="AI308" s="37" t="n">
        <v>1353</v>
      </c>
      <c r="AJ308" s="37" t="n">
        <v>1339</v>
      </c>
      <c r="AK308" s="37" t="n">
        <v>1224</v>
      </c>
      <c r="AL308" s="37" t="n">
        <v>1546</v>
      </c>
      <c r="AM308" s="37" t="n">
        <v>1546</v>
      </c>
      <c r="AN308" s="37" t="n">
        <v>1429</v>
      </c>
      <c r="AO308" s="37" t="n">
        <v>1870</v>
      </c>
      <c r="AP308" s="37" t="n">
        <v>1698</v>
      </c>
      <c r="AQ308" s="37" t="n">
        <v>1679</v>
      </c>
      <c r="AR308" s="37" t="n">
        <v>1679</v>
      </c>
      <c r="AS308" s="37" t="n">
        <v>1470</v>
      </c>
      <c r="AT308" s="37" t="n">
        <v>1794</v>
      </c>
      <c r="AU308" s="37" t="n">
        <v>1938</v>
      </c>
      <c r="AV308" s="37" t="n">
        <v>2314</v>
      </c>
      <c r="AW308" s="37" t="n">
        <v>2314</v>
      </c>
      <c r="AX308" s="37" t="n">
        <v>2135</v>
      </c>
      <c r="AY308" s="37" t="n">
        <v>1861</v>
      </c>
      <c r="AZ308" s="37" t="n">
        <v>2175</v>
      </c>
      <c r="BA308" s="37" t="n">
        <v>2857</v>
      </c>
      <c r="BB308" s="37" t="n">
        <v>2857</v>
      </c>
      <c r="BC308" s="37" t="n">
        <v>3032</v>
      </c>
      <c r="BD308" s="37" t="n">
        <v>2957</v>
      </c>
      <c r="BE308" s="37" t="n">
        <v>3206</v>
      </c>
      <c r="BF308" s="37" t="n">
        <v>3458</v>
      </c>
      <c r="BG308" s="37" t="n">
        <v>3458</v>
      </c>
      <c r="BH308" s="37" t="n">
        <v>2995</v>
      </c>
      <c r="BI308" s="37" t="n">
        <v>2975</v>
      </c>
      <c r="BJ308" s="37" t="n">
        <v>2848</v>
      </c>
      <c r="BK308" s="37" t="n">
        <v>3246</v>
      </c>
      <c r="BL308" s="37" t="n">
        <v>3246</v>
      </c>
      <c r="BM308" s="37" t="n">
        <v>2985</v>
      </c>
      <c r="BN308" s="37" t="n">
        <v>3018</v>
      </c>
      <c r="BO308" s="37" t="n">
        <v>3393</v>
      </c>
      <c r="BP308" s="37" t="n">
        <v>3199</v>
      </c>
      <c r="BQ308" s="37" t="n">
        <v>3199</v>
      </c>
      <c r="BR308" s="37" t="n">
        <v>3021</v>
      </c>
      <c r="BS308" s="37" t="n">
        <v>3201</v>
      </c>
      <c r="BT308" s="37" t="n">
        <v>3209</v>
      </c>
      <c r="BU308" s="37" t="n">
        <v>3329</v>
      </c>
      <c r="BV308" s="37" t="n">
        <v>3329</v>
      </c>
      <c r="BW308" s="37" t="n">
        <v>3694</v>
      </c>
      <c r="BX308" s="37" t="n">
        <v>3821</v>
      </c>
      <c r="BY308" s="39"/>
      <c r="BZ308" s="39"/>
      <c r="CA308" s="44" t="n">
        <f aca="false">BX308-$CA$84+CA269</f>
        <v>3116.89182371613</v>
      </c>
      <c r="CB308" s="44" t="n">
        <f aca="false">CA308</f>
        <v>3116.89182371613</v>
      </c>
      <c r="CC308" s="44" t="n">
        <f aca="false">CB308</f>
        <v>3116.89182371613</v>
      </c>
      <c r="CD308" s="44" t="n">
        <f aca="false">CC308</f>
        <v>3116.89182371613</v>
      </c>
      <c r="CE308" s="44" t="n">
        <f aca="false">CD308</f>
        <v>3116.89182371613</v>
      </c>
      <c r="CF308" s="21"/>
    </row>
    <row r="309" customFormat="false" ht="15" hidden="false" customHeight="false" outlineLevel="0" collapsed="false">
      <c r="B309" s="17" t="s">
        <v>491</v>
      </c>
      <c r="C309" s="63" t="n">
        <f aca="false">IF(ISNUMBER(C304),SUM(C304:C308),"")</f>
        <v>2152.321</v>
      </c>
      <c r="D309" s="63" t="n">
        <f aca="false">IF(ISNUMBER(D304),SUM(D304:D308),"")</f>
        <v>1905.4</v>
      </c>
      <c r="E309" s="63" t="n">
        <f aca="false">IF(ISNUMBER(E304),SUM(E304:E308),"")</f>
        <v>1540.2</v>
      </c>
      <c r="F309" s="63" t="n">
        <f aca="false">IF(ISNUMBER(F304),SUM(F304:F308),"")</f>
        <v>1639.3</v>
      </c>
      <c r="G309" s="63" t="n">
        <f aca="false">IF(ISNUMBER(G304),SUM(G304:G308),"")</f>
        <v>1742.4</v>
      </c>
      <c r="H309" s="63" t="n">
        <f aca="false">IF(ISNUMBER(H304),SUM(H304:H308),"")</f>
        <v>3089.2</v>
      </c>
      <c r="I309" s="63" t="n">
        <f aca="false">IF(ISNUMBER(I304),SUM(I304:I308),"")</f>
        <v>2123.8</v>
      </c>
      <c r="J309" s="63" t="n">
        <f aca="false">IF(ISNUMBER(J304),SUM(J304:J308),"")</f>
        <v>2302.8</v>
      </c>
      <c r="K309" s="63" t="n">
        <f aca="false">IF(ISNUMBER(K304),SUM(K304:K308),"")</f>
        <v>2362.9</v>
      </c>
      <c r="L309" s="63" t="n">
        <f aca="false">IF(ISNUMBER(L304),SUM(L304:L308),"")</f>
        <v>2453</v>
      </c>
      <c r="M309" s="63" t="n">
        <f aca="false">IF(ISNUMBER(M304),SUM(M304:M308),"")</f>
        <v>6308.2</v>
      </c>
      <c r="N309" s="63" t="n">
        <f aca="false">IF(ISNUMBER(N304),SUM(N304:N308),"")</f>
        <v>6308.2</v>
      </c>
      <c r="O309" s="63" t="n">
        <f aca="false">IF(ISNUMBER(O304),SUM(O304:O308),"")</f>
        <v>5391.5</v>
      </c>
      <c r="P309" s="63" t="n">
        <f aca="false">IF(ISNUMBER(P304),SUM(P304:P308),"")</f>
        <v>6235.6</v>
      </c>
      <c r="Q309" s="63" t="n">
        <f aca="false">IF(ISNUMBER(Q304),SUM(Q304:Q308),"")</f>
        <v>6222.1</v>
      </c>
      <c r="R309" s="63" t="n">
        <f aca="false">IF(ISNUMBER(R304),SUM(R304:R308),"")</f>
        <v>5404.5</v>
      </c>
      <c r="S309" s="63" t="n">
        <f aca="false">IF(ISNUMBER(S304),SUM(S304:S308),"")</f>
        <v>5404.5</v>
      </c>
      <c r="T309" s="63" t="n">
        <f aca="false">IF(ISNUMBER(T304),SUM(T304:T308),"")</f>
        <v>6861</v>
      </c>
      <c r="U309" s="63" t="n">
        <f aca="false">IF(ISNUMBER(U304),SUM(U304:U308),"")</f>
        <v>6100.4</v>
      </c>
      <c r="V309" s="63" t="n">
        <f aca="false">IF(ISNUMBER(V304),SUM(V304:V308),"")</f>
        <v>5735.1</v>
      </c>
      <c r="W309" s="63" t="n">
        <f aca="false">IF(ISNUMBER(W304),SUM(W304:W308),"")</f>
        <v>4101.2</v>
      </c>
      <c r="X309" s="63" t="n">
        <f aca="false">IF(ISNUMBER(X304),SUM(X304:X308),"")</f>
        <v>4101.2</v>
      </c>
      <c r="Y309" s="63" t="n">
        <f aca="false">IF(ISNUMBER(Y304),SUM(Y304:Y308),"")</f>
        <v>6322.8</v>
      </c>
      <c r="Z309" s="63" t="n">
        <f aca="false">IF(ISNUMBER(Z304),SUM(Z304:Z308),"")</f>
        <v>5528.2</v>
      </c>
      <c r="AA309" s="63" t="n">
        <f aca="false">IF(ISNUMBER(AA304),SUM(AA304:AA308),"")</f>
        <v>5259.9</v>
      </c>
      <c r="AB309" s="63" t="n">
        <f aca="false">IF(ISNUMBER(AB304),SUM(AB304:AB308),"")</f>
        <v>4781</v>
      </c>
      <c r="AC309" s="63" t="n">
        <f aca="false">IF(ISNUMBER(AC304),SUM(AC304:AC308),"")</f>
        <v>4781</v>
      </c>
      <c r="AD309" s="63" t="n">
        <f aca="false">IF(ISNUMBER(AD304),SUM(AD304:AD308),"")</f>
        <v>5302.9</v>
      </c>
      <c r="AE309" s="63" t="n">
        <f aca="false">IF(ISNUMBER(AE304),SUM(AE304:AE308),"")</f>
        <v>5075.8</v>
      </c>
      <c r="AF309" s="63" t="n">
        <f aca="false">IF(ISNUMBER(AF304),SUM(AF304:AF308),"")</f>
        <v>7031.3</v>
      </c>
      <c r="AG309" s="63" t="n">
        <f aca="false">IF(ISNUMBER(AG304),SUM(AG304:AG308),"")</f>
        <v>6996</v>
      </c>
      <c r="AH309" s="63" t="n">
        <f aca="false">IF(ISNUMBER(AH304),SUM(AH304:AH308),"")</f>
        <v>6996</v>
      </c>
      <c r="AI309" s="63" t="n">
        <f aca="false">IF(ISNUMBER(AI304),SUM(AI304:AI308),"")</f>
        <v>7073</v>
      </c>
      <c r="AJ309" s="63" t="n">
        <f aca="false">IF(ISNUMBER(AJ304),SUM(AJ304:AJ308),"")</f>
        <v>5980</v>
      </c>
      <c r="AK309" s="63" t="n">
        <f aca="false">IF(ISNUMBER(AK304),SUM(AK304:AK308),"")</f>
        <v>5196</v>
      </c>
      <c r="AL309" s="63" t="n">
        <f aca="false">IF(ISNUMBER(AL304),SUM(AL304:AL308),"")</f>
        <v>6223</v>
      </c>
      <c r="AM309" s="63" t="n">
        <f aca="false">IF(ISNUMBER(AM304),SUM(AM304:AM308),"")</f>
        <v>6223</v>
      </c>
      <c r="AN309" s="63" t="n">
        <f aca="false">IF(ISNUMBER(AN304),SUM(AN304:AN308),"")</f>
        <v>5898</v>
      </c>
      <c r="AO309" s="63" t="n">
        <f aca="false">IF(ISNUMBER(AO304),SUM(AO304:AO308),"")</f>
        <v>7509</v>
      </c>
      <c r="AP309" s="63" t="n">
        <f aca="false">IF(ISNUMBER(AP304),SUM(AP304:AP308),"")</f>
        <v>5844</v>
      </c>
      <c r="AQ309" s="63" t="n">
        <f aca="false">IF(ISNUMBER(AQ304),SUM(AQ304:AQ308),"")</f>
        <v>6201</v>
      </c>
      <c r="AR309" s="63" t="n">
        <f aca="false">IF(ISNUMBER(AR304),SUM(AR304:AR308),"")</f>
        <v>6201</v>
      </c>
      <c r="AS309" s="63" t="n">
        <f aca="false">IF(ISNUMBER(AS304),SUM(AS304:AS308),"")</f>
        <v>5500</v>
      </c>
      <c r="AT309" s="63" t="n">
        <f aca="false">IF(ISNUMBER(AT304),SUM(AT304:AT308),"")</f>
        <v>6013</v>
      </c>
      <c r="AU309" s="63" t="n">
        <f aca="false">IF(ISNUMBER(AU304),SUM(AU304:AU308),"")</f>
        <v>6228</v>
      </c>
      <c r="AV309" s="63" t="n">
        <f aca="false">IF(ISNUMBER(AV304),SUM(AV304:AV308),"")</f>
        <v>10304</v>
      </c>
      <c r="AW309" s="63" t="n">
        <f aca="false">IF(ISNUMBER(AW304),SUM(AW304:AW308),"")</f>
        <v>10304</v>
      </c>
      <c r="AX309" s="63" t="n">
        <f aca="false">IF(ISNUMBER(AX304),SUM(AX304:AX308),"")</f>
        <v>6995</v>
      </c>
      <c r="AY309" s="63" t="n">
        <f aca="false">IF(ISNUMBER(AY304),SUM(AY304:AY308),"")</f>
        <v>6925</v>
      </c>
      <c r="AZ309" s="63" t="n">
        <f aca="false">IF(ISNUMBER(AZ304),SUM(AZ304:AZ308),"")</f>
        <v>7753</v>
      </c>
      <c r="BA309" s="63" t="n">
        <f aca="false">IF(ISNUMBER(BA304),SUM(BA304:BA308),"")</f>
        <v>13343</v>
      </c>
      <c r="BB309" s="63" t="n">
        <f aca="false">IF(ISNUMBER(BB304),SUM(BB304:BB308),"")</f>
        <v>13343</v>
      </c>
      <c r="BC309" s="63" t="n">
        <f aca="false">IF(ISNUMBER(BC304),SUM(BC304:BC308),"")</f>
        <v>12070</v>
      </c>
      <c r="BD309" s="63" t="n">
        <f aca="false">IF(ISNUMBER(BD304),SUM(BD304:BD308),"")</f>
        <v>10997</v>
      </c>
      <c r="BE309" s="63" t="n">
        <f aca="false">IF(ISNUMBER(BE304),SUM(BE304:BE308),"")</f>
        <v>11118</v>
      </c>
      <c r="BF309" s="63" t="n">
        <f aca="false">IF(ISNUMBER(BF304),SUM(BF304:BF308),"")</f>
        <v>17114</v>
      </c>
      <c r="BG309" s="63" t="n">
        <f aca="false">IF(ISNUMBER(BG304),SUM(BG304:BG308),"")</f>
        <v>17114</v>
      </c>
      <c r="BH309" s="63" t="n">
        <f aca="false">IF(ISNUMBER(BH304),SUM(BH304:BH308),"")</f>
        <v>15884</v>
      </c>
      <c r="BI309" s="63" t="n">
        <f aca="false">IF(ISNUMBER(BI304),SUM(BI304:BI308),"")</f>
        <v>14112</v>
      </c>
      <c r="BJ309" s="63" t="n">
        <f aca="false">IF(ISNUMBER(BJ304),SUM(BJ304:BJ308),"")</f>
        <v>14158</v>
      </c>
      <c r="BK309" s="63" t="n">
        <f aca="false">IF(ISNUMBER(BK304),SUM(BK304:BK308),"")</f>
        <v>14012</v>
      </c>
      <c r="BL309" s="63" t="n">
        <f aca="false">IF(ISNUMBER(BL304),SUM(BL304:BL308),"")</f>
        <v>14012</v>
      </c>
      <c r="BM309" s="63" t="n">
        <f aca="false">IF(ISNUMBER(BM304),SUM(BM304:BM308),"")</f>
        <v>13937</v>
      </c>
      <c r="BN309" s="63" t="n">
        <f aca="false">IF(ISNUMBER(BN304),SUM(BN304:BN308),"")</f>
        <v>14772</v>
      </c>
      <c r="BO309" s="63" t="n">
        <f aca="false">IF(ISNUMBER(BO304),SUM(BO304:BO308),"")</f>
        <v>14601</v>
      </c>
      <c r="BP309" s="63" t="n">
        <f aca="false">IF(ISNUMBER(BP304),SUM(BP304:BP308),"")</f>
        <v>13332</v>
      </c>
      <c r="BQ309" s="63" t="n">
        <f aca="false">IF(ISNUMBER(BQ304),SUM(BQ304:BQ308),"")</f>
        <v>13332</v>
      </c>
      <c r="BR309" s="63" t="n">
        <f aca="false">IF(ISNUMBER(BR304),SUM(BR304:BR308),"")</f>
        <v>13174</v>
      </c>
      <c r="BS309" s="63" t="n">
        <f aca="false">IF(ISNUMBER(BS304),SUM(BS304:BS308),"")</f>
        <v>12718</v>
      </c>
      <c r="BT309" s="63" t="n">
        <f aca="false">IF(ISNUMBER(BT304),SUM(BT304:BT308),"")</f>
        <v>14888</v>
      </c>
      <c r="BU309" s="63" t="n">
        <f aca="false">IF(ISNUMBER(BU304),SUM(BU304:BU308),"")</f>
        <v>15189</v>
      </c>
      <c r="BV309" s="63" t="n">
        <f aca="false">IF(ISNUMBER(BV304),SUM(BV304:BV308),"")</f>
        <v>15189</v>
      </c>
      <c r="BW309" s="63" t="n">
        <f aca="false">IF(ISNUMBER(BW304),SUM(BW304:BW308),"")</f>
        <v>14621</v>
      </c>
      <c r="BX309" s="63" t="n">
        <f aca="false">IF(ISNUMBER(BX304),SUM(BX304:BX308),"")</f>
        <v>15069</v>
      </c>
      <c r="BY309" s="52"/>
      <c r="BZ309" s="52"/>
      <c r="CA309" s="20" t="n">
        <f aca="false">IF(ISNUMBER(CA304),SUM(CA304:CA308),"")</f>
        <v>15371.0044545214</v>
      </c>
      <c r="CB309" s="20" t="n">
        <f aca="false">IF(ISNUMBER(CB304),SUM(CB304:CB308),"")</f>
        <v>15692.4952945231</v>
      </c>
      <c r="CC309" s="20" t="n">
        <f aca="false">IF(ISNUMBER(CC304),SUM(CC304:CC308),"")</f>
        <v>16506.262350316</v>
      </c>
      <c r="CD309" s="20" t="n">
        <f aca="false">IF(ISNUMBER(CD304),SUM(CD304:CD308),"")</f>
        <v>17236.52255536</v>
      </c>
      <c r="CE309" s="20" t="n">
        <f aca="false">IF(ISNUMBER(CE304),SUM(CE304:CE308),"")</f>
        <v>18059.0443285848</v>
      </c>
      <c r="CF309" s="21"/>
    </row>
    <row r="310" customFormat="false" ht="15" hidden="false" customHeight="false" outlineLevel="0" collapsed="false">
      <c r="B310" s="23" t="s">
        <v>492</v>
      </c>
      <c r="C310" s="37" t="n">
        <v>2180.705</v>
      </c>
      <c r="D310" s="37" t="n">
        <v>2045.9</v>
      </c>
      <c r="E310" s="37" t="n">
        <v>2043.5</v>
      </c>
      <c r="F310" s="37" t="n">
        <v>2064</v>
      </c>
      <c r="G310" s="37" t="n">
        <v>2031.3</v>
      </c>
      <c r="H310" s="37" t="n">
        <v>5755.2</v>
      </c>
      <c r="I310" s="37" t="n">
        <v>7031.2</v>
      </c>
      <c r="J310" s="37" t="n">
        <v>6724.4</v>
      </c>
      <c r="K310" s="37" t="n">
        <v>6721.1</v>
      </c>
      <c r="L310" s="37" t="n">
        <v>6717.9</v>
      </c>
      <c r="M310" s="37" t="n">
        <v>6308.7</v>
      </c>
      <c r="N310" s="37" t="n">
        <v>6308.7</v>
      </c>
      <c r="O310" s="37" t="n">
        <v>15196.9</v>
      </c>
      <c r="P310" s="37" t="n">
        <v>12502</v>
      </c>
      <c r="Q310" s="37" t="n">
        <v>11388.6</v>
      </c>
      <c r="R310" s="37" t="n">
        <v>12351.6</v>
      </c>
      <c r="S310" s="37" t="n">
        <v>12351.6</v>
      </c>
      <c r="T310" s="37" t="n">
        <v>10696.2</v>
      </c>
      <c r="U310" s="37" t="n">
        <v>10663.7</v>
      </c>
      <c r="V310" s="37" t="n">
        <v>10277.9</v>
      </c>
      <c r="W310" s="37" t="n">
        <v>11473.9</v>
      </c>
      <c r="X310" s="37" t="n">
        <v>11473.9</v>
      </c>
      <c r="Y310" s="37" t="n">
        <v>11653</v>
      </c>
      <c r="Z310" s="37" t="n">
        <v>11631.9</v>
      </c>
      <c r="AA310" s="37" t="n">
        <v>16940.4</v>
      </c>
      <c r="AB310" s="37" t="n">
        <v>15372.4</v>
      </c>
      <c r="AC310" s="37" t="n">
        <v>15372.4</v>
      </c>
      <c r="AD310" s="37" t="n">
        <v>15188.4</v>
      </c>
      <c r="AE310" s="37" t="n">
        <v>15255.7</v>
      </c>
      <c r="AF310" s="37" t="n">
        <v>19230.4</v>
      </c>
      <c r="AG310" s="37" t="n">
        <v>18873</v>
      </c>
      <c r="AH310" s="37" t="n">
        <v>18873</v>
      </c>
      <c r="AI310" s="37" t="n">
        <v>18122</v>
      </c>
      <c r="AJ310" s="37" t="n">
        <v>17709</v>
      </c>
      <c r="AK310" s="37" t="n">
        <v>17760</v>
      </c>
      <c r="AL310" s="37" t="n">
        <v>17719</v>
      </c>
      <c r="AM310" s="37" t="n">
        <v>17719</v>
      </c>
      <c r="AN310" s="37" t="n">
        <v>16812</v>
      </c>
      <c r="AO310" s="37" t="n">
        <v>16663</v>
      </c>
      <c r="AP310" s="37" t="n">
        <v>16392</v>
      </c>
      <c r="AQ310" s="37" t="n">
        <v>17076</v>
      </c>
      <c r="AR310" s="37" t="n">
        <v>17076</v>
      </c>
      <c r="AS310" s="37" t="n">
        <v>19231</v>
      </c>
      <c r="AT310" s="37" t="n">
        <v>20638</v>
      </c>
      <c r="AU310" s="37" t="n">
        <v>21091</v>
      </c>
      <c r="AV310" s="37" t="n">
        <v>19107</v>
      </c>
      <c r="AW310" s="37" t="n">
        <v>19107</v>
      </c>
      <c r="AX310" s="37" t="n">
        <v>18641</v>
      </c>
      <c r="AY310" s="37" t="n">
        <v>18773</v>
      </c>
      <c r="AZ310" s="37" t="n">
        <v>21688</v>
      </c>
      <c r="BA310" s="37" t="n">
        <v>32333</v>
      </c>
      <c r="BB310" s="37" t="n">
        <v>32333</v>
      </c>
      <c r="BC310" s="37" t="n">
        <v>31389</v>
      </c>
      <c r="BD310" s="37" t="n">
        <v>29250</v>
      </c>
      <c r="BE310" s="37" t="n">
        <v>28150</v>
      </c>
      <c r="BF310" s="37" t="n">
        <v>28909</v>
      </c>
      <c r="BG310" s="37" t="n">
        <v>28909</v>
      </c>
      <c r="BH310" s="37" t="n">
        <v>29135</v>
      </c>
      <c r="BI310" s="37" t="n">
        <v>29194</v>
      </c>
      <c r="BJ310" s="37" t="n">
        <v>30489</v>
      </c>
      <c r="BK310" s="37" t="n">
        <v>31308</v>
      </c>
      <c r="BL310" s="37" t="n">
        <v>31308</v>
      </c>
      <c r="BM310" s="37" t="n">
        <v>31157</v>
      </c>
      <c r="BN310" s="37" t="n">
        <v>30284</v>
      </c>
      <c r="BO310" s="37" t="n">
        <v>31197</v>
      </c>
      <c r="BP310" s="37" t="n">
        <v>29061</v>
      </c>
      <c r="BQ310" s="37" t="n">
        <v>29061</v>
      </c>
      <c r="BR310" s="37" t="n">
        <v>31370</v>
      </c>
      <c r="BS310" s="37" t="n">
        <v>33015</v>
      </c>
      <c r="BT310" s="37" t="n">
        <v>31857</v>
      </c>
      <c r="BU310" s="37" t="n">
        <v>35852</v>
      </c>
      <c r="BV310" s="37" t="n">
        <v>35852</v>
      </c>
      <c r="BW310" s="37" t="n">
        <v>40071</v>
      </c>
      <c r="BX310" s="37" t="n">
        <v>39181</v>
      </c>
      <c r="BY310" s="39"/>
      <c r="BZ310" s="39"/>
      <c r="CA310" s="44" t="n">
        <f aca="false">CA348-CA304</f>
        <v>39295</v>
      </c>
      <c r="CB310" s="44" t="n">
        <f aca="false">CB348-CB304</f>
        <v>39492</v>
      </c>
      <c r="CC310" s="44" t="n">
        <f aca="false">CC348-CC304</f>
        <v>39399</v>
      </c>
      <c r="CD310" s="44" t="n">
        <f aca="false">CD348-CD304</f>
        <v>40985.7916448727</v>
      </c>
      <c r="CE310" s="44" t="n">
        <f aca="false">CE348-CE304</f>
        <v>44620.2934212329</v>
      </c>
      <c r="CF310" s="21"/>
    </row>
    <row r="311" customFormat="false" ht="15" hidden="false" customHeight="false" outlineLevel="0" collapsed="false">
      <c r="B311" s="23" t="s">
        <v>493</v>
      </c>
      <c r="C311" s="37" t="n">
        <v>3017.385</v>
      </c>
      <c r="D311" s="37" t="n">
        <v>2761.7</v>
      </c>
      <c r="E311" s="37" t="n">
        <v>2579.7</v>
      </c>
      <c r="F311" s="37" t="n">
        <v>2466.6</v>
      </c>
      <c r="G311" s="37" t="n">
        <v>2252.1</v>
      </c>
      <c r="H311" s="37" t="n">
        <v>2951.2</v>
      </c>
      <c r="I311" s="37" t="n">
        <v>2740.1</v>
      </c>
      <c r="J311" s="37" t="n">
        <v>2784</v>
      </c>
      <c r="K311" s="37" t="n">
        <v>2742.7</v>
      </c>
      <c r="L311" s="37" t="n">
        <v>2664.3</v>
      </c>
      <c r="M311" s="37" t="n">
        <v>2403.2</v>
      </c>
      <c r="N311" s="37" t="n">
        <v>2403.2</v>
      </c>
      <c r="O311" s="37" t="n">
        <v>5114.7</v>
      </c>
      <c r="P311" s="37" t="n">
        <v>4917.2</v>
      </c>
      <c r="Q311" s="37" t="n">
        <v>4569.5</v>
      </c>
      <c r="R311" s="37" t="n">
        <v>4335.2</v>
      </c>
      <c r="S311" s="37" t="n">
        <v>4335.2</v>
      </c>
      <c r="T311" s="37" t="n">
        <v>4385.3</v>
      </c>
      <c r="U311" s="37" t="n">
        <v>4330.5</v>
      </c>
      <c r="V311" s="37" t="n">
        <v>4283.9</v>
      </c>
      <c r="W311" s="37" t="n">
        <v>4030</v>
      </c>
      <c r="X311" s="37" t="n">
        <v>4030</v>
      </c>
      <c r="Y311" s="37" t="n">
        <v>4052.5</v>
      </c>
      <c r="Z311" s="37" t="n">
        <v>3829.4</v>
      </c>
      <c r="AA311" s="37" t="n">
        <v>4151.8</v>
      </c>
      <c r="AB311" s="37" t="n">
        <v>4144</v>
      </c>
      <c r="AC311" s="37" t="n">
        <v>4144</v>
      </c>
      <c r="AD311" s="37" t="n">
        <v>3927.1</v>
      </c>
      <c r="AE311" s="37" t="n">
        <v>3790.6</v>
      </c>
      <c r="AF311" s="37" t="n">
        <v>5021.8</v>
      </c>
      <c r="AG311" s="37" t="n">
        <v>5307</v>
      </c>
      <c r="AH311" s="37" t="n">
        <v>5307</v>
      </c>
      <c r="AI311" s="37" t="n">
        <v>5262</v>
      </c>
      <c r="AJ311" s="37" t="n">
        <v>5269</v>
      </c>
      <c r="AK311" s="37" t="n">
        <v>5232</v>
      </c>
      <c r="AL311" s="37" t="n">
        <v>4653</v>
      </c>
      <c r="AM311" s="37" t="n">
        <v>4653</v>
      </c>
      <c r="AN311" s="37" t="n">
        <v>5193</v>
      </c>
      <c r="AO311" s="37" t="n">
        <v>5069</v>
      </c>
      <c r="AP311" s="37" t="n">
        <v>5138</v>
      </c>
      <c r="AQ311" s="37" t="n">
        <v>5237</v>
      </c>
      <c r="AR311" s="37" t="n">
        <v>5237</v>
      </c>
      <c r="AS311" s="37" t="n">
        <v>5398</v>
      </c>
      <c r="AT311" s="37" t="n">
        <v>5067</v>
      </c>
      <c r="AU311" s="37" t="n">
        <v>4918</v>
      </c>
      <c r="AV311" s="37" t="n">
        <v>5134</v>
      </c>
      <c r="AW311" s="37" t="n">
        <v>5134</v>
      </c>
      <c r="AX311" s="37" t="n">
        <v>5237</v>
      </c>
      <c r="AY311" s="37" t="n">
        <v>5146</v>
      </c>
      <c r="AZ311" s="37" t="n">
        <v>5449</v>
      </c>
      <c r="BA311" s="37" t="n">
        <v>8138</v>
      </c>
      <c r="BB311" s="37" t="n">
        <v>8138</v>
      </c>
      <c r="BC311" s="37" t="n">
        <v>8157</v>
      </c>
      <c r="BD311" s="37" t="n">
        <v>7861</v>
      </c>
      <c r="BE311" s="37" t="n">
        <v>7541</v>
      </c>
      <c r="BF311" s="37" t="n">
        <v>7119</v>
      </c>
      <c r="BG311" s="37" t="n">
        <v>7119</v>
      </c>
      <c r="BH311" s="37" t="n">
        <v>7206</v>
      </c>
      <c r="BI311" s="37" t="n">
        <v>6884</v>
      </c>
      <c r="BJ311" s="37" t="n">
        <v>6946</v>
      </c>
      <c r="BK311" s="37" t="n">
        <v>6564</v>
      </c>
      <c r="BL311" s="37" t="n">
        <v>6564</v>
      </c>
      <c r="BM311" s="37" t="n">
        <v>6378</v>
      </c>
      <c r="BN311" s="37" t="n">
        <v>5907</v>
      </c>
      <c r="BO311" s="37" t="n">
        <v>5466</v>
      </c>
      <c r="BP311" s="37" t="n">
        <v>5257</v>
      </c>
      <c r="BQ311" s="37" t="n">
        <v>5257</v>
      </c>
      <c r="BR311" s="37" t="n">
        <v>5011</v>
      </c>
      <c r="BS311" s="37" t="n">
        <v>4894</v>
      </c>
      <c r="BT311" s="37" t="n">
        <v>5120</v>
      </c>
      <c r="BU311" s="37" t="n">
        <v>5766</v>
      </c>
      <c r="BV311" s="37" t="n">
        <v>5766</v>
      </c>
      <c r="BW311" s="37" t="n">
        <v>6527</v>
      </c>
      <c r="BX311" s="37" t="n">
        <v>6116</v>
      </c>
      <c r="BY311" s="39"/>
      <c r="BZ311" s="39"/>
      <c r="CA311" s="44" t="n">
        <f aca="false">BX311+(CA241-BW241-BX241)</f>
        <v>5873.5</v>
      </c>
      <c r="CB311" s="44" t="n">
        <f aca="false">CA311+CB241</f>
        <v>5376.4880952381</v>
      </c>
      <c r="CC311" s="44" t="n">
        <f aca="false">CB311+CC241</f>
        <v>4859.65476190476</v>
      </c>
      <c r="CD311" s="44" t="n">
        <f aca="false">CC311+CD241</f>
        <v>4344.46916666667</v>
      </c>
      <c r="CE311" s="44" t="n">
        <f aca="false">CD311+CE241</f>
        <v>3875.32630952381</v>
      </c>
      <c r="CF311" s="21" t="s">
        <v>494</v>
      </c>
    </row>
    <row r="312" customFormat="false" ht="15" hidden="false" customHeight="false" outlineLevel="0" collapsed="false">
      <c r="B312" s="17" t="s">
        <v>495</v>
      </c>
      <c r="C312" s="63" t="n">
        <f aca="false">IF(ISNUMBER(C309),C309+C310+C311,"")</f>
        <v>7350.411</v>
      </c>
      <c r="D312" s="63" t="n">
        <f aca="false">IF(ISNUMBER(D309),D309+D310+D311,"")</f>
        <v>6713</v>
      </c>
      <c r="E312" s="63" t="n">
        <f aca="false">IF(ISNUMBER(E309),E309+E310+E311,"")</f>
        <v>6163.4</v>
      </c>
      <c r="F312" s="63" t="n">
        <f aca="false">IF(ISNUMBER(F309),F309+F310+F311,"")</f>
        <v>6169.9</v>
      </c>
      <c r="G312" s="63" t="n">
        <f aca="false">IF(ISNUMBER(G309),G309+G310+G311,"")</f>
        <v>6025.8</v>
      </c>
      <c r="H312" s="63" t="n">
        <f aca="false">IF(ISNUMBER(H309),H309+H310+H311,"")</f>
        <v>11795.6</v>
      </c>
      <c r="I312" s="63" t="n">
        <f aca="false">IF(ISNUMBER(I309),I309+I310+I311,"")</f>
        <v>11895.1</v>
      </c>
      <c r="J312" s="63" t="n">
        <f aca="false">IF(ISNUMBER(J309),J309+J310+J311,"")</f>
        <v>11811.2</v>
      </c>
      <c r="K312" s="63" t="n">
        <f aca="false">IF(ISNUMBER(K309),K309+K310+K311,"")</f>
        <v>11826.7</v>
      </c>
      <c r="L312" s="63" t="n">
        <f aca="false">IF(ISNUMBER(L309),L309+L310+L311,"")</f>
        <v>11835.2</v>
      </c>
      <c r="M312" s="63" t="n">
        <f aca="false">IF(ISNUMBER(M309),M309+M310+M311,"")</f>
        <v>15020.1</v>
      </c>
      <c r="N312" s="63" t="n">
        <f aca="false">IF(ISNUMBER(N309),N309+N310+N311,"")</f>
        <v>15020.1</v>
      </c>
      <c r="O312" s="63" t="n">
        <f aca="false">IF(ISNUMBER(O309),O309+O310+O311,"")</f>
        <v>25703.1</v>
      </c>
      <c r="P312" s="63" t="n">
        <f aca="false">IF(ISNUMBER(P309),P309+P310+P311,"")</f>
        <v>23654.8</v>
      </c>
      <c r="Q312" s="63" t="n">
        <f aca="false">IF(ISNUMBER(Q309),Q309+Q310+Q311,"")</f>
        <v>22180.2</v>
      </c>
      <c r="R312" s="63" t="n">
        <f aca="false">IF(ISNUMBER(R309),R309+R310+R311,"")</f>
        <v>22091.3</v>
      </c>
      <c r="S312" s="63" t="n">
        <f aca="false">IF(ISNUMBER(S309),S309+S310+S311,"")</f>
        <v>22091.3</v>
      </c>
      <c r="T312" s="63" t="n">
        <f aca="false">IF(ISNUMBER(T309),T309+T310+T311,"")</f>
        <v>21942.5</v>
      </c>
      <c r="U312" s="63" t="n">
        <f aca="false">IF(ISNUMBER(U309),U309+U310+U311,"")</f>
        <v>21094.6</v>
      </c>
      <c r="V312" s="63" t="n">
        <f aca="false">IF(ISNUMBER(V309),V309+V310+V311,"")</f>
        <v>20296.9</v>
      </c>
      <c r="W312" s="63" t="n">
        <f aca="false">IF(ISNUMBER(W309),W309+W310+W311,"")</f>
        <v>19605.1</v>
      </c>
      <c r="X312" s="63" t="n">
        <f aca="false">IF(ISNUMBER(X309),X309+X310+X311,"")</f>
        <v>19605.1</v>
      </c>
      <c r="Y312" s="63" t="n">
        <f aca="false">IF(ISNUMBER(Y309),Y309+Y310+Y311,"")</f>
        <v>22028.3</v>
      </c>
      <c r="Z312" s="63" t="n">
        <f aca="false">IF(ISNUMBER(Z309),Z309+Z310+Z311,"")</f>
        <v>20989.5</v>
      </c>
      <c r="AA312" s="63" t="n">
        <f aca="false">IF(ISNUMBER(AA309),AA309+AA310+AA311,"")</f>
        <v>26352.1</v>
      </c>
      <c r="AB312" s="63" t="n">
        <f aca="false">IF(ISNUMBER(AB309),AB309+AB310+AB311,"")</f>
        <v>24297.4</v>
      </c>
      <c r="AC312" s="63" t="n">
        <f aca="false">IF(ISNUMBER(AC309),AC309+AC310+AC311,"")</f>
        <v>24297.4</v>
      </c>
      <c r="AD312" s="63" t="n">
        <f aca="false">IF(ISNUMBER(AD309),AD309+AD310+AD311,"")</f>
        <v>24418.4</v>
      </c>
      <c r="AE312" s="63" t="n">
        <f aca="false">IF(ISNUMBER(AE309),AE309+AE310+AE311,"")</f>
        <v>24122.1</v>
      </c>
      <c r="AF312" s="63" t="n">
        <f aca="false">IF(ISNUMBER(AF309),AF309+AF310+AF311,"")</f>
        <v>31283.5</v>
      </c>
      <c r="AG312" s="63" t="n">
        <f aca="false">IF(ISNUMBER(AG309),AG309+AG310+AG311,"")</f>
        <v>31176</v>
      </c>
      <c r="AH312" s="63" t="n">
        <f aca="false">IF(ISNUMBER(AH309),AH309+AH310+AH311,"")</f>
        <v>31176</v>
      </c>
      <c r="AI312" s="63" t="n">
        <f aca="false">IF(ISNUMBER(AI309),AI309+AI310+AI311,"")</f>
        <v>30457</v>
      </c>
      <c r="AJ312" s="63" t="n">
        <f aca="false">IF(ISNUMBER(AJ309),AJ309+AJ310+AJ311,"")</f>
        <v>28958</v>
      </c>
      <c r="AK312" s="63" t="n">
        <f aca="false">IF(ISNUMBER(AK309),AK309+AK310+AK311,"")</f>
        <v>28188</v>
      </c>
      <c r="AL312" s="63" t="n">
        <f aca="false">IF(ISNUMBER(AL309),AL309+AL310+AL311,"")</f>
        <v>28595</v>
      </c>
      <c r="AM312" s="63" t="n">
        <f aca="false">IF(ISNUMBER(AM309),AM309+AM310+AM311,"")</f>
        <v>28595</v>
      </c>
      <c r="AN312" s="63" t="n">
        <f aca="false">IF(ISNUMBER(AN309),AN309+AN310+AN311,"")</f>
        <v>27903</v>
      </c>
      <c r="AO312" s="63" t="n">
        <f aca="false">IF(ISNUMBER(AO309),AO309+AO310+AO311,"")</f>
        <v>29241</v>
      </c>
      <c r="AP312" s="63" t="n">
        <f aca="false">IF(ISNUMBER(AP309),AP309+AP310+AP311,"")</f>
        <v>27374</v>
      </c>
      <c r="AQ312" s="63" t="n">
        <f aca="false">IF(ISNUMBER(AQ309),AQ309+AQ310+AQ311,"")</f>
        <v>28514</v>
      </c>
      <c r="AR312" s="63" t="n">
        <f aca="false">IF(ISNUMBER(AR309),AR309+AR310+AR311,"")</f>
        <v>28514</v>
      </c>
      <c r="AS312" s="63" t="n">
        <f aca="false">IF(ISNUMBER(AS309),AS309+AS310+AS311,"")</f>
        <v>30129</v>
      </c>
      <c r="AT312" s="63" t="n">
        <f aca="false">IF(ISNUMBER(AT309),AT309+AT310+AT311,"")</f>
        <v>31718</v>
      </c>
      <c r="AU312" s="63" t="n">
        <f aca="false">IF(ISNUMBER(AU309),AU309+AU310+AU311,"")</f>
        <v>32237</v>
      </c>
      <c r="AV312" s="63" t="n">
        <f aca="false">IF(ISNUMBER(AV309),AV309+AV310+AV311,"")</f>
        <v>34545</v>
      </c>
      <c r="AW312" s="63" t="n">
        <f aca="false">IF(ISNUMBER(AW309),AW309+AW310+AW311,"")</f>
        <v>34545</v>
      </c>
      <c r="AX312" s="63" t="n">
        <f aca="false">IF(ISNUMBER(AX309),AX309+AX310+AX311,"")</f>
        <v>30873</v>
      </c>
      <c r="AY312" s="63" t="n">
        <f aca="false">IF(ISNUMBER(AY309),AY309+AY310+AY311,"")</f>
        <v>30844</v>
      </c>
      <c r="AZ312" s="63" t="n">
        <f aca="false">IF(ISNUMBER(AZ309),AZ309+AZ310+AZ311,"")</f>
        <v>34890</v>
      </c>
      <c r="BA312" s="63" t="n">
        <f aca="false">IF(ISNUMBER(BA309),BA309+BA310+BA311,"")</f>
        <v>53814</v>
      </c>
      <c r="BB312" s="63" t="n">
        <f aca="false">IF(ISNUMBER(BB309),BB309+BB310+BB311,"")</f>
        <v>53814</v>
      </c>
      <c r="BC312" s="63" t="n">
        <f aca="false">IF(ISNUMBER(BC309),BC309+BC310+BC311,"")</f>
        <v>51616</v>
      </c>
      <c r="BD312" s="63" t="n">
        <f aca="false">IF(ISNUMBER(BD309),BD309+BD310+BD311,"")</f>
        <v>48108</v>
      </c>
      <c r="BE312" s="63" t="n">
        <f aca="false">IF(ISNUMBER(BE309),BE309+BE310+BE311,"")</f>
        <v>46809</v>
      </c>
      <c r="BF312" s="63" t="n">
        <f aca="false">IF(ISNUMBER(BF309),BF309+BF310+BF311,"")</f>
        <v>53142</v>
      </c>
      <c r="BG312" s="63" t="n">
        <f aca="false">IF(ISNUMBER(BG309),BG309+BG310+BG311,"")</f>
        <v>53142</v>
      </c>
      <c r="BH312" s="63" t="n">
        <f aca="false">IF(ISNUMBER(BH309),BH309+BH310+BH311,"")</f>
        <v>52225</v>
      </c>
      <c r="BI312" s="63" t="n">
        <f aca="false">IF(ISNUMBER(BI309),BI309+BI310+BI311,"")</f>
        <v>50190</v>
      </c>
      <c r="BJ312" s="63" t="n">
        <f aca="false">IF(ISNUMBER(BJ309),BJ309+BJ310+BJ311,"")</f>
        <v>51593</v>
      </c>
      <c r="BK312" s="63" t="n">
        <f aca="false">IF(ISNUMBER(BK309),BK309+BK310+BK311,"")</f>
        <v>51884</v>
      </c>
      <c r="BL312" s="63" t="n">
        <f aca="false">IF(ISNUMBER(BL309),BL309+BL310+BL311,"")</f>
        <v>51884</v>
      </c>
      <c r="BM312" s="63" t="n">
        <f aca="false">IF(ISNUMBER(BM309),BM309+BM310+BM311,"")</f>
        <v>51472</v>
      </c>
      <c r="BN312" s="63" t="n">
        <f aca="false">IF(ISNUMBER(BN309),BN309+BN310+BN311,"")</f>
        <v>50963</v>
      </c>
      <c r="BO312" s="63" t="n">
        <f aca="false">IF(ISNUMBER(BO309),BO309+BO310+BO311,"")</f>
        <v>51264</v>
      </c>
      <c r="BP312" s="63" t="n">
        <f aca="false">IF(ISNUMBER(BP309),BP309+BP310+BP311,"")</f>
        <v>47650</v>
      </c>
      <c r="BQ312" s="63" t="n">
        <f aca="false">IF(ISNUMBER(BQ309),BQ309+BQ310+BQ311,"")</f>
        <v>47650</v>
      </c>
      <c r="BR312" s="63" t="n">
        <f aca="false">IF(ISNUMBER(BR309),BR309+BR310+BR311,"")</f>
        <v>49555</v>
      </c>
      <c r="BS312" s="63" t="n">
        <f aca="false">IF(ISNUMBER(BS309),BS309+BS310+BS311,"")</f>
        <v>50627</v>
      </c>
      <c r="BT312" s="63" t="n">
        <f aca="false">IF(ISNUMBER(BT309),BT309+BT310+BT311,"")</f>
        <v>51865</v>
      </c>
      <c r="BU312" s="63" t="n">
        <f aca="false">IF(ISNUMBER(BU309),BU309+BU310+BU311,"")</f>
        <v>56807</v>
      </c>
      <c r="BV312" s="63" t="n">
        <f aca="false">IF(ISNUMBER(BV309),BV309+BV310+BV311,"")</f>
        <v>56807</v>
      </c>
      <c r="BW312" s="63" t="n">
        <f aca="false">IF(ISNUMBER(BW309),BW309+BW310+BW311,"")</f>
        <v>61219</v>
      </c>
      <c r="BX312" s="63" t="n">
        <f aca="false">IF(ISNUMBER(BX309),BX309+BX310+BX311,"")</f>
        <v>60366</v>
      </c>
      <c r="BY312" s="52"/>
      <c r="BZ312" s="52"/>
      <c r="CA312" s="20" t="n">
        <f aca="false">IF(ISNUMBER(CA309),CA309+CA310+CA311,"")</f>
        <v>60539.5044545214</v>
      </c>
      <c r="CB312" s="20" t="n">
        <f aca="false">IF(ISNUMBER(CB309),CB309+CB310+CB311,"")</f>
        <v>60560.9833897612</v>
      </c>
      <c r="CC312" s="20" t="n">
        <f aca="false">IF(ISNUMBER(CC309),CC309+CC310+CC311,"")</f>
        <v>60764.9171122208</v>
      </c>
      <c r="CD312" s="20" t="n">
        <f aca="false">IF(ISNUMBER(CD309),CD309+CD310+CD311,"")</f>
        <v>62566.7833668994</v>
      </c>
      <c r="CE312" s="20" t="n">
        <f aca="false">IF(ISNUMBER(CE309),CE309+CE310+CE311,"")</f>
        <v>66554.6640593415</v>
      </c>
      <c r="CF312" s="21"/>
    </row>
    <row r="313" customFormat="false" ht="15" hidden="false" customHeight="false" outlineLevel="0" collapsed="false">
      <c r="B313" s="23" t="s">
        <v>496</v>
      </c>
      <c r="C313" s="37" t="n">
        <v>0</v>
      </c>
      <c r="D313" s="37" t="n">
        <v>0</v>
      </c>
      <c r="E313" s="37" t="n">
        <v>0</v>
      </c>
      <c r="F313" s="37" t="n">
        <v>0</v>
      </c>
      <c r="G313" s="37" t="n">
        <v>0</v>
      </c>
      <c r="H313" s="37" t="n">
        <v>0</v>
      </c>
      <c r="I313" s="37" t="n">
        <v>0</v>
      </c>
      <c r="J313" s="37" t="n">
        <v>0</v>
      </c>
      <c r="K313" s="37" t="n">
        <v>0</v>
      </c>
      <c r="L313" s="37" t="n">
        <v>0</v>
      </c>
      <c r="M313" s="37" t="n">
        <v>0</v>
      </c>
      <c r="N313" s="37" t="n">
        <v>0</v>
      </c>
      <c r="O313" s="37" t="n">
        <v>0</v>
      </c>
      <c r="P313" s="37" t="n">
        <v>0</v>
      </c>
      <c r="Q313" s="37" t="n">
        <v>0</v>
      </c>
      <c r="R313" s="37" t="n">
        <v>0</v>
      </c>
      <c r="S313" s="37" t="n">
        <v>0</v>
      </c>
      <c r="T313" s="37" t="n">
        <v>0</v>
      </c>
      <c r="U313" s="37" t="n">
        <v>0</v>
      </c>
      <c r="V313" s="37" t="n">
        <v>0</v>
      </c>
      <c r="W313" s="37" t="n">
        <v>0</v>
      </c>
      <c r="X313" s="37" t="n">
        <v>0</v>
      </c>
      <c r="Y313" s="37" t="n">
        <v>0</v>
      </c>
      <c r="Z313" s="37" t="n">
        <v>0</v>
      </c>
      <c r="AA313" s="37" t="n">
        <v>0</v>
      </c>
      <c r="AB313" s="37" t="n">
        <v>0</v>
      </c>
      <c r="AC313" s="37" t="n">
        <v>0</v>
      </c>
      <c r="AD313" s="37" t="n">
        <v>0</v>
      </c>
      <c r="AE313" s="37" t="n">
        <v>0</v>
      </c>
      <c r="AF313" s="37" t="n">
        <v>0</v>
      </c>
      <c r="AG313" s="37" t="n">
        <v>0</v>
      </c>
      <c r="AH313" s="37" t="n">
        <v>0</v>
      </c>
      <c r="AI313" s="37" t="n">
        <v>0</v>
      </c>
      <c r="AJ313" s="37" t="n">
        <v>0</v>
      </c>
      <c r="AK313" s="37" t="n">
        <v>0</v>
      </c>
      <c r="AL313" s="37" t="n">
        <v>0</v>
      </c>
      <c r="AM313" s="37" t="n">
        <v>0</v>
      </c>
      <c r="AN313" s="37" t="n">
        <v>0</v>
      </c>
      <c r="AO313" s="37" t="n">
        <v>0</v>
      </c>
      <c r="AP313" s="37" t="n">
        <v>0</v>
      </c>
      <c r="AQ313" s="37" t="n">
        <v>0</v>
      </c>
      <c r="AR313" s="37" t="n">
        <v>0</v>
      </c>
      <c r="AS313" s="37" t="n">
        <v>0</v>
      </c>
      <c r="AT313" s="37" t="n">
        <v>0</v>
      </c>
      <c r="AU313" s="37" t="n">
        <v>0</v>
      </c>
      <c r="AV313" s="37" t="n">
        <v>0</v>
      </c>
      <c r="AW313" s="37" t="n">
        <v>0</v>
      </c>
      <c r="AX313" s="37" t="n">
        <v>0</v>
      </c>
      <c r="AY313" s="37" t="n">
        <v>0</v>
      </c>
      <c r="AZ313" s="37" t="n">
        <v>0</v>
      </c>
      <c r="BA313" s="37" t="n">
        <v>122</v>
      </c>
      <c r="BB313" s="37" t="n">
        <v>122</v>
      </c>
      <c r="BC313" s="37" t="n">
        <v>113</v>
      </c>
      <c r="BD313" s="37" t="n">
        <v>117</v>
      </c>
      <c r="BE313" s="37" t="n">
        <v>119</v>
      </c>
      <c r="BF313" s="37" t="n">
        <v>116</v>
      </c>
      <c r="BG313" s="37" t="n">
        <v>116</v>
      </c>
      <c r="BH313" s="37" t="n">
        <v>123</v>
      </c>
      <c r="BI313" s="37" t="n">
        <v>113</v>
      </c>
      <c r="BJ313" s="37" t="n">
        <v>118</v>
      </c>
      <c r="BK313" s="37" t="n">
        <v>118</v>
      </c>
      <c r="BL313" s="37" t="n">
        <v>118</v>
      </c>
      <c r="BM313" s="37" t="n">
        <v>119</v>
      </c>
      <c r="BN313" s="37" t="n">
        <v>115</v>
      </c>
      <c r="BO313" s="37" t="n">
        <v>127</v>
      </c>
      <c r="BP313" s="37" t="n">
        <v>120</v>
      </c>
      <c r="BQ313" s="37" t="n">
        <v>120</v>
      </c>
      <c r="BR313" s="37" t="n">
        <v>128</v>
      </c>
      <c r="BS313" s="37" t="n">
        <v>126</v>
      </c>
      <c r="BT313" s="37" t="n">
        <v>129</v>
      </c>
      <c r="BU313" s="37" t="n">
        <v>122</v>
      </c>
      <c r="BV313" s="37" t="n">
        <v>122</v>
      </c>
      <c r="BW313" s="37" t="n">
        <v>121</v>
      </c>
      <c r="BX313" s="37" t="n">
        <v>121</v>
      </c>
      <c r="BY313" s="39"/>
      <c r="BZ313" s="39"/>
      <c r="CA313" s="44" t="n">
        <f aca="false">BX313</f>
        <v>121</v>
      </c>
      <c r="CB313" s="44" t="n">
        <f aca="false">CA313</f>
        <v>121</v>
      </c>
      <c r="CC313" s="44" t="n">
        <f aca="false">CB313</f>
        <v>121</v>
      </c>
      <c r="CD313" s="44" t="n">
        <f aca="false">CC313</f>
        <v>121</v>
      </c>
      <c r="CE313" s="44" t="n">
        <f aca="false">CD313</f>
        <v>121</v>
      </c>
      <c r="CF313" s="21"/>
    </row>
    <row r="314" customFormat="false" ht="15" hidden="false" customHeight="false" outlineLevel="0" collapsed="false">
      <c r="B314" s="17" t="s">
        <v>497</v>
      </c>
      <c r="CF314" s="64"/>
    </row>
    <row r="315" customFormat="false" ht="15" hidden="false" customHeight="false" outlineLevel="0" collapsed="false">
      <c r="B315" s="23" t="s">
        <v>498</v>
      </c>
      <c r="C315" s="37" t="n">
        <v>12234.6</v>
      </c>
      <c r="D315" s="37" t="n">
        <v>12722.7</v>
      </c>
      <c r="E315" s="37" t="n">
        <v>11695</v>
      </c>
      <c r="F315" s="37" t="n">
        <v>11564.6</v>
      </c>
      <c r="G315" s="37" t="n">
        <v>10421.5</v>
      </c>
      <c r="H315" s="37" t="n">
        <v>10558.4</v>
      </c>
      <c r="I315" s="37" t="n">
        <v>10914.6</v>
      </c>
      <c r="J315" s="37" t="n">
        <v>11054.8</v>
      </c>
      <c r="K315" s="37" t="n">
        <v>11162.1</v>
      </c>
      <c r="L315" s="37" t="n">
        <v>11231.5</v>
      </c>
      <c r="M315" s="37" t="n">
        <v>8592.2</v>
      </c>
      <c r="N315" s="37" t="n">
        <v>8592.2</v>
      </c>
      <c r="O315" s="37" t="n">
        <v>11699.7</v>
      </c>
      <c r="P315" s="37" t="n">
        <v>11758.8</v>
      </c>
      <c r="Q315" s="37" t="n">
        <v>11824.3</v>
      </c>
      <c r="R315" s="37" t="n">
        <v>11882.1</v>
      </c>
      <c r="S315" s="37" t="n">
        <v>11882.1</v>
      </c>
      <c r="T315" s="37" t="n">
        <v>12017.5</v>
      </c>
      <c r="U315" s="37" t="n">
        <v>12079.9</v>
      </c>
      <c r="V315" s="37" t="n">
        <v>12144.2</v>
      </c>
      <c r="W315" s="37" t="n">
        <v>12213.1</v>
      </c>
      <c r="X315" s="37" t="n">
        <v>12213.1</v>
      </c>
      <c r="Y315" s="37" t="n">
        <v>12332.1</v>
      </c>
      <c r="Z315" s="37" t="n">
        <v>12430.9</v>
      </c>
      <c r="AA315" s="37" t="n">
        <v>12512.1</v>
      </c>
      <c r="AB315" s="37" t="n">
        <v>12554.7</v>
      </c>
      <c r="AC315" s="37" t="n">
        <v>12554.7</v>
      </c>
      <c r="AD315" s="37" t="n">
        <v>12668.4</v>
      </c>
      <c r="AE315" s="37" t="n">
        <v>12745.1</v>
      </c>
      <c r="AF315" s="37" t="n">
        <v>14540</v>
      </c>
      <c r="AG315" s="37" t="n">
        <v>14605</v>
      </c>
      <c r="AH315" s="37" t="n">
        <v>14605</v>
      </c>
      <c r="AI315" s="37" t="n">
        <v>14748</v>
      </c>
      <c r="AJ315" s="37" t="n">
        <v>14838</v>
      </c>
      <c r="AK315" s="37" t="n">
        <v>14957</v>
      </c>
      <c r="AL315" s="37" t="n">
        <v>15053</v>
      </c>
      <c r="AM315" s="37" t="n">
        <v>15053</v>
      </c>
      <c r="AN315" s="37" t="n">
        <v>15204</v>
      </c>
      <c r="AO315" s="37" t="n">
        <v>15320</v>
      </c>
      <c r="AP315" s="37" t="n">
        <v>15398</v>
      </c>
      <c r="AQ315" s="37" t="n">
        <v>15498</v>
      </c>
      <c r="AR315" s="37" t="n">
        <v>15498</v>
      </c>
      <c r="AS315" s="37" t="n">
        <v>15621</v>
      </c>
      <c r="AT315" s="37" t="n">
        <v>15770</v>
      </c>
      <c r="AU315" s="37" t="n">
        <v>15904</v>
      </c>
      <c r="AV315" s="37" t="n">
        <v>16016</v>
      </c>
      <c r="AW315" s="37" t="n">
        <v>16016</v>
      </c>
      <c r="AX315" s="37" t="n">
        <v>16122</v>
      </c>
      <c r="AY315" s="37" t="n">
        <v>16264</v>
      </c>
      <c r="AZ315" s="37" t="n">
        <v>16399</v>
      </c>
      <c r="BA315" s="37" t="n">
        <v>16613</v>
      </c>
      <c r="BB315" s="37" t="n">
        <v>16613</v>
      </c>
      <c r="BC315" s="37" t="n">
        <v>16732</v>
      </c>
      <c r="BD315" s="37" t="n">
        <v>16907</v>
      </c>
      <c r="BE315" s="37" t="n">
        <v>17036</v>
      </c>
      <c r="BF315" s="37" t="n">
        <v>17184</v>
      </c>
      <c r="BG315" s="37" t="n">
        <v>17184</v>
      </c>
      <c r="BH315" s="37" t="n">
        <v>17330</v>
      </c>
      <c r="BI315" s="37" t="n">
        <v>17471</v>
      </c>
      <c r="BJ315" s="37" t="n">
        <v>17607</v>
      </c>
      <c r="BK315" s="37" t="n">
        <v>17728</v>
      </c>
      <c r="BL315" s="37" t="n">
        <v>17728</v>
      </c>
      <c r="BM315" s="37" t="n">
        <v>17925</v>
      </c>
      <c r="BN315" s="37" t="n">
        <v>18092</v>
      </c>
      <c r="BO315" s="37" t="n">
        <v>18275</v>
      </c>
      <c r="BP315" s="37" t="n">
        <v>18406</v>
      </c>
      <c r="BQ315" s="37" t="n">
        <v>18406</v>
      </c>
      <c r="BR315" s="37" t="n">
        <v>18555</v>
      </c>
      <c r="BS315" s="37" t="n">
        <v>18676</v>
      </c>
      <c r="BT315" s="37" t="n">
        <v>18775</v>
      </c>
      <c r="BU315" s="37" t="n">
        <v>19008</v>
      </c>
      <c r="BV315" s="37" t="n">
        <v>19008</v>
      </c>
      <c r="BW315" s="37" t="n">
        <v>19158</v>
      </c>
      <c r="BX315" s="37" t="n">
        <v>19316</v>
      </c>
      <c r="BY315" s="39"/>
      <c r="BZ315" s="39"/>
      <c r="CA315" s="44" t="n">
        <f aca="false">BX315+(CA242-BW242-BX242)+(CA258-BW258-BX258)</f>
        <v>19493.554893691</v>
      </c>
      <c r="CB315" s="44" t="n">
        <f aca="false">CA315+CB242+CB258</f>
        <v>19848.2018381334</v>
      </c>
      <c r="CC315" s="44" t="n">
        <f aca="false">CB315+CC242+CC258</f>
        <v>20229.7230595192</v>
      </c>
      <c r="CD315" s="44" t="n">
        <f aca="false">CC315+CD242+CD258</f>
        <v>20640.1503710019</v>
      </c>
      <c r="CE315" s="44" t="n">
        <f aca="false">CD315+CE242+CE258</f>
        <v>21081.2459514461</v>
      </c>
      <c r="CF315" s="21" t="s">
        <v>499</v>
      </c>
    </row>
    <row r="316" customFormat="false" ht="15" hidden="false" customHeight="false" outlineLevel="0" collapsed="false">
      <c r="B316" s="23" t="s">
        <v>500</v>
      </c>
      <c r="C316" s="37" t="n">
        <v>1773.4</v>
      </c>
      <c r="D316" s="37" t="n">
        <v>2534.5</v>
      </c>
      <c r="E316" s="37" t="n">
        <v>3528.7</v>
      </c>
      <c r="F316" s="37" t="n">
        <v>4350.8</v>
      </c>
      <c r="G316" s="37" t="n">
        <v>5386.4</v>
      </c>
      <c r="H316" s="37" t="n">
        <v>6716.3</v>
      </c>
      <c r="I316" s="37" t="n">
        <v>7697.3</v>
      </c>
      <c r="J316" s="37" t="n">
        <v>7979.5</v>
      </c>
      <c r="K316" s="37" t="n">
        <v>8202.6</v>
      </c>
      <c r="L316" s="37" t="n">
        <v>8465.7</v>
      </c>
      <c r="M316" s="37" t="n">
        <v>8753.3</v>
      </c>
      <c r="N316" s="37" t="n">
        <v>8753.3</v>
      </c>
      <c r="O316" s="37" t="n">
        <v>9236.3</v>
      </c>
      <c r="P316" s="37" t="n">
        <v>9454.6</v>
      </c>
      <c r="Q316" s="37" t="n">
        <v>9866</v>
      </c>
      <c r="R316" s="37" t="n">
        <v>10406.9</v>
      </c>
      <c r="S316" s="37" t="n">
        <v>10406.9</v>
      </c>
      <c r="T316" s="37" t="n">
        <v>10732.1</v>
      </c>
      <c r="U316" s="37" t="n">
        <v>11183.7</v>
      </c>
      <c r="V316" s="37" t="n">
        <v>11599.7</v>
      </c>
      <c r="W316" s="37" t="n">
        <v>12142.3</v>
      </c>
      <c r="X316" s="37" t="n">
        <v>12142.3</v>
      </c>
      <c r="Y316" s="37" t="n">
        <v>12485.2</v>
      </c>
      <c r="Z316" s="37" t="n">
        <v>12942.5</v>
      </c>
      <c r="AA316" s="37" t="n">
        <v>13356.5</v>
      </c>
      <c r="AB316" s="37" t="n">
        <v>13926.9</v>
      </c>
      <c r="AC316" s="37" t="n">
        <v>13926.9</v>
      </c>
      <c r="AD316" s="37" t="n">
        <v>14419.4</v>
      </c>
      <c r="AE316" s="37" t="n">
        <v>14972.3</v>
      </c>
      <c r="AF316" s="37" t="n">
        <v>15445.8</v>
      </c>
      <c r="AG316" s="37" t="n">
        <v>15914</v>
      </c>
      <c r="AH316" s="37" t="n">
        <v>15914</v>
      </c>
      <c r="AI316" s="37" t="n">
        <v>16542</v>
      </c>
      <c r="AJ316" s="37" t="n">
        <v>17226</v>
      </c>
      <c r="AK316" s="37" t="n">
        <v>17866</v>
      </c>
      <c r="AL316" s="37" t="n">
        <v>18696</v>
      </c>
      <c r="AM316" s="37" t="n">
        <v>18696</v>
      </c>
      <c r="AN316" s="37" t="n">
        <v>19439</v>
      </c>
      <c r="AO316" s="37" t="n">
        <v>20482</v>
      </c>
      <c r="AP316" s="37" t="n">
        <v>21165</v>
      </c>
      <c r="AQ316" s="37" t="n">
        <v>22092</v>
      </c>
      <c r="AR316" s="37" t="n">
        <v>22092</v>
      </c>
      <c r="AS316" s="37" t="n">
        <v>22791</v>
      </c>
      <c r="AT316" s="37" t="n">
        <v>23860</v>
      </c>
      <c r="AU316" s="37" t="n">
        <v>25705</v>
      </c>
      <c r="AV316" s="37" t="n">
        <v>28116</v>
      </c>
      <c r="AW316" s="37" t="n">
        <v>28116</v>
      </c>
      <c r="AX316" s="37" t="n">
        <v>30350</v>
      </c>
      <c r="AY316" s="37" t="n">
        <v>32076</v>
      </c>
      <c r="AZ316" s="37" t="n">
        <v>33876</v>
      </c>
      <c r="BA316" s="37" t="n">
        <v>35431</v>
      </c>
      <c r="BB316" s="37" t="n">
        <v>35431</v>
      </c>
      <c r="BC316" s="37" t="n">
        <v>37528</v>
      </c>
      <c r="BD316" s="37" t="n">
        <v>39074</v>
      </c>
      <c r="BE316" s="37" t="n">
        <v>40452</v>
      </c>
      <c r="BF316" s="37" t="n">
        <v>41910</v>
      </c>
      <c r="BG316" s="37" t="n">
        <v>41910</v>
      </c>
      <c r="BH316" s="37" t="n">
        <v>43064</v>
      </c>
      <c r="BI316" s="37" t="n">
        <v>44289</v>
      </c>
      <c r="BJ316" s="37" t="n">
        <v>45869</v>
      </c>
      <c r="BK316" s="37" t="n">
        <v>47364</v>
      </c>
      <c r="BL316" s="37" t="n">
        <v>47364</v>
      </c>
      <c r="BM316" s="37" t="n">
        <v>48542</v>
      </c>
      <c r="BN316" s="37" t="n">
        <v>49940</v>
      </c>
      <c r="BO316" s="37" t="n">
        <v>51421</v>
      </c>
      <c r="BP316" s="37" t="n">
        <v>53102</v>
      </c>
      <c r="BQ316" s="37" t="n">
        <v>53102</v>
      </c>
      <c r="BR316" s="37" t="n">
        <v>54447</v>
      </c>
      <c r="BS316" s="37" t="n">
        <v>55901</v>
      </c>
      <c r="BT316" s="37" t="n">
        <v>57354</v>
      </c>
      <c r="BU316" s="37" t="n">
        <v>59156</v>
      </c>
      <c r="BV316" s="37" t="n">
        <v>59156</v>
      </c>
      <c r="BW316" s="37" t="n">
        <v>60632</v>
      </c>
      <c r="BX316" s="37" t="n">
        <v>62194</v>
      </c>
      <c r="BY316" s="39"/>
      <c r="BZ316" s="39"/>
      <c r="CA316" s="44" t="n">
        <f aca="false">BX316+BY159+BZ159+(CA257-BW257-BX257)</f>
        <v>66077.03625</v>
      </c>
      <c r="CB316" s="44" t="n">
        <f aca="false">CA316+CB159+CB257</f>
        <v>73219.0808606265</v>
      </c>
      <c r="CC316" s="44" t="n">
        <f aca="false">CB316+CC159+CC257</f>
        <v>81117.1769318525</v>
      </c>
      <c r="CD316" s="44" t="n">
        <f aca="false">CC316+CD159+CD257</f>
        <v>89827.2376089977</v>
      </c>
      <c r="CE316" s="44" t="n">
        <f aca="false">CD316+CE159+CE257</f>
        <v>99611.2968132892</v>
      </c>
      <c r="CF316" s="21" t="s">
        <v>501</v>
      </c>
    </row>
    <row r="317" customFormat="false" ht="15" hidden="false" customHeight="false" outlineLevel="0" collapsed="false">
      <c r="B317" s="23" t="s">
        <v>502</v>
      </c>
      <c r="C317" s="37" t="n">
        <v>-246.4</v>
      </c>
      <c r="D317" s="37" t="n">
        <v>-1157.3</v>
      </c>
      <c r="E317" s="37" t="n">
        <v>-151.3</v>
      </c>
      <c r="F317" s="37" t="n">
        <v>-576.5</v>
      </c>
      <c r="G317" s="37" t="n">
        <v>-490.5</v>
      </c>
      <c r="H317" s="37" t="n">
        <v>-1837.1</v>
      </c>
      <c r="I317" s="37" t="n">
        <v>-2996.8</v>
      </c>
      <c r="J317" s="37" t="n">
        <v>-3105.5</v>
      </c>
      <c r="K317" s="37" t="n">
        <v>-3105.9</v>
      </c>
      <c r="L317" s="37" t="n">
        <v>-3109.5</v>
      </c>
      <c r="M317" s="37" t="n">
        <v>-412.2</v>
      </c>
      <c r="N317" s="37" t="n">
        <v>-412.2</v>
      </c>
      <c r="O317" s="37" t="n">
        <v>-442.6</v>
      </c>
      <c r="P317" s="37" t="n">
        <v>-443.1</v>
      </c>
      <c r="Q317" s="37" t="n">
        <v>-455.4</v>
      </c>
      <c r="R317" s="37" t="n">
        <v>-455.9</v>
      </c>
      <c r="S317" s="37" t="n">
        <v>-455.9</v>
      </c>
      <c r="T317" s="37" t="n">
        <v>-988.2</v>
      </c>
      <c r="U317" s="37" t="n">
        <v>-988.7</v>
      </c>
      <c r="V317" s="37" t="n">
        <v>-1007.3</v>
      </c>
      <c r="W317" s="37" t="n">
        <v>-1007.9</v>
      </c>
      <c r="X317" s="37" t="n">
        <v>-1007.9</v>
      </c>
      <c r="Y317" s="37" t="n">
        <v>-2026.2</v>
      </c>
      <c r="Z317" s="37" t="n">
        <v>-2027.4</v>
      </c>
      <c r="AA317" s="37" t="n">
        <v>-2055.3</v>
      </c>
      <c r="AB317" s="37" t="n">
        <v>-2306</v>
      </c>
      <c r="AC317" s="37" t="n">
        <v>-2306</v>
      </c>
      <c r="AD317" s="37" t="n">
        <v>-2819.1</v>
      </c>
      <c r="AE317" s="37" t="n">
        <v>-3069.7</v>
      </c>
      <c r="AF317" s="37" t="n">
        <v>-3101.1</v>
      </c>
      <c r="AG317" s="37" t="n">
        <v>-3103</v>
      </c>
      <c r="AH317" s="37" t="n">
        <v>-3103</v>
      </c>
      <c r="AI317" s="37" t="n">
        <v>-3125</v>
      </c>
      <c r="AJ317" s="37" t="n">
        <v>-3128</v>
      </c>
      <c r="AK317" s="37" t="n">
        <v>-3414</v>
      </c>
      <c r="AL317" s="37" t="n">
        <v>-3665</v>
      </c>
      <c r="AM317" s="37" t="n">
        <v>-3665</v>
      </c>
      <c r="AN317" s="37" t="n">
        <v>-4441</v>
      </c>
      <c r="AO317" s="37" t="n">
        <v>-4443</v>
      </c>
      <c r="AP317" s="37" t="n">
        <v>-4486</v>
      </c>
      <c r="AQ317" s="37" t="n">
        <v>-5236</v>
      </c>
      <c r="AR317" s="37" t="n">
        <v>-5236</v>
      </c>
      <c r="AS317" s="37" t="n">
        <v>-6765</v>
      </c>
      <c r="AT317" s="37" t="n">
        <v>-6766</v>
      </c>
      <c r="AU317" s="37" t="n">
        <v>-6815</v>
      </c>
      <c r="AV317" s="37" t="n">
        <v>-6818</v>
      </c>
      <c r="AW317" s="37" t="n">
        <v>-6818</v>
      </c>
      <c r="AX317" s="37" t="n">
        <v>-8852</v>
      </c>
      <c r="AY317" s="37" t="n">
        <v>-8856</v>
      </c>
      <c r="AZ317" s="37" t="n">
        <v>-8911</v>
      </c>
      <c r="BA317" s="37" t="n">
        <v>-8922</v>
      </c>
      <c r="BB317" s="37" t="n">
        <v>-8922</v>
      </c>
      <c r="BC317" s="37" t="n">
        <v>-10961</v>
      </c>
      <c r="BD317" s="37" t="n">
        <v>-10964</v>
      </c>
      <c r="BE317" s="37" t="n">
        <v>-11011</v>
      </c>
      <c r="BF317" s="37" t="n">
        <v>-12017</v>
      </c>
      <c r="BG317" s="37" t="n">
        <v>-12017</v>
      </c>
      <c r="BH317" s="37" t="n">
        <v>-15083</v>
      </c>
      <c r="BI317" s="37" t="n">
        <v>-15084</v>
      </c>
      <c r="BJ317" s="37" t="n">
        <v>-15121</v>
      </c>
      <c r="BK317" s="37" t="n">
        <v>-15133</v>
      </c>
      <c r="BL317" s="37" t="n">
        <v>-15133</v>
      </c>
      <c r="BM317" s="37" t="n">
        <v>-18186</v>
      </c>
      <c r="BN317" s="37" t="n">
        <v>-18187</v>
      </c>
      <c r="BO317" s="37" t="n">
        <v>-18227</v>
      </c>
      <c r="BP317" s="37" t="n">
        <v>-19226</v>
      </c>
      <c r="BQ317" s="37" t="n">
        <v>-19226</v>
      </c>
      <c r="BR317" s="37" t="n">
        <v>-21269</v>
      </c>
      <c r="BS317" s="37" t="n">
        <v>-21269</v>
      </c>
      <c r="BT317" s="37" t="n">
        <v>-22310</v>
      </c>
      <c r="BU317" s="37" t="n">
        <v>-22309</v>
      </c>
      <c r="BV317" s="37" t="n">
        <v>-22309</v>
      </c>
      <c r="BW317" s="37" t="n">
        <v>-25360</v>
      </c>
      <c r="BX317" s="37" t="n">
        <v>-26370</v>
      </c>
      <c r="BY317" s="39"/>
      <c r="BZ317" s="39"/>
      <c r="CA317" s="44" t="n">
        <f aca="false">BX317+(CA256-BW256-BX256)</f>
        <v>-26370</v>
      </c>
      <c r="CB317" s="44" t="n">
        <f aca="false">CA317+CB256</f>
        <v>-30710.1667362878</v>
      </c>
      <c r="CC317" s="44" t="n">
        <f aca="false">CB317+CC256</f>
        <v>-38330.7311926223</v>
      </c>
      <c r="CD317" s="44" t="n">
        <f aca="false">CC317+CD256</f>
        <v>-46971.9511671521</v>
      </c>
      <c r="CE317" s="44" t="n">
        <f aca="false">CD317+CE256</f>
        <v>-56726.4531119799</v>
      </c>
      <c r="CF317" s="21" t="s">
        <v>503</v>
      </c>
    </row>
    <row r="318" customFormat="false" ht="15" hidden="false" customHeight="false" outlineLevel="0" collapsed="false">
      <c r="B318" s="23" t="s">
        <v>504</v>
      </c>
      <c r="C318" s="37" t="n">
        <v>150.2</v>
      </c>
      <c r="D318" s="37" t="n">
        <v>388.4</v>
      </c>
      <c r="E318" s="37" t="n">
        <v>-145.8</v>
      </c>
      <c r="F318" s="37" t="n">
        <v>92</v>
      </c>
      <c r="G318" s="37" t="n">
        <v>43.6</v>
      </c>
      <c r="H318" s="37" t="n">
        <v>-399.5</v>
      </c>
      <c r="I318" s="37" t="n">
        <v>-150.4</v>
      </c>
      <c r="J318" s="37" t="n">
        <v>-329.3</v>
      </c>
      <c r="K318" s="37" t="n">
        <v>-456</v>
      </c>
      <c r="L318" s="37" t="n">
        <v>-150.4</v>
      </c>
      <c r="M318" s="37" t="n">
        <v>-77.2</v>
      </c>
      <c r="N318" s="37" t="n">
        <v>-77.2</v>
      </c>
      <c r="O318" s="37" t="n">
        <v>-62.8</v>
      </c>
      <c r="P318" s="37" t="n">
        <v>-111.7</v>
      </c>
      <c r="Q318" s="37" t="n">
        <v>-724.3</v>
      </c>
      <c r="R318" s="37" t="n">
        <v>-1285</v>
      </c>
      <c r="S318" s="37" t="n">
        <v>-1285</v>
      </c>
      <c r="T318" s="37" t="n">
        <v>-1846.6</v>
      </c>
      <c r="U318" s="37" t="n">
        <v>-1595.1</v>
      </c>
      <c r="V318" s="37" t="n">
        <v>-1886.4</v>
      </c>
      <c r="W318" s="37" t="n">
        <v>-1997.3</v>
      </c>
      <c r="X318" s="37" t="n">
        <v>-1997.3</v>
      </c>
      <c r="Y318" s="37" t="n">
        <v>-1866.7</v>
      </c>
      <c r="Z318" s="37" t="n">
        <v>-2082.1</v>
      </c>
      <c r="AA318" s="37" t="n">
        <v>-2154.7</v>
      </c>
      <c r="AB318" s="37" t="n">
        <v>-2636.3</v>
      </c>
      <c r="AC318" s="37" t="n">
        <v>-2636.3</v>
      </c>
      <c r="AD318" s="37" t="n">
        <v>-2473.5</v>
      </c>
      <c r="AE318" s="37" t="n">
        <v>-2256.1</v>
      </c>
      <c r="AF318" s="37" t="n">
        <v>-2182.9</v>
      </c>
      <c r="AG318" s="37" t="n">
        <v>-2003</v>
      </c>
      <c r="AH318" s="37" t="n">
        <v>-2003</v>
      </c>
      <c r="AI318" s="37" t="n">
        <v>-2042</v>
      </c>
      <c r="AJ318" s="37" t="n">
        <v>-2491</v>
      </c>
      <c r="AK318" s="37" t="n">
        <v>-2519</v>
      </c>
      <c r="AL318" s="37" t="n">
        <v>-2498</v>
      </c>
      <c r="AM318" s="37" t="n">
        <v>-2498</v>
      </c>
      <c r="AN318" s="37" t="n">
        <v>-2509</v>
      </c>
      <c r="AO318" s="37" t="n">
        <v>-2630</v>
      </c>
      <c r="AP318" s="37" t="n">
        <v>-2722</v>
      </c>
      <c r="AQ318" s="37" t="n">
        <v>-2679</v>
      </c>
      <c r="AR318" s="37" t="n">
        <v>-2679</v>
      </c>
      <c r="AS318" s="37" t="n">
        <v>-3088</v>
      </c>
      <c r="AT318" s="37" t="n">
        <v>-2989</v>
      </c>
      <c r="AU318" s="37" t="n">
        <v>-2970</v>
      </c>
      <c r="AV318" s="37" t="n">
        <v>-2807</v>
      </c>
      <c r="AW318" s="37" t="n">
        <v>-2807</v>
      </c>
      <c r="AX318" s="37" t="n">
        <v>-2562</v>
      </c>
      <c r="AY318" s="37" t="n">
        <v>-2630</v>
      </c>
      <c r="AZ318" s="37" t="n">
        <v>-2654</v>
      </c>
      <c r="BA318" s="37" t="n">
        <v>-2329</v>
      </c>
      <c r="BB318" s="37" t="n">
        <v>-2329</v>
      </c>
      <c r="BC318" s="37" t="n">
        <v>-2343</v>
      </c>
      <c r="BD318" s="37" t="n">
        <v>-2724</v>
      </c>
      <c r="BE318" s="37" t="n">
        <v>-2928</v>
      </c>
      <c r="BF318" s="37" t="n">
        <v>-3099</v>
      </c>
      <c r="BG318" s="37" t="n">
        <v>-3099</v>
      </c>
      <c r="BH318" s="37" t="n">
        <v>-3054</v>
      </c>
      <c r="BI318" s="37" t="n">
        <v>-2924</v>
      </c>
      <c r="BJ318" s="37" t="n">
        <v>-3027</v>
      </c>
      <c r="BK318" s="37" t="n">
        <v>-3224</v>
      </c>
      <c r="BL318" s="37" t="n">
        <v>-3224</v>
      </c>
      <c r="BM318" s="37" t="n">
        <v>-2764</v>
      </c>
      <c r="BN318" s="37" t="n">
        <v>-2413</v>
      </c>
      <c r="BO318" s="37" t="n">
        <v>-2477</v>
      </c>
      <c r="BP318" s="37" t="n">
        <v>-2697</v>
      </c>
      <c r="BQ318" s="37" t="n">
        <v>-2697</v>
      </c>
      <c r="BR318" s="37" t="n">
        <v>-2343</v>
      </c>
      <c r="BS318" s="37" t="n">
        <v>-2797</v>
      </c>
      <c r="BT318" s="37" t="n">
        <v>-2801</v>
      </c>
      <c r="BU318" s="37" t="n">
        <v>-2448</v>
      </c>
      <c r="BV318" s="37" t="n">
        <v>-2448</v>
      </c>
      <c r="BW318" s="37" t="n">
        <v>-2497</v>
      </c>
      <c r="BX318" s="37" t="n">
        <v>-2460</v>
      </c>
      <c r="BY318" s="39"/>
      <c r="BZ318" s="39"/>
      <c r="CA318" s="44" t="n">
        <f aca="false">BX318</f>
        <v>-2460</v>
      </c>
      <c r="CB318" s="44" t="n">
        <f aca="false">CA318</f>
        <v>-2460</v>
      </c>
      <c r="CC318" s="44" t="n">
        <f aca="false">CB318</f>
        <v>-2460</v>
      </c>
      <c r="CD318" s="44" t="n">
        <f aca="false">CC318</f>
        <v>-2460</v>
      </c>
      <c r="CE318" s="44" t="n">
        <f aca="false">CD318</f>
        <v>-2460</v>
      </c>
      <c r="CF318" s="21"/>
    </row>
    <row r="319" customFormat="false" ht="15" hidden="false" customHeight="false" outlineLevel="0" collapsed="false">
      <c r="B319" s="17" t="s">
        <v>505</v>
      </c>
      <c r="C319" s="63" t="n">
        <f aca="false">IF(ISNUMBER(C315),SUM(C315:C318),"")</f>
        <v>13911.8</v>
      </c>
      <c r="D319" s="63" t="n">
        <f aca="false">IF(ISNUMBER(D315),SUM(D315:D318),"")</f>
        <v>14488.3</v>
      </c>
      <c r="E319" s="63" t="n">
        <f aca="false">IF(ISNUMBER(E315),SUM(E315:E318),"")</f>
        <v>14926.6</v>
      </c>
      <c r="F319" s="63" t="n">
        <f aca="false">IF(ISNUMBER(F315),SUM(F315:F318),"")</f>
        <v>15430.9</v>
      </c>
      <c r="G319" s="63" t="n">
        <f aca="false">IF(ISNUMBER(G315),SUM(G315:G318),"")</f>
        <v>15361</v>
      </c>
      <c r="H319" s="63" t="n">
        <f aca="false">IF(ISNUMBER(H315),SUM(H315:H318),"")</f>
        <v>15038.1</v>
      </c>
      <c r="I319" s="63" t="n">
        <f aca="false">IF(ISNUMBER(I315),SUM(I315:I318),"")</f>
        <v>15464.7</v>
      </c>
      <c r="J319" s="63" t="n">
        <f aca="false">IF(ISNUMBER(J315),SUM(J315:J318),"")</f>
        <v>15599.5</v>
      </c>
      <c r="K319" s="63" t="n">
        <f aca="false">IF(ISNUMBER(K315),SUM(K315:K318),"")</f>
        <v>15802.8</v>
      </c>
      <c r="L319" s="63" t="n">
        <f aca="false">IF(ISNUMBER(L315),SUM(L315:L318),"")</f>
        <v>16437.3</v>
      </c>
      <c r="M319" s="63" t="n">
        <f aca="false">IF(ISNUMBER(M315),SUM(M315:M318),"")</f>
        <v>16856.1</v>
      </c>
      <c r="N319" s="63" t="n">
        <f aca="false">IF(ISNUMBER(N315),SUM(N315:N318),"")</f>
        <v>16856.1</v>
      </c>
      <c r="O319" s="63" t="n">
        <f aca="false">IF(ISNUMBER(O315),SUM(O315:O318),"")</f>
        <v>20430.6</v>
      </c>
      <c r="P319" s="63" t="n">
        <f aca="false">IF(ISNUMBER(P315),SUM(P315:P318),"")</f>
        <v>20658.6</v>
      </c>
      <c r="Q319" s="63" t="n">
        <f aca="false">IF(ISNUMBER(Q315),SUM(Q315:Q318),"")</f>
        <v>20510.6</v>
      </c>
      <c r="R319" s="63" t="n">
        <f aca="false">IF(ISNUMBER(R315),SUM(R315:R318),"")</f>
        <v>20548.1</v>
      </c>
      <c r="S319" s="63" t="n">
        <f aca="false">IF(ISNUMBER(S315),SUM(S315:S318),"")</f>
        <v>20548.1</v>
      </c>
      <c r="T319" s="63" t="n">
        <f aca="false">IF(ISNUMBER(T315),SUM(T315:T318),"")</f>
        <v>19914.8</v>
      </c>
      <c r="U319" s="63" t="n">
        <f aca="false">IF(ISNUMBER(U315),SUM(U315:U318),"")</f>
        <v>20679.8</v>
      </c>
      <c r="V319" s="63" t="n">
        <f aca="false">IF(ISNUMBER(V315),SUM(V315:V318),"")</f>
        <v>20850.2</v>
      </c>
      <c r="W319" s="63" t="n">
        <f aca="false">IF(ISNUMBER(W315),SUM(W315:W318),"")</f>
        <v>21350.2</v>
      </c>
      <c r="X319" s="63" t="n">
        <f aca="false">IF(ISNUMBER(X315),SUM(X315:X318),"")</f>
        <v>21350.2</v>
      </c>
      <c r="Y319" s="63" t="n">
        <f aca="false">IF(ISNUMBER(Y315),SUM(Y315:Y318),"")</f>
        <v>20924.4</v>
      </c>
      <c r="Z319" s="63" t="n">
        <f aca="false">IF(ISNUMBER(Z315),SUM(Z315:Z318),"")</f>
        <v>21263.9</v>
      </c>
      <c r="AA319" s="63" t="n">
        <f aca="false">IF(ISNUMBER(AA315),SUM(AA315:AA318),"")</f>
        <v>21658.6</v>
      </c>
      <c r="AB319" s="63" t="n">
        <f aca="false">IF(ISNUMBER(AB315),SUM(AB315:AB318),"")</f>
        <v>21539.3</v>
      </c>
      <c r="AC319" s="63" t="n">
        <f aca="false">IF(ISNUMBER(AC315),SUM(AC315:AC318),"")</f>
        <v>21539.3</v>
      </c>
      <c r="AD319" s="63" t="n">
        <f aca="false">IF(ISNUMBER(AD315),SUM(AD315:AD318),"")</f>
        <v>21795.2</v>
      </c>
      <c r="AE319" s="63" t="n">
        <f aca="false">IF(ISNUMBER(AE315),SUM(AE315:AE318),"")</f>
        <v>22391.6</v>
      </c>
      <c r="AF319" s="63" t="n">
        <f aca="false">IF(ISNUMBER(AF315),SUM(AF315:AF318),"")</f>
        <v>24701.8</v>
      </c>
      <c r="AG319" s="63" t="n">
        <f aca="false">IF(ISNUMBER(AG315),SUM(AG315:AG318),"")</f>
        <v>25413</v>
      </c>
      <c r="AH319" s="63" t="n">
        <f aca="false">IF(ISNUMBER(AH315),SUM(AH315:AH318),"")</f>
        <v>25413</v>
      </c>
      <c r="AI319" s="63" t="n">
        <f aca="false">IF(ISNUMBER(AI315),SUM(AI315:AI318),"")</f>
        <v>26123</v>
      </c>
      <c r="AJ319" s="63" t="n">
        <f aca="false">IF(ISNUMBER(AJ315),SUM(AJ315:AJ318),"")</f>
        <v>26445</v>
      </c>
      <c r="AK319" s="63" t="n">
        <f aca="false">IF(ISNUMBER(AK315),SUM(AK315:AK318),"")</f>
        <v>26890</v>
      </c>
      <c r="AL319" s="63" t="n">
        <f aca="false">IF(ISNUMBER(AL315),SUM(AL315:AL318),"")</f>
        <v>27586</v>
      </c>
      <c r="AM319" s="63" t="n">
        <f aca="false">IF(ISNUMBER(AM315),SUM(AM315:AM318),"")</f>
        <v>27586</v>
      </c>
      <c r="AN319" s="63" t="n">
        <f aca="false">IF(ISNUMBER(AN315),SUM(AN315:AN318),"")</f>
        <v>27693</v>
      </c>
      <c r="AO319" s="63" t="n">
        <f aca="false">IF(ISNUMBER(AO315),SUM(AO315:AO318),"")</f>
        <v>28729</v>
      </c>
      <c r="AP319" s="63" t="n">
        <f aca="false">IF(ISNUMBER(AP315),SUM(AP315:AP318),"")</f>
        <v>29355</v>
      </c>
      <c r="AQ319" s="63" t="n">
        <f aca="false">IF(ISNUMBER(AQ315),SUM(AQ315:AQ318),"")</f>
        <v>29675</v>
      </c>
      <c r="AR319" s="63" t="n">
        <f aca="false">IF(ISNUMBER(AR315),SUM(AR315:AR318),"")</f>
        <v>29675</v>
      </c>
      <c r="AS319" s="63" t="n">
        <f aca="false">IF(ISNUMBER(AS315),SUM(AS315:AS318),"")</f>
        <v>28559</v>
      </c>
      <c r="AT319" s="63" t="n">
        <f aca="false">IF(ISNUMBER(AT315),SUM(AT315:AT318),"")</f>
        <v>29875</v>
      </c>
      <c r="AU319" s="63" t="n">
        <f aca="false">IF(ISNUMBER(AU315),SUM(AU315:AU318),"")</f>
        <v>31824</v>
      </c>
      <c r="AV319" s="63" t="n">
        <f aca="false">IF(ISNUMBER(AV315),SUM(AV315:AV318),"")</f>
        <v>34507</v>
      </c>
      <c r="AW319" s="63" t="n">
        <f aca="false">IF(ISNUMBER(AW315),SUM(AW315:AW318),"")</f>
        <v>34507</v>
      </c>
      <c r="AX319" s="63" t="n">
        <f aca="false">IF(ISNUMBER(AX315),SUM(AX315:AX318),"")</f>
        <v>35058</v>
      </c>
      <c r="AY319" s="63" t="n">
        <f aca="false">IF(ISNUMBER(AY315),SUM(AY315:AY318),"")</f>
        <v>36854</v>
      </c>
      <c r="AZ319" s="63" t="n">
        <f aca="false">IF(ISNUMBER(AZ315),SUM(AZ315:AZ318),"")</f>
        <v>38710</v>
      </c>
      <c r="BA319" s="63" t="n">
        <f aca="false">IF(ISNUMBER(BA315),SUM(BA315:BA318),"")</f>
        <v>40793</v>
      </c>
      <c r="BB319" s="63" t="n">
        <f aca="false">IF(ISNUMBER(BB315),SUM(BB315:BB318),"")</f>
        <v>40793</v>
      </c>
      <c r="BC319" s="63" t="n">
        <f aca="false">IF(ISNUMBER(BC315),SUM(BC315:BC318),"")</f>
        <v>40956</v>
      </c>
      <c r="BD319" s="63" t="n">
        <f aca="false">IF(ISNUMBER(BD315),SUM(BD315:BD318),"")</f>
        <v>42293</v>
      </c>
      <c r="BE319" s="63" t="n">
        <f aca="false">IF(ISNUMBER(BE315),SUM(BE315:BE318),"")</f>
        <v>43549</v>
      </c>
      <c r="BF319" s="63" t="n">
        <f aca="false">IF(ISNUMBER(BF315),SUM(BF315:BF318),"")</f>
        <v>43978</v>
      </c>
      <c r="BG319" s="63" t="n">
        <f aca="false">IF(ISNUMBER(BG315),SUM(BG315:BG318),"")</f>
        <v>43978</v>
      </c>
      <c r="BH319" s="63" t="n">
        <f aca="false">IF(ISNUMBER(BH315),SUM(BH315:BH318),"")</f>
        <v>42257</v>
      </c>
      <c r="BI319" s="63" t="n">
        <f aca="false">IF(ISNUMBER(BI315),SUM(BI315:BI318),"")</f>
        <v>43752</v>
      </c>
      <c r="BJ319" s="63" t="n">
        <f aca="false">IF(ISNUMBER(BJ315),SUM(BJ315:BJ318),"")</f>
        <v>45328</v>
      </c>
      <c r="BK319" s="63" t="n">
        <f aca="false">IF(ISNUMBER(BK315),SUM(BK315:BK318),"")</f>
        <v>46735</v>
      </c>
      <c r="BL319" s="63" t="n">
        <f aca="false">IF(ISNUMBER(BL315),SUM(BL315:BL318),"")</f>
        <v>46735</v>
      </c>
      <c r="BM319" s="63" t="n">
        <f aca="false">IF(ISNUMBER(BM315),SUM(BM315:BM318),"")</f>
        <v>45517</v>
      </c>
      <c r="BN319" s="63" t="n">
        <f aca="false">IF(ISNUMBER(BN315),SUM(BN315:BN318),"")</f>
        <v>47432</v>
      </c>
      <c r="BO319" s="63" t="n">
        <f aca="false">IF(ISNUMBER(BO315),SUM(BO315:BO318),"")</f>
        <v>48992</v>
      </c>
      <c r="BP319" s="63" t="n">
        <f aca="false">IF(ISNUMBER(BP315),SUM(BP315:BP318),"")</f>
        <v>49585</v>
      </c>
      <c r="BQ319" s="63" t="n">
        <f aca="false">IF(ISNUMBER(BQ315),SUM(BQ315:BQ318),"")</f>
        <v>49585</v>
      </c>
      <c r="BR319" s="63" t="n">
        <f aca="false">IF(ISNUMBER(BR315),SUM(BR315:BR318),"")</f>
        <v>49390</v>
      </c>
      <c r="BS319" s="63" t="n">
        <f aca="false">IF(ISNUMBER(BS315),SUM(BS315:BS318),"")</f>
        <v>50511</v>
      </c>
      <c r="BT319" s="63" t="n">
        <f aca="false">IF(ISNUMBER(BT315),SUM(BT315:BT318),"")</f>
        <v>51018</v>
      </c>
      <c r="BU319" s="63" t="n">
        <f aca="false">IF(ISNUMBER(BU315),SUM(BU315:BU318),"")</f>
        <v>53407</v>
      </c>
      <c r="BV319" s="63" t="n">
        <f aca="false">IF(ISNUMBER(BV315),SUM(BV315:BV318),"")</f>
        <v>53407</v>
      </c>
      <c r="BW319" s="63" t="n">
        <f aca="false">IF(ISNUMBER(BW315),SUM(BW315:BW318),"")</f>
        <v>51933</v>
      </c>
      <c r="BX319" s="63" t="n">
        <f aca="false">IF(ISNUMBER(BX315),SUM(BX315:BX318),"")</f>
        <v>52680</v>
      </c>
      <c r="BY319" s="52"/>
      <c r="BZ319" s="52"/>
      <c r="CA319" s="20" t="n">
        <f aca="false">IF(ISNUMBER(CA315),SUM(CA315:CA318),"")</f>
        <v>56740.591143691</v>
      </c>
      <c r="CB319" s="20" t="n">
        <f aca="false">IF(ISNUMBER(CB315),SUM(CB315:CB318),"")</f>
        <v>59897.1159624721</v>
      </c>
      <c r="CC319" s="20" t="n">
        <f aca="false">IF(ISNUMBER(CC315),SUM(CC315:CC318),"")</f>
        <v>60556.1687987494</v>
      </c>
      <c r="CD319" s="20" t="n">
        <f aca="false">IF(ISNUMBER(CD315),SUM(CD315:CD318),"")</f>
        <v>61035.4368128475</v>
      </c>
      <c r="CE319" s="20" t="n">
        <f aca="false">IF(ISNUMBER(CE315),SUM(CE315:CE318),"")</f>
        <v>61506.0896527554</v>
      </c>
      <c r="CF319" s="21"/>
    </row>
    <row r="320" customFormat="false" ht="15" hidden="false" customHeight="false" outlineLevel="0" collapsed="false">
      <c r="B320" s="23" t="s">
        <v>506</v>
      </c>
      <c r="C320" s="37" t="n">
        <v>0</v>
      </c>
      <c r="D320" s="37" t="n">
        <v>0</v>
      </c>
      <c r="E320" s="37" t="n">
        <v>0</v>
      </c>
      <c r="F320" s="37" t="n">
        <v>0</v>
      </c>
      <c r="G320" s="37" t="n">
        <v>0</v>
      </c>
      <c r="H320" s="37" t="n">
        <v>0</v>
      </c>
      <c r="I320" s="37" t="n">
        <v>0</v>
      </c>
      <c r="J320" s="37" t="n">
        <v>0</v>
      </c>
      <c r="K320" s="37" t="n">
        <v>0</v>
      </c>
      <c r="L320" s="37" t="n">
        <v>0</v>
      </c>
      <c r="M320" s="37" t="n">
        <v>0</v>
      </c>
      <c r="N320" s="37" t="n">
        <v>0</v>
      </c>
      <c r="O320" s="37" t="n">
        <v>0</v>
      </c>
      <c r="P320" s="37" t="n">
        <v>0</v>
      </c>
      <c r="Q320" s="37" t="n">
        <v>0</v>
      </c>
      <c r="R320" s="37" t="n">
        <v>0</v>
      </c>
      <c r="S320" s="37" t="n">
        <v>0</v>
      </c>
      <c r="T320" s="37" t="n">
        <v>0</v>
      </c>
      <c r="U320" s="37" t="n">
        <v>0</v>
      </c>
      <c r="V320" s="37" t="n">
        <v>0</v>
      </c>
      <c r="W320" s="37" t="n">
        <v>43.8</v>
      </c>
      <c r="X320" s="37" t="n">
        <v>43.8</v>
      </c>
      <c r="Y320" s="37" t="n">
        <v>0</v>
      </c>
      <c r="Z320" s="37" t="n">
        <v>0</v>
      </c>
      <c r="AA320" s="37" t="n">
        <v>0</v>
      </c>
      <c r="AB320" s="37" t="n">
        <v>0</v>
      </c>
      <c r="AC320" s="37" t="n">
        <v>0</v>
      </c>
      <c r="AD320" s="37" t="n">
        <v>0</v>
      </c>
      <c r="AE320" s="37" t="n">
        <v>0</v>
      </c>
      <c r="AF320" s="37" t="n">
        <v>0</v>
      </c>
      <c r="AG320" s="37" t="n">
        <v>0</v>
      </c>
      <c r="AH320" s="37" t="n">
        <v>0</v>
      </c>
      <c r="AI320" s="37" t="n">
        <v>0</v>
      </c>
      <c r="AJ320" s="37" t="n">
        <v>0</v>
      </c>
      <c r="AK320" s="37" t="n">
        <v>0</v>
      </c>
      <c r="AL320" s="37" t="n">
        <v>0</v>
      </c>
      <c r="AM320" s="37" t="n">
        <v>0</v>
      </c>
      <c r="AN320" s="37" t="n">
        <v>0</v>
      </c>
      <c r="AO320" s="37" t="n">
        <v>0</v>
      </c>
      <c r="AP320" s="37" t="n">
        <v>0</v>
      </c>
      <c r="AQ320" s="37" t="n">
        <v>0</v>
      </c>
      <c r="AR320" s="37" t="n">
        <v>0</v>
      </c>
      <c r="AS320" s="37" t="n">
        <v>0</v>
      </c>
      <c r="AT320" s="37" t="n">
        <v>0</v>
      </c>
      <c r="AU320" s="37" t="n">
        <v>0</v>
      </c>
      <c r="AV320" s="37" t="n">
        <v>0</v>
      </c>
      <c r="AW320" s="37" t="n">
        <v>0</v>
      </c>
      <c r="AX320" s="37" t="n">
        <v>0</v>
      </c>
      <c r="AY320" s="37" t="n">
        <v>0</v>
      </c>
      <c r="AZ320" s="37" t="n">
        <v>0</v>
      </c>
      <c r="BA320" s="37" t="n">
        <v>62</v>
      </c>
      <c r="BB320" s="37" t="n">
        <v>62</v>
      </c>
      <c r="BC320" s="37" t="n">
        <v>62</v>
      </c>
      <c r="BD320" s="37" t="n">
        <v>61</v>
      </c>
      <c r="BE320" s="37" t="n">
        <v>59</v>
      </c>
      <c r="BF320" s="37" t="n">
        <v>54</v>
      </c>
      <c r="BG320" s="37" t="n">
        <v>54</v>
      </c>
      <c r="BH320" s="37" t="n">
        <v>53</v>
      </c>
      <c r="BI320" s="37" t="n">
        <v>50</v>
      </c>
      <c r="BJ320" s="37" t="n">
        <v>18</v>
      </c>
      <c r="BK320" s="37" t="n">
        <v>-11</v>
      </c>
      <c r="BL320" s="37" t="n">
        <v>-11</v>
      </c>
      <c r="BM320" s="37" t="n">
        <v>-12</v>
      </c>
      <c r="BN320" s="37" t="n">
        <v>-12</v>
      </c>
      <c r="BO320" s="37" t="n">
        <v>-20</v>
      </c>
      <c r="BP320" s="37" t="n">
        <v>-33</v>
      </c>
      <c r="BQ320" s="37" t="n">
        <v>-33</v>
      </c>
      <c r="BR320" s="37" t="n">
        <v>-33</v>
      </c>
      <c r="BS320" s="37" t="n">
        <v>-35</v>
      </c>
      <c r="BT320" s="37" t="n">
        <v>7</v>
      </c>
      <c r="BU320" s="37" t="n">
        <v>7</v>
      </c>
      <c r="BV320" s="37" t="n">
        <v>7</v>
      </c>
      <c r="BW320" s="37" t="n">
        <v>7</v>
      </c>
      <c r="BX320" s="37" t="n">
        <v>7</v>
      </c>
      <c r="BY320" s="39"/>
      <c r="BZ320" s="39"/>
      <c r="CA320" s="44" t="n">
        <f aca="false">BX320+BY158+BZ158</f>
        <v>17</v>
      </c>
      <c r="CB320" s="44" t="n">
        <f aca="false">CA320+CB158</f>
        <v>37</v>
      </c>
      <c r="CC320" s="44" t="n">
        <f aca="false">CB320+CC158</f>
        <v>57</v>
      </c>
      <c r="CD320" s="44" t="n">
        <f aca="false">CC320+CD158</f>
        <v>77</v>
      </c>
      <c r="CE320" s="44" t="n">
        <f aca="false">CD320+CE158</f>
        <v>97</v>
      </c>
      <c r="CF320" s="21"/>
    </row>
    <row r="321" customFormat="false" ht="15" hidden="false" customHeight="false" outlineLevel="0" collapsed="false">
      <c r="B321" s="17" t="s">
        <v>507</v>
      </c>
      <c r="C321" s="63" t="n">
        <f aca="false">IF(ISNUMBER(C319),C319+N(C320),"")</f>
        <v>13911.8</v>
      </c>
      <c r="D321" s="63" t="n">
        <f aca="false">IF(ISNUMBER(D319),D319+N(D320),"")</f>
        <v>14488.3</v>
      </c>
      <c r="E321" s="63" t="n">
        <f aca="false">IF(ISNUMBER(E319),E319+N(E320),"")</f>
        <v>14926.6</v>
      </c>
      <c r="F321" s="63" t="n">
        <f aca="false">IF(ISNUMBER(F319),F319+N(F320),"")</f>
        <v>15430.9</v>
      </c>
      <c r="G321" s="63" t="n">
        <f aca="false">IF(ISNUMBER(G319),G319+N(G320),"")</f>
        <v>15361</v>
      </c>
      <c r="H321" s="63" t="n">
        <f aca="false">IF(ISNUMBER(H319),H319+N(H320),"")</f>
        <v>15038.1</v>
      </c>
      <c r="I321" s="63" t="n">
        <f aca="false">IF(ISNUMBER(I319),I319+N(I320),"")</f>
        <v>15464.7</v>
      </c>
      <c r="J321" s="63" t="n">
        <f aca="false">IF(ISNUMBER(J319),J319+N(J320),"")</f>
        <v>15599.5</v>
      </c>
      <c r="K321" s="63" t="n">
        <f aca="false">IF(ISNUMBER(K319),K319+N(K320),"")</f>
        <v>15802.8</v>
      </c>
      <c r="L321" s="63" t="n">
        <f aca="false">IF(ISNUMBER(L319),L319+N(L320),"")</f>
        <v>16437.3</v>
      </c>
      <c r="M321" s="63" t="n">
        <f aca="false">IF(ISNUMBER(M319),M319+N(M320),"")</f>
        <v>16856.1</v>
      </c>
      <c r="N321" s="63" t="n">
        <f aca="false">IF(ISNUMBER(N319),N319+N(N320),"")</f>
        <v>16856.1</v>
      </c>
      <c r="O321" s="63" t="n">
        <f aca="false">IF(ISNUMBER(O319),O319+N(O320),"")</f>
        <v>20430.6</v>
      </c>
      <c r="P321" s="63" t="n">
        <f aca="false">IF(ISNUMBER(P319),P319+N(P320),"")</f>
        <v>20658.6</v>
      </c>
      <c r="Q321" s="63" t="n">
        <f aca="false">IF(ISNUMBER(Q319),Q319+N(Q320),"")</f>
        <v>20510.6</v>
      </c>
      <c r="R321" s="63" t="n">
        <f aca="false">IF(ISNUMBER(R319),R319+N(R320),"")</f>
        <v>20548.1</v>
      </c>
      <c r="S321" s="63" t="n">
        <f aca="false">IF(ISNUMBER(S319),S319+N(S320),"")</f>
        <v>20548.1</v>
      </c>
      <c r="T321" s="63" t="n">
        <f aca="false">IF(ISNUMBER(T319),T319+N(T320),"")</f>
        <v>19914.8</v>
      </c>
      <c r="U321" s="63" t="n">
        <f aca="false">IF(ISNUMBER(U319),U319+N(U320),"")</f>
        <v>20679.8</v>
      </c>
      <c r="V321" s="63" t="n">
        <f aca="false">IF(ISNUMBER(V319),V319+N(V320),"")</f>
        <v>20850.2</v>
      </c>
      <c r="W321" s="63" t="n">
        <f aca="false">IF(ISNUMBER(W319),W319+N(W320),"")</f>
        <v>21394</v>
      </c>
      <c r="X321" s="63" t="n">
        <f aca="false">IF(ISNUMBER(X319),X319+N(X320),"")</f>
        <v>21394</v>
      </c>
      <c r="Y321" s="63" t="n">
        <f aca="false">IF(ISNUMBER(Y319),Y319+N(Y320),"")</f>
        <v>20924.4</v>
      </c>
      <c r="Z321" s="63" t="n">
        <f aca="false">IF(ISNUMBER(Z319),Z319+N(Z320),"")</f>
        <v>21263.9</v>
      </c>
      <c r="AA321" s="63" t="n">
        <f aca="false">IF(ISNUMBER(AA319),AA319+N(AA320),"")</f>
        <v>21658.6</v>
      </c>
      <c r="AB321" s="63" t="n">
        <f aca="false">IF(ISNUMBER(AB319),AB319+N(AB320),"")</f>
        <v>21539.3</v>
      </c>
      <c r="AC321" s="63" t="n">
        <f aca="false">IF(ISNUMBER(AC319),AC319+N(AC320),"")</f>
        <v>21539.3</v>
      </c>
      <c r="AD321" s="63" t="n">
        <f aca="false">IF(ISNUMBER(AD319),AD319+N(AD320),"")</f>
        <v>21795.2</v>
      </c>
      <c r="AE321" s="63" t="n">
        <f aca="false">IF(ISNUMBER(AE319),AE319+N(AE320),"")</f>
        <v>22391.6</v>
      </c>
      <c r="AF321" s="63" t="n">
        <f aca="false">IF(ISNUMBER(AF319),AF319+N(AF320),"")</f>
        <v>24701.8</v>
      </c>
      <c r="AG321" s="63" t="n">
        <f aca="false">IF(ISNUMBER(AG319),AG319+N(AG320),"")</f>
        <v>25413</v>
      </c>
      <c r="AH321" s="63" t="n">
        <f aca="false">IF(ISNUMBER(AH319),AH319+N(AH320),"")</f>
        <v>25413</v>
      </c>
      <c r="AI321" s="63" t="n">
        <f aca="false">IF(ISNUMBER(AI319),AI319+N(AI320),"")</f>
        <v>26123</v>
      </c>
      <c r="AJ321" s="63" t="n">
        <f aca="false">IF(ISNUMBER(AJ319),AJ319+N(AJ320),"")</f>
        <v>26445</v>
      </c>
      <c r="AK321" s="63" t="n">
        <f aca="false">IF(ISNUMBER(AK319),AK319+N(AK320),"")</f>
        <v>26890</v>
      </c>
      <c r="AL321" s="63" t="n">
        <f aca="false">IF(ISNUMBER(AL319),AL319+N(AL320),"")</f>
        <v>27586</v>
      </c>
      <c r="AM321" s="63" t="n">
        <f aca="false">IF(ISNUMBER(AM319),AM319+N(AM320),"")</f>
        <v>27586</v>
      </c>
      <c r="AN321" s="63" t="n">
        <f aca="false">IF(ISNUMBER(AN319),AN319+N(AN320),"")</f>
        <v>27693</v>
      </c>
      <c r="AO321" s="63" t="n">
        <f aca="false">IF(ISNUMBER(AO319),AO319+N(AO320),"")</f>
        <v>28729</v>
      </c>
      <c r="AP321" s="63" t="n">
        <f aca="false">IF(ISNUMBER(AP319),AP319+N(AP320),"")</f>
        <v>29355</v>
      </c>
      <c r="AQ321" s="63" t="n">
        <f aca="false">IF(ISNUMBER(AQ319),AQ319+N(AQ320),"")</f>
        <v>29675</v>
      </c>
      <c r="AR321" s="63" t="n">
        <f aca="false">IF(ISNUMBER(AR319),AR319+N(AR320),"")</f>
        <v>29675</v>
      </c>
      <c r="AS321" s="63" t="n">
        <f aca="false">IF(ISNUMBER(AS319),AS319+N(AS320),"")</f>
        <v>28559</v>
      </c>
      <c r="AT321" s="63" t="n">
        <f aca="false">IF(ISNUMBER(AT319),AT319+N(AT320),"")</f>
        <v>29875</v>
      </c>
      <c r="AU321" s="63" t="n">
        <f aca="false">IF(ISNUMBER(AU319),AU319+N(AU320),"")</f>
        <v>31824</v>
      </c>
      <c r="AV321" s="63" t="n">
        <f aca="false">IF(ISNUMBER(AV319),AV319+N(AV320),"")</f>
        <v>34507</v>
      </c>
      <c r="AW321" s="63" t="n">
        <f aca="false">IF(ISNUMBER(AW319),AW319+N(AW320),"")</f>
        <v>34507</v>
      </c>
      <c r="AX321" s="63" t="n">
        <f aca="false">IF(ISNUMBER(AX319),AX319+N(AX320),"")</f>
        <v>35058</v>
      </c>
      <c r="AY321" s="63" t="n">
        <f aca="false">IF(ISNUMBER(AY319),AY319+N(AY320),"")</f>
        <v>36854</v>
      </c>
      <c r="AZ321" s="63" t="n">
        <f aca="false">IF(ISNUMBER(AZ319),AZ319+N(AZ320),"")</f>
        <v>38710</v>
      </c>
      <c r="BA321" s="63" t="n">
        <f aca="false">IF(ISNUMBER(BA319),BA319+N(BA320),"")</f>
        <v>40855</v>
      </c>
      <c r="BB321" s="63" t="n">
        <f aca="false">IF(ISNUMBER(BB319),BB319+N(BB320),"")</f>
        <v>40855</v>
      </c>
      <c r="BC321" s="63" t="n">
        <f aca="false">IF(ISNUMBER(BC319),BC319+N(BC320),"")</f>
        <v>41018</v>
      </c>
      <c r="BD321" s="63" t="n">
        <f aca="false">IF(ISNUMBER(BD319),BD319+N(BD320),"")</f>
        <v>42354</v>
      </c>
      <c r="BE321" s="63" t="n">
        <f aca="false">IF(ISNUMBER(BE319),BE319+N(BE320),"")</f>
        <v>43608</v>
      </c>
      <c r="BF321" s="63" t="n">
        <f aca="false">IF(ISNUMBER(BF319),BF319+N(BF320),"")</f>
        <v>44032</v>
      </c>
      <c r="BG321" s="63" t="n">
        <f aca="false">IF(ISNUMBER(BG319),BG319+N(BG320),"")</f>
        <v>44032</v>
      </c>
      <c r="BH321" s="63" t="n">
        <f aca="false">IF(ISNUMBER(BH319),BH319+N(BH320),"")</f>
        <v>42310</v>
      </c>
      <c r="BI321" s="63" t="n">
        <f aca="false">IF(ISNUMBER(BI319),BI319+N(BI320),"")</f>
        <v>43802</v>
      </c>
      <c r="BJ321" s="63" t="n">
        <f aca="false">IF(ISNUMBER(BJ319),BJ319+N(BJ320),"")</f>
        <v>45346</v>
      </c>
      <c r="BK321" s="63" t="n">
        <f aca="false">IF(ISNUMBER(BK319),BK319+N(BK320),"")</f>
        <v>46724</v>
      </c>
      <c r="BL321" s="63" t="n">
        <f aca="false">IF(ISNUMBER(BL319),BL319+N(BL320),"")</f>
        <v>46724</v>
      </c>
      <c r="BM321" s="63" t="n">
        <f aca="false">IF(ISNUMBER(BM319),BM319+N(BM320),"")</f>
        <v>45505</v>
      </c>
      <c r="BN321" s="63" t="n">
        <f aca="false">IF(ISNUMBER(BN319),BN319+N(BN320),"")</f>
        <v>47420</v>
      </c>
      <c r="BO321" s="63" t="n">
        <f aca="false">IF(ISNUMBER(BO319),BO319+N(BO320),"")</f>
        <v>48972</v>
      </c>
      <c r="BP321" s="63" t="n">
        <f aca="false">IF(ISNUMBER(BP319),BP319+N(BP320),"")</f>
        <v>49552</v>
      </c>
      <c r="BQ321" s="63" t="n">
        <f aca="false">IF(ISNUMBER(BQ319),BQ319+N(BQ320),"")</f>
        <v>49552</v>
      </c>
      <c r="BR321" s="63" t="n">
        <f aca="false">IF(ISNUMBER(BR319),BR319+N(BR320),"")</f>
        <v>49357</v>
      </c>
      <c r="BS321" s="63" t="n">
        <f aca="false">IF(ISNUMBER(BS319),BS319+N(BS320),"")</f>
        <v>50476</v>
      </c>
      <c r="BT321" s="63" t="n">
        <f aca="false">IF(ISNUMBER(BT319),BT319+N(BT320),"")</f>
        <v>51025</v>
      </c>
      <c r="BU321" s="63" t="n">
        <f aca="false">IF(ISNUMBER(BU319),BU319+N(BU320),"")</f>
        <v>53414</v>
      </c>
      <c r="BV321" s="63" t="n">
        <f aca="false">IF(ISNUMBER(BV319),BV319+N(BV320),"")</f>
        <v>53414</v>
      </c>
      <c r="BW321" s="63" t="n">
        <f aca="false">IF(ISNUMBER(BW319),BW319+N(BW320),"")</f>
        <v>51940</v>
      </c>
      <c r="BX321" s="63" t="n">
        <f aca="false">IF(ISNUMBER(BX319),BX319+N(BX320),"")</f>
        <v>52687</v>
      </c>
      <c r="BY321" s="52"/>
      <c r="BZ321" s="52"/>
      <c r="CA321" s="20" t="n">
        <f aca="false">IF(ISNUMBER(CA319),CA319+N(CA320),"")</f>
        <v>56757.591143691</v>
      </c>
      <c r="CB321" s="20" t="n">
        <f aca="false">IF(ISNUMBER(CB319),CB319+N(CB320),"")</f>
        <v>59934.1159624721</v>
      </c>
      <c r="CC321" s="20" t="n">
        <f aca="false">IF(ISNUMBER(CC319),CC319+N(CC320),"")</f>
        <v>60613.1687987494</v>
      </c>
      <c r="CD321" s="20" t="n">
        <f aca="false">IF(ISNUMBER(CD319),CD319+N(CD320),"")</f>
        <v>61112.4368128475</v>
      </c>
      <c r="CE321" s="20" t="n">
        <f aca="false">IF(ISNUMBER(CE319),CE319+N(CE320),"")</f>
        <v>61603.0896527554</v>
      </c>
      <c r="CF321" s="21"/>
    </row>
    <row r="322" customFormat="false" ht="15" hidden="false" customHeight="false" outlineLevel="0" collapsed="false">
      <c r="B322" s="58" t="s">
        <v>508</v>
      </c>
      <c r="C322" s="59" t="n">
        <f aca="false">IF(ISNUMBER(C312),C312+N(C313)+C321,"")</f>
        <v>21262.211</v>
      </c>
      <c r="D322" s="59" t="n">
        <f aca="false">IF(ISNUMBER(D312),D312+N(D313)+D321,"")</f>
        <v>21201.3</v>
      </c>
      <c r="E322" s="59" t="n">
        <f aca="false">IF(ISNUMBER(E312),E312+N(E313)+E321,"")</f>
        <v>21090</v>
      </c>
      <c r="F322" s="59" t="n">
        <f aca="false">IF(ISNUMBER(F312),F312+N(F313)+F321,"")</f>
        <v>21600.8</v>
      </c>
      <c r="G322" s="59" t="n">
        <f aca="false">IF(ISNUMBER(G312),G312+N(G313)+G321,"")</f>
        <v>21386.8</v>
      </c>
      <c r="H322" s="59" t="n">
        <f aca="false">IF(ISNUMBER(H312),H312+N(H313)+H321,"")</f>
        <v>26833.7</v>
      </c>
      <c r="I322" s="59" t="n">
        <f aca="false">IF(ISNUMBER(I312),I312+N(I313)+I321,"")</f>
        <v>27359.8</v>
      </c>
      <c r="J322" s="59" t="n">
        <f aca="false">IF(ISNUMBER(J312),J312+N(J313)+J321,"")</f>
        <v>27410.7</v>
      </c>
      <c r="K322" s="59" t="n">
        <f aca="false">IF(ISNUMBER(K312),K312+N(K313)+K321,"")</f>
        <v>27629.5</v>
      </c>
      <c r="L322" s="59" t="n">
        <f aca="false">IF(ISNUMBER(L312),L312+N(L313)+L321,"")</f>
        <v>28272.5</v>
      </c>
      <c r="M322" s="59" t="n">
        <f aca="false">IF(ISNUMBER(M312),M312+N(M313)+M321,"")</f>
        <v>31876.2</v>
      </c>
      <c r="N322" s="59" t="n">
        <f aca="false">IF(ISNUMBER(N312),N312+N(N313)+N321,"")</f>
        <v>31876.2</v>
      </c>
      <c r="O322" s="59" t="n">
        <f aca="false">IF(ISNUMBER(O312),O312+N(O313)+O321,"")</f>
        <v>46133.7</v>
      </c>
      <c r="P322" s="59" t="n">
        <f aca="false">IF(ISNUMBER(P312),P312+N(P313)+P321,"")</f>
        <v>44313.4</v>
      </c>
      <c r="Q322" s="59" t="n">
        <f aca="false">IF(ISNUMBER(Q312),Q312+N(Q313)+Q321,"")</f>
        <v>42690.8</v>
      </c>
      <c r="R322" s="59" t="n">
        <f aca="false">IF(ISNUMBER(R312),R312+N(R313)+R321,"")</f>
        <v>42639.4</v>
      </c>
      <c r="S322" s="59" t="n">
        <f aca="false">IF(ISNUMBER(S312),S312+N(S313)+S321,"")</f>
        <v>42639.4</v>
      </c>
      <c r="T322" s="59" t="n">
        <f aca="false">IF(ISNUMBER(T312),T312+N(T313)+T321,"")</f>
        <v>41857.3</v>
      </c>
      <c r="U322" s="59" t="n">
        <f aca="false">IF(ISNUMBER(U312),U312+N(U313)+U321,"")</f>
        <v>41774.4</v>
      </c>
      <c r="V322" s="59" t="n">
        <f aca="false">IF(ISNUMBER(V312),V312+N(V313)+V321,"")</f>
        <v>41147.1</v>
      </c>
      <c r="W322" s="59" t="n">
        <f aca="false">IF(ISNUMBER(W312),W312+N(W313)+W321,"")</f>
        <v>40999.1</v>
      </c>
      <c r="X322" s="59" t="n">
        <f aca="false">IF(ISNUMBER(X312),X312+N(X313)+X321,"")</f>
        <v>40999.1</v>
      </c>
      <c r="Y322" s="59" t="n">
        <f aca="false">IF(ISNUMBER(Y312),Y312+N(Y313)+Y321,"")</f>
        <v>42952.7</v>
      </c>
      <c r="Z322" s="59" t="n">
        <f aca="false">IF(ISNUMBER(Z312),Z312+N(Z313)+Z321,"")</f>
        <v>42253.4</v>
      </c>
      <c r="AA322" s="59" t="n">
        <f aca="false">IF(ISNUMBER(AA312),AA312+N(AA313)+AA321,"")</f>
        <v>48010.7</v>
      </c>
      <c r="AB322" s="59" t="n">
        <f aca="false">IF(ISNUMBER(AB312),AB312+N(AB313)+AB321,"")</f>
        <v>45836.7</v>
      </c>
      <c r="AC322" s="59" t="n">
        <f aca="false">IF(ISNUMBER(AC312),AC312+N(AC313)+AC321,"")</f>
        <v>45836.7</v>
      </c>
      <c r="AD322" s="59" t="n">
        <f aca="false">IF(ISNUMBER(AD312),AD312+N(AD313)+AD321,"")</f>
        <v>46213.6</v>
      </c>
      <c r="AE322" s="59" t="n">
        <f aca="false">IF(ISNUMBER(AE312),AE312+N(AE313)+AE321,"")</f>
        <v>46513.7</v>
      </c>
      <c r="AF322" s="59" t="n">
        <f aca="false">IF(ISNUMBER(AF312),AF312+N(AF313)+AF321,"")</f>
        <v>55985.3</v>
      </c>
      <c r="AG322" s="59" t="n">
        <f aca="false">IF(ISNUMBER(AG312),AG312+N(AG313)+AG321,"")</f>
        <v>56589</v>
      </c>
      <c r="AH322" s="59" t="n">
        <f aca="false">IF(ISNUMBER(AH312),AH312+N(AH313)+AH321,"")</f>
        <v>56589</v>
      </c>
      <c r="AI322" s="59" t="n">
        <f aca="false">IF(ISNUMBER(AI312),AI312+N(AI313)+AI321,"")</f>
        <v>56580</v>
      </c>
      <c r="AJ322" s="59" t="n">
        <f aca="false">IF(ISNUMBER(AJ312),AJ312+N(AJ313)+AJ321,"")</f>
        <v>55403</v>
      </c>
      <c r="AK322" s="59" t="n">
        <f aca="false">IF(ISNUMBER(AK312),AK312+N(AK313)+AK321,"")</f>
        <v>55078</v>
      </c>
      <c r="AL322" s="59" t="n">
        <f aca="false">IF(ISNUMBER(AL312),AL312+N(AL313)+AL321,"")</f>
        <v>56181</v>
      </c>
      <c r="AM322" s="59" t="n">
        <f aca="false">IF(ISNUMBER(AM312),AM312+N(AM313)+AM321,"")</f>
        <v>56181</v>
      </c>
      <c r="AN322" s="59" t="n">
        <f aca="false">IF(ISNUMBER(AN312),AN312+N(AN313)+AN321,"")</f>
        <v>55596</v>
      </c>
      <c r="AO322" s="59" t="n">
        <f aca="false">IF(ISNUMBER(AO312),AO312+N(AO313)+AO321,"")</f>
        <v>57970</v>
      </c>
      <c r="AP322" s="59" t="n">
        <f aca="false">IF(ISNUMBER(AP312),AP312+N(AP313)+AP321,"")</f>
        <v>56729</v>
      </c>
      <c r="AQ322" s="59" t="n">
        <f aca="false">IF(ISNUMBER(AQ312),AQ312+N(AQ313)+AQ321,"")</f>
        <v>58189</v>
      </c>
      <c r="AR322" s="59" t="n">
        <f aca="false">IF(ISNUMBER(AR312),AR312+N(AR313)+AR321,"")</f>
        <v>58189</v>
      </c>
      <c r="AS322" s="59" t="n">
        <f aca="false">IF(ISNUMBER(AS312),AS312+N(AS313)+AS321,"")</f>
        <v>58688</v>
      </c>
      <c r="AT322" s="59" t="n">
        <f aca="false">IF(ISNUMBER(AT312),AT312+N(AT313)+AT321,"")</f>
        <v>61593</v>
      </c>
      <c r="AU322" s="59" t="n">
        <f aca="false">IF(ISNUMBER(AU312),AU312+N(AU313)+AU321,"")</f>
        <v>64061</v>
      </c>
      <c r="AV322" s="59" t="n">
        <f aca="false">IF(ISNUMBER(AV312),AV312+N(AV313)+AV321,"")</f>
        <v>69052</v>
      </c>
      <c r="AW322" s="59" t="n">
        <f aca="false">IF(ISNUMBER(AW312),AW312+N(AW313)+AW321,"")</f>
        <v>69052</v>
      </c>
      <c r="AX322" s="59" t="n">
        <f aca="false">IF(ISNUMBER(AX312),AX312+N(AX313)+AX321,"")</f>
        <v>65931</v>
      </c>
      <c r="AY322" s="59" t="n">
        <f aca="false">IF(ISNUMBER(AY312),AY312+N(AY313)+AY321,"")</f>
        <v>67698</v>
      </c>
      <c r="AZ322" s="59" t="n">
        <f aca="false">IF(ISNUMBER(AZ312),AZ312+N(AZ313)+AZ321,"")</f>
        <v>73600</v>
      </c>
      <c r="BA322" s="59" t="n">
        <f aca="false">IF(ISNUMBER(BA312),BA312+N(BA313)+BA321,"")</f>
        <v>94791</v>
      </c>
      <c r="BB322" s="59" t="n">
        <f aca="false">IF(ISNUMBER(BB312),BB312+N(BB313)+BB321,"")</f>
        <v>94791</v>
      </c>
      <c r="BC322" s="59" t="n">
        <f aca="false">IF(ISNUMBER(BC312),BC312+N(BC313)+BC321,"")</f>
        <v>92747</v>
      </c>
      <c r="BD322" s="59" t="n">
        <f aca="false">IF(ISNUMBER(BD312),BD312+N(BD313)+BD321,"")</f>
        <v>90579</v>
      </c>
      <c r="BE322" s="59" t="n">
        <f aca="false">IF(ISNUMBER(BE312),BE312+N(BE313)+BE321,"")</f>
        <v>90536</v>
      </c>
      <c r="BF322" s="59" t="n">
        <f aca="false">IF(ISNUMBER(BF312),BF312+N(BF313)+BF321,"")</f>
        <v>97290</v>
      </c>
      <c r="BG322" s="59" t="n">
        <f aca="false">IF(ISNUMBER(BG312),BG312+N(BG313)+BG321,"")</f>
        <v>97290</v>
      </c>
      <c r="BH322" s="59" t="n">
        <f aca="false">IF(ISNUMBER(BH312),BH312+N(BH313)+BH321,"")</f>
        <v>94658</v>
      </c>
      <c r="BI322" s="59" t="n">
        <f aca="false">IF(ISNUMBER(BI312),BI312+N(BI313)+BI321,"")</f>
        <v>94105</v>
      </c>
      <c r="BJ322" s="59" t="n">
        <f aca="false">IF(ISNUMBER(BJ312),BJ312+N(BJ313)+BJ321,"")</f>
        <v>97057</v>
      </c>
      <c r="BK322" s="59" t="n">
        <f aca="false">IF(ISNUMBER(BK312),BK312+N(BK313)+BK321,"")</f>
        <v>98726</v>
      </c>
      <c r="BL322" s="59" t="n">
        <f aca="false">IF(ISNUMBER(BL312),BL312+N(BL313)+BL321,"")</f>
        <v>98726</v>
      </c>
      <c r="BM322" s="59" t="n">
        <f aca="false">IF(ISNUMBER(BM312),BM312+N(BM313)+BM321,"")</f>
        <v>97096</v>
      </c>
      <c r="BN322" s="59" t="n">
        <f aca="false">IF(ISNUMBER(BN312),BN312+N(BN313)+BN321,"")</f>
        <v>98498</v>
      </c>
      <c r="BO322" s="59" t="n">
        <f aca="false">IF(ISNUMBER(BO312),BO312+N(BO313)+BO321,"")</f>
        <v>100363</v>
      </c>
      <c r="BP322" s="59" t="n">
        <f aca="false">IF(ISNUMBER(BP312),BP312+N(BP313)+BP321,"")</f>
        <v>97322</v>
      </c>
      <c r="BQ322" s="59" t="n">
        <f aca="false">IF(ISNUMBER(BQ312),BQ312+N(BQ313)+BQ321,"")</f>
        <v>97322</v>
      </c>
      <c r="BR322" s="59" t="n">
        <f aca="false">IF(ISNUMBER(BR312),BR312+N(BR313)+BR321,"")</f>
        <v>99040</v>
      </c>
      <c r="BS322" s="59" t="n">
        <f aca="false">IF(ISNUMBER(BS312),BS312+N(BS313)+BS321,"")</f>
        <v>101229</v>
      </c>
      <c r="BT322" s="59" t="n">
        <f aca="false">IF(ISNUMBER(BT312),BT312+N(BT313)+BT321,"")</f>
        <v>103019</v>
      </c>
      <c r="BU322" s="59" t="n">
        <f aca="false">IF(ISNUMBER(BU312),BU312+N(BU313)+BU321,"")</f>
        <v>110343</v>
      </c>
      <c r="BV322" s="59" t="n">
        <f aca="false">IF(ISNUMBER(BV312),BV312+N(BV313)+BV321,"")</f>
        <v>110343</v>
      </c>
      <c r="BW322" s="59" t="n">
        <f aca="false">IF(ISNUMBER(BW312),BW312+N(BW313)+BW321,"")</f>
        <v>113280</v>
      </c>
      <c r="BX322" s="59" t="n">
        <f aca="false">IF(ISNUMBER(BX312),BX312+N(BX313)+BX321,"")</f>
        <v>113174</v>
      </c>
      <c r="BY322" s="75"/>
      <c r="BZ322" s="75"/>
      <c r="CA322" s="59" t="n">
        <f aca="false">IF(ISNUMBER(CA312),CA312+N(CA313)+CA321,"")</f>
        <v>117418.095598212</v>
      </c>
      <c r="CB322" s="59" t="n">
        <f aca="false">IF(ISNUMBER(CB312),CB312+N(CB313)+CB321,"")</f>
        <v>120616.099352233</v>
      </c>
      <c r="CC322" s="59" t="n">
        <f aca="false">IF(ISNUMBER(CC312),CC312+N(CC313)+CC321,"")</f>
        <v>121499.08591097</v>
      </c>
      <c r="CD322" s="59" t="n">
        <f aca="false">IF(ISNUMBER(CD312),CD312+N(CD313)+CD321,"")</f>
        <v>123800.220179747</v>
      </c>
      <c r="CE322" s="59" t="n">
        <f aca="false">IF(ISNUMBER(CE312),CE312+N(CE313)+CE321,"")</f>
        <v>128278.753712097</v>
      </c>
      <c r="CF322" s="21"/>
    </row>
    <row r="323" customFormat="false" ht="15" hidden="false" customHeight="false" outlineLevel="0" collapsed="false">
      <c r="B323" s="60" t="s">
        <v>509</v>
      </c>
      <c r="C323" s="61" t="n">
        <f aca="false">IF(ISNUMBER(C302),IF(ABS(C302-C322)&lt;=2.001,0,ROUND(C302-C322,1)),"")</f>
        <v>0</v>
      </c>
      <c r="D323" s="61" t="n">
        <f aca="false">IF(ISNUMBER(D302),IF(ABS(D302-D322)&lt;=2.001,0,ROUND(D302-D322,1)),"")</f>
        <v>0</v>
      </c>
      <c r="E323" s="61" t="n">
        <f aca="false">IF(ISNUMBER(E302),IF(ABS(E302-E322)&lt;=2.001,0,ROUND(E302-E322,1)),"")</f>
        <v>0</v>
      </c>
      <c r="F323" s="61" t="n">
        <f aca="false">IF(ISNUMBER(F302),IF(ABS(F302-F322)&lt;=2.001,0,ROUND(F302-F322,1)),"")</f>
        <v>0</v>
      </c>
      <c r="G323" s="61" t="n">
        <f aca="false">IF(ISNUMBER(G302),IF(ABS(G302-G322)&lt;=2.001,0,ROUND(G302-G322,1)),"")</f>
        <v>0</v>
      </c>
      <c r="H323" s="61" t="n">
        <f aca="false">IF(ISNUMBER(H302),IF(ABS(H302-H322)&lt;=2.001,0,ROUND(H302-H322,1)),"")</f>
        <v>0</v>
      </c>
      <c r="I323" s="61" t="n">
        <f aca="false">IF(ISNUMBER(I302),IF(ABS(I302-I322)&lt;=2.001,0,ROUND(I302-I322,1)),"")</f>
        <v>0</v>
      </c>
      <c r="J323" s="61" t="n">
        <f aca="false">IF(ISNUMBER(J302),IF(ABS(J302-J322)&lt;=2.001,0,ROUND(J302-J322,1)),"")</f>
        <v>0</v>
      </c>
      <c r="K323" s="61" t="n">
        <f aca="false">IF(ISNUMBER(K302),IF(ABS(K302-K322)&lt;=2.001,0,ROUND(K302-K322,1)),"")</f>
        <v>0</v>
      </c>
      <c r="L323" s="61" t="n">
        <f aca="false">IF(ISNUMBER(L302),IF(ABS(L302-L322)&lt;=2.001,0,ROUND(L302-L322,1)),"")</f>
        <v>0</v>
      </c>
      <c r="M323" s="61" t="n">
        <f aca="false">IF(ISNUMBER(M302),IF(ABS(M302-M322)&lt;=2.001,0,ROUND(M302-M322,1)),"")</f>
        <v>0</v>
      </c>
      <c r="N323" s="61" t="n">
        <f aca="false">IF(ISNUMBER(N302),IF(ABS(N302-N322)&lt;=2.001,0,ROUND(N302-N322,1)),"")</f>
        <v>0</v>
      </c>
      <c r="O323" s="61" t="n">
        <f aca="false">IF(ISNUMBER(O302),IF(ABS(O302-O322)&lt;=2.001,0,ROUND(O302-O322,1)),"")</f>
        <v>0</v>
      </c>
      <c r="P323" s="61" t="n">
        <f aca="false">IF(ISNUMBER(P302),IF(ABS(P302-P322)&lt;=2.001,0,ROUND(P302-P322,1)),"")</f>
        <v>0</v>
      </c>
      <c r="Q323" s="61" t="n">
        <f aca="false">IF(ISNUMBER(Q302),IF(ABS(Q302-Q322)&lt;=2.001,0,ROUND(Q302-Q322,1)),"")</f>
        <v>0</v>
      </c>
      <c r="R323" s="61" t="n">
        <f aca="false">IF(ISNUMBER(R302),IF(ABS(R302-R322)&lt;=2.001,0,ROUND(R302-R322,1)),"")</f>
        <v>0</v>
      </c>
      <c r="S323" s="61" t="n">
        <f aca="false">IF(ISNUMBER(S302),IF(ABS(S302-S322)&lt;=2.001,0,ROUND(S302-S322,1)),"")</f>
        <v>0</v>
      </c>
      <c r="T323" s="61" t="n">
        <f aca="false">IF(ISNUMBER(T302),IF(ABS(T302-T322)&lt;=2.001,0,ROUND(T302-T322,1)),"")</f>
        <v>0</v>
      </c>
      <c r="U323" s="61" t="n">
        <f aca="false">IF(ISNUMBER(U302),IF(ABS(U302-U322)&lt;=2.001,0,ROUND(U302-U322,1)),"")</f>
        <v>0</v>
      </c>
      <c r="V323" s="61" t="n">
        <f aca="false">IF(ISNUMBER(V302),IF(ABS(V302-V322)&lt;=2.001,0,ROUND(V302-V322,1)),"")</f>
        <v>0</v>
      </c>
      <c r="W323" s="61" t="n">
        <f aca="false">IF(ISNUMBER(W302),IF(ABS(W302-W322)&lt;=2.001,0,ROUND(W302-W322,1)),"")</f>
        <v>0</v>
      </c>
      <c r="X323" s="61" t="n">
        <f aca="false">IF(ISNUMBER(X302),IF(ABS(X302-X322)&lt;=2.001,0,ROUND(X302-X322,1)),"")</f>
        <v>0</v>
      </c>
      <c r="Y323" s="61" t="n">
        <f aca="false">IF(ISNUMBER(Y302),IF(ABS(Y302-Y322)&lt;=2.001,0,ROUND(Y302-Y322,1)),"")</f>
        <v>0</v>
      </c>
      <c r="Z323" s="61" t="n">
        <f aca="false">IF(ISNUMBER(Z302),IF(ABS(Z302-Z322)&lt;=2.001,0,ROUND(Z302-Z322,1)),"")</f>
        <v>0</v>
      </c>
      <c r="AA323" s="61" t="n">
        <f aca="false">IF(ISNUMBER(AA302),IF(ABS(AA302-AA322)&lt;=2.001,0,ROUND(AA302-AA322,1)),"")</f>
        <v>0</v>
      </c>
      <c r="AB323" s="61" t="n">
        <f aca="false">IF(ISNUMBER(AB302),IF(ABS(AB302-AB322)&lt;=2.001,0,ROUND(AB302-AB322,1)),"")</f>
        <v>0</v>
      </c>
      <c r="AC323" s="61" t="n">
        <f aca="false">IF(ISNUMBER(AC302),IF(ABS(AC302-AC322)&lt;=2.001,0,ROUND(AC302-AC322,1)),"")</f>
        <v>0</v>
      </c>
      <c r="AD323" s="61" t="n">
        <f aca="false">IF(ISNUMBER(AD302),IF(ABS(AD302-AD322)&lt;=2.001,0,ROUND(AD302-AD322,1)),"")</f>
        <v>0</v>
      </c>
      <c r="AE323" s="61" t="n">
        <f aca="false">IF(ISNUMBER(AE302),IF(ABS(AE302-AE322)&lt;=2.001,0,ROUND(AE302-AE322,1)),"")</f>
        <v>0</v>
      </c>
      <c r="AF323" s="61" t="n">
        <f aca="false">IF(ISNUMBER(AF302),IF(ABS(AF302-AF322)&lt;=2.001,0,ROUND(AF302-AF322,1)),"")</f>
        <v>0</v>
      </c>
      <c r="AG323" s="61" t="n">
        <f aca="false">IF(ISNUMBER(AG302),IF(ABS(AG302-AG322)&lt;=2.001,0,ROUND(AG302-AG322,1)),"")</f>
        <v>0</v>
      </c>
      <c r="AH323" s="61" t="n">
        <f aca="false">IF(ISNUMBER(AH302),IF(ABS(AH302-AH322)&lt;=2.001,0,ROUND(AH302-AH322,1)),"")</f>
        <v>0</v>
      </c>
      <c r="AI323" s="61" t="n">
        <f aca="false">IF(ISNUMBER(AI302),IF(ABS(AI302-AI322)&lt;=2.001,0,ROUND(AI302-AI322,1)),"")</f>
        <v>0</v>
      </c>
      <c r="AJ323" s="61" t="n">
        <f aca="false">IF(ISNUMBER(AJ302),IF(ABS(AJ302-AJ322)&lt;=2.001,0,ROUND(AJ302-AJ322,1)),"")</f>
        <v>0</v>
      </c>
      <c r="AK323" s="61" t="n">
        <f aca="false">IF(ISNUMBER(AK302),IF(ABS(AK302-AK322)&lt;=2.001,0,ROUND(AK302-AK322,1)),"")</f>
        <v>0</v>
      </c>
      <c r="AL323" s="61" t="n">
        <f aca="false">IF(ISNUMBER(AL302),IF(ABS(AL302-AL322)&lt;=2.001,0,ROUND(AL302-AL322,1)),"")</f>
        <v>0</v>
      </c>
      <c r="AM323" s="61" t="n">
        <f aca="false">IF(ISNUMBER(AM302),IF(ABS(AM302-AM322)&lt;=2.001,0,ROUND(AM302-AM322,1)),"")</f>
        <v>0</v>
      </c>
      <c r="AN323" s="61" t="n">
        <f aca="false">IF(ISNUMBER(AN302),IF(ABS(AN302-AN322)&lt;=2.001,0,ROUND(AN302-AN322,1)),"")</f>
        <v>0</v>
      </c>
      <c r="AO323" s="61" t="n">
        <f aca="false">IF(ISNUMBER(AO302),IF(ABS(AO302-AO322)&lt;=2.001,0,ROUND(AO302-AO322,1)),"")</f>
        <v>0</v>
      </c>
      <c r="AP323" s="61" t="n">
        <f aca="false">IF(ISNUMBER(AP302),IF(ABS(AP302-AP322)&lt;=2.001,0,ROUND(AP302-AP322,1)),"")</f>
        <v>0</v>
      </c>
      <c r="AQ323" s="61" t="n">
        <f aca="false">IF(ISNUMBER(AQ302),IF(ABS(AQ302-AQ322)&lt;=2.001,0,ROUND(AQ302-AQ322,1)),"")</f>
        <v>0</v>
      </c>
      <c r="AR323" s="61" t="n">
        <f aca="false">IF(ISNUMBER(AR302),IF(ABS(AR302-AR322)&lt;=2.001,0,ROUND(AR302-AR322,1)),"")</f>
        <v>0</v>
      </c>
      <c r="AS323" s="61" t="n">
        <f aca="false">IF(ISNUMBER(AS302),IF(ABS(AS302-AS322)&lt;=2.001,0,ROUND(AS302-AS322,1)),"")</f>
        <v>0</v>
      </c>
      <c r="AT323" s="61" t="n">
        <f aca="false">IF(ISNUMBER(AT302),IF(ABS(AT302-AT322)&lt;=2.001,0,ROUND(AT302-AT322,1)),"")</f>
        <v>0</v>
      </c>
      <c r="AU323" s="61" t="n">
        <f aca="false">IF(ISNUMBER(AU302),IF(ABS(AU302-AU322)&lt;=2.001,0,ROUND(AU302-AU322,1)),"")</f>
        <v>0</v>
      </c>
      <c r="AV323" s="61" t="n">
        <f aca="false">IF(ISNUMBER(AV302),IF(ABS(AV302-AV322)&lt;=2.001,0,ROUND(AV302-AV322,1)),"")</f>
        <v>0</v>
      </c>
      <c r="AW323" s="61" t="n">
        <f aca="false">IF(ISNUMBER(AW302),IF(ABS(AW302-AW322)&lt;=2.001,0,ROUND(AW302-AW322,1)),"")</f>
        <v>0</v>
      </c>
      <c r="AX323" s="61" t="n">
        <f aca="false">IF(ISNUMBER(AX302),IF(ABS(AX302-AX322)&lt;=2.001,0,ROUND(AX302-AX322,1)),"")</f>
        <v>0</v>
      </c>
      <c r="AY323" s="61" t="n">
        <f aca="false">IF(ISNUMBER(AY302),IF(ABS(AY302-AY322)&lt;=2.001,0,ROUND(AY302-AY322,1)),"")</f>
        <v>0</v>
      </c>
      <c r="AZ323" s="61" t="n">
        <f aca="false">IF(ISNUMBER(AZ302),IF(ABS(AZ302-AZ322)&lt;=2.001,0,ROUND(AZ302-AZ322,1)),"")</f>
        <v>0</v>
      </c>
      <c r="BA323" s="61" t="n">
        <f aca="false">IF(ISNUMBER(BA302),IF(ABS(BA302-BA322)&lt;=2.001,0,ROUND(BA302-BA322,1)),"")</f>
        <v>0</v>
      </c>
      <c r="BB323" s="61" t="n">
        <f aca="false">IF(ISNUMBER(BB302),IF(ABS(BB302-BB322)&lt;=2.001,0,ROUND(BB302-BB322,1)),"")</f>
        <v>0</v>
      </c>
      <c r="BC323" s="61" t="n">
        <f aca="false">IF(ISNUMBER(BC302),IF(ABS(BC302-BC322)&lt;=2.001,0,ROUND(BC302-BC322,1)),"")</f>
        <v>0</v>
      </c>
      <c r="BD323" s="61" t="n">
        <f aca="false">IF(ISNUMBER(BD302),IF(ABS(BD302-BD322)&lt;=2.001,0,ROUND(BD302-BD322,1)),"")</f>
        <v>0</v>
      </c>
      <c r="BE323" s="61" t="n">
        <f aca="false">IF(ISNUMBER(BE302),IF(ABS(BE302-BE322)&lt;=2.001,0,ROUND(BE302-BE322,1)),"")</f>
        <v>0</v>
      </c>
      <c r="BF323" s="61" t="n">
        <f aca="false">IF(ISNUMBER(BF302),IF(ABS(BF302-BF322)&lt;=2.001,0,ROUND(BF302-BF322,1)),"")</f>
        <v>0</v>
      </c>
      <c r="BG323" s="61" t="n">
        <f aca="false">IF(ISNUMBER(BG302),IF(ABS(BG302-BG322)&lt;=2.001,0,ROUND(BG302-BG322,1)),"")</f>
        <v>0</v>
      </c>
      <c r="BH323" s="61" t="n">
        <f aca="false">IF(ISNUMBER(BH302),IF(ABS(BH302-BH322)&lt;=2.001,0,ROUND(BH302-BH322,1)),"")</f>
        <v>0</v>
      </c>
      <c r="BI323" s="61" t="n">
        <f aca="false">IF(ISNUMBER(BI302),IF(ABS(BI302-BI322)&lt;=2.001,0,ROUND(BI302-BI322,1)),"")</f>
        <v>0</v>
      </c>
      <c r="BJ323" s="61" t="n">
        <f aca="false">IF(ISNUMBER(BJ302),IF(ABS(BJ302-BJ322)&lt;=2.001,0,ROUND(BJ302-BJ322,1)),"")</f>
        <v>0</v>
      </c>
      <c r="BK323" s="61" t="n">
        <f aca="false">IF(ISNUMBER(BK302),IF(ABS(BK302-BK322)&lt;=2.001,0,ROUND(BK302-BK322,1)),"")</f>
        <v>0</v>
      </c>
      <c r="BL323" s="61" t="n">
        <f aca="false">IF(ISNUMBER(BL302),IF(ABS(BL302-BL322)&lt;=2.001,0,ROUND(BL302-BL322,1)),"")</f>
        <v>0</v>
      </c>
      <c r="BM323" s="61" t="n">
        <f aca="false">IF(ISNUMBER(BM302),IF(ABS(BM302-BM322)&lt;=2.001,0,ROUND(BM302-BM322,1)),"")</f>
        <v>0</v>
      </c>
      <c r="BN323" s="61" t="n">
        <f aca="false">IF(ISNUMBER(BN302),IF(ABS(BN302-BN322)&lt;=2.001,0,ROUND(BN302-BN322,1)),"")</f>
        <v>0</v>
      </c>
      <c r="BO323" s="61" t="n">
        <f aca="false">IF(ISNUMBER(BO302),IF(ABS(BO302-BO322)&lt;=2.001,0,ROUND(BO302-BO322,1)),"")</f>
        <v>0</v>
      </c>
      <c r="BP323" s="61" t="n">
        <f aca="false">IF(ISNUMBER(BP302),IF(ABS(BP302-BP322)&lt;=2.001,0,ROUND(BP302-BP322,1)),"")</f>
        <v>0</v>
      </c>
      <c r="BQ323" s="61" t="n">
        <f aca="false">IF(ISNUMBER(BQ302),IF(ABS(BQ302-BQ322)&lt;=2.001,0,ROUND(BQ302-BQ322,1)),"")</f>
        <v>0</v>
      </c>
      <c r="BR323" s="61" t="n">
        <f aca="false">IF(ISNUMBER(BR302),IF(ABS(BR302-BR322)&lt;=2.001,0,ROUND(BR302-BR322,1)),"")</f>
        <v>0</v>
      </c>
      <c r="BS323" s="61" t="n">
        <f aca="false">IF(ISNUMBER(BS302),IF(ABS(BS302-BS322)&lt;=2.001,0,ROUND(BS302-BS322,1)),"")</f>
        <v>0</v>
      </c>
      <c r="BT323" s="61" t="n">
        <f aca="false">IF(ISNUMBER(BT302),IF(ABS(BT302-BT322)&lt;=2.001,0,ROUND(BT302-BT322,1)),"")</f>
        <v>0</v>
      </c>
      <c r="BU323" s="61" t="n">
        <f aca="false">IF(ISNUMBER(BU302),IF(ABS(BU302-BU322)&lt;=2.001,0,ROUND(BU302-BU322,1)),"")</f>
        <v>0</v>
      </c>
      <c r="BV323" s="61" t="n">
        <f aca="false">IF(ISNUMBER(BV302),IF(ABS(BV302-BV322)&lt;=2.001,0,ROUND(BV302-BV322,1)),"")</f>
        <v>0</v>
      </c>
      <c r="BW323" s="61" t="n">
        <f aca="false">IF(ISNUMBER(BW302),IF(ABS(BW302-BW322)&lt;=2.001,0,ROUND(BW302-BW322,1)),"")</f>
        <v>0</v>
      </c>
      <c r="BX323" s="61" t="n">
        <f aca="false">IF(ISNUMBER(BX302),IF(ABS(BX302-BX322)&lt;=2.001,0,ROUND(BX302-BX322,1)),"")</f>
        <v>0</v>
      </c>
      <c r="BY323" s="39"/>
      <c r="BZ323" s="39"/>
      <c r="CA323" s="44" t="n">
        <f aca="false">IF(ISNUMBER(CA302),IF(ABS(CA302-CA322)&lt;=2.001,0,ROUND(CA302-CA322,1)),"")</f>
        <v>0</v>
      </c>
      <c r="CB323" s="44" t="n">
        <f aca="false">IF(ISNUMBER(CB302),IF(ABS(CB302-CB322)&lt;=2.001,0,ROUND(CB302-CB322,1)),"")</f>
        <v>0</v>
      </c>
      <c r="CC323" s="44" t="n">
        <f aca="false">IF(ISNUMBER(CC302),IF(ABS(CC302-CC322)&lt;=2.001,0,ROUND(CC302-CC322,1)),"")</f>
        <v>0</v>
      </c>
      <c r="CD323" s="44" t="n">
        <f aca="false">IF(ISNUMBER(CD302),IF(ABS(CD302-CD322)&lt;=2.001,0,ROUND(CD302-CD322,1)),"")</f>
        <v>0</v>
      </c>
      <c r="CE323" s="44" t="n">
        <f aca="false">IF(ISNUMBER(CE302),IF(ABS(CE302-CE322)&lt;=2.001,0,ROUND(CE302-CE322,1)),"")</f>
        <v>0</v>
      </c>
      <c r="CF323" s="21"/>
    </row>
    <row r="324" customFormat="false" ht="15" hidden="false" customHeight="false" outlineLevel="0" collapsed="false">
      <c r="B324" s="60" t="s">
        <v>510</v>
      </c>
      <c r="C324" s="61" t="n">
        <f aca="false">IF(ISNUMBER(C325),IF(ABS(C302-C325)&lt;=1.001,0,ROUND(C302-C325,1)),"")</f>
        <v>0</v>
      </c>
      <c r="D324" s="61" t="n">
        <f aca="false">IF(ISNUMBER(D325),IF(ABS(D302-D325)&lt;=1.001,0,ROUND(D302-D325,1)),"")</f>
        <v>0</v>
      </c>
      <c r="E324" s="61" t="n">
        <f aca="false">IF(ISNUMBER(E325),IF(ABS(E302-E325)&lt;=1.001,0,ROUND(E302-E325,1)),"")</f>
        <v>0</v>
      </c>
      <c r="F324" s="61" t="n">
        <f aca="false">IF(ISNUMBER(F325),IF(ABS(F302-F325)&lt;=1.001,0,ROUND(F302-F325,1)),"")</f>
        <v>0</v>
      </c>
      <c r="G324" s="61" t="n">
        <f aca="false">IF(ISNUMBER(G325),IF(ABS(G302-G325)&lt;=1.001,0,ROUND(G302-G325,1)),"")</f>
        <v>0</v>
      </c>
      <c r="H324" s="61" t="n">
        <f aca="false">IF(ISNUMBER(H325),IF(ABS(H302-H325)&lt;=1.001,0,ROUND(H302-H325,1)),"")</f>
        <v>0</v>
      </c>
      <c r="I324" s="61" t="n">
        <f aca="false">IF(ISNUMBER(I325),IF(ABS(I302-I325)&lt;=1.001,0,ROUND(I302-I325,1)),"")</f>
        <v>0</v>
      </c>
      <c r="J324" s="61" t="n">
        <f aca="false">IF(ISNUMBER(J325),IF(ABS(J302-J325)&lt;=1.001,0,ROUND(J302-J325,1)),"")</f>
        <v>0</v>
      </c>
      <c r="K324" s="61" t="n">
        <f aca="false">IF(ISNUMBER(K325),IF(ABS(K302-K325)&lt;=1.001,0,ROUND(K302-K325,1)),"")</f>
        <v>0</v>
      </c>
      <c r="L324" s="61" t="n">
        <f aca="false">IF(ISNUMBER(L325),IF(ABS(L302-L325)&lt;=1.001,0,ROUND(L302-L325,1)),"")</f>
        <v>0</v>
      </c>
      <c r="M324" s="61" t="n">
        <f aca="false">IF(ISNUMBER(M325),IF(ABS(M302-M325)&lt;=1.001,0,ROUND(M302-M325,1)),"")</f>
        <v>0</v>
      </c>
      <c r="N324" s="61" t="n">
        <f aca="false">IF(ISNUMBER(N325),IF(ABS(N302-N325)&lt;=1.001,0,ROUND(N302-N325,1)),"")</f>
        <v>0</v>
      </c>
      <c r="O324" s="61" t="n">
        <f aca="false">IF(ISNUMBER(O325),IF(ABS(O302-O325)&lt;=1.001,0,ROUND(O302-O325,1)),"")</f>
        <v>0</v>
      </c>
      <c r="P324" s="61" t="n">
        <f aca="false">IF(ISNUMBER(P325),IF(ABS(P302-P325)&lt;=1.001,0,ROUND(P302-P325,1)),"")</f>
        <v>0</v>
      </c>
      <c r="Q324" s="61" t="n">
        <f aca="false">IF(ISNUMBER(Q325),IF(ABS(Q302-Q325)&lt;=1.001,0,ROUND(Q302-Q325,1)),"")</f>
        <v>0</v>
      </c>
      <c r="R324" s="61" t="n">
        <f aca="false">IF(ISNUMBER(R325),IF(ABS(R302-R325)&lt;=1.001,0,ROUND(R302-R325,1)),"")</f>
        <v>0</v>
      </c>
      <c r="S324" s="61" t="n">
        <f aca="false">IF(ISNUMBER(S325),IF(ABS(S302-S325)&lt;=1.001,0,ROUND(S302-S325,1)),"")</f>
        <v>0</v>
      </c>
      <c r="T324" s="61" t="n">
        <f aca="false">IF(ISNUMBER(T325),IF(ABS(T302-T325)&lt;=1.001,0,ROUND(T302-T325,1)),"")</f>
        <v>0</v>
      </c>
      <c r="U324" s="61" t="n">
        <f aca="false">IF(ISNUMBER(U325),IF(ABS(U302-U325)&lt;=1.001,0,ROUND(U302-U325,1)),"")</f>
        <v>0</v>
      </c>
      <c r="V324" s="61" t="n">
        <f aca="false">IF(ISNUMBER(V325),IF(ABS(V302-V325)&lt;=1.001,0,ROUND(V302-V325,1)),"")</f>
        <v>0</v>
      </c>
      <c r="W324" s="61" t="n">
        <f aca="false">IF(ISNUMBER(W325),IF(ABS(W302-W325)&lt;=1.001,0,ROUND(W302-W325,1)),"")</f>
        <v>0</v>
      </c>
      <c r="X324" s="61" t="n">
        <f aca="false">IF(ISNUMBER(X325),IF(ABS(X302-X325)&lt;=1.001,0,ROUND(X302-X325,1)),"")</f>
        <v>0</v>
      </c>
      <c r="Y324" s="61" t="n">
        <f aca="false">IF(ISNUMBER(Y325),IF(ABS(Y302-Y325)&lt;=1.001,0,ROUND(Y302-Y325,1)),"")</f>
        <v>0</v>
      </c>
      <c r="Z324" s="61" t="n">
        <f aca="false">IF(ISNUMBER(Z325),IF(ABS(Z302-Z325)&lt;=1.001,0,ROUND(Z302-Z325,1)),"")</f>
        <v>0</v>
      </c>
      <c r="AA324" s="61" t="n">
        <f aca="false">IF(ISNUMBER(AA325),IF(ABS(AA302-AA325)&lt;=1.001,0,ROUND(AA302-AA325,1)),"")</f>
        <v>0</v>
      </c>
      <c r="AB324" s="61" t="n">
        <f aca="false">IF(ISNUMBER(AB325),IF(ABS(AB302-AB325)&lt;=1.001,0,ROUND(AB302-AB325,1)),"")</f>
        <v>0</v>
      </c>
      <c r="AC324" s="61" t="n">
        <f aca="false">IF(ISNUMBER(AC325),IF(ABS(AC302-AC325)&lt;=1.001,0,ROUND(AC302-AC325,1)),"")</f>
        <v>0</v>
      </c>
      <c r="AD324" s="61" t="n">
        <f aca="false">IF(ISNUMBER(AD325),IF(ABS(AD302-AD325)&lt;=1.001,0,ROUND(AD302-AD325,1)),"")</f>
        <v>0</v>
      </c>
      <c r="AE324" s="61" t="n">
        <f aca="false">IF(ISNUMBER(AE325),IF(ABS(AE302-AE325)&lt;=1.001,0,ROUND(AE302-AE325,1)),"")</f>
        <v>0</v>
      </c>
      <c r="AF324" s="61" t="n">
        <f aca="false">IF(ISNUMBER(AF325),IF(ABS(AF302-AF325)&lt;=1.001,0,ROUND(AF302-AF325,1)),"")</f>
        <v>0</v>
      </c>
      <c r="AG324" s="61" t="n">
        <f aca="false">IF(ISNUMBER(AG325),IF(ABS(AG302-AG325)&lt;=1.001,0,ROUND(AG302-AG325,1)),"")</f>
        <v>0</v>
      </c>
      <c r="AH324" s="61" t="n">
        <f aca="false">IF(ISNUMBER(AH325),IF(ABS(AH302-AH325)&lt;=1.001,0,ROUND(AH302-AH325,1)),"")</f>
        <v>0</v>
      </c>
      <c r="AI324" s="61" t="n">
        <f aca="false">IF(ISNUMBER(AI325),IF(ABS(AI302-AI325)&lt;=1.001,0,ROUND(AI302-AI325,1)),"")</f>
        <v>0</v>
      </c>
      <c r="AJ324" s="61" t="n">
        <f aca="false">IF(ISNUMBER(AJ325),IF(ABS(AJ302-AJ325)&lt;=1.001,0,ROUND(AJ302-AJ325,1)),"")</f>
        <v>0</v>
      </c>
      <c r="AK324" s="61" t="n">
        <f aca="false">IF(ISNUMBER(AK325),IF(ABS(AK302-AK325)&lt;=1.001,0,ROUND(AK302-AK325,1)),"")</f>
        <v>0</v>
      </c>
      <c r="AL324" s="61" t="n">
        <f aca="false">IF(ISNUMBER(AL325),IF(ABS(AL302-AL325)&lt;=1.001,0,ROUND(AL302-AL325,1)),"")</f>
        <v>0</v>
      </c>
      <c r="AM324" s="61" t="n">
        <f aca="false">IF(ISNUMBER(AM325),IF(ABS(AM302-AM325)&lt;=1.001,0,ROUND(AM302-AM325,1)),"")</f>
        <v>0</v>
      </c>
      <c r="AN324" s="61" t="n">
        <f aca="false">IF(ISNUMBER(AN325),IF(ABS(AN302-AN325)&lt;=1.001,0,ROUND(AN302-AN325,1)),"")</f>
        <v>0</v>
      </c>
      <c r="AO324" s="61" t="n">
        <f aca="false">IF(ISNUMBER(AO325),IF(ABS(AO302-AO325)&lt;=1.001,0,ROUND(AO302-AO325,1)),"")</f>
        <v>0</v>
      </c>
      <c r="AP324" s="61" t="n">
        <f aca="false">IF(ISNUMBER(AP325),IF(ABS(AP302-AP325)&lt;=1.001,0,ROUND(AP302-AP325,1)),"")</f>
        <v>0</v>
      </c>
      <c r="AQ324" s="61" t="n">
        <f aca="false">IF(ISNUMBER(AQ325),IF(ABS(AQ302-AQ325)&lt;=1.001,0,ROUND(AQ302-AQ325,1)),"")</f>
        <v>0</v>
      </c>
      <c r="AR324" s="61" t="n">
        <f aca="false">IF(ISNUMBER(AR325),IF(ABS(AR302-AR325)&lt;=1.001,0,ROUND(AR302-AR325,1)),"")</f>
        <v>0</v>
      </c>
      <c r="AS324" s="61" t="n">
        <f aca="false">IF(ISNUMBER(AS325),IF(ABS(AS302-AS325)&lt;=1.001,0,ROUND(AS302-AS325,1)),"")</f>
        <v>0</v>
      </c>
      <c r="AT324" s="61" t="n">
        <f aca="false">IF(ISNUMBER(AT325),IF(ABS(AT302-AT325)&lt;=1.001,0,ROUND(AT302-AT325,1)),"")</f>
        <v>0</v>
      </c>
      <c r="AU324" s="61" t="n">
        <f aca="false">IF(ISNUMBER(AU325),IF(ABS(AU302-AU325)&lt;=1.001,0,ROUND(AU302-AU325,1)),"")</f>
        <v>0</v>
      </c>
      <c r="AV324" s="61" t="n">
        <f aca="false">IF(ISNUMBER(AV325),IF(ABS(AV302-AV325)&lt;=1.001,0,ROUND(AV302-AV325,1)),"")</f>
        <v>0</v>
      </c>
      <c r="AW324" s="61" t="n">
        <f aca="false">IF(ISNUMBER(AW325),IF(ABS(AW302-AW325)&lt;=1.001,0,ROUND(AW302-AW325,1)),"")</f>
        <v>0</v>
      </c>
      <c r="AX324" s="61" t="n">
        <f aca="false">IF(ISNUMBER(AX325),IF(ABS(AX302-AX325)&lt;=1.001,0,ROUND(AX302-AX325,1)),"")</f>
        <v>0</v>
      </c>
      <c r="AY324" s="61" t="n">
        <f aca="false">IF(ISNUMBER(AY325),IF(ABS(AY302-AY325)&lt;=1.001,0,ROUND(AY302-AY325,1)),"")</f>
        <v>0</v>
      </c>
      <c r="AZ324" s="61" t="n">
        <f aca="false">IF(ISNUMBER(AZ325),IF(ABS(AZ302-AZ325)&lt;=1.001,0,ROUND(AZ302-AZ325,1)),"")</f>
        <v>0</v>
      </c>
      <c r="BA324" s="61" t="n">
        <f aca="false">IF(ISNUMBER(BA325),IF(ABS(BA302-BA325)&lt;=1.001,0,ROUND(BA302-BA325,1)),"")</f>
        <v>0</v>
      </c>
      <c r="BB324" s="61" t="n">
        <f aca="false">IF(ISNUMBER(BB325),IF(ABS(BB302-BB325)&lt;=1.001,0,ROUND(BB302-BB325,1)),"")</f>
        <v>0</v>
      </c>
      <c r="BC324" s="61" t="n">
        <f aca="false">IF(ISNUMBER(BC325),IF(ABS(BC302-BC325)&lt;=1.001,0,ROUND(BC302-BC325,1)),"")</f>
        <v>0</v>
      </c>
      <c r="BD324" s="61" t="n">
        <f aca="false">IF(ISNUMBER(BD325),IF(ABS(BD302-BD325)&lt;=1.001,0,ROUND(BD302-BD325,1)),"")</f>
        <v>0</v>
      </c>
      <c r="BE324" s="61" t="n">
        <f aca="false">IF(ISNUMBER(BE325),IF(ABS(BE302-BE325)&lt;=1.001,0,ROUND(BE302-BE325,1)),"")</f>
        <v>0</v>
      </c>
      <c r="BF324" s="61" t="n">
        <f aca="false">IF(ISNUMBER(BF325),IF(ABS(BF302-BF325)&lt;=1.001,0,ROUND(BF302-BF325,1)),"")</f>
        <v>0</v>
      </c>
      <c r="BG324" s="61" t="n">
        <f aca="false">IF(ISNUMBER(BG325),IF(ABS(BG302-BG325)&lt;=1.001,0,ROUND(BG302-BG325,1)),"")</f>
        <v>0</v>
      </c>
      <c r="BH324" s="61" t="n">
        <f aca="false">IF(ISNUMBER(BH325),IF(ABS(BH302-BH325)&lt;=1.001,0,ROUND(BH302-BH325,1)),"")</f>
        <v>0</v>
      </c>
      <c r="BI324" s="61" t="n">
        <f aca="false">IF(ISNUMBER(BI325),IF(ABS(BI302-BI325)&lt;=1.001,0,ROUND(BI302-BI325,1)),"")</f>
        <v>0</v>
      </c>
      <c r="BJ324" s="61" t="n">
        <f aca="false">IF(ISNUMBER(BJ325),IF(ABS(BJ302-BJ325)&lt;=1.001,0,ROUND(BJ302-BJ325,1)),"")</f>
        <v>0</v>
      </c>
      <c r="BK324" s="61" t="n">
        <f aca="false">IF(ISNUMBER(BK325),IF(ABS(BK302-BK325)&lt;=1.001,0,ROUND(BK302-BK325,1)),"")</f>
        <v>0</v>
      </c>
      <c r="BL324" s="61" t="n">
        <f aca="false">IF(ISNUMBER(BL325),IF(ABS(BL302-BL325)&lt;=1.001,0,ROUND(BL302-BL325,1)),"")</f>
        <v>0</v>
      </c>
      <c r="BM324" s="61" t="n">
        <f aca="false">IF(ISNUMBER(BM325),IF(ABS(BM302-BM325)&lt;=1.001,0,ROUND(BM302-BM325,1)),"")</f>
        <v>0</v>
      </c>
      <c r="BN324" s="61" t="n">
        <f aca="false">IF(ISNUMBER(BN325),IF(ABS(BN302-BN325)&lt;=1.001,0,ROUND(BN302-BN325,1)),"")</f>
        <v>0</v>
      </c>
      <c r="BO324" s="61" t="n">
        <f aca="false">IF(ISNUMBER(BO325),IF(ABS(BO302-BO325)&lt;=1.001,0,ROUND(BO302-BO325,1)),"")</f>
        <v>0</v>
      </c>
      <c r="BP324" s="61" t="n">
        <f aca="false">IF(ISNUMBER(BP325),IF(ABS(BP302-BP325)&lt;=1.001,0,ROUND(BP302-BP325,1)),"")</f>
        <v>0</v>
      </c>
      <c r="BQ324" s="61" t="n">
        <f aca="false">IF(ISNUMBER(BQ325),IF(ABS(BQ302-BQ325)&lt;=1.001,0,ROUND(BQ302-BQ325,1)),"")</f>
        <v>0</v>
      </c>
      <c r="BR324" s="61" t="n">
        <f aca="false">IF(ISNUMBER(BR325),IF(ABS(BR302-BR325)&lt;=1.001,0,ROUND(BR302-BR325,1)),"")</f>
        <v>0</v>
      </c>
      <c r="BS324" s="61" t="n">
        <f aca="false">IF(ISNUMBER(BS325),IF(ABS(BS302-BS325)&lt;=1.001,0,ROUND(BS302-BS325,1)),"")</f>
        <v>0</v>
      </c>
      <c r="BT324" s="61" t="n">
        <f aca="false">IF(ISNUMBER(BT325),IF(ABS(BT302-BT325)&lt;=1.001,0,ROUND(BT302-BT325,1)),"")</f>
        <v>0</v>
      </c>
      <c r="BU324" s="61" t="n">
        <f aca="false">IF(ISNUMBER(BU325),IF(ABS(BU302-BU325)&lt;=1.001,0,ROUND(BU302-BU325,1)),"")</f>
        <v>0</v>
      </c>
      <c r="BV324" s="61" t="n">
        <f aca="false">IF(ISNUMBER(BV325),IF(ABS(BV302-BV325)&lt;=1.001,0,ROUND(BV302-BV325,1)),"")</f>
        <v>0</v>
      </c>
      <c r="BW324" s="61" t="n">
        <f aca="false">IF(ISNUMBER(BW325),IF(ABS(BW302-BW325)&lt;=1.001,0,ROUND(BW302-BW325,1)),"")</f>
        <v>0</v>
      </c>
      <c r="BX324" s="61" t="n">
        <f aca="false">IF(ISNUMBER(BX325),IF(ABS(BX302-BX325)&lt;=1.001,0,ROUND(BX302-BX325,1)),"")</f>
        <v>0</v>
      </c>
      <c r="BY324" s="39"/>
      <c r="BZ324" s="39"/>
      <c r="CA324" s="39"/>
      <c r="CB324" s="39"/>
      <c r="CC324" s="39"/>
      <c r="CD324" s="39"/>
      <c r="CE324" s="39"/>
      <c r="CF324" s="21"/>
    </row>
    <row r="325" customFormat="false" ht="15" hidden="false" customHeight="false" outlineLevel="0" collapsed="false">
      <c r="B325" s="43" t="s">
        <v>511</v>
      </c>
      <c r="C325" s="37" t="n">
        <v>21262.238</v>
      </c>
      <c r="D325" s="37" t="n">
        <v>21201.3</v>
      </c>
      <c r="E325" s="37" t="n">
        <v>21090</v>
      </c>
      <c r="F325" s="37" t="n">
        <v>21600.8</v>
      </c>
      <c r="G325" s="37" t="n">
        <v>21386.8</v>
      </c>
      <c r="H325" s="37" t="n">
        <v>26833.7</v>
      </c>
      <c r="I325" s="37" t="n">
        <v>27359.8</v>
      </c>
      <c r="J325" s="37" t="n">
        <v>27410.7</v>
      </c>
      <c r="K325" s="37" t="n">
        <v>27629.5</v>
      </c>
      <c r="L325" s="37" t="n">
        <v>28272.5</v>
      </c>
      <c r="M325" s="37" t="n">
        <v>31876.2</v>
      </c>
      <c r="N325" s="37" t="n">
        <v>31876.2</v>
      </c>
      <c r="O325" s="37" t="n">
        <v>46133.7</v>
      </c>
      <c r="P325" s="37" t="n">
        <v>44313.4</v>
      </c>
      <c r="Q325" s="37" t="n">
        <v>42690.8</v>
      </c>
      <c r="R325" s="37" t="n">
        <v>42639.4</v>
      </c>
      <c r="S325" s="37" t="n">
        <v>42639.4</v>
      </c>
      <c r="T325" s="37" t="n">
        <v>41857.3</v>
      </c>
      <c r="U325" s="37" t="n">
        <v>41774.4</v>
      </c>
      <c r="V325" s="37" t="n">
        <v>41147.1</v>
      </c>
      <c r="W325" s="37" t="n">
        <v>40999.1</v>
      </c>
      <c r="X325" s="37" t="n">
        <v>40999.1</v>
      </c>
      <c r="Y325" s="37" t="n">
        <v>42952.7</v>
      </c>
      <c r="Z325" s="37" t="n">
        <v>42253.4</v>
      </c>
      <c r="AA325" s="37" t="n">
        <v>48010.7</v>
      </c>
      <c r="AB325" s="37" t="n">
        <v>45836.7</v>
      </c>
      <c r="AC325" s="37" t="n">
        <v>45836.7</v>
      </c>
      <c r="AD325" s="37" t="n">
        <v>46213.6</v>
      </c>
      <c r="AE325" s="37" t="n">
        <v>46513.7</v>
      </c>
      <c r="AF325" s="37" t="n">
        <v>55985.3</v>
      </c>
      <c r="AG325" s="37" t="n">
        <v>56589</v>
      </c>
      <c r="AH325" s="37" t="n">
        <v>56589</v>
      </c>
      <c r="AI325" s="37" t="n">
        <v>56580</v>
      </c>
      <c r="AJ325" s="37" t="n">
        <v>55403</v>
      </c>
      <c r="AK325" s="37" t="n">
        <v>55078</v>
      </c>
      <c r="AL325" s="37" t="n">
        <v>56181</v>
      </c>
      <c r="AM325" s="37" t="n">
        <v>56181</v>
      </c>
      <c r="AN325" s="37" t="n">
        <v>55596</v>
      </c>
      <c r="AO325" s="37" t="n">
        <v>57970</v>
      </c>
      <c r="AP325" s="37" t="n">
        <v>56729</v>
      </c>
      <c r="AQ325" s="37" t="n">
        <v>58189</v>
      </c>
      <c r="AR325" s="37" t="n">
        <v>58189</v>
      </c>
      <c r="AS325" s="37" t="n">
        <v>58688</v>
      </c>
      <c r="AT325" s="37" t="n">
        <v>61593</v>
      </c>
      <c r="AU325" s="37" t="n">
        <v>64061</v>
      </c>
      <c r="AV325" s="37" t="n">
        <v>69052</v>
      </c>
      <c r="AW325" s="37" t="n">
        <v>69052</v>
      </c>
      <c r="AX325" s="37" t="n">
        <v>65931</v>
      </c>
      <c r="AY325" s="37" t="n">
        <v>67698</v>
      </c>
      <c r="AZ325" s="37" t="n">
        <v>73600</v>
      </c>
      <c r="BA325" s="37" t="n">
        <v>94791</v>
      </c>
      <c r="BB325" s="37" t="n">
        <v>94791</v>
      </c>
      <c r="BC325" s="37" t="n">
        <v>92747</v>
      </c>
      <c r="BD325" s="37" t="n">
        <v>90579</v>
      </c>
      <c r="BE325" s="37" t="n">
        <v>90536</v>
      </c>
      <c r="BF325" s="37" t="n">
        <v>97290</v>
      </c>
      <c r="BG325" s="37" t="n">
        <v>97290</v>
      </c>
      <c r="BH325" s="37" t="n">
        <v>94658</v>
      </c>
      <c r="BI325" s="37" t="n">
        <v>94105</v>
      </c>
      <c r="BJ325" s="37" t="n">
        <v>97057</v>
      </c>
      <c r="BK325" s="37" t="n">
        <v>98726</v>
      </c>
      <c r="BL325" s="37" t="n">
        <v>98726</v>
      </c>
      <c r="BM325" s="37" t="n">
        <v>97095</v>
      </c>
      <c r="BN325" s="37" t="n">
        <v>98496</v>
      </c>
      <c r="BO325" s="37" t="n">
        <v>100364</v>
      </c>
      <c r="BP325" s="37" t="n">
        <v>97321</v>
      </c>
      <c r="BQ325" s="37" t="n">
        <v>97321</v>
      </c>
      <c r="BR325" s="37" t="n">
        <v>99041</v>
      </c>
      <c r="BS325" s="37" t="n">
        <v>101230</v>
      </c>
      <c r="BT325" s="37" t="n">
        <v>103020</v>
      </c>
      <c r="BU325" s="37" t="n">
        <v>110343</v>
      </c>
      <c r="BV325" s="37" t="n">
        <v>110343</v>
      </c>
      <c r="BW325" s="37" t="n">
        <v>113281</v>
      </c>
      <c r="BX325" s="37" t="n">
        <v>113174</v>
      </c>
      <c r="BY325" s="39"/>
      <c r="BZ325" s="39"/>
      <c r="CA325" s="39"/>
      <c r="CB325" s="39"/>
      <c r="CC325" s="39"/>
      <c r="CD325" s="39"/>
      <c r="CE325" s="39"/>
      <c r="CF325" s="21"/>
    </row>
    <row r="326" customFormat="false" ht="15" hidden="false" customHeight="false" outlineLevel="0" collapsed="false">
      <c r="B326" s="23" t="s">
        <v>512</v>
      </c>
      <c r="C326" s="61" t="n">
        <f aca="false">IF(AND(ISNUMBER(C264),ISNUMBER(C292)),C264-C292,"")</f>
        <v>-0.0339999999999918</v>
      </c>
      <c r="D326" s="61" t="n">
        <f aca="false">IF(AND(ISNUMBER(D264),ISNUMBER(D292)),D264-D292,"")</f>
        <v>-11.1</v>
      </c>
      <c r="E326" s="61" t="n">
        <f aca="false">IF(AND(ISNUMBER(E264),ISNUMBER(E292)),E264-E292,"")</f>
        <v>0</v>
      </c>
      <c r="F326" s="61" t="n">
        <f aca="false">IF(AND(ISNUMBER(F264),ISNUMBER(F292)),F264-F292,"")</f>
        <v>0</v>
      </c>
      <c r="G326" s="61" t="n">
        <f aca="false">IF(AND(ISNUMBER(G264),ISNUMBER(G292)),G264-G292,"")</f>
        <v>0</v>
      </c>
      <c r="H326" s="61" t="n">
        <f aca="false">IF(AND(ISNUMBER(H264),ISNUMBER(H292)),H264-H292,"")</f>
        <v>0</v>
      </c>
      <c r="I326" s="61" t="n">
        <f aca="false">IF(AND(ISNUMBER(I264),ISNUMBER(I292)),I264-I292,"")</f>
        <v>0</v>
      </c>
      <c r="J326" s="61" t="n">
        <f aca="false">IF(AND(ISNUMBER(J264),ISNUMBER(J292)),J264-J292,"")</f>
        <v>0</v>
      </c>
      <c r="K326" s="61" t="n">
        <f aca="false">IF(AND(ISNUMBER(K264),ISNUMBER(K292)),K264-K292,"")</f>
        <v>0</v>
      </c>
      <c r="L326" s="61" t="n">
        <f aca="false">IF(AND(ISNUMBER(L264),ISNUMBER(L292)),L264-L292,"")</f>
        <v>0</v>
      </c>
      <c r="M326" s="61" t="n">
        <f aca="false">IF(AND(ISNUMBER(M264),ISNUMBER(M292)),M264-M292,"")</f>
        <v>0</v>
      </c>
      <c r="N326" s="61" t="n">
        <f aca="false">IF(AND(ISNUMBER(N264),ISNUMBER(N292)),N264-N292,"")</f>
        <v>0</v>
      </c>
      <c r="O326" s="61" t="n">
        <f aca="false">IF(AND(ISNUMBER(O264),ISNUMBER(O292)),O264-O292,"")</f>
        <v>0</v>
      </c>
      <c r="P326" s="61" t="n">
        <f aca="false">IF(AND(ISNUMBER(P264),ISNUMBER(P292)),P264-P292,"")</f>
        <v>0</v>
      </c>
      <c r="Q326" s="61" t="n">
        <f aca="false">IF(AND(ISNUMBER(Q264),ISNUMBER(Q292)),Q264-Q292,"")</f>
        <v>0</v>
      </c>
      <c r="R326" s="61" t="n">
        <f aca="false">IF(AND(ISNUMBER(R264),ISNUMBER(R292)),R264-R292,"")</f>
        <v>0</v>
      </c>
      <c r="S326" s="61" t="n">
        <f aca="false">IF(AND(ISNUMBER(S264),ISNUMBER(S292)),S264-S292,"")</f>
        <v>0</v>
      </c>
      <c r="T326" s="61" t="n">
        <f aca="false">IF(AND(ISNUMBER(T264),ISNUMBER(T292)),T264-T292,"")</f>
        <v>0</v>
      </c>
      <c r="U326" s="61" t="n">
        <f aca="false">IF(AND(ISNUMBER(U264),ISNUMBER(U292)),U264-U292,"")</f>
        <v>0</v>
      </c>
      <c r="V326" s="61" t="n">
        <f aca="false">IF(AND(ISNUMBER(V264),ISNUMBER(V292)),V264-V292,"")</f>
        <v>0</v>
      </c>
      <c r="W326" s="61" t="n">
        <f aca="false">IF(AND(ISNUMBER(W264),ISNUMBER(W292)),W264-W292,"")</f>
        <v>0</v>
      </c>
      <c r="X326" s="61" t="n">
        <f aca="false">IF(AND(ISNUMBER(X264),ISNUMBER(X292)),X264-X292,"")</f>
        <v>0</v>
      </c>
      <c r="Y326" s="61" t="n">
        <f aca="false">IF(AND(ISNUMBER(Y264),ISNUMBER(Y292)),Y264-Y292,"")</f>
        <v>0</v>
      </c>
      <c r="Z326" s="61" t="n">
        <f aca="false">IF(AND(ISNUMBER(Z264),ISNUMBER(Z292)),Z264-Z292,"")</f>
        <v>0</v>
      </c>
      <c r="AA326" s="61" t="n">
        <f aca="false">IF(AND(ISNUMBER(AA264),ISNUMBER(AA292)),AA264-AA292,"")</f>
        <v>0</v>
      </c>
      <c r="AB326" s="61" t="n">
        <f aca="false">IF(AND(ISNUMBER(AB264),ISNUMBER(AB292)),AB264-AB292,"")</f>
        <v>0</v>
      </c>
      <c r="AC326" s="61" t="n">
        <f aca="false">IF(AND(ISNUMBER(AC264),ISNUMBER(AC292)),AC264-AC292,"")</f>
        <v>0</v>
      </c>
      <c r="AD326" s="61" t="n">
        <f aca="false">IF(AND(ISNUMBER(AD264),ISNUMBER(AD292)),AD264-AD292,"")</f>
        <v>23.6</v>
      </c>
      <c r="AE326" s="61" t="n">
        <f aca="false">IF(AND(ISNUMBER(AE264),ISNUMBER(AE292)),AE264-AE292,"")</f>
        <v>18.3</v>
      </c>
      <c r="AF326" s="61" t="n">
        <f aca="false">IF(AND(ISNUMBER(AF264),ISNUMBER(AF292)),AF264-AF292,"")</f>
        <v>17</v>
      </c>
      <c r="AG326" s="61" t="n">
        <f aca="false">IF(AND(ISNUMBER(AG264),ISNUMBER(AG292)),AG264-AG292,"")</f>
        <v>26</v>
      </c>
      <c r="AH326" s="61" t="n">
        <f aca="false">IF(AND(ISNUMBER(AH264),ISNUMBER(AH292)),AH264-AH292,"")</f>
        <v>26</v>
      </c>
      <c r="AI326" s="61" t="n">
        <f aca="false">IF(AND(ISNUMBER(AI264),ISNUMBER(AI292)),AI264-AI292,"")</f>
        <v>25</v>
      </c>
      <c r="AJ326" s="61" t="n">
        <f aca="false">IF(AND(ISNUMBER(AJ264),ISNUMBER(AJ292)),AJ264-AJ292,"")</f>
        <v>19</v>
      </c>
      <c r="AK326" s="61" t="n">
        <f aca="false">IF(AND(ISNUMBER(AK264),ISNUMBER(AK292)),AK264-AK292,"")</f>
        <v>13</v>
      </c>
      <c r="AL326" s="61" t="n">
        <f aca="false">IF(AND(ISNUMBER(AL264),ISNUMBER(AL292)),AL264-AL292,"")</f>
        <v>14</v>
      </c>
      <c r="AM326" s="61" t="n">
        <f aca="false">IF(AND(ISNUMBER(AM264),ISNUMBER(AM292)),AM264-AM292,"")</f>
        <v>14</v>
      </c>
      <c r="AN326" s="61" t="n">
        <f aca="false">IF(AND(ISNUMBER(AN264),ISNUMBER(AN292)),AN264-AN292,"")</f>
        <v>22</v>
      </c>
      <c r="AO326" s="61" t="n">
        <f aca="false">IF(AND(ISNUMBER(AO264),ISNUMBER(AO292)),AO264-AO292,"")</f>
        <v>26</v>
      </c>
      <c r="AP326" s="61" t="n">
        <f aca="false">IF(AND(ISNUMBER(AP264),ISNUMBER(AP292)),AP264-AP292,"")</f>
        <v>32</v>
      </c>
      <c r="AQ326" s="61" t="n">
        <f aca="false">IF(AND(ISNUMBER(AQ264),ISNUMBER(AQ292)),AQ264-AQ292,"")</f>
        <v>23</v>
      </c>
      <c r="AR326" s="61" t="n">
        <f aca="false">IF(AND(ISNUMBER(AR264),ISNUMBER(AR292)),AR264-AR292,"")</f>
        <v>23</v>
      </c>
      <c r="AS326" s="61" t="n">
        <f aca="false">IF(AND(ISNUMBER(AS264),ISNUMBER(AS292)),AS264-AS292,"")</f>
        <v>29</v>
      </c>
      <c r="AT326" s="61" t="n">
        <f aca="false">IF(AND(ISNUMBER(AT264),ISNUMBER(AT292)),AT264-AT292,"")</f>
        <v>19</v>
      </c>
      <c r="AU326" s="61" t="n">
        <f aca="false">IF(AND(ISNUMBER(AU264),ISNUMBER(AU292)),AU264-AU292,"")</f>
        <v>30</v>
      </c>
      <c r="AV326" s="61" t="n">
        <f aca="false">IF(AND(ISNUMBER(AV264),ISNUMBER(AV292)),AV264-AV292,"")</f>
        <v>11</v>
      </c>
      <c r="AW326" s="61" t="n">
        <f aca="false">IF(AND(ISNUMBER(AW264),ISNUMBER(AW292)),AW264-AW292,"")</f>
        <v>11</v>
      </c>
      <c r="AX326" s="61" t="n">
        <f aca="false">IF(AND(ISNUMBER(AX264),ISNUMBER(AX292)),AX264-AX292,"")</f>
        <v>20</v>
      </c>
      <c r="AY326" s="61" t="n">
        <f aca="false">IF(AND(ISNUMBER(AY264),ISNUMBER(AY292)),AY264-AY292,"")</f>
        <v>12</v>
      </c>
      <c r="AZ326" s="61" t="n">
        <f aca="false">IF(AND(ISNUMBER(AZ264),ISNUMBER(AZ292)),AZ264-AZ292,"")</f>
        <v>21</v>
      </c>
      <c r="BA326" s="61" t="n">
        <f aca="false">IF(AND(ISNUMBER(BA264),ISNUMBER(BA292)),BA264-BA292,"")</f>
        <v>14</v>
      </c>
      <c r="BB326" s="61" t="n">
        <f aca="false">IF(AND(ISNUMBER(BB264),ISNUMBER(BB292)),BB264-BB292,"")</f>
        <v>14</v>
      </c>
      <c r="BC326" s="61" t="n">
        <f aca="false">IF(AND(ISNUMBER(BC264),ISNUMBER(BC292)),BC264-BC292,"")</f>
        <v>27</v>
      </c>
      <c r="BD326" s="61" t="n">
        <f aca="false">IF(AND(ISNUMBER(BD264),ISNUMBER(BD292)),BD264-BD292,"")</f>
        <v>17</v>
      </c>
      <c r="BE326" s="61" t="n">
        <f aca="false">IF(AND(ISNUMBER(BE264),ISNUMBER(BE292)),BE264-BE292,"")</f>
        <v>15</v>
      </c>
      <c r="BF326" s="61" t="n">
        <f aca="false">IF(AND(ISNUMBER(BF264),ISNUMBER(BF292)),BF264-BF292,"")</f>
        <v>13</v>
      </c>
      <c r="BG326" s="61" t="n">
        <f aca="false">IF(AND(ISNUMBER(BG264),ISNUMBER(BG292)),BG264-BG292,"")</f>
        <v>13</v>
      </c>
      <c r="BH326" s="61" t="n">
        <f aca="false">IF(AND(ISNUMBER(BH264),ISNUMBER(BH292)),BH264-BH292,"")</f>
        <v>18</v>
      </c>
      <c r="BI326" s="61" t="n">
        <f aca="false">IF(AND(ISNUMBER(BI264),ISNUMBER(BI292)),BI264-BI292,"")</f>
        <v>20</v>
      </c>
      <c r="BJ326" s="61" t="n">
        <f aca="false">IF(AND(ISNUMBER(BJ264),ISNUMBER(BJ292)),BJ264-BJ292,"")</f>
        <v>17</v>
      </c>
      <c r="BK326" s="61" t="n">
        <f aca="false">IF(AND(ISNUMBER(BK264),ISNUMBER(BK292)),BK264-BK292,"")</f>
        <v>20</v>
      </c>
      <c r="BL326" s="61" t="n">
        <f aca="false">IF(AND(ISNUMBER(BL264),ISNUMBER(BL292)),BL264-BL292,"")</f>
        <v>20</v>
      </c>
      <c r="BM326" s="61" t="n">
        <f aca="false">IF(AND(ISNUMBER(BM264),ISNUMBER(BM292)),BM264-BM292,"")</f>
        <v>20</v>
      </c>
      <c r="BN326" s="61" t="n">
        <f aca="false">IF(AND(ISNUMBER(BN264),ISNUMBER(BN292)),BN264-BN292,"")</f>
        <v>24</v>
      </c>
      <c r="BO326" s="61" t="n">
        <f aca="false">IF(AND(ISNUMBER(BO264),ISNUMBER(BO292)),BO264-BO292,"")</f>
        <v>25</v>
      </c>
      <c r="BP326" s="61" t="n">
        <f aca="false">IF(AND(ISNUMBER(BP264),ISNUMBER(BP292)),BP264-BP292,"")</f>
        <v>31</v>
      </c>
      <c r="BQ326" s="61" t="n">
        <f aca="false">IF(AND(ISNUMBER(BQ264),ISNUMBER(BQ292)),BQ264-BQ292,"")</f>
        <v>31</v>
      </c>
      <c r="BR326" s="61" t="n">
        <f aca="false">IF(AND(ISNUMBER(BR264),ISNUMBER(BR292)),BR264-BR292,"")</f>
        <v>38</v>
      </c>
      <c r="BS326" s="61" t="n">
        <f aca="false">IF(AND(ISNUMBER(BS264),ISNUMBER(BS292)),BS264-BS292,"")</f>
        <v>27</v>
      </c>
      <c r="BT326" s="61" t="n">
        <f aca="false">IF(AND(ISNUMBER(BT264),ISNUMBER(BT292)),BT264-BT292,"")</f>
        <v>29</v>
      </c>
      <c r="BU326" s="61" t="n">
        <f aca="false">IF(AND(ISNUMBER(BU264),ISNUMBER(BU292)),BU264-BU292,"")</f>
        <v>27</v>
      </c>
      <c r="BV326" s="61" t="n">
        <f aca="false">IF(AND(ISNUMBER(BV264),ISNUMBER(BV292)),BV264-BV292,"")</f>
        <v>27</v>
      </c>
      <c r="BW326" s="61" t="n">
        <f aca="false">IF(AND(ISNUMBER(BW264),ISNUMBER(BW292)),BW264-BW292,"")</f>
        <v>26</v>
      </c>
      <c r="BX326" s="61" t="n">
        <f aca="false">IF(AND(ISNUMBER(BX264),ISNUMBER(BX292)),BX264-BX292,"")</f>
        <v>32</v>
      </c>
      <c r="BY326" s="39"/>
      <c r="BZ326" s="39"/>
      <c r="CA326" s="44" t="n">
        <f aca="false">BX326</f>
        <v>32</v>
      </c>
      <c r="CB326" s="44" t="n">
        <f aca="false">CA326</f>
        <v>32</v>
      </c>
      <c r="CC326" s="44" t="n">
        <f aca="false">CB326</f>
        <v>32</v>
      </c>
      <c r="CD326" s="44" t="n">
        <f aca="false">CC326</f>
        <v>32</v>
      </c>
      <c r="CE326" s="44" t="n">
        <f aca="false">CD326</f>
        <v>32</v>
      </c>
      <c r="CF326" s="21"/>
    </row>
    <row r="327" customFormat="false" ht="15" hidden="false" customHeight="false" outlineLevel="0" collapsed="false">
      <c r="B327" s="60" t="s">
        <v>513</v>
      </c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  <c r="BP327" s="38"/>
      <c r="BQ327" s="38"/>
      <c r="BR327" s="38"/>
      <c r="BS327" s="38"/>
      <c r="BT327" s="38"/>
      <c r="BU327" s="38"/>
      <c r="BV327" s="38"/>
      <c r="BW327" s="38"/>
      <c r="BX327" s="38"/>
      <c r="BY327" s="39"/>
      <c r="BZ327" s="39"/>
      <c r="CA327" s="44" t="n">
        <f aca="false">ROUND(CA292+CA326-CA264,1)</f>
        <v>0</v>
      </c>
      <c r="CB327" s="44" t="n">
        <f aca="false">ROUND(CB292+CB326-CB264,1)</f>
        <v>0</v>
      </c>
      <c r="CC327" s="44" t="n">
        <f aca="false">ROUND(CC292+CC326-CC264,1)</f>
        <v>0</v>
      </c>
      <c r="CD327" s="44" t="n">
        <f aca="false">ROUND(CD292+CD326-CD264,1)</f>
        <v>0</v>
      </c>
      <c r="CE327" s="44" t="n">
        <f aca="false">ROUND(CE292+CE326-CE264,1)</f>
        <v>0</v>
      </c>
      <c r="CF327" s="21"/>
    </row>
    <row r="328" customFormat="false" ht="15" hidden="false" customHeight="false" outlineLevel="0" collapsed="false">
      <c r="B328" s="43" t="s">
        <v>514</v>
      </c>
      <c r="C328" s="65" t="n">
        <v>416.6</v>
      </c>
      <c r="D328" s="65" t="n">
        <v>415.2</v>
      </c>
      <c r="E328" s="65" t="n">
        <v>418</v>
      </c>
      <c r="F328" s="65" t="n">
        <v>409.461414</v>
      </c>
      <c r="G328" s="65" t="n">
        <v>390.607016</v>
      </c>
      <c r="H328" s="65" t="n">
        <v>365.85361</v>
      </c>
      <c r="I328" s="65" t="n">
        <v>357.625034</v>
      </c>
      <c r="J328" s="65" t="n">
        <v>358.921241</v>
      </c>
      <c r="K328" s="65" t="n">
        <v>360.515888</v>
      </c>
      <c r="L328" s="65" t="n">
        <v>361.367293</v>
      </c>
      <c r="M328" s="65" t="n">
        <v>391.792194</v>
      </c>
      <c r="N328" s="65" t="n">
        <v>391.792194</v>
      </c>
      <c r="O328" s="65" t="n">
        <v>398.938297</v>
      </c>
      <c r="P328" s="65" t="n">
        <v>399.354992</v>
      </c>
      <c r="Q328" s="65" t="n">
        <v>400.025475</v>
      </c>
      <c r="R328" s="65" t="n">
        <v>396.782757</v>
      </c>
      <c r="S328" s="65" t="n">
        <v>396.782757</v>
      </c>
      <c r="T328" s="65" t="n">
        <v>398.05694</v>
      </c>
      <c r="U328" s="65" t="n">
        <v>398.487656</v>
      </c>
      <c r="V328" s="65" t="n">
        <v>399.097699</v>
      </c>
      <c r="W328" s="65" t="n">
        <v>396.261928</v>
      </c>
      <c r="X328" s="65" t="n">
        <v>396.261928</v>
      </c>
      <c r="Y328" s="65" t="n">
        <v>393.51223</v>
      </c>
      <c r="Z328" s="65" t="n">
        <v>394.262866</v>
      </c>
      <c r="AA328" s="65" t="n">
        <v>395.025225</v>
      </c>
      <c r="AB328" s="65" t="n">
        <v>390.391061</v>
      </c>
      <c r="AC328" s="65" t="n">
        <v>390.391061</v>
      </c>
      <c r="AD328" s="65" t="n">
        <v>391.219918</v>
      </c>
      <c r="AE328" s="65" t="n">
        <v>390.119503</v>
      </c>
      <c r="AF328" s="65" t="n">
        <v>400.995357</v>
      </c>
      <c r="AG328" s="65" t="n">
        <v>401.784066</v>
      </c>
      <c r="AH328" s="65" t="n">
        <v>401.784066</v>
      </c>
      <c r="AI328" s="65" t="n">
        <v>402.32331</v>
      </c>
      <c r="AJ328" s="65" t="n">
        <v>402.796251</v>
      </c>
      <c r="AK328" s="65" t="n">
        <v>402.576382</v>
      </c>
      <c r="AL328" s="65" t="n">
        <v>399.003681</v>
      </c>
      <c r="AM328" s="65" t="n">
        <v>399.003681</v>
      </c>
      <c r="AN328" s="65" t="n">
        <v>399.98114</v>
      </c>
      <c r="AO328" s="65" t="n">
        <v>400.475744</v>
      </c>
      <c r="AP328" s="65" t="n">
        <v>400.991227</v>
      </c>
      <c r="AQ328" s="65" t="n">
        <v>398.828389</v>
      </c>
      <c r="AR328" s="65" t="n">
        <v>398.828389</v>
      </c>
      <c r="AS328" s="65" t="n">
        <v>394.951104</v>
      </c>
      <c r="AT328" s="65" t="n">
        <v>395.5894</v>
      </c>
      <c r="AU328" s="65" t="n">
        <v>396.335191</v>
      </c>
      <c r="AV328" s="65" t="n">
        <v>393.793362</v>
      </c>
      <c r="AW328" s="65" t="n">
        <v>393.793362</v>
      </c>
      <c r="AX328" s="65" t="n">
        <v>393.027886</v>
      </c>
      <c r="AY328" s="65" t="n">
        <v>393.418899</v>
      </c>
      <c r="AZ328" s="65" t="n">
        <v>394.048087</v>
      </c>
      <c r="BA328" s="65" t="n">
        <v>391.19177</v>
      </c>
      <c r="BB328" s="65" t="n">
        <v>391.19177</v>
      </c>
      <c r="BC328" s="65" t="n">
        <v>391.462</v>
      </c>
      <c r="BD328" s="65" t="n">
        <v>391.788962</v>
      </c>
      <c r="BE328" s="65" t="n">
        <v>392.195557</v>
      </c>
      <c r="BF328" s="65" t="n">
        <v>385.430077</v>
      </c>
      <c r="BG328" s="65" t="n">
        <v>385.430077</v>
      </c>
      <c r="BH328" s="65" t="n">
        <v>385.721286</v>
      </c>
      <c r="BI328" s="65" t="n">
        <v>385.949773</v>
      </c>
      <c r="BJ328" s="65" t="n">
        <v>386.372321</v>
      </c>
      <c r="BK328" s="65" t="n">
        <v>381.312268</v>
      </c>
      <c r="BL328" s="65" t="n">
        <v>381.312268</v>
      </c>
      <c r="BM328" s="65" t="n">
        <v>381.716323</v>
      </c>
      <c r="BN328" s="65" t="n">
        <v>381.995566</v>
      </c>
      <c r="BO328" s="65" t="n">
        <v>382.500265</v>
      </c>
      <c r="BP328" s="65" t="n">
        <v>377.261182</v>
      </c>
      <c r="BQ328" s="65" t="n">
        <v>377.261182</v>
      </c>
      <c r="BR328" s="65" t="n">
        <v>377.493912</v>
      </c>
      <c r="BS328" s="65" t="n">
        <v>377.612121</v>
      </c>
      <c r="BT328" s="65" t="n">
        <v>375.708059</v>
      </c>
      <c r="BU328" s="65" t="n">
        <v>371.484244</v>
      </c>
      <c r="BV328" s="65" t="n">
        <v>371.484244</v>
      </c>
      <c r="BW328" s="65" t="n">
        <v>371.621465</v>
      </c>
      <c r="BX328" s="65" t="n">
        <v>369.747286</v>
      </c>
      <c r="BY328" s="55"/>
      <c r="BZ328" s="55"/>
      <c r="CA328" s="57" t="n">
        <f aca="false">CA286</f>
        <v>370.247286</v>
      </c>
      <c r="CB328" s="57" t="n">
        <f aca="false">CB286</f>
        <v>365.809179575315</v>
      </c>
      <c r="CC328" s="57" t="n">
        <f aca="false">CC286</f>
        <v>357.655231734089</v>
      </c>
      <c r="CD328" s="57" t="n">
        <f aca="false">CD286</f>
        <v>349.019173134986</v>
      </c>
      <c r="CE328" s="57" t="n">
        <f aca="false">CE286</f>
        <v>339.924796799787</v>
      </c>
      <c r="CF328" s="21"/>
    </row>
    <row r="330" customFormat="false" ht="15" hidden="false" customHeight="false" outlineLevel="0" collapsed="false">
      <c r="B330" s="11" t="s">
        <v>515</v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 t="s">
        <v>516</v>
      </c>
    </row>
    <row r="331" customFormat="false" ht="15" hidden="false" customHeight="false" outlineLevel="0" collapsed="false">
      <c r="B331" s="23" t="s">
        <v>517</v>
      </c>
      <c r="C331" s="61" t="n">
        <f aca="false">C136</f>
        <v>3791.617</v>
      </c>
      <c r="D331" s="61" t="n">
        <f aca="false">D136</f>
        <v>9746.4</v>
      </c>
      <c r="E331" s="61" t="n">
        <f aca="false">E136</f>
        <v>10498</v>
      </c>
      <c r="F331" s="61" t="n">
        <f aca="false">F136</f>
        <v>10109.7</v>
      </c>
      <c r="G331" s="61" t="n">
        <f aca="false">G136</f>
        <v>10788.7</v>
      </c>
      <c r="H331" s="61" t="n">
        <f aca="false">H136</f>
        <v>11725.9</v>
      </c>
      <c r="I331" s="61" t="n">
        <f aca="false">I136</f>
        <v>12509.9</v>
      </c>
      <c r="J331" s="61" t="n">
        <f aca="false">J136*4</f>
        <v>12766</v>
      </c>
      <c r="K331" s="61" t="n">
        <f aca="false">K136*4</f>
        <v>12960.4</v>
      </c>
      <c r="L331" s="61" t="n">
        <f aca="false">L136*4</f>
        <v>12767.2</v>
      </c>
      <c r="M331" s="61" t="n">
        <f aca="false">M136*4</f>
        <v>13867.6</v>
      </c>
      <c r="N331" s="61" t="n">
        <f aca="false">N136</f>
        <v>13090.3</v>
      </c>
      <c r="O331" s="61" t="n">
        <f aca="false">O136*4</f>
        <v>15614</v>
      </c>
      <c r="P331" s="61" t="n">
        <f aca="false">P136*4</f>
        <v>17287.6</v>
      </c>
      <c r="Q331" s="61" t="n">
        <f aca="false">Q136*4</f>
        <v>16685.6</v>
      </c>
      <c r="R331" s="61" t="n">
        <f aca="false">R136*4</f>
        <v>17971.2</v>
      </c>
      <c r="S331" s="61" t="n">
        <f aca="false">S136</f>
        <v>16889.6</v>
      </c>
      <c r="T331" s="61" t="n">
        <f aca="false">T136*4</f>
        <v>15675.2</v>
      </c>
      <c r="U331" s="61" t="n">
        <f aca="false">U136*4</f>
        <v>17083.6</v>
      </c>
      <c r="V331" s="61" t="n">
        <f aca="false">V136*4</f>
        <v>16492.8</v>
      </c>
      <c r="W331" s="61" t="n">
        <f aca="false">W136*4</f>
        <v>18610</v>
      </c>
      <c r="X331" s="61" t="n">
        <f aca="false">X136</f>
        <v>16965.4</v>
      </c>
      <c r="Y331" s="61" t="n">
        <f aca="false">Y136*4</f>
        <v>17179.2</v>
      </c>
      <c r="Z331" s="61" t="n">
        <f aca="false">Z136*4</f>
        <v>18140.8</v>
      </c>
      <c r="AA331" s="61" t="n">
        <f aca="false">AA136*4</f>
        <v>17963.6</v>
      </c>
      <c r="AB331" s="61" t="n">
        <f aca="false">AB136*4</f>
        <v>19812.8</v>
      </c>
      <c r="AC331" s="61" t="n">
        <f aca="false">AC136</f>
        <v>18274.1</v>
      </c>
      <c r="AD331" s="61" t="n">
        <f aca="false">AD136*4</f>
        <v>19060</v>
      </c>
      <c r="AE331" s="61" t="n">
        <f aca="false">AE136*4</f>
        <v>19960</v>
      </c>
      <c r="AF331" s="61" t="n">
        <f aca="false">AF136*4</f>
        <v>20464.8</v>
      </c>
      <c r="AG331" s="61" t="n">
        <f aca="false">AG136*4</f>
        <v>24188</v>
      </c>
      <c r="AH331" s="61" t="n">
        <f aca="false">AH136</f>
        <v>20918</v>
      </c>
      <c r="AI331" s="61" t="n">
        <f aca="false">AI136*4</f>
        <v>23412</v>
      </c>
      <c r="AJ331" s="61" t="n">
        <f aca="false">AJ136*4</f>
        <v>24312</v>
      </c>
      <c r="AK331" s="61" t="n">
        <f aca="false">AK136*4</f>
        <v>23680</v>
      </c>
      <c r="AL331" s="61" t="n">
        <f aca="false">AL136*4</f>
        <v>26028</v>
      </c>
      <c r="AM331" s="61" t="n">
        <f aca="false">AM136</f>
        <v>24358</v>
      </c>
      <c r="AN331" s="61" t="n">
        <f aca="false">AN136*4</f>
        <v>24500</v>
      </c>
      <c r="AO331" s="61" t="n">
        <f aca="false">AO136*4</f>
        <v>25264</v>
      </c>
      <c r="AP331" s="61" t="n">
        <f aca="false">AP136*4</f>
        <v>25088</v>
      </c>
      <c r="AQ331" s="61" t="n">
        <f aca="false">AQ136*4</f>
        <v>27316</v>
      </c>
      <c r="AR331" s="61" t="n">
        <f aca="false">AR136</f>
        <v>25542</v>
      </c>
      <c r="AS331" s="61" t="n">
        <f aca="false">AS136*4</f>
        <v>24920</v>
      </c>
      <c r="AT331" s="61" t="n">
        <f aca="false">AT136*4</f>
        <v>27668</v>
      </c>
      <c r="AU331" s="61" t="n">
        <f aca="false">AU136*4</f>
        <v>34084</v>
      </c>
      <c r="AV331" s="61" t="n">
        <f aca="false">AV136*4</f>
        <v>42200</v>
      </c>
      <c r="AW331" s="61" t="n">
        <f aca="false">AW136</f>
        <v>32218</v>
      </c>
      <c r="AX331" s="61" t="n">
        <f aca="false">AX136*4</f>
        <v>39624</v>
      </c>
      <c r="AY331" s="61" t="n">
        <f aca="false">AY136*4</f>
        <v>37092</v>
      </c>
      <c r="AZ331" s="61" t="n">
        <f aca="false">AZ136*4</f>
        <v>37320</v>
      </c>
      <c r="BA331" s="61" t="n">
        <f aca="false">BA136*4</f>
        <v>42808</v>
      </c>
      <c r="BB331" s="61" t="n">
        <f aca="false">BB136</f>
        <v>39211</v>
      </c>
      <c r="BC331" s="61" t="n">
        <f aca="false">BC136*4</f>
        <v>47272</v>
      </c>
      <c r="BD331" s="61" t="n">
        <f aca="false">BD136*4</f>
        <v>43880</v>
      </c>
      <c r="BE331" s="61" t="n">
        <f aca="false">BE136*4</f>
        <v>42708</v>
      </c>
      <c r="BF331" s="61" t="n">
        <f aca="false">BF136*4</f>
        <v>45800</v>
      </c>
      <c r="BG331" s="61" t="n">
        <f aca="false">BG136</f>
        <v>44915</v>
      </c>
      <c r="BH331" s="61" t="n">
        <f aca="false">BH136*4</f>
        <v>42840</v>
      </c>
      <c r="BI331" s="61" t="n">
        <f aca="false">BI136*4</f>
        <v>42748</v>
      </c>
      <c r="BJ331" s="61" t="n">
        <f aca="false">BJ136*4</f>
        <v>42296</v>
      </c>
      <c r="BK331" s="61" t="n">
        <f aca="false">BK136*4</f>
        <v>43544</v>
      </c>
      <c r="BL331" s="61" t="n">
        <f aca="false">BL136</f>
        <v>42857</v>
      </c>
      <c r="BM331" s="61" t="n">
        <f aca="false">BM136*4</f>
        <v>41380</v>
      </c>
      <c r="BN331" s="61" t="n">
        <f aca="false">BN136*4</f>
        <v>42164</v>
      </c>
      <c r="BO331" s="61" t="n">
        <f aca="false">BO136*4</f>
        <v>42392</v>
      </c>
      <c r="BP331" s="61" t="n">
        <f aca="false">BP136*4</f>
        <v>45580</v>
      </c>
      <c r="BQ331" s="61" t="n">
        <f aca="false">BQ136</f>
        <v>42879</v>
      </c>
      <c r="BR331" s="61" t="n">
        <f aca="false">BR136*4</f>
        <v>41456</v>
      </c>
      <c r="BS331" s="61" t="n">
        <f aca="false">BS136*4</f>
        <v>43420</v>
      </c>
      <c r="BT331" s="61" t="n">
        <f aca="false">BT136*4</f>
        <v>44488</v>
      </c>
      <c r="BU331" s="61" t="n">
        <f aca="false">BU136*4</f>
        <v>48860</v>
      </c>
      <c r="BV331" s="61" t="n">
        <f aca="false">BV136</f>
        <v>44556</v>
      </c>
      <c r="BW331" s="61" t="n">
        <f aca="false">BW136*4</f>
        <v>44020</v>
      </c>
      <c r="BX331" s="61" t="n">
        <f aca="false">BX136*4</f>
        <v>47976</v>
      </c>
      <c r="BY331" s="39"/>
      <c r="BZ331" s="39"/>
      <c r="CA331" s="44" t="n">
        <f aca="false">CA136</f>
        <v>47750</v>
      </c>
      <c r="CB331" s="44" t="n">
        <f aca="false">CB136</f>
        <v>50663.8492060496</v>
      </c>
      <c r="CC331" s="44" t="n">
        <f aca="false">CC136</f>
        <v>54503.0316265443</v>
      </c>
      <c r="CD331" s="44" t="n">
        <f aca="false">CD136</f>
        <v>58632.4730689533</v>
      </c>
      <c r="CE331" s="44" t="n">
        <f aca="false">CE136</f>
        <v>63013.654349173</v>
      </c>
      <c r="CF331" s="21"/>
    </row>
    <row r="332" customFormat="false" ht="15" hidden="false" customHeight="false" outlineLevel="0" collapsed="false">
      <c r="B332" s="23" t="s">
        <v>518</v>
      </c>
      <c r="C332" s="61" t="n">
        <f aca="false">IFERROR(C331*C137/C136,"")</f>
        <v>2210.189</v>
      </c>
      <c r="D332" s="61" t="n">
        <f aca="false">IFERROR(D331*D137/D136,"")</f>
        <v>5820.3</v>
      </c>
      <c r="E332" s="61" t="n">
        <f aca="false">IFERROR(E331*E137/E136,"")</f>
        <v>6167.6</v>
      </c>
      <c r="F332" s="61" t="n">
        <f aca="false">IFERROR(F331*F137/F136,"")</f>
        <v>5960.3</v>
      </c>
      <c r="G332" s="61" t="n">
        <f aca="false">IFERROR(G331*G137/G136,"")</f>
        <v>6215.1</v>
      </c>
      <c r="H332" s="61" t="n">
        <f aca="false">IFERROR(H331*H137/H136,"")</f>
        <v>6737.3</v>
      </c>
      <c r="I332" s="61" t="n">
        <f aca="false">IFERROR(I331*I137/I136,"")</f>
        <v>6993</v>
      </c>
      <c r="J332" s="61" t="n">
        <f aca="false">IFERROR(J331*J137/J136,"")</f>
        <v>7196.4</v>
      </c>
      <c r="K332" s="61" t="n">
        <f aca="false">IFERROR(K331*K137/K136,"")</f>
        <v>7283.6</v>
      </c>
      <c r="L332" s="61" t="n">
        <f aca="false">IFERROR(L331*L137/L136,"")</f>
        <v>7152.8</v>
      </c>
      <c r="M332" s="61" t="n">
        <f aca="false">IFERROR(M331*M137/M136,"")</f>
        <v>7724</v>
      </c>
      <c r="N332" s="61" t="n">
        <f aca="false">IFERROR(N331*N137/N136,"")</f>
        <v>7339.2</v>
      </c>
      <c r="O332" s="61" t="n">
        <f aca="false">IFERROR(O331*O137/O136,"")</f>
        <v>8767.2</v>
      </c>
      <c r="P332" s="61" t="n">
        <f aca="false">IFERROR(P331*P137/P136,"")</f>
        <v>9444</v>
      </c>
      <c r="Q332" s="61" t="n">
        <f aca="false">IFERROR(Q331*Q137/Q136,"")</f>
        <v>8508</v>
      </c>
      <c r="R332" s="61" t="n">
        <f aca="false">IFERROR(R331*R137/R136,"")</f>
        <v>9163.2</v>
      </c>
      <c r="S332" s="61" t="n">
        <f aca="false">IFERROR(S331*S137/S136,"")</f>
        <v>8970.6</v>
      </c>
      <c r="T332" s="61" t="n">
        <f aca="false">IFERROR(T331*T137/T136,"")</f>
        <v>7954.4</v>
      </c>
      <c r="U332" s="61" t="n">
        <f aca="false">IFERROR(U331*U137/U136,"")</f>
        <v>8888</v>
      </c>
      <c r="V332" s="61" t="n">
        <f aca="false">IFERROR(V331*V137/V136,"")</f>
        <v>8528.8</v>
      </c>
      <c r="W332" s="61" t="n">
        <f aca="false">IFERROR(W331*W137/W136,"")</f>
        <v>9759.6</v>
      </c>
      <c r="X332" s="61" t="n">
        <f aca="false">IFERROR(X331*X137/X136,"")</f>
        <v>8782.7</v>
      </c>
      <c r="Y332" s="61" t="n">
        <f aca="false">IFERROR(Y331*Y137/Y136,"")</f>
        <v>8943.6</v>
      </c>
      <c r="Z332" s="61" t="n">
        <f aca="false">IFERROR(Z331*Z137/Z136,"")</f>
        <v>9397.6</v>
      </c>
      <c r="AA332" s="61" t="n">
        <f aca="false">IFERROR(AA331*AA137/AA136,"")</f>
        <v>9308.8</v>
      </c>
      <c r="AB332" s="61" t="n">
        <f aca="false">IFERROR(AB331*AB137/AB136,"")</f>
        <v>10186.4</v>
      </c>
      <c r="AC332" s="61" t="n">
        <f aca="false">IFERROR(AC331*AC137/AC136,"")</f>
        <v>9459.1</v>
      </c>
      <c r="AD332" s="61" t="n">
        <f aca="false">IFERROR(AD331*AD137/AD136,"")</f>
        <v>9788.8</v>
      </c>
      <c r="AE332" s="61" t="n">
        <f aca="false">IFERROR(AE331*AE137/AE136,"")</f>
        <v>10313.2</v>
      </c>
      <c r="AF332" s="61" t="n">
        <f aca="false">IFERROR(AF331*AF137/AF136,"")</f>
        <v>10742.8</v>
      </c>
      <c r="AG332" s="61" t="n">
        <f aca="false">IFERROR(AG331*AG137/AG136,"")</f>
        <v>13000</v>
      </c>
      <c r="AH332" s="61" t="n">
        <f aca="false">IFERROR(AH331*AH137/AH136,"")</f>
        <v>10961</v>
      </c>
      <c r="AI332" s="61" t="n">
        <f aca="false">IFERROR(AI331*AI137/AI136,"")</f>
        <v>12576</v>
      </c>
      <c r="AJ332" s="61" t="n">
        <f aca="false">IFERROR(AJ331*AJ137/AJ136,"")</f>
        <v>12844</v>
      </c>
      <c r="AK332" s="61" t="n">
        <f aca="false">IFERROR(AK331*AK137/AK136,"")</f>
        <v>12724</v>
      </c>
      <c r="AL332" s="61" t="n">
        <f aca="false">IFERROR(AL331*AL137/AL136,"")</f>
        <v>13832</v>
      </c>
      <c r="AM332" s="61" t="n">
        <f aca="false">IFERROR(AM331*AM137/AM136,"")</f>
        <v>12994</v>
      </c>
      <c r="AN332" s="61" t="n">
        <f aca="false">IFERROR(AN331*AN137/AN136,"")</f>
        <v>13172</v>
      </c>
      <c r="AO332" s="61" t="n">
        <f aca="false">IFERROR(AO331*AO137/AO136,"")</f>
        <v>13472</v>
      </c>
      <c r="AP332" s="61" t="n">
        <f aca="false">IFERROR(AP331*AP137/AP136,"")</f>
        <v>13536</v>
      </c>
      <c r="AQ332" s="61" t="n">
        <f aca="false">IFERROR(AQ331*AQ137/AQ136,"")</f>
        <v>14680</v>
      </c>
      <c r="AR332" s="61" t="n">
        <f aca="false">IFERROR(AR331*AR137/AR136,"")</f>
        <v>13715</v>
      </c>
      <c r="AS332" s="61" t="n">
        <f aca="false">IFERROR(AS331*AS137/AS136,"")</f>
        <v>13460</v>
      </c>
      <c r="AT332" s="61" t="n">
        <f aca="false">IFERROR(AT331*AT137/AT136,"")</f>
        <v>13664</v>
      </c>
      <c r="AU332" s="61" t="n">
        <f aca="false">IFERROR(AU331*AU137/AU136,"")</f>
        <v>16260</v>
      </c>
      <c r="AV332" s="61" t="n">
        <f aca="false">IFERROR(AV331*AV137/AV136,"")</f>
        <v>19468</v>
      </c>
      <c r="AW332" s="61" t="n">
        <f aca="false">IFERROR(AW331*AW137/AW136,"")</f>
        <v>15713</v>
      </c>
      <c r="AX332" s="61" t="n">
        <f aca="false">IFERROR(AX331*AX137/AX136,"")</f>
        <v>18228</v>
      </c>
      <c r="AY332" s="61" t="n">
        <f aca="false">IFERROR(AY331*AY137/AY136,"")</f>
        <v>18340</v>
      </c>
      <c r="AZ332" s="61" t="n">
        <f aca="false">IFERROR(AZ331*AZ137/AZ136,"")</f>
        <v>18132</v>
      </c>
      <c r="BA332" s="61" t="n">
        <f aca="false">IFERROR(BA331*BA137/BA136,"")</f>
        <v>21208</v>
      </c>
      <c r="BB332" s="61" t="n">
        <f aca="false">IFERROR(BB331*BB137/BB136,"")</f>
        <v>18977</v>
      </c>
      <c r="BC332" s="61" t="n">
        <f aca="false">IFERROR(BC331*BC137/BC136,"")</f>
        <v>24856</v>
      </c>
      <c r="BD332" s="61" t="n">
        <f aca="false">IFERROR(BD331*BD137/BD136,"")</f>
        <v>24960</v>
      </c>
      <c r="BE332" s="61" t="n">
        <f aca="false">IFERROR(BE331*BE137/BE136,"")</f>
        <v>24984</v>
      </c>
      <c r="BF332" s="61" t="n">
        <f aca="false">IFERROR(BF331*BF137/BF136,"")</f>
        <v>26860</v>
      </c>
      <c r="BG332" s="61" t="n">
        <f aca="false">IFERROR(BG331*BG137/BG136,"")</f>
        <v>25415</v>
      </c>
      <c r="BH332" s="61" t="n">
        <f aca="false">IFERROR(BH331*BH137/BH136,"")</f>
        <v>25748</v>
      </c>
      <c r="BI332" s="61" t="n">
        <f aca="false">IFERROR(BI331*BI137/BI136,"")</f>
        <v>25292</v>
      </c>
      <c r="BJ332" s="61" t="n">
        <f aca="false">IFERROR(BJ331*BJ137/BJ136,"")</f>
        <v>24580</v>
      </c>
      <c r="BK332" s="61" t="n">
        <f aca="false">IFERROR(BK331*BK137/BK136,"")</f>
        <v>25560</v>
      </c>
      <c r="BL332" s="61" t="n">
        <f aca="false">IFERROR(BL331*BL137/BL136,"")</f>
        <v>25295</v>
      </c>
      <c r="BM332" s="61" t="n">
        <f aca="false">IFERROR(BM331*BM137/BM136,"")</f>
        <v>24160</v>
      </c>
      <c r="BN332" s="61" t="n">
        <f aca="false">IFERROR(BN331*BN137/BN136,"")</f>
        <v>24424</v>
      </c>
      <c r="BO332" s="61" t="n">
        <f aca="false">IFERROR(BO331*BO137/BO136,"")</f>
        <v>24720</v>
      </c>
      <c r="BP332" s="61" t="n">
        <f aca="false">IFERROR(BP331*BP137/BP136,"")</f>
        <v>25968</v>
      </c>
      <c r="BQ332" s="61" t="n">
        <f aca="false">IFERROR(BQ331*BQ137/BQ136,"")</f>
        <v>24818</v>
      </c>
      <c r="BR332" s="61" t="n">
        <f aca="false">IFERROR(BR331*BR137/BR136,"")</f>
        <v>24224</v>
      </c>
      <c r="BS332" s="61" t="n">
        <f aca="false">IFERROR(BS331*BS137/BS136,"")</f>
        <v>25512</v>
      </c>
      <c r="BT332" s="61" t="n">
        <f aca="false">IFERROR(BT331*BT137/BT136,"")</f>
        <v>25880</v>
      </c>
      <c r="BU332" s="61" t="n">
        <f aca="false">IFERROR(BU331*BU137/BU136,"")</f>
        <v>28572</v>
      </c>
      <c r="BV332" s="61" t="n">
        <f aca="false">IFERROR(BV331*BV137/BV136,"")</f>
        <v>26048</v>
      </c>
      <c r="BW332" s="61" t="n">
        <f aca="false">IFERROR(BW331*BW137/BW136,"")</f>
        <v>26116</v>
      </c>
      <c r="BX332" s="61" t="n">
        <f aca="false">IFERROR(BX331*BX137/BX136,"")</f>
        <v>28204</v>
      </c>
      <c r="BY332" s="39"/>
      <c r="BZ332" s="39"/>
      <c r="CA332" s="44" t="n">
        <f aca="false">IFERROR(CA331*CA137/CA136,"")</f>
        <v>28188.1100047828</v>
      </c>
      <c r="CB332" s="44" t="n">
        <f aca="false">IFERROR(CB331*CB137/CB136,"")</f>
        <v>29688.351785539</v>
      </c>
      <c r="CC332" s="44" t="n">
        <f aca="false">IFERROR(CC331*CC137/CC136,"")</f>
        <v>31934.2735015284</v>
      </c>
      <c r="CD332" s="44" t="n">
        <f aca="false">IFERROR(CD331*CD137/CD136,"")</f>
        <v>34349.9967453377</v>
      </c>
      <c r="CE332" s="44" t="n">
        <f aca="false">IFERROR(CE331*CE137/CE136,"")</f>
        <v>36912.9877942662</v>
      </c>
      <c r="CF332" s="21"/>
    </row>
    <row r="333" customFormat="false" ht="15" hidden="false" customHeight="false" outlineLevel="0" collapsed="false">
      <c r="B333" s="23" t="s">
        <v>519</v>
      </c>
      <c r="C333" s="77" t="n">
        <f aca="false">IFERROR(C294/C331*365,"n/a")</f>
        <v>134.072401036286</v>
      </c>
      <c r="D333" s="77" t="n">
        <f aca="false">IFERROR(D294/D331*365,"n/a")</f>
        <v>54.302101288681</v>
      </c>
      <c r="E333" s="77" t="n">
        <f aca="false">IFERROR(E294/E331*365,"n/a")</f>
        <v>51.391360259097</v>
      </c>
      <c r="F333" s="77" t="n">
        <f aca="false">IFERROR(F294/F331*365,"n/a")</f>
        <v>50.8921135147433</v>
      </c>
      <c r="G333" s="77" t="n">
        <f aca="false">IFERROR(G294/G331*365,"n/a")</f>
        <v>51.3159138728484</v>
      </c>
      <c r="H333" s="77" t="n">
        <f aca="false">IFERROR(H294/H331*365,"n/a")</f>
        <v>56.4687145549595</v>
      </c>
      <c r="I333" s="77" t="n">
        <f aca="false">IFERROR(I294/I331*365,"n/a")</f>
        <v>52.661372193223</v>
      </c>
      <c r="J333" s="77" t="n">
        <f aca="false">IFERROR(J294/J331*365,"n/a")</f>
        <v>54.4526476578411</v>
      </c>
      <c r="K333" s="77" t="n">
        <f aca="false">IFERROR(K294/K331*365,"n/a")</f>
        <v>53.5513950186723</v>
      </c>
      <c r="L333" s="77" t="n">
        <f aca="false">IFERROR(L294/L331*365,"n/a")</f>
        <v>55.608238298139</v>
      </c>
      <c r="M333" s="77" t="n">
        <f aca="false">IFERROR(M294/M331*365,"n/a")</f>
        <v>51.122003807436</v>
      </c>
      <c r="N333" s="77" t="n">
        <f aca="false">IFERROR(N294/N331*365,"n/a")</f>
        <v>54.1576205281774</v>
      </c>
      <c r="O333" s="77" t="n">
        <f aca="false">IFERROR(O294/O331*365,"n/a")</f>
        <v>63.0112399128987</v>
      </c>
      <c r="P333" s="77" t="n">
        <f aca="false">IFERROR(P294/P331*365,"n/a")</f>
        <v>56.1637532103936</v>
      </c>
      <c r="Q333" s="77" t="n">
        <f aca="false">IFERROR(Q294/Q331*365,"n/a")</f>
        <v>54.8431881382749</v>
      </c>
      <c r="R333" s="77" t="n">
        <f aca="false">IFERROR(R294/R331*365,"n/a")</f>
        <v>50.2394943019943</v>
      </c>
      <c r="S333" s="77" t="n">
        <f aca="false">IFERROR(S294/S331*365,"n/a")</f>
        <v>53.4568018188708</v>
      </c>
      <c r="T333" s="77" t="n">
        <f aca="false">IFERROR(T294/T331*365,"n/a")</f>
        <v>59.0978105542513</v>
      </c>
      <c r="U333" s="77" t="n">
        <f aca="false">IFERROR(U294/U331*365,"n/a")</f>
        <v>56.2126835093306</v>
      </c>
      <c r="V333" s="77" t="n">
        <f aca="false">IFERROR(V294/V331*365,"n/a")</f>
        <v>56.2987182285603</v>
      </c>
      <c r="W333" s="77" t="n">
        <f aca="false">IFERROR(W294/W331*365,"n/a")</f>
        <v>49.9134067705535</v>
      </c>
      <c r="X333" s="77" t="n">
        <f aca="false">IFERROR(X294/X331*365,"n/a")</f>
        <v>54.7519362938687</v>
      </c>
      <c r="Y333" s="77" t="n">
        <f aca="false">IFERROR(Y294/Y331*365,"n/a")</f>
        <v>56.6923663500047</v>
      </c>
      <c r="Z333" s="77" t="n">
        <f aca="false">IFERROR(Z294/Z331*365,"n/a")</f>
        <v>54.5081528929264</v>
      </c>
      <c r="AA333" s="77" t="n">
        <f aca="false">IFERROR(AA294/AA331*365,"n/a")</f>
        <v>58.8251519739919</v>
      </c>
      <c r="AB333" s="77" t="n">
        <f aca="false">IFERROR(AB294/AB331*365,"n/a")</f>
        <v>56.1607899943471</v>
      </c>
      <c r="AC333" s="77" t="n">
        <f aca="false">IFERROR(AC294/AC331*365,"n/a")</f>
        <v>60.8895923739063</v>
      </c>
      <c r="AD333" s="77" t="n">
        <f aca="false">IFERROR(AD294/AD331*365,"n/a")</f>
        <v>59.2981374606506</v>
      </c>
      <c r="AE333" s="77" t="n">
        <f aca="false">IFERROR(AE294/AE331*365,"n/a")</f>
        <v>59.5831412825651</v>
      </c>
      <c r="AF333" s="77" t="n">
        <f aca="false">IFERROR(AF294/AF331*365,"n/a")</f>
        <v>65.224434150346</v>
      </c>
      <c r="AG333" s="77" t="n">
        <f aca="false">IFERROR(AG294/AG331*365,"n/a")</f>
        <v>58.5346039358359</v>
      </c>
      <c r="AH333" s="77" t="n">
        <f aca="false">IFERROR(AH294/AH331*365,"n/a")</f>
        <v>67.685008126972</v>
      </c>
      <c r="AI333" s="77" t="n">
        <f aca="false">IFERROR(AI294/AI331*365,"n/a")</f>
        <v>62.2052793439262</v>
      </c>
      <c r="AJ333" s="77" t="n">
        <f aca="false">IFERROR(AJ294/AJ331*365,"n/a")</f>
        <v>58.7164774596907</v>
      </c>
      <c r="AK333" s="77" t="n">
        <f aca="false">IFERROR(AK294/AK331*365,"n/a")</f>
        <v>59.3741554054054</v>
      </c>
      <c r="AL333" s="77" t="n">
        <f aca="false">IFERROR(AL294/AL331*365,"n/a")</f>
        <v>58.0006147226064</v>
      </c>
      <c r="AM333" s="77" t="n">
        <f aca="false">IFERROR(AM294/AM331*365,"n/a")</f>
        <v>61.9771738237951</v>
      </c>
      <c r="AN333" s="77" t="n">
        <f aca="false">IFERROR(AN294/AN331*365,"n/a")</f>
        <v>61.9010204081633</v>
      </c>
      <c r="AO333" s="77" t="n">
        <f aca="false">IFERROR(AO294/AO331*365,"n/a")</f>
        <v>59.6534594680177</v>
      </c>
      <c r="AP333" s="77" t="n">
        <f aca="false">IFERROR(AP294/AP331*365,"n/a")</f>
        <v>63.7818877551021</v>
      </c>
      <c r="AQ333" s="77" t="n">
        <f aca="false">IFERROR(AQ294/AQ331*365,"n/a")</f>
        <v>58.1119124322741</v>
      </c>
      <c r="AR333" s="77" t="n">
        <f aca="false">IFERROR(AR294/AR331*365,"n/a")</f>
        <v>62.1480306945423</v>
      </c>
      <c r="AS333" s="77" t="n">
        <f aca="false">IFERROR(AS294/AS331*365,"n/a")</f>
        <v>66.0280898876405</v>
      </c>
      <c r="AT333" s="77" t="n">
        <f aca="false">IFERROR(AT294/AT331*365,"n/a")</f>
        <v>59.074381957496</v>
      </c>
      <c r="AU333" s="77" t="n">
        <f aca="false">IFERROR(AU294/AU331*365,"n/a")</f>
        <v>55.5360286351367</v>
      </c>
      <c r="AV333" s="77" t="n">
        <f aca="false">IFERROR(AV294/AV331*365,"n/a")</f>
        <v>49.6555687203791</v>
      </c>
      <c r="AW333" s="77" t="n">
        <f aca="false">IFERROR(AW294/AW331*365,"n/a")</f>
        <v>65.0401949220932</v>
      </c>
      <c r="AX333" s="77" t="n">
        <f aca="false">IFERROR(AX294/AX331*365,"n/a")</f>
        <v>51.161164950535</v>
      </c>
      <c r="AY333" s="77" t="n">
        <f aca="false">IFERROR(AY294/AY331*365,"n/a")</f>
        <v>53.8860131564758</v>
      </c>
      <c r="AZ333" s="77" t="n">
        <f aca="false">IFERROR(AZ294/AZ331*365,"n/a")</f>
        <v>54.3490085744909</v>
      </c>
      <c r="BA333" s="77" t="n">
        <f aca="false">IFERROR(BA294/BA331*365,"n/a")</f>
        <v>68.0154410390581</v>
      </c>
      <c r="BB333" s="77" t="n">
        <f aca="false">IFERROR(BB294/BB331*365,"n/a")</f>
        <v>74.2548009487134</v>
      </c>
      <c r="BC333" s="77" t="n">
        <f aca="false">IFERROR(BC294/BC331*365,"n/a")</f>
        <v>60.913119817228</v>
      </c>
      <c r="BD333" s="77" t="n">
        <f aca="false">IFERROR(BD294/BD331*365,"n/a")</f>
        <v>64.4239972652689</v>
      </c>
      <c r="BE333" s="77" t="n">
        <f aca="false">IFERROR(BE294/BE331*365,"n/a")</f>
        <v>65.5594970497331</v>
      </c>
      <c r="BF333" s="77" t="n">
        <f aca="false">IFERROR(BF294/BF331*365,"n/a")</f>
        <v>65.9390829694323</v>
      </c>
      <c r="BG333" s="77" t="n">
        <f aca="false">IFERROR(BG294/BG331*365,"n/a")</f>
        <v>67.2383390849382</v>
      </c>
      <c r="BH333" s="77" t="n">
        <f aca="false">IFERROR(BH294/BH331*365,"n/a")</f>
        <v>67.4960317460318</v>
      </c>
      <c r="BI333" s="77" t="n">
        <f aca="false">IFERROR(BI294/BI331*365,"n/a")</f>
        <v>68.4695190418265</v>
      </c>
      <c r="BJ333" s="77" t="n">
        <f aca="false">IFERROR(BJ294/BJ331*365,"n/a")</f>
        <v>72.2302345375449</v>
      </c>
      <c r="BK333" s="77" t="n">
        <f aca="false">IFERROR(BK294/BK331*365,"n/a")</f>
        <v>68.911101414661</v>
      </c>
      <c r="BL333" s="77" t="n">
        <f aca="false">IFERROR(BL294/BL331*365,"n/a")</f>
        <v>70.0157500525002</v>
      </c>
      <c r="BM333" s="77" t="n">
        <f aca="false">IFERROR(BM294/BM331*365,"n/a")</f>
        <v>69.9568632189464</v>
      </c>
      <c r="BN333" s="77" t="n">
        <f aca="false">IFERROR(BN294/BN331*365,"n/a")</f>
        <v>68.7599611042596</v>
      </c>
      <c r="BO333" s="77" t="n">
        <f aca="false">IFERROR(BO294/BO331*365,"n/a")</f>
        <v>71.0765002830723</v>
      </c>
      <c r="BP333" s="77" t="n">
        <f aca="false">IFERROR(BP294/BP331*365,"n/a")</f>
        <v>65.5926941641071</v>
      </c>
      <c r="BQ333" s="77" t="n">
        <f aca="false">IFERROR(BQ294/BQ331*365,"n/a")</f>
        <v>69.724457193498</v>
      </c>
      <c r="BR333" s="77" t="n">
        <f aca="false">IFERROR(BR294/BR331*365,"n/a")</f>
        <v>74.4421796603628</v>
      </c>
      <c r="BS333" s="77" t="n">
        <f aca="false">IFERROR(BS294/BS331*365,"n/a")</f>
        <v>72.243436204514</v>
      </c>
      <c r="BT333" s="77" t="n">
        <f aca="false">IFERROR(BT294/BT331*365,"n/a")</f>
        <v>73.1099397590361</v>
      </c>
      <c r="BU333" s="77" t="n">
        <f aca="false">IFERROR(BU294/BU331*365,"n/a")</f>
        <v>66.4858780188293</v>
      </c>
      <c r="BV333" s="77" t="n">
        <f aca="false">IFERROR(BV294/BV331*365,"n/a")</f>
        <v>72.9082502917677</v>
      </c>
      <c r="BW333" s="77" t="n">
        <f aca="false">IFERROR(BW294/BW331*365,"n/a")</f>
        <v>76.3166742389823</v>
      </c>
      <c r="BX333" s="77" t="n">
        <f aca="false">IFERROR(BX294/BX331*365,"n/a")</f>
        <v>71.9029306319827</v>
      </c>
      <c r="BY333" s="78"/>
      <c r="BZ333" s="78"/>
      <c r="CA333" s="79" t="n">
        <v>73</v>
      </c>
      <c r="CB333" s="79" t="n">
        <v>73</v>
      </c>
      <c r="CC333" s="79" t="n">
        <v>73</v>
      </c>
      <c r="CD333" s="79" t="n">
        <v>73</v>
      </c>
      <c r="CE333" s="79" t="n">
        <v>73</v>
      </c>
      <c r="CF333" s="21" t="s">
        <v>520</v>
      </c>
    </row>
    <row r="334" customFormat="false" ht="15" hidden="false" customHeight="false" outlineLevel="0" collapsed="false">
      <c r="B334" s="23" t="s">
        <v>521</v>
      </c>
      <c r="C334" s="77" t="n">
        <f aca="false">IFERROR(C295/C332*365,"n/a")</f>
        <v>192.304696566674</v>
      </c>
      <c r="D334" s="77" t="n">
        <f aca="false">IFERROR(D295/D332*365,"n/a")</f>
        <v>73.3662354174184</v>
      </c>
      <c r="E334" s="77" t="n">
        <f aca="false">IFERROR(E295/E332*365,"n/a")</f>
        <v>69.3237239769116</v>
      </c>
      <c r="F334" s="77" t="n">
        <f aca="false">IFERROR(F295/F332*365,"n/a")</f>
        <v>69.2852708756271</v>
      </c>
      <c r="G334" s="77" t="n">
        <f aca="false">IFERROR(G295/G332*365,"n/a")</f>
        <v>69.0111985326061</v>
      </c>
      <c r="H334" s="77" t="n">
        <f aca="false">IFERROR(H295/H332*365,"n/a")</f>
        <v>73.4301574814837</v>
      </c>
      <c r="I334" s="77" t="n">
        <f aca="false">IFERROR(I295/I332*365,"n/a")</f>
        <v>75.3331188331188</v>
      </c>
      <c r="J334" s="77" t="n">
        <f aca="false">IFERROR(J295/J332*365,"n/a")</f>
        <v>74.7914234895225</v>
      </c>
      <c r="K334" s="77" t="n">
        <f aca="false">IFERROR(K295/K332*365,"n/a")</f>
        <v>74.5224202317535</v>
      </c>
      <c r="L334" s="77" t="n">
        <f aca="false">IFERROR(L295/L332*365,"n/a")</f>
        <v>78.9316072027737</v>
      </c>
      <c r="M334" s="77" t="n">
        <f aca="false">IFERROR(M295/M332*365,"n/a")</f>
        <v>70.6230580010357</v>
      </c>
      <c r="N334" s="77" t="n">
        <f aca="false">IFERROR(N295/N332*365,"n/a")</f>
        <v>74.325880204927</v>
      </c>
      <c r="O334" s="77" t="n">
        <f aca="false">IFERROR(O295/O332*365,"n/a")</f>
        <v>85.7836595492289</v>
      </c>
      <c r="P334" s="77" t="n">
        <f aca="false">IFERROR(P295/P332*365,"n/a")</f>
        <v>74.7391994917408</v>
      </c>
      <c r="Q334" s="77" t="n">
        <f aca="false">IFERROR(Q295/Q332*365,"n/a")</f>
        <v>82.0992595204513</v>
      </c>
      <c r="R334" s="77" t="n">
        <f aca="false">IFERROR(R295/R332*365,"n/a")</f>
        <v>74.069920988301</v>
      </c>
      <c r="S334" s="77" t="n">
        <f aca="false">IFERROR(S295/S332*365,"n/a")</f>
        <v>75.660212248902</v>
      </c>
      <c r="T334" s="77" t="n">
        <f aca="false">IFERROR(T295/T332*365,"n/a")</f>
        <v>87.1293875088002</v>
      </c>
      <c r="U334" s="77" t="n">
        <f aca="false">IFERROR(U295/U332*365,"n/a")</f>
        <v>80.585002250225</v>
      </c>
      <c r="V334" s="77" t="n">
        <f aca="false">IFERROR(V295/V332*365,"n/a")</f>
        <v>85.0445549198012</v>
      </c>
      <c r="W334" s="77" t="n">
        <f aca="false">IFERROR(W295/W332*365,"n/a")</f>
        <v>74.48773515308</v>
      </c>
      <c r="X334" s="77" t="n">
        <f aca="false">IFERROR(X295/X332*365,"n/a")</f>
        <v>82.7730083004088</v>
      </c>
      <c r="Y334" s="77" t="n">
        <f aca="false">IFERROR(Y295/Y332*365,"n/a")</f>
        <v>87.9442841808668</v>
      </c>
      <c r="Z334" s="77" t="n">
        <f aca="false">IFERROR(Z295/Z332*365,"n/a")</f>
        <v>81.0312739422832</v>
      </c>
      <c r="AA334" s="77" t="n">
        <f aca="false">IFERROR(AA295/AA332*365,"n/a")</f>
        <v>93.7476903575112</v>
      </c>
      <c r="AB334" s="77" t="n">
        <f aca="false">IFERROR(AB295/AB332*365,"n/a")</f>
        <v>79.3071644545669</v>
      </c>
      <c r="AC334" s="77" t="n">
        <f aca="false">IFERROR(AC295/AC332*365,"n/a")</f>
        <v>85.4050068188305</v>
      </c>
      <c r="AD334" s="77" t="n">
        <f aca="false">IFERROR(AD295/AD332*365,"n/a")</f>
        <v>86.7717697777051</v>
      </c>
      <c r="AE334" s="77" t="n">
        <f aca="false">IFERROR(AE295/AE332*365,"n/a")</f>
        <v>85.7253810650428</v>
      </c>
      <c r="AF334" s="77" t="n">
        <f aca="false">IFERROR(AF295/AF332*365,"n/a")</f>
        <v>106.192752355066</v>
      </c>
      <c r="AG334" s="77" t="n">
        <f aca="false">IFERROR(AG295/AG332*365,"n/a")</f>
        <v>83.4165384615385</v>
      </c>
      <c r="AH334" s="77" t="n">
        <f aca="false">IFERROR(AH295/AH332*365,"n/a")</f>
        <v>98.9339476325153</v>
      </c>
      <c r="AI334" s="77" t="n">
        <f aca="false">IFERROR(AI295/AI332*365,"n/a")</f>
        <v>83.9070451653944</v>
      </c>
      <c r="AJ334" s="77" t="n">
        <f aca="false">IFERROR(AJ295/AJ332*365,"n/a")</f>
        <v>81.4458112737465</v>
      </c>
      <c r="AK334" s="77" t="n">
        <f aca="false">IFERROR(AK295/AK332*365,"n/a")</f>
        <v>85.5414963847847</v>
      </c>
      <c r="AL334" s="77" t="n">
        <f aca="false">IFERROR(AL295/AL332*365,"n/a")</f>
        <v>79.2961972238288</v>
      </c>
      <c r="AM334" s="77" t="n">
        <f aca="false">IFERROR(AM295/AM332*365,"n/a")</f>
        <v>84.4101123595506</v>
      </c>
      <c r="AN334" s="77" t="n">
        <f aca="false">IFERROR(AN295/AN332*365,"n/a")</f>
        <v>86.5669602186456</v>
      </c>
      <c r="AO334" s="77" t="n">
        <f aca="false">IFERROR(AO295/AO332*365,"n/a")</f>
        <v>86.9421763657957</v>
      </c>
      <c r="AP334" s="77" t="n">
        <f aca="false">IFERROR(AP295/AP332*365,"n/a")</f>
        <v>89.2006501182033</v>
      </c>
      <c r="AQ334" s="77" t="n">
        <f aca="false">IFERROR(AQ295/AQ332*365,"n/a")</f>
        <v>83.7908719346049</v>
      </c>
      <c r="AR334" s="77" t="n">
        <f aca="false">IFERROR(AR295/AR332*365,"n/a")</f>
        <v>89.686474662778</v>
      </c>
      <c r="AS334" s="77" t="n">
        <f aca="false">IFERROR(AS295/AS332*365,"n/a")</f>
        <v>93.6634472511144</v>
      </c>
      <c r="AT334" s="77" t="n">
        <f aca="false">IFERROR(AT295/AT332*365,"n/a")</f>
        <v>97.4473067915691</v>
      </c>
      <c r="AU334" s="77" t="n">
        <f aca="false">IFERROR(AU295/AU332*365,"n/a")</f>
        <v>85.9523370233702</v>
      </c>
      <c r="AV334" s="77" t="n">
        <f aca="false">IFERROR(AV295/AV332*365,"n/a")</f>
        <v>75.538576124923</v>
      </c>
      <c r="AW334" s="77" t="n">
        <f aca="false">IFERROR(AW295/AW332*365,"n/a")</f>
        <v>93.5903392095717</v>
      </c>
      <c r="AX334" s="77" t="n">
        <f aca="false">IFERROR(AX295/AX332*365,"n/a")</f>
        <v>86.9448101821374</v>
      </c>
      <c r="AY334" s="77" t="n">
        <f aca="false">IFERROR(AY295/AY332*365,"n/a")</f>
        <v>92.0460741548528</v>
      </c>
      <c r="AZ334" s="77" t="n">
        <f aca="false">IFERROR(AZ295/AZ332*365,"n/a")</f>
        <v>98.7585484226782</v>
      </c>
      <c r="BA334" s="77" t="n">
        <f aca="false">IFERROR(BA295/BA332*365,"n/a")</f>
        <v>86.9301678611845</v>
      </c>
      <c r="BB334" s="77" t="n">
        <f aca="false">IFERROR(BB295/BB332*365,"n/a")</f>
        <v>97.1499710175476</v>
      </c>
      <c r="BC334" s="77" t="n">
        <f aca="false">IFERROR(BC295/BC332*365,"n/a")</f>
        <v>80.5155696813647</v>
      </c>
      <c r="BD334" s="77" t="n">
        <f aca="false">IFERROR(BD295/BD332*365,"n/a")</f>
        <v>82.8854166666667</v>
      </c>
      <c r="BE334" s="77" t="n">
        <f aca="false">IFERROR(BE295/BE332*365,"n/a")</f>
        <v>83.5947006083894</v>
      </c>
      <c r="BF334" s="77" t="n">
        <f aca="false">IFERROR(BF295/BF332*365,"n/a")</f>
        <v>76.560312732688</v>
      </c>
      <c r="BG334" s="77" t="n">
        <f aca="false">IFERROR(BG295/BG332*365,"n/a")</f>
        <v>80.913240212473</v>
      </c>
      <c r="BH334" s="77" t="n">
        <f aca="false">IFERROR(BH295/BH332*365,"n/a")</f>
        <v>80.2920615193413</v>
      </c>
      <c r="BI334" s="77" t="n">
        <f aca="false">IFERROR(BI295/BI332*365,"n/a")</f>
        <v>81.6097975644473</v>
      </c>
      <c r="BJ334" s="77" t="n">
        <f aca="false">IFERROR(BJ295/BJ332*365,"n/a")</f>
        <v>80.246541903987</v>
      </c>
      <c r="BK334" s="77" t="n">
        <f aca="false">IFERROR(BK295/BK332*365,"n/a")</f>
        <v>72.6572769953052</v>
      </c>
      <c r="BL334" s="77" t="n">
        <f aca="false">IFERROR(BL295/BL332*365,"n/a")</f>
        <v>73.4184621466693</v>
      </c>
      <c r="BM334" s="77" t="n">
        <f aca="false">IFERROR(BM295/BM332*365,"n/a")</f>
        <v>77.547392384106</v>
      </c>
      <c r="BN334" s="77" t="n">
        <f aca="false">IFERROR(BN295/BN332*365,"n/a")</f>
        <v>77.6805601048149</v>
      </c>
      <c r="BO334" s="77" t="n">
        <f aca="false">IFERROR(BO295/BO332*365,"n/a")</f>
        <v>80.1759708737864</v>
      </c>
      <c r="BP334" s="77" t="n">
        <f aca="false">IFERROR(BP295/BP332*365,"n/a")</f>
        <v>69.9695779420826</v>
      </c>
      <c r="BQ334" s="77" t="n">
        <f aca="false">IFERROR(BQ295/BQ332*365,"n/a")</f>
        <v>73.211781771295</v>
      </c>
      <c r="BR334" s="77" t="n">
        <f aca="false">IFERROR(BR295/BR332*365,"n/a")</f>
        <v>78.7136723910172</v>
      </c>
      <c r="BS334" s="77" t="n">
        <f aca="false">IFERROR(BS295/BS332*365,"n/a")</f>
        <v>79.5325729068674</v>
      </c>
      <c r="BT334" s="77" t="n">
        <f aca="false">IFERROR(BT295/BT332*365,"n/a")</f>
        <v>81.0249227202473</v>
      </c>
      <c r="BU334" s="77" t="n">
        <f aca="false">IFERROR(BU295/BU332*365,"n/a")</f>
        <v>69.3029889402212</v>
      </c>
      <c r="BV334" s="77" t="n">
        <f aca="false">IFERROR(BV295/BV332*365,"n/a")</f>
        <v>76.0183123464373</v>
      </c>
      <c r="BW334" s="77" t="n">
        <f aca="false">IFERROR(BW295/BW332*365,"n/a")</f>
        <v>76.8126818808393</v>
      </c>
      <c r="BX334" s="77" t="n">
        <f aca="false">IFERROR(BX295/BX332*365,"n/a")</f>
        <v>72.8214083108779</v>
      </c>
      <c r="BY334" s="78"/>
      <c r="BZ334" s="78"/>
      <c r="CA334" s="79" t="n">
        <v>76</v>
      </c>
      <c r="CB334" s="79" t="n">
        <v>76</v>
      </c>
      <c r="CC334" s="79" t="n">
        <v>76</v>
      </c>
      <c r="CD334" s="79" t="n">
        <v>76</v>
      </c>
      <c r="CE334" s="79" t="n">
        <v>76</v>
      </c>
      <c r="CF334" s="21"/>
    </row>
    <row r="335" customFormat="false" ht="15" hidden="false" customHeight="false" outlineLevel="0" collapsed="false">
      <c r="B335" s="23" t="s">
        <v>522</v>
      </c>
      <c r="C335" s="77" t="n">
        <f aca="false">IFERROR(C305/C332*365,"n/a")</f>
        <v>104.172991540542</v>
      </c>
      <c r="D335" s="77" t="n">
        <f aca="false">IFERROR(D305/D332*365,"n/a")</f>
        <v>42.4494441867258</v>
      </c>
      <c r="E335" s="77" t="n">
        <f aca="false">IFERROR(E305/E332*365,"n/a")</f>
        <v>31.9277352616901</v>
      </c>
      <c r="F335" s="77" t="n">
        <f aca="false">IFERROR(F305/F332*365,"n/a")</f>
        <v>32.6768786806033</v>
      </c>
      <c r="G335" s="77" t="n">
        <f aca="false">IFERROR(G305/G332*365,"n/a")</f>
        <v>32.3590931762964</v>
      </c>
      <c r="H335" s="77" t="n">
        <f aca="false">IFERROR(H305/H332*365,"n/a")</f>
        <v>34.0604544847342</v>
      </c>
      <c r="I335" s="77" t="n">
        <f aca="false">IFERROR(I305/I332*365,"n/a")</f>
        <v>33.4779064779065</v>
      </c>
      <c r="J335" s="77" t="n">
        <f aca="false">IFERROR(J305/J332*365,"n/a")</f>
        <v>33.5055027513757</v>
      </c>
      <c r="K335" s="77" t="n">
        <f aca="false">IFERROR(K305/K332*365,"n/a")</f>
        <v>32.518054258883</v>
      </c>
      <c r="L335" s="77" t="n">
        <f aca="false">IFERROR(L305/L332*365,"n/a")</f>
        <v>34.3271865563136</v>
      </c>
      <c r="M335" s="77" t="n">
        <f aca="false">IFERROR(M305/M332*365,"n/a")</f>
        <v>32.6770455722424</v>
      </c>
      <c r="N335" s="77" t="n">
        <f aca="false">IFERROR(N305/N332*365,"n/a")</f>
        <v>34.390328646174</v>
      </c>
      <c r="O335" s="77" t="n">
        <f aca="false">IFERROR(O305/O332*365,"n/a")</f>
        <v>34.5049730814855</v>
      </c>
      <c r="P335" s="77" t="n">
        <f aca="false">IFERROR(P305/P332*365,"n/a")</f>
        <v>32.8476810673443</v>
      </c>
      <c r="Q335" s="77" t="n">
        <f aca="false">IFERROR(Q305/Q332*365,"n/a")</f>
        <v>35.097143864598</v>
      </c>
      <c r="R335" s="77" t="n">
        <f aca="false">IFERROR(R305/R332*365,"n/a")</f>
        <v>32.691145014842</v>
      </c>
      <c r="S335" s="77" t="n">
        <f aca="false">IFERROR(S305/S332*365,"n/a")</f>
        <v>33.393028337012</v>
      </c>
      <c r="T335" s="77" t="n">
        <f aca="false">IFERROR(T305/T332*365,"n/a")</f>
        <v>37.9757115558685</v>
      </c>
      <c r="U335" s="77" t="n">
        <f aca="false">IFERROR(U305/U332*365,"n/a")</f>
        <v>33.6335508550855</v>
      </c>
      <c r="V335" s="77" t="n">
        <f aca="false">IFERROR(V305/V332*365,"n/a")</f>
        <v>33.5222422849639</v>
      </c>
      <c r="W335" s="77" t="n">
        <f aca="false">IFERROR(W305/W332*365,"n/a")</f>
        <v>30.7495184228862</v>
      </c>
      <c r="X335" s="77" t="n">
        <f aca="false">IFERROR(X305/X332*365,"n/a")</f>
        <v>34.1697883338837</v>
      </c>
      <c r="Y335" s="77" t="n">
        <f aca="false">IFERROR(Y305/Y332*365,"n/a")</f>
        <v>34.8120443669216</v>
      </c>
      <c r="Z335" s="77" t="n">
        <f aca="false">IFERROR(Z305/Z332*365,"n/a")</f>
        <v>32.877809227888</v>
      </c>
      <c r="AA335" s="77" t="n">
        <f aca="false">IFERROR(AA305/AA332*365,"n/a")</f>
        <v>36.9242544688897</v>
      </c>
      <c r="AB335" s="77" t="n">
        <f aca="false">IFERROR(AB305/AB332*365,"n/a")</f>
        <v>33.187681614702</v>
      </c>
      <c r="AC335" s="77" t="n">
        <f aca="false">IFERROR(AC305/AC332*365,"n/a")</f>
        <v>35.739446670402</v>
      </c>
      <c r="AD335" s="77" t="n">
        <f aca="false">IFERROR(AD305/AD332*365,"n/a")</f>
        <v>38.4434251389343</v>
      </c>
      <c r="AE335" s="77" t="n">
        <f aca="false">IFERROR(AE305/AE332*365,"n/a")</f>
        <v>34.7615676996471</v>
      </c>
      <c r="AF335" s="77" t="n">
        <f aca="false">IFERROR(AF305/AF332*365,"n/a")</f>
        <v>38.1825036303385</v>
      </c>
      <c r="AG335" s="77" t="n">
        <f aca="false">IFERROR(AG305/AG332*365,"n/a")</f>
        <v>40.0938461538462</v>
      </c>
      <c r="AH335" s="77" t="n">
        <f aca="false">IFERROR(AH305/AH332*365,"n/a")</f>
        <v>47.5522306358909</v>
      </c>
      <c r="AI335" s="77" t="n">
        <f aca="false">IFERROR(AI305/AI332*365,"n/a")</f>
        <v>39.297868956743</v>
      </c>
      <c r="AJ335" s="77" t="n">
        <f aca="false">IFERROR(AJ305/AJ332*365,"n/a")</f>
        <v>38.6199781999377</v>
      </c>
      <c r="AK335" s="77" t="n">
        <f aca="false">IFERROR(AK305/AK332*365,"n/a")</f>
        <v>38.5539138635649</v>
      </c>
      <c r="AL335" s="77" t="n">
        <f aca="false">IFERROR(AL305/AL332*365,"n/a")</f>
        <v>42.6167582417582</v>
      </c>
      <c r="AM335" s="77" t="n">
        <f aca="false">IFERROR(AM305/AM332*365,"n/a")</f>
        <v>45.3651685393258</v>
      </c>
      <c r="AN335" s="77" t="n">
        <f aca="false">IFERROR(AN305/AN332*365,"n/a")</f>
        <v>40.5124506529001</v>
      </c>
      <c r="AO335" s="77" t="n">
        <f aca="false">IFERROR(AO305/AO332*365,"n/a")</f>
        <v>37.6866834916865</v>
      </c>
      <c r="AP335" s="77" t="n">
        <f aca="false">IFERROR(AP305/AP332*365,"n/a")</f>
        <v>44.7351507092199</v>
      </c>
      <c r="AQ335" s="77" t="n">
        <f aca="false">IFERROR(AQ305/AQ332*365,"n/a")</f>
        <v>47.7384196185286</v>
      </c>
      <c r="AR335" s="77" t="n">
        <f aca="false">IFERROR(AR305/AR332*365,"n/a")</f>
        <v>51.0973386802771</v>
      </c>
      <c r="AS335" s="77" t="n">
        <f aca="false">IFERROR(AS305/AS332*365,"n/a")</f>
        <v>43.3606983655275</v>
      </c>
      <c r="AT335" s="77" t="n">
        <f aca="false">IFERROR(AT305/AT332*365,"n/a")</f>
        <v>36.9968530444965</v>
      </c>
      <c r="AU335" s="77" t="n">
        <f aca="false">IFERROR(AU305/AU332*365,"n/a")</f>
        <v>38.2284747847478</v>
      </c>
      <c r="AV335" s="77" t="n">
        <f aca="false">IFERROR(AV305/AV332*365,"n/a")</f>
        <v>40.7784569550031</v>
      </c>
      <c r="AW335" s="77" t="n">
        <f aca="false">IFERROR(AW305/AW332*365,"n/a")</f>
        <v>50.5234519187934</v>
      </c>
      <c r="AX335" s="77" t="n">
        <f aca="false">IFERROR(AX305/AX332*365,"n/a")</f>
        <v>42.9718016238754</v>
      </c>
      <c r="AY335" s="77" t="n">
        <f aca="false">IFERROR(AY305/AY332*365,"n/a")</f>
        <v>41.7540894220284</v>
      </c>
      <c r="AZ335" s="77" t="n">
        <f aca="false">IFERROR(AZ305/AZ332*365,"n/a")</f>
        <v>46.3194904037062</v>
      </c>
      <c r="BA335" s="77" t="n">
        <f aca="false">IFERROR(BA305/BA332*365,"n/a")</f>
        <v>49.3424651075066</v>
      </c>
      <c r="BB335" s="77" t="n">
        <f aca="false">IFERROR(BB305/BB332*365,"n/a")</f>
        <v>55.1433314011698</v>
      </c>
      <c r="BC335" s="77" t="n">
        <f aca="false">IFERROR(BC305/BC332*365,"n/a")</f>
        <v>39.1637833923399</v>
      </c>
      <c r="BD335" s="77" t="n">
        <f aca="false">IFERROR(BD305/BD332*365,"n/a")</f>
        <v>37.8161057692308</v>
      </c>
      <c r="BE335" s="77" t="n">
        <f aca="false">IFERROR(BE305/BE332*365,"n/a")</f>
        <v>36.0997038104387</v>
      </c>
      <c r="BF335" s="77" t="n">
        <f aca="false">IFERROR(BF305/BF332*365,"n/a")</f>
        <v>45.9443410275503</v>
      </c>
      <c r="BG335" s="77" t="n">
        <f aca="false">IFERROR(BG305/BG332*365,"n/a")</f>
        <v>48.5565610859729</v>
      </c>
      <c r="BH335" s="77" t="n">
        <f aca="false">IFERROR(BH305/BH332*365,"n/a")</f>
        <v>39.6640515768215</v>
      </c>
      <c r="BI335" s="77" t="n">
        <f aca="false">IFERROR(BI305/BI332*365,"n/a")</f>
        <v>34.9673809900364</v>
      </c>
      <c r="BJ335" s="77" t="n">
        <f aca="false">IFERROR(BJ305/BJ332*365,"n/a")</f>
        <v>37.2424735557364</v>
      </c>
      <c r="BK335" s="77" t="n">
        <f aca="false">IFERROR(BK305/BK332*365,"n/a")</f>
        <v>41.0125195618153</v>
      </c>
      <c r="BL335" s="77" t="n">
        <f aca="false">IFERROR(BL305/BL332*365,"n/a")</f>
        <v>41.4421822494564</v>
      </c>
      <c r="BM335" s="77" t="n">
        <f aca="false">IFERROR(BM305/BM332*365,"n/a")</f>
        <v>38.5999586092715</v>
      </c>
      <c r="BN335" s="77" t="n">
        <f aca="false">IFERROR(BN305/BN332*365,"n/a")</f>
        <v>38.063175565018</v>
      </c>
      <c r="BO335" s="77" t="n">
        <f aca="false">IFERROR(BO305/BO332*365,"n/a")</f>
        <v>38.4785598705502</v>
      </c>
      <c r="BP335" s="77" t="n">
        <f aca="false">IFERROR(BP305/BP332*365,"n/a")</f>
        <v>43.2776879235983</v>
      </c>
      <c r="BQ335" s="77" t="n">
        <f aca="false">IFERROR(BQ305/BQ332*365,"n/a")</f>
        <v>45.2830606817632</v>
      </c>
      <c r="BR335" s="77" t="n">
        <f aca="false">IFERROR(BR305/BR332*365,"n/a")</f>
        <v>45.9414217305152</v>
      </c>
      <c r="BS335" s="77" t="n">
        <f aca="false">IFERROR(BS305/BS332*365,"n/a")</f>
        <v>42.6348385073691</v>
      </c>
      <c r="BT335" s="77" t="n">
        <f aca="false">IFERROR(BT305/BT332*365,"n/a")</f>
        <v>44.0030911901082</v>
      </c>
      <c r="BU335" s="77" t="n">
        <f aca="false">IFERROR(BU305/BU332*365,"n/a")</f>
        <v>46.2701245975081</v>
      </c>
      <c r="BV335" s="77" t="n">
        <f aca="false">IFERROR(BV305/BV332*365,"n/a")</f>
        <v>50.7536087223587</v>
      </c>
      <c r="BW335" s="77" t="n">
        <f aca="false">IFERROR(BW305/BW332*365,"n/a")</f>
        <v>46.7361004748047</v>
      </c>
      <c r="BX335" s="77" t="n">
        <f aca="false">IFERROR(BX305/BX332*365,"n/a")</f>
        <v>42.2925826123954</v>
      </c>
      <c r="BY335" s="78"/>
      <c r="BZ335" s="78"/>
      <c r="CA335" s="79" t="n">
        <v>51</v>
      </c>
      <c r="CB335" s="79" t="n">
        <v>51</v>
      </c>
      <c r="CC335" s="79" t="n">
        <v>51</v>
      </c>
      <c r="CD335" s="79" t="n">
        <v>51</v>
      </c>
      <c r="CE335" s="79" t="n">
        <v>51</v>
      </c>
      <c r="CF335" s="21"/>
    </row>
    <row r="336" customFormat="false" ht="15" hidden="false" customHeight="false" outlineLevel="0" collapsed="false">
      <c r="B336" s="23" t="s">
        <v>523</v>
      </c>
      <c r="C336" s="80" t="n">
        <f aca="false">IFERROR(C306/C331,"n/a")</f>
        <v>0.0668052706800291</v>
      </c>
      <c r="D336" s="80" t="n">
        <f aca="false">IFERROR(D306/D331,"n/a")</f>
        <v>0.030277846179102</v>
      </c>
      <c r="E336" s="80" t="n">
        <f aca="false">IFERROR(E306/E331,"n/a")</f>
        <v>0.028214898075824</v>
      </c>
      <c r="F336" s="80" t="n">
        <f aca="false">IFERROR(F306/F331,"n/a")</f>
        <v>0.0282896624034343</v>
      </c>
      <c r="G336" s="80" t="n">
        <f aca="false">IFERROR(G306/G331,"n/a")</f>
        <v>0.028835726269152</v>
      </c>
      <c r="H336" s="80" t="n">
        <f aca="false">IFERROR(H306/H331,"n/a")</f>
        <v>0.0279040414808245</v>
      </c>
      <c r="I336" s="80" t="n">
        <f aca="false">IFERROR(I306/I331,"n/a")</f>
        <v>0.0310154357748663</v>
      </c>
      <c r="J336" s="80" t="n">
        <f aca="false">IFERROR(J306/J331,"n/a")</f>
        <v>0.0244555851480495</v>
      </c>
      <c r="K336" s="80" t="n">
        <f aca="false">IFERROR(K306/K331,"n/a")</f>
        <v>0.0244668374432888</v>
      </c>
      <c r="L336" s="80" t="n">
        <f aca="false">IFERROR(L306/L331,"n/a")</f>
        <v>0.0304452033335422</v>
      </c>
      <c r="M336" s="80" t="n">
        <f aca="false">IFERROR(M306/M331,"n/a")</f>
        <v>0.0311517494014826</v>
      </c>
      <c r="N336" s="80" t="n">
        <f aca="false">IFERROR(N306/N331,"n/a")</f>
        <v>0.0330015354881095</v>
      </c>
      <c r="O336" s="80" t="n">
        <f aca="false">IFERROR(O306/O331,"n/a")</f>
        <v>0.0332073779941079</v>
      </c>
      <c r="P336" s="80" t="n">
        <f aca="false">IFERROR(P306/P331,"n/a")</f>
        <v>0.0309933131261714</v>
      </c>
      <c r="Q336" s="80" t="n">
        <f aca="false">IFERROR(Q306/Q331,"n/a")</f>
        <v>0.0376252577072446</v>
      </c>
      <c r="R336" s="80" t="n">
        <f aca="false">IFERROR(R306/R331,"n/a")</f>
        <v>0.0372206641737892</v>
      </c>
      <c r="S336" s="80" t="n">
        <f aca="false">IFERROR(S306/S331,"n/a")</f>
        <v>0.0396042535051156</v>
      </c>
      <c r="T336" s="80" t="n">
        <f aca="false">IFERROR(T306/T331,"n/a")</f>
        <v>0.0310618046340717</v>
      </c>
      <c r="U336" s="80" t="n">
        <f aca="false">IFERROR(U306/U331,"n/a")</f>
        <v>0.0280093188789248</v>
      </c>
      <c r="V336" s="80" t="n">
        <f aca="false">IFERROR(V306/V331,"n/a")</f>
        <v>0.0333054423748545</v>
      </c>
      <c r="W336" s="80" t="n">
        <f aca="false">IFERROR(W306/W331,"n/a")</f>
        <v>0.0321440085975282</v>
      </c>
      <c r="X336" s="80" t="n">
        <f aca="false">IFERROR(X306/X331,"n/a")</f>
        <v>0.035259999764226</v>
      </c>
      <c r="Y336" s="80" t="n">
        <f aca="false">IFERROR(Y306/Y331,"n/a")</f>
        <v>0.0245180217937971</v>
      </c>
      <c r="Z336" s="80" t="n">
        <f aca="false">IFERROR(Z306/Z331,"n/a")</f>
        <v>0.028752866466749</v>
      </c>
      <c r="AA336" s="80" t="n">
        <f aca="false">IFERROR(AA306/AA331,"n/a")</f>
        <v>0.0340243603731991</v>
      </c>
      <c r="AB336" s="80" t="n">
        <f aca="false">IFERROR(AB306/AB331,"n/a")</f>
        <v>0.0357698053783413</v>
      </c>
      <c r="AC336" s="80" t="n">
        <f aca="false">IFERROR(AC306/AC331,"n/a")</f>
        <v>0.0387816636660629</v>
      </c>
      <c r="AD336" s="80" t="n">
        <f aca="false">IFERROR(AD306/AD331,"n/a")</f>
        <v>0.0273242392444911</v>
      </c>
      <c r="AE336" s="80" t="n">
        <f aca="false">IFERROR(AE306/AE331,"n/a")</f>
        <v>0.0306913827655311</v>
      </c>
      <c r="AF336" s="80" t="n">
        <f aca="false">IFERROR(AF306/AF331,"n/a")</f>
        <v>0.037679332316954</v>
      </c>
      <c r="AG336" s="80" t="n">
        <f aca="false">IFERROR(AG306/AG331,"n/a")</f>
        <v>0.0379527038200761</v>
      </c>
      <c r="AH336" s="80" t="n">
        <f aca="false">IFERROR(AH306/AH331,"n/a")</f>
        <v>0.0438856487235873</v>
      </c>
      <c r="AI336" s="80" t="n">
        <f aca="false">IFERROR(AI306/AI331,"n/a")</f>
        <v>0.027464548094994</v>
      </c>
      <c r="AJ336" s="80" t="n">
        <f aca="false">IFERROR(AJ306/AJ331,"n/a")</f>
        <v>0.0310546232313261</v>
      </c>
      <c r="AK336" s="80" t="n">
        <f aca="false">IFERROR(AK306/AK331,"n/a")</f>
        <v>0.0345016891891892</v>
      </c>
      <c r="AL336" s="80" t="n">
        <f aca="false">IFERROR(AL306/AL331,"n/a")</f>
        <v>0.0377285999692639</v>
      </c>
      <c r="AM336" s="80" t="n">
        <f aca="false">IFERROR(AM306/AM331,"n/a")</f>
        <v>0.0403152968223992</v>
      </c>
      <c r="AN336" s="80" t="n">
        <f aca="false">IFERROR(AN306/AN331,"n/a")</f>
        <v>0.028734693877551</v>
      </c>
      <c r="AO336" s="80" t="n">
        <f aca="false">IFERROR(AO306/AO331,"n/a")</f>
        <v>0.0320218492716909</v>
      </c>
      <c r="AP336" s="80" t="n">
        <f aca="false">IFERROR(AP306/AP331,"n/a")</f>
        <v>0.0351961096938776</v>
      </c>
      <c r="AQ336" s="80" t="n">
        <f aca="false">IFERROR(AQ306/AQ331,"n/a")</f>
        <v>0.0369746668619124</v>
      </c>
      <c r="AR336" s="80" t="n">
        <f aca="false">IFERROR(AR306/AR331,"n/a")</f>
        <v>0.0395427139613186</v>
      </c>
      <c r="AS336" s="80" t="n">
        <f aca="false">IFERROR(AS306/AS331,"n/a")</f>
        <v>0.0302969502407705</v>
      </c>
      <c r="AT336" s="80" t="n">
        <f aca="false">IFERROR(AT306/AT331,"n/a")</f>
        <v>0.0427931184039323</v>
      </c>
      <c r="AU336" s="80" t="n">
        <f aca="false">IFERROR(AU306/AU331,"n/a")</f>
        <v>0.0451238117591832</v>
      </c>
      <c r="AV336" s="80" t="n">
        <f aca="false">IFERROR(AV306/AV331,"n/a")</f>
        <v>0.0454028436018957</v>
      </c>
      <c r="AW336" s="80" t="n">
        <f aca="false">IFERROR(AW306/AW331,"n/a")</f>
        <v>0.0594698615680675</v>
      </c>
      <c r="AX336" s="80" t="n">
        <f aca="false">IFERROR(AX306/AX331,"n/a")</f>
        <v>0.0331617201695942</v>
      </c>
      <c r="AY336" s="80" t="n">
        <f aca="false">IFERROR(AY306/AY331,"n/a")</f>
        <v>0.0402243071282217</v>
      </c>
      <c r="AZ336" s="80" t="n">
        <f aca="false">IFERROR(AZ306/AZ331,"n/a")</f>
        <v>0.0486602357984995</v>
      </c>
      <c r="BA336" s="80" t="n">
        <f aca="false">IFERROR(BA306/BA331,"n/a")</f>
        <v>0.0566950102784526</v>
      </c>
      <c r="BB336" s="80" t="n">
        <f aca="false">IFERROR(BB306/BB331,"n/a")</f>
        <v>0.0618958965596389</v>
      </c>
      <c r="BC336" s="80" t="n">
        <f aca="false">IFERROR(BC306/BC331,"n/a")</f>
        <v>0.0345659163987138</v>
      </c>
      <c r="BD336" s="80" t="n">
        <f aca="false">IFERROR(BD306/BD331,"n/a")</f>
        <v>0.0392433910665451</v>
      </c>
      <c r="BE336" s="80" t="n">
        <f aca="false">IFERROR(BE306/BE331,"n/a")</f>
        <v>0.0436452186943898</v>
      </c>
      <c r="BF336" s="80" t="n">
        <f aca="false">IFERROR(BF306/BF331,"n/a")</f>
        <v>0.0457423580786026</v>
      </c>
      <c r="BG336" s="80" t="n">
        <f aca="false">IFERROR(BG306/BG331,"n/a")</f>
        <v>0.0466436602471335</v>
      </c>
      <c r="BH336" s="80" t="n">
        <f aca="false">IFERROR(BH306/BH331,"n/a")</f>
        <v>0.0305088702147526</v>
      </c>
      <c r="BI336" s="80" t="n">
        <f aca="false">IFERROR(BI306/BI331,"n/a")</f>
        <v>0.0306447085243754</v>
      </c>
      <c r="BJ336" s="80" t="n">
        <f aca="false">IFERROR(BJ306/BJ331,"n/a")</f>
        <v>0.0345186306033668</v>
      </c>
      <c r="BK336" s="80" t="n">
        <f aca="false">IFERROR(BK306/BK331,"n/a")</f>
        <v>0.0366525812970788</v>
      </c>
      <c r="BL336" s="80" t="n">
        <f aca="false">IFERROR(BL306/BL331,"n/a")</f>
        <v>0.0372401241337471</v>
      </c>
      <c r="BM336" s="80" t="n">
        <f aca="false">IFERROR(BM306/BM331,"n/a")</f>
        <v>0.0317544707588207</v>
      </c>
      <c r="BN336" s="80" t="n">
        <f aca="false">IFERROR(BN306/BN331,"n/a")</f>
        <v>0.0354567877810454</v>
      </c>
      <c r="BO336" s="80" t="n">
        <f aca="false">IFERROR(BO306/BO331,"n/a")</f>
        <v>0.0430033968673335</v>
      </c>
      <c r="BP336" s="80" t="n">
        <f aca="false">IFERROR(BP306/BP331,"n/a")</f>
        <v>0.0436156208863537</v>
      </c>
      <c r="BQ336" s="80" t="n">
        <f aca="false">IFERROR(BQ306/BQ331,"n/a")</f>
        <v>0.0463630215256886</v>
      </c>
      <c r="BR336" s="80" t="n">
        <f aca="false">IFERROR(BR306/BR331,"n/a")</f>
        <v>0.0342290621381706</v>
      </c>
      <c r="BS336" s="80" t="n">
        <f aca="false">IFERROR(BS306/BS331,"n/a")</f>
        <v>0.0349608475356978</v>
      </c>
      <c r="BT336" s="80" t="n">
        <f aca="false">IFERROR(BT306/BT331,"n/a")</f>
        <v>0.0423484984714979</v>
      </c>
      <c r="BU336" s="80" t="n">
        <f aca="false">IFERROR(BU306/BU331,"n/a")</f>
        <v>0.0408309455587393</v>
      </c>
      <c r="BV336" s="80" t="n">
        <f aca="false">IFERROR(BV306/BV331,"n/a")</f>
        <v>0.0447751144626986</v>
      </c>
      <c r="BW336" s="80" t="n">
        <f aca="false">IFERROR(BW306/BW331,"n/a")</f>
        <v>0.035552021808269</v>
      </c>
      <c r="BX336" s="80" t="n">
        <f aca="false">IFERROR(BX306/BX331,"n/a")</f>
        <v>0.0353093213273303</v>
      </c>
      <c r="BY336" s="29"/>
      <c r="BZ336" s="29"/>
      <c r="CA336" s="31" t="n">
        <v>0.045</v>
      </c>
      <c r="CB336" s="31" t="n">
        <v>0.045</v>
      </c>
      <c r="CC336" s="31" t="n">
        <v>0.045</v>
      </c>
      <c r="CD336" s="31" t="n">
        <v>0.045</v>
      </c>
      <c r="CE336" s="31" t="n">
        <v>0.045</v>
      </c>
      <c r="CF336" s="21"/>
    </row>
    <row r="337" customFormat="false" ht="15" hidden="false" customHeight="false" outlineLevel="0" collapsed="false">
      <c r="B337" s="23" t="s">
        <v>524</v>
      </c>
      <c r="C337" s="80" t="n">
        <f aca="false">IFERROR(C307/C331,"n/a")</f>
        <v>0</v>
      </c>
      <c r="D337" s="80" t="n">
        <f aca="false">IFERROR(D307/D331,"n/a")</f>
        <v>0</v>
      </c>
      <c r="E337" s="80" t="n">
        <f aca="false">IFERROR(E307/E331,"n/a")</f>
        <v>0</v>
      </c>
      <c r="F337" s="80" t="n">
        <f aca="false">IFERROR(F307/F331,"n/a")</f>
        <v>0</v>
      </c>
      <c r="G337" s="80" t="n">
        <f aca="false">IFERROR(G307/G331,"n/a")</f>
        <v>0</v>
      </c>
      <c r="H337" s="80" t="n">
        <f aca="false">IFERROR(H307/H331,"n/a")</f>
        <v>0</v>
      </c>
      <c r="I337" s="80" t="n">
        <f aca="false">IFERROR(I307/I331,"n/a")</f>
        <v>0</v>
      </c>
      <c r="J337" s="80" t="n">
        <f aca="false">IFERROR(J307/J331,"n/a")</f>
        <v>0</v>
      </c>
      <c r="K337" s="80" t="n">
        <f aca="false">IFERROR(K307/K331,"n/a")</f>
        <v>0</v>
      </c>
      <c r="L337" s="80" t="n">
        <f aca="false">IFERROR(L307/L331,"n/a")</f>
        <v>0</v>
      </c>
      <c r="M337" s="80" t="n">
        <f aca="false">IFERROR(M307/M331,"n/a")</f>
        <v>0</v>
      </c>
      <c r="N337" s="80" t="n">
        <f aca="false">IFERROR(N307/N331,"n/a")</f>
        <v>0</v>
      </c>
      <c r="O337" s="80" t="n">
        <f aca="false">IFERROR(O307/O331,"n/a")</f>
        <v>0</v>
      </c>
      <c r="P337" s="80" t="n">
        <f aca="false">IFERROR(P307/P331,"n/a")</f>
        <v>0</v>
      </c>
      <c r="Q337" s="80" t="n">
        <f aca="false">IFERROR(Q307/Q331,"n/a")</f>
        <v>0</v>
      </c>
      <c r="R337" s="80" t="n">
        <f aca="false">IFERROR(R307/R331,"n/a")</f>
        <v>0</v>
      </c>
      <c r="S337" s="80" t="n">
        <f aca="false">IFERROR(S307/S331,"n/a")</f>
        <v>0</v>
      </c>
      <c r="T337" s="80" t="n">
        <f aca="false">IFERROR(T307/T331,"n/a")</f>
        <v>0</v>
      </c>
      <c r="U337" s="80" t="n">
        <f aca="false">IFERROR(U307/U331,"n/a")</f>
        <v>0</v>
      </c>
      <c r="V337" s="80" t="n">
        <f aca="false">IFERROR(V307/V331,"n/a")</f>
        <v>0</v>
      </c>
      <c r="W337" s="80" t="n">
        <f aca="false">IFERROR(W307/W331,"n/a")</f>
        <v>0</v>
      </c>
      <c r="X337" s="80" t="n">
        <f aca="false">IFERROR(X307/X331,"n/a")</f>
        <v>0</v>
      </c>
      <c r="Y337" s="80" t="n">
        <f aca="false">IFERROR(Y307/Y331,"n/a")</f>
        <v>0</v>
      </c>
      <c r="Z337" s="80" t="n">
        <f aca="false">IFERROR(Z307/Z331,"n/a")</f>
        <v>0</v>
      </c>
      <c r="AA337" s="80" t="n">
        <f aca="false">IFERROR(AA307/AA331,"n/a")</f>
        <v>0</v>
      </c>
      <c r="AB337" s="80" t="n">
        <f aca="false">IFERROR(AB307/AB331,"n/a")</f>
        <v>0</v>
      </c>
      <c r="AC337" s="80" t="n">
        <f aca="false">IFERROR(AC307/AC331,"n/a")</f>
        <v>0</v>
      </c>
      <c r="AD337" s="80" t="n">
        <f aca="false">IFERROR(AD307/AD331,"n/a")</f>
        <v>0</v>
      </c>
      <c r="AE337" s="80" t="n">
        <f aca="false">IFERROR(AE307/AE331,"n/a")</f>
        <v>0</v>
      </c>
      <c r="AF337" s="80" t="n">
        <f aca="false">IFERROR(AF307/AF331,"n/a")</f>
        <v>0</v>
      </c>
      <c r="AG337" s="80" t="n">
        <f aca="false">IFERROR(AG307/AG331,"n/a")</f>
        <v>0</v>
      </c>
      <c r="AH337" s="80" t="n">
        <f aca="false">IFERROR(AH307/AH331,"n/a")</f>
        <v>0</v>
      </c>
      <c r="AI337" s="80" t="n">
        <f aca="false">IFERROR(AI307/AI331,"n/a")</f>
        <v>0.0388262429523321</v>
      </c>
      <c r="AJ337" s="80" t="n">
        <f aca="false">IFERROR(AJ307/AJ331,"n/a")</f>
        <v>0.033563672260612</v>
      </c>
      <c r="AK337" s="80" t="n">
        <f aca="false">IFERROR(AK307/AK331,"n/a")</f>
        <v>0.0336570945945946</v>
      </c>
      <c r="AL337" s="80" t="n">
        <f aca="false">IFERROR(AL307/AL331,"n/a")</f>
        <v>0.031081911787306</v>
      </c>
      <c r="AM337" s="80" t="n">
        <f aca="false">IFERROR(AM307/AM331,"n/a")</f>
        <v>0.033212907463667</v>
      </c>
      <c r="AN337" s="80" t="n">
        <f aca="false">IFERROR(AN307/AN331,"n/a")</f>
        <v>0.039469387755102</v>
      </c>
      <c r="AO337" s="80" t="n">
        <f aca="false">IFERROR(AO307/AO331,"n/a")</f>
        <v>0.0420360987967068</v>
      </c>
      <c r="AP337" s="80" t="n">
        <f aca="false">IFERROR(AP307/AP331,"n/a")</f>
        <v>0.0375876913265306</v>
      </c>
      <c r="AQ337" s="80" t="n">
        <f aca="false">IFERROR(AQ307/AQ331,"n/a")</f>
        <v>0.033533460243081</v>
      </c>
      <c r="AR337" s="80" t="n">
        <f aca="false">IFERROR(AR307/AR331,"n/a")</f>
        <v>0.0358625009787801</v>
      </c>
      <c r="AS337" s="80" t="n">
        <f aca="false">IFERROR(AS307/AS331,"n/a")</f>
        <v>0.0376404494382022</v>
      </c>
      <c r="AT337" s="80" t="n">
        <f aca="false">IFERROR(AT307/AT331,"n/a")</f>
        <v>0.0352392655775625</v>
      </c>
      <c r="AU337" s="80" t="n">
        <f aca="false">IFERROR(AU307/AU331,"n/a")</f>
        <v>0.0307182255603802</v>
      </c>
      <c r="AV337" s="80" t="n">
        <f aca="false">IFERROR(AV307/AV331,"n/a")</f>
        <v>0.0301184834123223</v>
      </c>
      <c r="AW337" s="80" t="n">
        <f aca="false">IFERROR(AW307/AW331,"n/a")</f>
        <v>0.039449996896145</v>
      </c>
      <c r="AX337" s="80" t="n">
        <f aca="false">IFERROR(AX307/AX331,"n/a")</f>
        <v>0.0352311730264486</v>
      </c>
      <c r="AY337" s="80" t="n">
        <f aca="false">IFERROR(AY307/AY331,"n/a")</f>
        <v>0.0396311873180201</v>
      </c>
      <c r="AZ337" s="80" t="n">
        <f aca="false">IFERROR(AZ307/AZ331,"n/a")</f>
        <v>0.0386387995712755</v>
      </c>
      <c r="BA337" s="80" t="n">
        <f aca="false">IFERROR(BA307/BA331,"n/a")</f>
        <v>0.0620211175481219</v>
      </c>
      <c r="BB337" s="80" t="n">
        <f aca="false">IFERROR(BB307/BB331,"n/a")</f>
        <v>0.0677105914156742</v>
      </c>
      <c r="BC337" s="80" t="n">
        <f aca="false">IFERROR(BC307/BC331,"n/a")</f>
        <v>0.0607336266711796</v>
      </c>
      <c r="BD337" s="80" t="n">
        <f aca="false">IFERROR(BD307/BD331,"n/a")</f>
        <v>0.0620328167730173</v>
      </c>
      <c r="BE337" s="80" t="n">
        <f aca="false">IFERROR(BE307/BE331,"n/a")</f>
        <v>0.0601058349723705</v>
      </c>
      <c r="BF337" s="80" t="n">
        <f aca="false">IFERROR(BF307/BF331,"n/a")</f>
        <v>0.0567903930131004</v>
      </c>
      <c r="BG337" s="80" t="n">
        <f aca="false">IFERROR(BG307/BG331,"n/a")</f>
        <v>0.0579093843927419</v>
      </c>
      <c r="BH337" s="80" t="n">
        <f aca="false">IFERROR(BH307/BH331,"n/a")</f>
        <v>0.0621381886087768</v>
      </c>
      <c r="BI337" s="80" t="n">
        <f aca="false">IFERROR(BI307/BI331,"n/a")</f>
        <v>0.0605876298306354</v>
      </c>
      <c r="BJ337" s="80" t="n">
        <f aca="false">IFERROR(BJ307/BJ331,"n/a")</f>
        <v>0.0602184603745035</v>
      </c>
      <c r="BK337" s="80" t="n">
        <f aca="false">IFERROR(BK307/BK331,"n/a")</f>
        <v>0.0617536285136873</v>
      </c>
      <c r="BL337" s="80" t="n">
        <f aca="false">IFERROR(BL307/BL331,"n/a")</f>
        <v>0.0627435424784749</v>
      </c>
      <c r="BM337" s="80" t="n">
        <f aca="false">IFERROR(BM307/BM331,"n/a")</f>
        <v>0.0636056065732238</v>
      </c>
      <c r="BN337" s="80" t="n">
        <f aca="false">IFERROR(BN307/BN331,"n/a")</f>
        <v>0.0614505265155109</v>
      </c>
      <c r="BO337" s="80" t="n">
        <f aca="false">IFERROR(BO307/BO331,"n/a")</f>
        <v>0.0628184563125118</v>
      </c>
      <c r="BP337" s="80" t="n">
        <f aca="false">IFERROR(BP307/BP331,"n/a")</f>
        <v>0.0625713032031593</v>
      </c>
      <c r="BQ337" s="80" t="n">
        <f aca="false">IFERROR(BQ307/BQ331,"n/a")</f>
        <v>0.0665127451666317</v>
      </c>
      <c r="BR337" s="80" t="n">
        <f aca="false">IFERROR(BR307/BR331,"n/a")</f>
        <v>0.0691335391740641</v>
      </c>
      <c r="BS337" s="80" t="n">
        <f aca="false">IFERROR(BS307/BS331,"n/a")</f>
        <v>0.0646015660985721</v>
      </c>
      <c r="BT337" s="80" t="n">
        <f aca="false">IFERROR(BT307/BT331,"n/a")</f>
        <v>0.0641071749685308</v>
      </c>
      <c r="BU337" s="80" t="n">
        <f aca="false">IFERROR(BU307/BU331,"n/a")</f>
        <v>0.0554645927138764</v>
      </c>
      <c r="BV337" s="80" t="n">
        <f aca="false">IFERROR(BV307/BV331,"n/a")</f>
        <v>0.0608223359367986</v>
      </c>
      <c r="BW337" s="80" t="n">
        <f aca="false">IFERROR(BW307/BW331,"n/a")</f>
        <v>0.0665152203543844</v>
      </c>
      <c r="BX337" s="80" t="n">
        <f aca="false">IFERROR(BX307/BX331,"n/a")</f>
        <v>0.0608220777055194</v>
      </c>
      <c r="BY337" s="29"/>
      <c r="BZ337" s="29"/>
      <c r="CA337" s="31" t="n">
        <v>0.061</v>
      </c>
      <c r="CB337" s="31" t="n">
        <v>0.061</v>
      </c>
      <c r="CC337" s="31" t="n">
        <v>0.061</v>
      </c>
      <c r="CD337" s="31" t="n">
        <v>0.061</v>
      </c>
      <c r="CE337" s="31" t="n">
        <v>0.061</v>
      </c>
      <c r="CF337" s="21"/>
    </row>
    <row r="338" customFormat="false" ht="15" hidden="false" customHeight="false" outlineLevel="0" collapsed="false">
      <c r="B338" s="23" t="s">
        <v>525</v>
      </c>
      <c r="C338" s="61" t="n">
        <f aca="false">IF(ISNUMBER(C294),C294+C295-C305-C306-N(C307),"n/a")</f>
        <v>1673.108</v>
      </c>
      <c r="D338" s="61" t="n">
        <f aca="false">IF(ISNUMBER(D294),D294+D295-D305-D306-N(D307),"n/a")</f>
        <v>1647.9</v>
      </c>
      <c r="E338" s="61" t="n">
        <f aca="false">IF(ISNUMBER(E294),E294+E295-E305-E306-N(E307),"n/a")</f>
        <v>1813.8</v>
      </c>
      <c r="F338" s="61" t="n">
        <f aca="false">IF(ISNUMBER(F294),F294+F295-F305-F306-N(F307),"n/a")</f>
        <v>1721.4</v>
      </c>
      <c r="G338" s="61" t="n">
        <f aca="false">IF(ISNUMBER(G294),G294+G295-G305-G306-N(G307),"n/a")</f>
        <v>1829.8</v>
      </c>
      <c r="H338" s="61" t="n">
        <f aca="false">IF(ISNUMBER(H294),H294+H295-H305-H306-N(H307),"n/a")</f>
        <v>2213.6</v>
      </c>
      <c r="I338" s="61" t="n">
        <f aca="false">IF(ISNUMBER(I294),I294+I295-I305-I306-N(I307),"n/a")</f>
        <v>2218.8</v>
      </c>
      <c r="J338" s="61" t="n">
        <f aca="false">IF(ISNUMBER(J294),J294+J295-J305-J306-N(J307),"n/a")</f>
        <v>2406.3</v>
      </c>
      <c r="K338" s="61" t="n">
        <f aca="false">IF(ISNUMBER(K294),K294+K295-K305-K306-N(K307),"n/a")</f>
        <v>2422.6</v>
      </c>
      <c r="L338" s="61" t="n">
        <f aca="false">IF(ISNUMBER(L294),L294+L295-L305-L306-N(L307),"n/a")</f>
        <v>2430.5</v>
      </c>
      <c r="M338" s="61" t="n">
        <f aca="false">IF(ISNUMBER(M294),M294+M295-M305-M306-N(M307),"n/a")</f>
        <v>2313.3</v>
      </c>
      <c r="N338" s="61" t="n">
        <f aca="false">IF(ISNUMBER(N294),N294+N295-N305-N306-N(N307),"n/a")</f>
        <v>2313.3</v>
      </c>
      <c r="O338" s="61" t="n">
        <f aca="false">IF(ISNUMBER(O294),O294+O295-O305-O306-N(O307),"n/a")</f>
        <v>3408.7</v>
      </c>
      <c r="P338" s="61" t="n">
        <f aca="false">IF(ISNUMBER(P294),P294+P295-P305-P306-N(P307),"n/a")</f>
        <v>3208.2</v>
      </c>
      <c r="Q338" s="61" t="n">
        <f aca="false">IF(ISNUMBER(Q294),Q294+Q295-Q305-Q306-N(Q307),"n/a")</f>
        <v>2974.9</v>
      </c>
      <c r="R338" s="61" t="n">
        <f aca="false">IF(ISNUMBER(R294),R294+R295-R305-R306-N(R307),"n/a")</f>
        <v>2843.5</v>
      </c>
      <c r="S338" s="61" t="n">
        <f aca="false">IF(ISNUMBER(S294),S294+S295-S305-S306-N(S307),"n/a")</f>
        <v>2843.5</v>
      </c>
      <c r="T338" s="61" t="n">
        <f aca="false">IF(ISNUMBER(T294),T294+T295-T305-T306-N(T307),"n/a")</f>
        <v>3122.3</v>
      </c>
      <c r="U338" s="61" t="n">
        <f aca="false">IF(ISNUMBER(U294),U294+U295-U305-U306-N(U307),"n/a")</f>
        <v>3295.8</v>
      </c>
      <c r="V338" s="61" t="n">
        <f aca="false">IF(ISNUMBER(V294),V294+V295-V305-V306-N(V307),"n/a")</f>
        <v>3198.5</v>
      </c>
      <c r="W338" s="61" t="n">
        <f aca="false">IF(ISNUMBER(W294),W294+W295-W305-W306-N(W307),"n/a")</f>
        <v>3116.2</v>
      </c>
      <c r="X338" s="61" t="n">
        <f aca="false">IF(ISNUMBER(X294),X294+X295-X305-X306-N(X307),"n/a")</f>
        <v>3116.2</v>
      </c>
      <c r="Y338" s="61" t="n">
        <f aca="false">IF(ISNUMBER(Y294),Y294+Y295-Y305-Y306-N(Y307),"n/a")</f>
        <v>3549</v>
      </c>
      <c r="Z338" s="61" t="n">
        <f aca="false">IF(ISNUMBER(Z294),Z294+Z295-Z305-Z306-N(Z307),"n/a")</f>
        <v>3427.3</v>
      </c>
      <c r="AA338" s="61" t="n">
        <f aca="false">IF(ISNUMBER(AA294),AA294+AA295-AA305-AA306-N(AA307),"n/a")</f>
        <v>3733.1</v>
      </c>
      <c r="AB338" s="61" t="n">
        <f aca="false">IF(ISNUMBER(AB294),AB294+AB295-AB305-AB306-N(AB307),"n/a")</f>
        <v>3626.9</v>
      </c>
      <c r="AC338" s="61" t="n">
        <f aca="false">IF(ISNUMBER(AC294),AC294+AC295-AC305-AC306-N(AC307),"n/a")</f>
        <v>3626.9</v>
      </c>
      <c r="AD338" s="61" t="n">
        <f aca="false">IF(ISNUMBER(AD294),AD294+AD295-AD305-AD306-N(AD307),"n/a")</f>
        <v>3871.8</v>
      </c>
      <c r="AE338" s="61" t="n">
        <f aca="false">IF(ISNUMBER(AE294),AE294+AE295-AE305-AE306-N(AE307),"n/a")</f>
        <v>4085.7</v>
      </c>
      <c r="AF338" s="61" t="n">
        <f aca="false">IF(ISNUMBER(AF294),AF294+AF295-AF305-AF306-N(AF307),"n/a")</f>
        <v>4887.6</v>
      </c>
      <c r="AG338" s="61" t="n">
        <f aca="false">IF(ISNUMBER(AG294),AG294+AG295-AG305-AG306-N(AG307),"n/a")</f>
        <v>4504</v>
      </c>
      <c r="AH338" s="61" t="n">
        <f aca="false">IF(ISNUMBER(AH294),AH294+AH295-AH305-AH306-N(AH307),"n/a")</f>
        <v>4504</v>
      </c>
      <c r="AI338" s="61" t="n">
        <f aca="false">IF(ISNUMBER(AI294),AI294+AI295-AI305-AI306-N(AI307),"n/a")</f>
        <v>3975</v>
      </c>
      <c r="AJ338" s="61" t="n">
        <f aca="false">IF(ISNUMBER(AJ294),AJ294+AJ295-AJ305-AJ306-N(AJ307),"n/a")</f>
        <v>3847</v>
      </c>
      <c r="AK338" s="61" t="n">
        <f aca="false">IF(ISNUMBER(AK294),AK294+AK295-AK305-AK306-N(AK307),"n/a")</f>
        <v>3876</v>
      </c>
      <c r="AL338" s="61" t="n">
        <f aca="false">IF(ISNUMBER(AL294),AL294+AL295-AL305-AL306-N(AL307),"n/a")</f>
        <v>3735</v>
      </c>
      <c r="AM338" s="61" t="n">
        <f aca="false">IF(ISNUMBER(AM294),AM294+AM295-AM305-AM306-N(AM307),"n/a")</f>
        <v>3735</v>
      </c>
      <c r="AN338" s="61" t="n">
        <f aca="false">IF(ISNUMBER(AN294),AN294+AN295-AN305-AN306-N(AN307),"n/a")</f>
        <v>4146</v>
      </c>
      <c r="AO338" s="61" t="n">
        <f aca="false">IF(ISNUMBER(AO294),AO294+AO295-AO305-AO306-N(AO307),"n/a")</f>
        <v>4076</v>
      </c>
      <c r="AP338" s="61" t="n">
        <f aca="false">IF(ISNUMBER(AP294),AP294+AP295-AP305-AP306-N(AP307),"n/a")</f>
        <v>4207</v>
      </c>
      <c r="AQ338" s="61" t="n">
        <f aca="false">IF(ISNUMBER(AQ294),AQ294+AQ295-AQ305-AQ306-N(AQ307),"n/a")</f>
        <v>3873</v>
      </c>
      <c r="AR338" s="61" t="n">
        <f aca="false">IF(ISNUMBER(AR294),AR294+AR295-AR305-AR306-N(AR307),"n/a")</f>
        <v>3873</v>
      </c>
      <c r="AS338" s="61" t="n">
        <f aca="false">IF(ISNUMBER(AS294),AS294+AS295-AS305-AS306-N(AS307),"n/a")</f>
        <v>4670</v>
      </c>
      <c r="AT338" s="61" t="n">
        <f aca="false">IF(ISNUMBER(AT294),AT294+AT295-AT305-AT306-N(AT307),"n/a")</f>
        <v>4582</v>
      </c>
      <c r="AU338" s="61" t="n">
        <f aca="false">IF(ISNUMBER(AU294),AU294+AU295-AU305-AU306-N(AU307),"n/a")</f>
        <v>4727</v>
      </c>
      <c r="AV338" s="61" t="n">
        <f aca="false">IF(ISNUMBER(AV294),AV294+AV295-AV305-AV306-N(AV307),"n/a")</f>
        <v>4408</v>
      </c>
      <c r="AW338" s="61" t="n">
        <f aca="false">IF(ISNUMBER(AW294),AW294+AW295-AW305-AW306-N(AW307),"n/a")</f>
        <v>4408</v>
      </c>
      <c r="AX338" s="61" t="n">
        <f aca="false">IF(ISNUMBER(AX294),AX294+AX295-AX305-AX306-N(AX307),"n/a")</f>
        <v>5040</v>
      </c>
      <c r="AY338" s="61" t="n">
        <f aca="false">IF(ISNUMBER(AY294),AY294+AY295-AY305-AY306-N(AY307),"n/a")</f>
        <v>5041</v>
      </c>
      <c r="AZ338" s="61" t="n">
        <f aca="false">IF(ISNUMBER(AZ294),AZ294+AZ295-AZ305-AZ306-N(AZ307),"n/a")</f>
        <v>4904</v>
      </c>
      <c r="BA338" s="61" t="n">
        <f aca="false">IF(ISNUMBER(BA294),BA294+BA295-BA305-BA306-N(BA307),"n/a")</f>
        <v>5079</v>
      </c>
      <c r="BB338" s="61" t="n">
        <f aca="false">IF(ISNUMBER(BB294),BB294+BB295-BB305-BB306-N(BB307),"n/a")</f>
        <v>5079</v>
      </c>
      <c r="BC338" s="61" t="n">
        <f aca="false">IF(ISNUMBER(BC294),BC294+BC295-BC305-BC306-N(BC307),"n/a")</f>
        <v>6200</v>
      </c>
      <c r="BD338" s="61" t="n">
        <f aca="false">IF(ISNUMBER(BD294),BD294+BD295-BD305-BD306-N(BD307),"n/a")</f>
        <v>6383</v>
      </c>
      <c r="BE338" s="61" t="n">
        <f aca="false">IF(ISNUMBER(BE294),BE294+BE295-BE305-BE306-N(BE307),"n/a")</f>
        <v>6491</v>
      </c>
      <c r="BF338" s="61" t="n">
        <f aca="false">IF(ISNUMBER(BF294),BF294+BF295-BF305-BF306-N(BF307),"n/a")</f>
        <v>5831</v>
      </c>
      <c r="BG338" s="61" t="n">
        <f aca="false">IF(ISNUMBER(BG294),BG294+BG295-BG305-BG306-N(BG307),"n/a")</f>
        <v>5831</v>
      </c>
      <c r="BH338" s="61" t="n">
        <f aca="false">IF(ISNUMBER(BH294),BH294+BH295-BH305-BH306-N(BH307),"n/a")</f>
        <v>6819</v>
      </c>
      <c r="BI338" s="61" t="n">
        <f aca="false">IF(ISNUMBER(BI294),BI294+BI295-BI305-BI306-N(BI307),"n/a")</f>
        <v>7351</v>
      </c>
      <c r="BJ338" s="61" t="n">
        <f aca="false">IF(ISNUMBER(BJ294),BJ294+BJ295-BJ305-BJ306-N(BJ307),"n/a")</f>
        <v>7259</v>
      </c>
      <c r="BK338" s="61" t="n">
        <f aca="false">IF(ISNUMBER(BK294),BK294+BK295-BK305-BK306-N(BK307),"n/a")</f>
        <v>6152</v>
      </c>
      <c r="BL338" s="61" t="n">
        <f aca="false">IF(ISNUMBER(BL294),BL294+BL295-BL305-BL306-N(BL307),"n/a")</f>
        <v>6152</v>
      </c>
      <c r="BM338" s="61" t="n">
        <f aca="false">IF(ISNUMBER(BM294),BM294+BM295-BM305-BM306-N(BM307),"n/a")</f>
        <v>6563</v>
      </c>
      <c r="BN338" s="61" t="n">
        <f aca="false">IF(ISNUMBER(BN294),BN294+BN295-BN305-BN306-N(BN307),"n/a")</f>
        <v>6508</v>
      </c>
      <c r="BO338" s="61" t="n">
        <f aca="false">IF(ISNUMBER(BO294),BO294+BO295-BO305-BO306-N(BO307),"n/a")</f>
        <v>6593</v>
      </c>
      <c r="BP338" s="61" t="n">
        <f aca="false">IF(ISNUMBER(BP294),BP294+BP295-BP305-BP306-N(BP307),"n/a")</f>
        <v>5250</v>
      </c>
      <c r="BQ338" s="61" t="n">
        <f aca="false">IF(ISNUMBER(BQ294),BQ294+BQ295-BQ305-BQ306-N(BQ307),"n/a")</f>
        <v>5250</v>
      </c>
      <c r="BR338" s="61" t="n">
        <f aca="false">IF(ISNUMBER(BR294),BR294+BR295-BR305-BR306-N(BR307),"n/a")</f>
        <v>6345</v>
      </c>
      <c r="BS338" s="61" t="n">
        <f aca="false">IF(ISNUMBER(BS294),BS294+BS295-BS305-BS306-N(BS307),"n/a")</f>
        <v>6850</v>
      </c>
      <c r="BT338" s="61" t="n">
        <f aca="false">IF(ISNUMBER(BT294),BT294+BT295-BT305-BT306-N(BT307),"n/a")</f>
        <v>6800</v>
      </c>
      <c r="BU338" s="61" t="n">
        <f aca="false">IF(ISNUMBER(BU294),BU294+BU295-BU305-BU306-N(BU307),"n/a")</f>
        <v>5998</v>
      </c>
      <c r="BV338" s="61" t="n">
        <f aca="false">IF(ISNUMBER(BV294),BV294+BV295-BV305-BV306-N(BV307),"n/a")</f>
        <v>5998</v>
      </c>
      <c r="BW338" s="61" t="n">
        <f aca="false">IF(ISNUMBER(BW294),BW294+BW295-BW305-BW306-N(BW307),"n/a")</f>
        <v>6863</v>
      </c>
      <c r="BX338" s="61" t="n">
        <f aca="false">IF(ISNUMBER(BX294),BX294+BX295-BX305-BX306-N(BX307),"n/a")</f>
        <v>7198</v>
      </c>
      <c r="BY338" s="39"/>
      <c r="BZ338" s="39"/>
      <c r="CA338" s="44" t="n">
        <f aca="false">IF(ISNUMBER(CA294),CA294+CA295-CA305-CA306-N(CA307),"n/a")</f>
        <v>6419.19246608102</v>
      </c>
      <c r="CB338" s="44" t="n">
        <f aca="false">IF(ISNUMBER(CB294),CB294+CB295-CB305-CB306-N(CB307),"n/a")</f>
        <v>6795.85057780284</v>
      </c>
      <c r="CC338" s="44" t="n">
        <f aca="false">IF(ISNUMBER(CC294),CC294+CC295-CC305-CC306-N(CC307),"n/a")</f>
        <v>7310.56397984917</v>
      </c>
      <c r="CD338" s="44" t="n">
        <f aca="false">IF(ISNUMBER(CD294),CD294+CD295-CD305-CD306-N(CD307),"n/a")</f>
        <v>7864.19197158693</v>
      </c>
      <c r="CE338" s="44" t="n">
        <f aca="false">IF(ISNUMBER(CE294),CE294+CE295-CE305-CE306-N(CE307),"n/a")</f>
        <v>8451.57034404597</v>
      </c>
      <c r="CF338" s="21"/>
    </row>
    <row r="339" customFormat="false" ht="15" hidden="false" customHeight="false" outlineLevel="0" collapsed="false">
      <c r="B339" s="23" t="s">
        <v>526</v>
      </c>
      <c r="C339" s="25" t="n">
        <f aca="false">IFERROR(C338/C331,"n/a")</f>
        <v>0.441265032834276</v>
      </c>
      <c r="D339" s="25" t="n">
        <f aca="false">IFERROR(D338/D331,"n/a")</f>
        <v>0.169077813346466</v>
      </c>
      <c r="E339" s="25" t="n">
        <f aca="false">IFERROR(E338/E331,"n/a")</f>
        <v>0.172775766812726</v>
      </c>
      <c r="F339" s="25" t="n">
        <f aca="false">IFERROR(F338/F331,"n/a")</f>
        <v>0.170272114899552</v>
      </c>
      <c r="G339" s="25" t="n">
        <f aca="false">IFERROR(G338/G331,"n/a")</f>
        <v>0.169603381315636</v>
      </c>
      <c r="H339" s="25" t="n">
        <f aca="false">IFERROR(H338/H331,"n/a")</f>
        <v>0.188778686497412</v>
      </c>
      <c r="I339" s="25" t="n">
        <f aca="false">IFERROR(I338/I331,"n/a")</f>
        <v>0.177363528085756</v>
      </c>
      <c r="J339" s="25" t="n">
        <f aca="false">IFERROR(J338/J331,"n/a")</f>
        <v>0.188492871690428</v>
      </c>
      <c r="K339" s="25" t="n">
        <f aca="false">IFERROR(K338/K331,"n/a")</f>
        <v>0.186923243109781</v>
      </c>
      <c r="L339" s="25" t="n">
        <f aca="false">IFERROR(L338/L331,"n/a")</f>
        <v>0.190370637257974</v>
      </c>
      <c r="M339" s="25" t="n">
        <f aca="false">IFERROR(M338/M331,"n/a")</f>
        <v>0.166813291413078</v>
      </c>
      <c r="N339" s="25" t="n">
        <f aca="false">IFERROR(N338/N331,"n/a")</f>
        <v>0.176718638992231</v>
      </c>
      <c r="O339" s="25" t="n">
        <f aca="false">IFERROR(O338/O331,"n/a")</f>
        <v>0.218310490585372</v>
      </c>
      <c r="P339" s="25" t="n">
        <f aca="false">IFERROR(P338/P331,"n/a")</f>
        <v>0.185578102223559</v>
      </c>
      <c r="Q339" s="25" t="n">
        <f aca="false">IFERROR(Q338/Q331,"n/a")</f>
        <v>0.178291460900417</v>
      </c>
      <c r="R339" s="25" t="n">
        <f aca="false">IFERROR(R338/R331,"n/a")</f>
        <v>0.158225382834758</v>
      </c>
      <c r="S339" s="25" t="n">
        <f aca="false">IFERROR(S338/S331,"n/a")</f>
        <v>0.16835804281925</v>
      </c>
      <c r="T339" s="25" t="n">
        <f aca="false">IFERROR(T338/T331,"n/a")</f>
        <v>0.199187251199347</v>
      </c>
      <c r="U339" s="25" t="n">
        <f aca="false">IFERROR(U338/U331,"n/a")</f>
        <v>0.192921866585497</v>
      </c>
      <c r="V339" s="25" t="n">
        <f aca="false">IFERROR(V338/V331,"n/a")</f>
        <v>0.193933110205666</v>
      </c>
      <c r="W339" s="25" t="n">
        <f aca="false">IFERROR(W338/W331,"n/a")</f>
        <v>0.167447608812466</v>
      </c>
      <c r="X339" s="25" t="n">
        <f aca="false">IFERROR(X338/X331,"n/a")</f>
        <v>0.183679724615983</v>
      </c>
      <c r="Y339" s="25" t="n">
        <f aca="false">IFERROR(Y338/Y331,"n/a")</f>
        <v>0.206587035484772</v>
      </c>
      <c r="Z339" s="25" t="n">
        <f aca="false">IFERROR(Z338/Z331,"n/a")</f>
        <v>0.188927720938437</v>
      </c>
      <c r="AA339" s="25" t="n">
        <f aca="false">IFERROR(AA338/AA331,"n/a")</f>
        <v>0.207814691932575</v>
      </c>
      <c r="AB339" s="25" t="n">
        <f aca="false">IFERROR(AB338/AB331,"n/a")</f>
        <v>0.183058426875555</v>
      </c>
      <c r="AC339" s="25" t="n">
        <f aca="false">IFERROR(AC338/AC331,"n/a")</f>
        <v>0.198472154579432</v>
      </c>
      <c r="AD339" s="25" t="n">
        <f aca="false">IFERROR(AD338/AD331,"n/a")</f>
        <v>0.203137460650577</v>
      </c>
      <c r="AE339" s="25" t="n">
        <f aca="false">IFERROR(AE338/AE331,"n/a")</f>
        <v>0.204694388777555</v>
      </c>
      <c r="AF339" s="25" t="n">
        <f aca="false">IFERROR(AF338/AF331,"n/a")</f>
        <v>0.23882960009382</v>
      </c>
      <c r="AG339" s="25" t="n">
        <f aca="false">IFERROR(AG338/AG331,"n/a")</f>
        <v>0.186208037043162</v>
      </c>
      <c r="AH339" s="25" t="n">
        <f aca="false">IFERROR(AH338/AH331,"n/a")</f>
        <v>0.215316951907448</v>
      </c>
      <c r="AI339" s="25" t="n">
        <f aca="false">IFERROR(AI338/AI331,"n/a")</f>
        <v>0.16978472578165</v>
      </c>
      <c r="AJ339" s="25" t="n">
        <f aca="false">IFERROR(AJ338/AJ331,"n/a")</f>
        <v>0.158234616650214</v>
      </c>
      <c r="AK339" s="25" t="n">
        <f aca="false">IFERROR(AK338/AK331,"n/a")</f>
        <v>0.163682432432432</v>
      </c>
      <c r="AL339" s="25" t="n">
        <f aca="false">IFERROR(AL338/AL331,"n/a")</f>
        <v>0.143499308437068</v>
      </c>
      <c r="AM339" s="25" t="n">
        <f aca="false">IFERROR(AM338/AM331,"n/a")</f>
        <v>0.153337712455867</v>
      </c>
      <c r="AN339" s="25" t="n">
        <f aca="false">IFERROR(AN338/AN331,"n/a")</f>
        <v>0.169224489795918</v>
      </c>
      <c r="AO339" s="25" t="n">
        <f aca="false">IFERROR(AO338/AO331,"n/a")</f>
        <v>0.161336288790374</v>
      </c>
      <c r="AP339" s="25" t="n">
        <f aca="false">IFERROR(AP338/AP331,"n/a")</f>
        <v>0.167689732142857</v>
      </c>
      <c r="AQ339" s="25" t="n">
        <f aca="false">IFERROR(AQ338/AQ331,"n/a")</f>
        <v>0.141785034412066</v>
      </c>
      <c r="AR339" s="25" t="n">
        <f aca="false">IFERROR(AR338/AR331,"n/a")</f>
        <v>0.151632605120977</v>
      </c>
      <c r="AS339" s="25" t="n">
        <f aca="false">IFERROR(AS338/AS331,"n/a")</f>
        <v>0.187399678972713</v>
      </c>
      <c r="AT339" s="25" t="n">
        <f aca="false">IFERROR(AT338/AT331,"n/a")</f>
        <v>0.165606476796299</v>
      </c>
      <c r="AU339" s="25" t="n">
        <f aca="false">IFERROR(AU338/AU331,"n/a")</f>
        <v>0.138686773852834</v>
      </c>
      <c r="AV339" s="25" t="n">
        <f aca="false">IFERROR(AV338/AV331,"n/a")</f>
        <v>0.104454976303318</v>
      </c>
      <c r="AW339" s="25" t="n">
        <f aca="false">IFERROR(AW338/AW331,"n/a")</f>
        <v>0.13681792786641</v>
      </c>
      <c r="AX339" s="25" t="n">
        <f aca="false">IFERROR(AX338/AX331,"n/a")</f>
        <v>0.127195639006663</v>
      </c>
      <c r="AY339" s="25" t="n">
        <f aca="false">IFERROR(AY338/AY331,"n/a")</f>
        <v>0.135905316510299</v>
      </c>
      <c r="AZ339" s="25" t="n">
        <f aca="false">IFERROR(AZ338/AZ331,"n/a")</f>
        <v>0.131404072883173</v>
      </c>
      <c r="BA339" s="25" t="n">
        <f aca="false">IFERROR(BA338/BA331,"n/a")</f>
        <v>0.118646047467763</v>
      </c>
      <c r="BB339" s="25" t="n">
        <f aca="false">IFERROR(BB338/BB331,"n/a")</f>
        <v>0.12952997883247</v>
      </c>
      <c r="BC339" s="25" t="n">
        <f aca="false">IFERROR(BC338/BC331,"n/a")</f>
        <v>0.131155863936368</v>
      </c>
      <c r="BD339" s="25" t="n">
        <f aca="false">IFERROR(BD338/BD331,"n/a")</f>
        <v>0.145464904284412</v>
      </c>
      <c r="BE339" s="25" t="n">
        <f aca="false">IFERROR(BE338/BE331,"n/a")</f>
        <v>0.151985576472792</v>
      </c>
      <c r="BF339" s="25" t="n">
        <f aca="false">IFERROR(BF338/BF331,"n/a")</f>
        <v>0.127314410480349</v>
      </c>
      <c r="BG339" s="25" t="n">
        <f aca="false">IFERROR(BG338/BG331,"n/a")</f>
        <v>0.129822998998108</v>
      </c>
      <c r="BH339" s="25" t="n">
        <f aca="false">IFERROR(BH338/BH331,"n/a")</f>
        <v>0.159173669467787</v>
      </c>
      <c r="BI339" s="25" t="n">
        <f aca="false">IFERROR(BI338/BI331,"n/a")</f>
        <v>0.17196126134556</v>
      </c>
      <c r="BJ339" s="25" t="n">
        <f aca="false">IFERROR(BJ338/BJ331,"n/a")</f>
        <v>0.171623794212219</v>
      </c>
      <c r="BK339" s="25" t="n">
        <f aca="false">IFERROR(BK338/BK331,"n/a")</f>
        <v>0.141282381039868</v>
      </c>
      <c r="BL339" s="25" t="n">
        <f aca="false">IFERROR(BL338/BL331,"n/a")</f>
        <v>0.143547145157151</v>
      </c>
      <c r="BM339" s="25" t="n">
        <f aca="false">IFERROR(BM338/BM331,"n/a")</f>
        <v>0.158603189946834</v>
      </c>
      <c r="BN339" s="25" t="n">
        <f aca="false">IFERROR(BN338/BN331,"n/a")</f>
        <v>0.15434968219334</v>
      </c>
      <c r="BO339" s="25" t="n">
        <f aca="false">IFERROR(BO338/BO331,"n/a")</f>
        <v>0.155524627288168</v>
      </c>
      <c r="BP339" s="25" t="n">
        <f aca="false">IFERROR(BP338/BP331,"n/a")</f>
        <v>0.115182097411145</v>
      </c>
      <c r="BQ339" s="25" t="n">
        <f aca="false">IFERROR(BQ338/BQ331,"n/a")</f>
        <v>0.122437556846009</v>
      </c>
      <c r="BR339" s="25" t="n">
        <f aca="false">IFERROR(BR338/BR331,"n/a")</f>
        <v>0.153053840216133</v>
      </c>
      <c r="BS339" s="25" t="n">
        <f aca="false">IFERROR(BS338/BS331,"n/a")</f>
        <v>0.15776140027637</v>
      </c>
      <c r="BT339" s="25" t="n">
        <f aca="false">IFERROR(BT338/BT331,"n/a")</f>
        <v>0.152850206797339</v>
      </c>
      <c r="BU339" s="25" t="n">
        <f aca="false">IFERROR(BU338/BU331,"n/a")</f>
        <v>0.122758902988129</v>
      </c>
      <c r="BV339" s="25" t="n">
        <f aca="false">IFERROR(BV338/BV331,"n/a")</f>
        <v>0.134617111051261</v>
      </c>
      <c r="BW339" s="25" t="n">
        <f aca="false">IFERROR(BW338/BW331,"n/a")</f>
        <v>0.15590640617901</v>
      </c>
      <c r="BX339" s="25" t="n">
        <f aca="false">IFERROR(BX338/BX331,"n/a")</f>
        <v>0.150033350008338</v>
      </c>
      <c r="BY339" s="29"/>
      <c r="BZ339" s="29"/>
      <c r="CA339" s="26" t="n">
        <f aca="false">IFERROR(CA338/CA331,"n/a")</f>
        <v>0.134433350074995</v>
      </c>
      <c r="CB339" s="26" t="n">
        <f aca="false">IFERROR(CB338/CB331,"n/a")</f>
        <v>0.134136088834549</v>
      </c>
      <c r="CC339" s="26" t="n">
        <f aca="false">IFERROR(CC338/CC331,"n/a")</f>
        <v>0.134131327408377</v>
      </c>
      <c r="CD339" s="26" t="n">
        <f aca="false">IFERROR(CD338/CD331,"n/a")</f>
        <v>0.134126902038371</v>
      </c>
      <c r="CE339" s="26" t="n">
        <f aca="false">IFERROR(CE338/CE331,"n/a")</f>
        <v>0.134122841014963</v>
      </c>
      <c r="CF339" s="21"/>
    </row>
    <row r="340" customFormat="false" ht="15" hidden="false" customHeight="false" outlineLevel="0" collapsed="false">
      <c r="B340" s="23" t="s">
        <v>527</v>
      </c>
      <c r="C340" s="38"/>
      <c r="D340" s="61" t="n">
        <f aca="false">IFERROR(D338-C338,"n/a")</f>
        <v>-25.2079999999996</v>
      </c>
      <c r="E340" s="61" t="n">
        <f aca="false">IFERROR(E338-D338,"n/a")</f>
        <v>165.9</v>
      </c>
      <c r="F340" s="61" t="n">
        <f aca="false">IFERROR(F338-E338,"n/a")</f>
        <v>-92.3999999999999</v>
      </c>
      <c r="G340" s="61" t="n">
        <f aca="false">IFERROR(G338-F338,"n/a")</f>
        <v>108.4</v>
      </c>
      <c r="H340" s="61" t="n">
        <f aca="false">IFERROR(H338-G338,"n/a")</f>
        <v>383.800000000001</v>
      </c>
      <c r="I340" s="61" t="n">
        <f aca="false">IFERROR(I338-H338,"n/a")</f>
        <v>5.19999999999936</v>
      </c>
      <c r="J340" s="38"/>
      <c r="K340" s="38"/>
      <c r="L340" s="38"/>
      <c r="M340" s="38"/>
      <c r="N340" s="61" t="n">
        <f aca="false">IFERROR(N338-I338,"n/a")</f>
        <v>94.5000000000005</v>
      </c>
      <c r="O340" s="61" t="n">
        <f aca="false">IFERROR(O338-J338,"n/a")</f>
        <v>1002.4</v>
      </c>
      <c r="P340" s="61" t="n">
        <f aca="false">IFERROR(P338-K338,"n/a")</f>
        <v>785.6</v>
      </c>
      <c r="Q340" s="61" t="n">
        <f aca="false">IFERROR(Q338-L338,"n/a")</f>
        <v>544.400000000001</v>
      </c>
      <c r="R340" s="61" t="n">
        <f aca="false">IFERROR(R338-M338,"n/a")</f>
        <v>530.2</v>
      </c>
      <c r="S340" s="61" t="n">
        <f aca="false">IFERROR(S338-N338,"n/a")</f>
        <v>530.2</v>
      </c>
      <c r="T340" s="61" t="n">
        <f aca="false">IFERROR(T338-O338,"n/a")</f>
        <v>-286.4</v>
      </c>
      <c r="U340" s="61" t="n">
        <f aca="false">IFERROR(U338-P338,"n/a")</f>
        <v>87.6000000000004</v>
      </c>
      <c r="V340" s="61" t="n">
        <f aca="false">IFERROR(V338-Q338,"n/a")</f>
        <v>223.599999999999</v>
      </c>
      <c r="W340" s="61" t="n">
        <f aca="false">IFERROR(W338-R338,"n/a")</f>
        <v>272.7</v>
      </c>
      <c r="X340" s="61" t="n">
        <f aca="false">IFERROR(X338-S338,"n/a")</f>
        <v>272.7</v>
      </c>
      <c r="Y340" s="61" t="n">
        <f aca="false">IFERROR(Y338-T338,"n/a")</f>
        <v>426.700000000001</v>
      </c>
      <c r="Z340" s="61" t="n">
        <f aca="false">IFERROR(Z338-U338,"n/a")</f>
        <v>131.5</v>
      </c>
      <c r="AA340" s="61" t="n">
        <f aca="false">IFERROR(AA338-V338,"n/a")</f>
        <v>534.6</v>
      </c>
      <c r="AB340" s="61" t="n">
        <f aca="false">IFERROR(AB338-W338,"n/a")</f>
        <v>510.7</v>
      </c>
      <c r="AC340" s="61" t="n">
        <f aca="false">IFERROR(AC338-X338,"n/a")</f>
        <v>510.7</v>
      </c>
      <c r="AD340" s="61" t="n">
        <f aca="false">IFERROR(AD338-Y338,"n/a")</f>
        <v>322.799999999999</v>
      </c>
      <c r="AE340" s="61" t="n">
        <f aca="false">IFERROR(AE338-Z338,"n/a")</f>
        <v>658.400000000001</v>
      </c>
      <c r="AF340" s="61" t="n">
        <f aca="false">IFERROR(AF338-AA338,"n/a")</f>
        <v>1154.5</v>
      </c>
      <c r="AG340" s="61" t="n">
        <f aca="false">IFERROR(AG338-AB338,"n/a")</f>
        <v>877.1</v>
      </c>
      <c r="AH340" s="61" t="n">
        <f aca="false">IFERROR(AH338-AC338,"n/a")</f>
        <v>877.1</v>
      </c>
      <c r="AI340" s="61" t="n">
        <f aca="false">IFERROR(AI338-AD338,"n/a")</f>
        <v>103.2</v>
      </c>
      <c r="AJ340" s="61" t="n">
        <f aca="false">IFERROR(AJ338-AE338,"n/a")</f>
        <v>-238.7</v>
      </c>
      <c r="AK340" s="61" t="n">
        <f aca="false">IFERROR(AK338-AF338,"n/a")</f>
        <v>-1011.6</v>
      </c>
      <c r="AL340" s="61" t="n">
        <f aca="false">IFERROR(AL338-AG338,"n/a")</f>
        <v>-769</v>
      </c>
      <c r="AM340" s="61" t="n">
        <f aca="false">IFERROR(AM338-AH338,"n/a")</f>
        <v>-769</v>
      </c>
      <c r="AN340" s="61" t="n">
        <f aca="false">IFERROR(AN338-AI338,"n/a")</f>
        <v>171</v>
      </c>
      <c r="AO340" s="61" t="n">
        <f aca="false">IFERROR(AO338-AJ338,"n/a")</f>
        <v>229</v>
      </c>
      <c r="AP340" s="61" t="n">
        <f aca="false">IFERROR(AP338-AK338,"n/a")</f>
        <v>331</v>
      </c>
      <c r="AQ340" s="61" t="n">
        <f aca="false">IFERROR(AQ338-AL338,"n/a")</f>
        <v>138</v>
      </c>
      <c r="AR340" s="61" t="n">
        <f aca="false">IFERROR(AR338-AM338,"n/a")</f>
        <v>138</v>
      </c>
      <c r="AS340" s="61" t="n">
        <f aca="false">IFERROR(AS338-AN338,"n/a")</f>
        <v>524</v>
      </c>
      <c r="AT340" s="61" t="n">
        <f aca="false">IFERROR(AT338-AO338,"n/a")</f>
        <v>506</v>
      </c>
      <c r="AU340" s="61" t="n">
        <f aca="false">IFERROR(AU338-AP338,"n/a")</f>
        <v>520</v>
      </c>
      <c r="AV340" s="61" t="n">
        <f aca="false">IFERROR(AV338-AQ338,"n/a")</f>
        <v>535</v>
      </c>
      <c r="AW340" s="61" t="n">
        <f aca="false">IFERROR(AW338-AR338,"n/a")</f>
        <v>535</v>
      </c>
      <c r="AX340" s="61" t="n">
        <f aca="false">IFERROR(AX338-AS338,"n/a")</f>
        <v>370</v>
      </c>
      <c r="AY340" s="61" t="n">
        <f aca="false">IFERROR(AY338-AT338,"n/a")</f>
        <v>459</v>
      </c>
      <c r="AZ340" s="61" t="n">
        <f aca="false">IFERROR(AZ338-AU338,"n/a")</f>
        <v>177</v>
      </c>
      <c r="BA340" s="61" t="n">
        <f aca="false">IFERROR(BA338-AV338,"n/a")</f>
        <v>671</v>
      </c>
      <c r="BB340" s="61" t="n">
        <f aca="false">IFERROR(BB338-AW338,"n/a")</f>
        <v>671</v>
      </c>
      <c r="BC340" s="61" t="n">
        <f aca="false">IFERROR(BC338-AX338,"n/a")</f>
        <v>1160</v>
      </c>
      <c r="BD340" s="61" t="n">
        <f aca="false">IFERROR(BD338-AY338,"n/a")</f>
        <v>1342</v>
      </c>
      <c r="BE340" s="61" t="n">
        <f aca="false">IFERROR(BE338-AZ338,"n/a")</f>
        <v>1587</v>
      </c>
      <c r="BF340" s="61" t="n">
        <f aca="false">IFERROR(BF338-BA338,"n/a")</f>
        <v>752</v>
      </c>
      <c r="BG340" s="61" t="n">
        <f aca="false">IFERROR(BG338-BB338,"n/a")</f>
        <v>752</v>
      </c>
      <c r="BH340" s="61" t="n">
        <f aca="false">IFERROR(BH338-BC338,"n/a")</f>
        <v>619</v>
      </c>
      <c r="BI340" s="61" t="n">
        <f aca="false">IFERROR(BI338-BD338,"n/a")</f>
        <v>968</v>
      </c>
      <c r="BJ340" s="61" t="n">
        <f aca="false">IFERROR(BJ338-BE338,"n/a")</f>
        <v>768</v>
      </c>
      <c r="BK340" s="61" t="n">
        <f aca="false">IFERROR(BK338-BF338,"n/a")</f>
        <v>321</v>
      </c>
      <c r="BL340" s="61" t="n">
        <f aca="false">IFERROR(BL338-BG338,"n/a")</f>
        <v>321</v>
      </c>
      <c r="BM340" s="61" t="n">
        <f aca="false">IFERROR(BM338-BH338,"n/a")</f>
        <v>-256</v>
      </c>
      <c r="BN340" s="61" t="n">
        <f aca="false">IFERROR(BN338-BI338,"n/a")</f>
        <v>-843</v>
      </c>
      <c r="BO340" s="61" t="n">
        <f aca="false">IFERROR(BO338-BJ338,"n/a")</f>
        <v>-666</v>
      </c>
      <c r="BP340" s="61" t="n">
        <f aca="false">IFERROR(BP338-BK338,"n/a")</f>
        <v>-902</v>
      </c>
      <c r="BQ340" s="61" t="n">
        <f aca="false">IFERROR(BQ338-BL338,"n/a")</f>
        <v>-902</v>
      </c>
      <c r="BR340" s="61" t="n">
        <f aca="false">IFERROR(BR338-BM338,"n/a")</f>
        <v>-218</v>
      </c>
      <c r="BS340" s="61" t="n">
        <f aca="false">IFERROR(BS338-BN338,"n/a")</f>
        <v>342</v>
      </c>
      <c r="BT340" s="61" t="n">
        <f aca="false">IFERROR(BT338-BO338,"n/a")</f>
        <v>207</v>
      </c>
      <c r="BU340" s="61" t="n">
        <f aca="false">IFERROR(BU338-BP338,"n/a")</f>
        <v>748</v>
      </c>
      <c r="BV340" s="61" t="n">
        <f aca="false">IFERROR(BV338-BQ338,"n/a")</f>
        <v>748</v>
      </c>
      <c r="BW340" s="61" t="n">
        <f aca="false">IFERROR(BW338-BR338,"n/a")</f>
        <v>518</v>
      </c>
      <c r="BX340" s="61" t="n">
        <f aca="false">IFERROR(BX338-BS338,"n/a")</f>
        <v>348</v>
      </c>
      <c r="BY340" s="39"/>
      <c r="BZ340" s="39"/>
      <c r="CA340" s="44" t="n">
        <f aca="false">IFERROR(CA338-BV338,"n/a")</f>
        <v>421.192466081015</v>
      </c>
      <c r="CB340" s="44" t="n">
        <f aca="false">IFERROR(CB338-CA338,"n/a")</f>
        <v>376.658111721823</v>
      </c>
      <c r="CC340" s="44" t="n">
        <f aca="false">IFERROR(CC338-CB338,"n/a")</f>
        <v>514.71340204633</v>
      </c>
      <c r="CD340" s="44" t="n">
        <f aca="false">IFERROR(CD338-CC338,"n/a")</f>
        <v>553.627991737758</v>
      </c>
      <c r="CE340" s="44" t="n">
        <f aca="false">IFERROR(CE338-CD338,"n/a")</f>
        <v>587.378372459046</v>
      </c>
      <c r="CF340" s="21"/>
    </row>
    <row r="342" customFormat="false" ht="15" hidden="false" customHeight="false" outlineLevel="0" collapsed="false">
      <c r="B342" s="11" t="s">
        <v>528</v>
      </c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 t="s">
        <v>529</v>
      </c>
    </row>
    <row r="343" customFormat="false" ht="15" hidden="false" customHeight="false" outlineLevel="0" collapsed="false">
      <c r="B343" s="12" t="s">
        <v>530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3"/>
    </row>
    <row r="344" customFormat="false" ht="15" hidden="false" customHeight="false" outlineLevel="0" collapsed="false">
      <c r="B344" s="23" t="s">
        <v>531</v>
      </c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9"/>
      <c r="BZ344" s="29"/>
      <c r="CA344" s="31" t="n">
        <v>0.25</v>
      </c>
      <c r="CB344" s="29"/>
      <c r="CC344" s="29"/>
      <c r="CD344" s="29"/>
      <c r="CE344" s="29"/>
      <c r="CF344" s="21" t="s">
        <v>532</v>
      </c>
    </row>
    <row r="345" customFormat="false" ht="15" hidden="false" customHeight="false" outlineLevel="0" collapsed="false">
      <c r="B345" s="23" t="s">
        <v>533</v>
      </c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  <c r="BD345" s="54"/>
      <c r="BE345" s="54"/>
      <c r="BF345" s="54"/>
      <c r="BG345" s="54"/>
      <c r="BH345" s="54"/>
      <c r="BI345" s="54"/>
      <c r="BJ345" s="54"/>
      <c r="BK345" s="54"/>
      <c r="BL345" s="54"/>
      <c r="BM345" s="54"/>
      <c r="BN345" s="54"/>
      <c r="BO345" s="54"/>
      <c r="BP345" s="54"/>
      <c r="BQ345" s="54"/>
      <c r="BR345" s="54"/>
      <c r="BS345" s="54"/>
      <c r="BT345" s="54"/>
      <c r="BU345" s="54"/>
      <c r="BV345" s="54"/>
      <c r="BW345" s="54"/>
      <c r="BX345" s="54"/>
      <c r="BY345" s="55"/>
      <c r="BZ345" s="55"/>
      <c r="CA345" s="55"/>
      <c r="CB345" s="56" t="n">
        <v>1</v>
      </c>
      <c r="CC345" s="56" t="n">
        <v>1</v>
      </c>
      <c r="CD345" s="56" t="n">
        <v>1</v>
      </c>
      <c r="CE345" s="56" t="n">
        <v>1</v>
      </c>
      <c r="CF345" s="21" t="s">
        <v>534</v>
      </c>
    </row>
    <row r="346" customFormat="false" ht="15" hidden="false" customHeight="false" outlineLevel="0" collapsed="false">
      <c r="B346" s="23" t="s">
        <v>535</v>
      </c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9"/>
      <c r="BZ346" s="29"/>
      <c r="CA346" s="29"/>
      <c r="CB346" s="31" t="n">
        <v>0.08</v>
      </c>
      <c r="CC346" s="31" t="n">
        <v>0.08</v>
      </c>
      <c r="CD346" s="31" t="n">
        <v>0.08</v>
      </c>
      <c r="CE346" s="31" t="n">
        <v>0.08</v>
      </c>
      <c r="CF346" s="21"/>
    </row>
    <row r="347" customFormat="false" ht="15" hidden="false" customHeight="false" outlineLevel="0" collapsed="false">
      <c r="B347" s="12" t="s">
        <v>536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3"/>
    </row>
    <row r="348" customFormat="false" ht="15" hidden="false" customHeight="false" outlineLevel="0" collapsed="false">
      <c r="B348" s="17" t="s">
        <v>537</v>
      </c>
      <c r="C348" s="63" t="n">
        <f aca="false">IF(ISNUMBER(C310),N(C304)+C310,"")</f>
        <v>2664.003</v>
      </c>
      <c r="D348" s="63" t="n">
        <f aca="false">IF(ISNUMBER(D310),N(D304)+D310,"")</f>
        <v>2195.2</v>
      </c>
      <c r="E348" s="63" t="n">
        <f aca="false">IF(ISNUMBER(E310),N(E304)+E310,"")</f>
        <v>2058.3</v>
      </c>
      <c r="F348" s="63" t="n">
        <f aca="false">IF(ISNUMBER(F310),N(F304)+F310,"")</f>
        <v>2181.5</v>
      </c>
      <c r="G348" s="63" t="n">
        <f aca="false">IF(ISNUMBER(G310),N(G304)+G310,"")</f>
        <v>2137.1</v>
      </c>
      <c r="H348" s="63" t="n">
        <f aca="false">IF(ISNUMBER(H310),N(H304)+H310,"")</f>
        <v>7028</v>
      </c>
      <c r="I348" s="63" t="n">
        <f aca="false">IF(ISNUMBER(I310),N(I304)+I310,"")</f>
        <v>7124.3</v>
      </c>
      <c r="J348" s="63" t="n">
        <f aca="false">IF(ISNUMBER(J310),N(J304)+J310,"")</f>
        <v>7118.4</v>
      </c>
      <c r="K348" s="63" t="n">
        <f aca="false">IF(ISNUMBER(K310),N(K304)+K310,"")</f>
        <v>7114.4</v>
      </c>
      <c r="L348" s="63" t="n">
        <f aca="false">IF(ISNUMBER(L310),N(L304)+L310,"")</f>
        <v>7111.5</v>
      </c>
      <c r="M348" s="63" t="n">
        <f aca="false">IF(ISNUMBER(M310),N(M304)+M310,"")</f>
        <v>10487.3</v>
      </c>
      <c r="N348" s="63" t="n">
        <f aca="false">IF(ISNUMBER(N310),N(N304)+N310,"")</f>
        <v>10487.3</v>
      </c>
      <c r="O348" s="63" t="n">
        <f aca="false">IF(ISNUMBER(O310),N(O304)+O310,"")</f>
        <v>17362.6</v>
      </c>
      <c r="P348" s="63" t="n">
        <f aca="false">IF(ISNUMBER(P310),N(P304)+P310,"")</f>
        <v>15577.1</v>
      </c>
      <c r="Q348" s="63" t="n">
        <f aca="false">IF(ISNUMBER(Q310),N(Q304)+Q310,"")</f>
        <v>14477.1</v>
      </c>
      <c r="R348" s="63" t="n">
        <f aca="false">IF(ISNUMBER(R310),N(R304)+R310,"")</f>
        <v>14564</v>
      </c>
      <c r="S348" s="63" t="n">
        <f aca="false">IF(ISNUMBER(S310),N(S304)+S310,"")</f>
        <v>14564</v>
      </c>
      <c r="T348" s="63" t="n">
        <f aca="false">IF(ISNUMBER(T310),N(T304)+T310,"")</f>
        <v>14856.8</v>
      </c>
      <c r="U348" s="63" t="n">
        <f aca="false">IF(ISNUMBER(U310),N(U304)+U310,"")</f>
        <v>14023.5</v>
      </c>
      <c r="V348" s="63" t="n">
        <f aca="false">IF(ISNUMBER(V310),N(V304)+V310,"")</f>
        <v>13311.9</v>
      </c>
      <c r="W348" s="63" t="n">
        <f aca="false">IF(ISNUMBER(W310),N(W304)+W310,"")</f>
        <v>12526.7</v>
      </c>
      <c r="X348" s="63" t="n">
        <f aca="false">IF(ISNUMBER(X310),N(X304)+X310,"")</f>
        <v>12526.7</v>
      </c>
      <c r="Y348" s="63" t="n">
        <f aca="false">IF(ISNUMBER(Y310),N(Y304)+Y310,"")</f>
        <v>15036</v>
      </c>
      <c r="Z348" s="63" t="n">
        <f aca="false">IF(ISNUMBER(Z310),N(Z304)+Z310,"")</f>
        <v>14147.8</v>
      </c>
      <c r="AA348" s="63" t="n">
        <f aca="false">IF(ISNUMBER(AA310),N(AA304)+AA310,"")</f>
        <v>18912.5</v>
      </c>
      <c r="AB348" s="63" t="n">
        <f aca="false">IF(ISNUMBER(AB310),N(AB304)+AB310,"")</f>
        <v>16627.9</v>
      </c>
      <c r="AC348" s="63" t="n">
        <f aca="false">IF(ISNUMBER(AC310),N(AC304)+AC310,"")</f>
        <v>16627.9</v>
      </c>
      <c r="AD348" s="63" t="n">
        <f aca="false">IF(ISNUMBER(AD310),N(AD304)+AD310,"")</f>
        <v>17070.8</v>
      </c>
      <c r="AE348" s="63" t="n">
        <f aca="false">IF(ISNUMBER(AE310),N(AE304)+AE310,"")</f>
        <v>16796.1</v>
      </c>
      <c r="AF348" s="63" t="n">
        <f aca="false">IF(ISNUMBER(AF310),N(AF304)+AF310,"")</f>
        <v>21992.7</v>
      </c>
      <c r="AG348" s="63" t="n">
        <f aca="false">IF(ISNUMBER(AG310),N(AG304)+AG310,"")</f>
        <v>21008</v>
      </c>
      <c r="AH348" s="63" t="n">
        <f aca="false">IF(ISNUMBER(AH310),N(AH304)+AH310,"")</f>
        <v>21008</v>
      </c>
      <c r="AI348" s="63" t="n">
        <f aca="false">IF(ISNUMBER(AI310),N(AI304)+AI310,"")</f>
        <v>20936</v>
      </c>
      <c r="AJ348" s="63" t="n">
        <f aca="false">IF(ISNUMBER(AJ310),N(AJ304)+AJ310,"")</f>
        <v>19420</v>
      </c>
      <c r="AK348" s="63" t="n">
        <f aca="false">IF(ISNUMBER(AK310),N(AK304)+AK310,"")</f>
        <v>18774</v>
      </c>
      <c r="AL348" s="63" t="n">
        <f aca="false">IF(ISNUMBER(AL310),N(AL304)+AL310,"")</f>
        <v>18990</v>
      </c>
      <c r="AM348" s="63" t="n">
        <f aca="false">IF(ISNUMBER(AM310),N(AM304)+AM310,"")</f>
        <v>18990</v>
      </c>
      <c r="AN348" s="63" t="n">
        <f aca="false">IF(ISNUMBER(AN310),N(AN304)+AN310,"")</f>
        <v>18148</v>
      </c>
      <c r="AO348" s="63" t="n">
        <f aca="false">IF(ISNUMBER(AO310),N(AO304)+AO310,"")</f>
        <v>19040</v>
      </c>
      <c r="AP348" s="63" t="n">
        <f aca="false">IF(ISNUMBER(AP310),N(AP304)+AP310,"")</f>
        <v>17053</v>
      </c>
      <c r="AQ348" s="63" t="n">
        <f aca="false">IF(ISNUMBER(AQ310),N(AQ304)+AQ310,"")</f>
        <v>17752</v>
      </c>
      <c r="AR348" s="63" t="n">
        <f aca="false">IF(ISNUMBER(AR310),N(AR304)+AR310,"")</f>
        <v>17752</v>
      </c>
      <c r="AS348" s="63" t="n">
        <f aca="false">IF(ISNUMBER(AS310),N(AS304)+AS310,"")</f>
        <v>19969</v>
      </c>
      <c r="AT348" s="63" t="n">
        <f aca="false">IF(ISNUMBER(AT310),N(AT304)+AT310,"")</f>
        <v>21313</v>
      </c>
      <c r="AU348" s="63" t="n">
        <f aca="false">IF(ISNUMBER(AU310),N(AU304)+AU310,"")</f>
        <v>21093</v>
      </c>
      <c r="AV348" s="63" t="n">
        <f aca="false">IF(ISNUMBER(AV310),N(AV304)+AV310,"")</f>
        <v>21735</v>
      </c>
      <c r="AW348" s="63" t="n">
        <f aca="false">IF(ISNUMBER(AW310),N(AW304)+AW310,"")</f>
        <v>21735</v>
      </c>
      <c r="AX348" s="63" t="n">
        <f aca="false">IF(ISNUMBER(AX310),N(AX304)+AX310,"")</f>
        <v>18645</v>
      </c>
      <c r="AY348" s="63" t="n">
        <f aca="false">IF(ISNUMBER(AY310),N(AY304)+AY310,"")</f>
        <v>18777</v>
      </c>
      <c r="AZ348" s="63" t="n">
        <f aca="false">IF(ISNUMBER(AZ310),N(AZ304)+AZ310,"")</f>
        <v>21707</v>
      </c>
      <c r="BA348" s="63" t="n">
        <f aca="false">IF(ISNUMBER(BA310),N(BA304)+BA310,"")</f>
        <v>34870</v>
      </c>
      <c r="BB348" s="63" t="n">
        <f aca="false">IF(ISNUMBER(BB310),N(BB304)+BB310,"")</f>
        <v>34870</v>
      </c>
      <c r="BC348" s="63" t="n">
        <f aca="false">IF(ISNUMBER(BC310),N(BC304)+BC310,"")</f>
        <v>33255</v>
      </c>
      <c r="BD348" s="63" t="n">
        <f aca="false">IF(ISNUMBER(BD310),N(BD304)+BD310,"")</f>
        <v>30260</v>
      </c>
      <c r="BE348" s="63" t="n">
        <f aca="false">IF(ISNUMBER(BE310),N(BE304)+BE310,"")</f>
        <v>29160</v>
      </c>
      <c r="BF348" s="63" t="n">
        <f aca="false">IF(ISNUMBER(BF310),N(BF304)+BF310,"")</f>
        <v>34488</v>
      </c>
      <c r="BG348" s="63" t="n">
        <f aca="false">IF(ISNUMBER(BG310),N(BG304)+BG310,"")</f>
        <v>34488</v>
      </c>
      <c r="BH348" s="63" t="n">
        <f aca="false">IF(ISNUMBER(BH310),N(BH304)+BH310,"")</f>
        <v>35257</v>
      </c>
      <c r="BI348" s="63" t="n">
        <f aca="false">IF(ISNUMBER(BI310),N(BI304)+BI310,"")</f>
        <v>34008</v>
      </c>
      <c r="BJ348" s="63" t="n">
        <f aca="false">IF(ISNUMBER(BJ310),N(BJ304)+BJ310,"")</f>
        <v>35284</v>
      </c>
      <c r="BK348" s="63" t="n">
        <f aca="false">IF(ISNUMBER(BK310),N(BK304)+BK310,"")</f>
        <v>34917</v>
      </c>
      <c r="BL348" s="63" t="n">
        <f aca="false">IF(ISNUMBER(BL310),N(BL304)+BL310,"")</f>
        <v>34917</v>
      </c>
      <c r="BM348" s="63" t="n">
        <f aca="false">IF(ISNUMBER(BM310),N(BM304)+BM310,"")</f>
        <v>35608</v>
      </c>
      <c r="BN348" s="63" t="n">
        <f aca="false">IF(ISNUMBER(BN310),N(BN304)+BN310,"")</f>
        <v>35405</v>
      </c>
      <c r="BO348" s="63" t="n">
        <f aca="false">IF(ISNUMBER(BO310),N(BO304)+BO310,"")</f>
        <v>35313</v>
      </c>
      <c r="BP348" s="63" t="n">
        <f aca="false">IF(ISNUMBER(BP310),N(BP304)+BP310,"")</f>
        <v>31275</v>
      </c>
      <c r="BQ348" s="63" t="n">
        <f aca="false">IF(ISNUMBER(BQ310),N(BQ304)+BQ310,"")</f>
        <v>31275</v>
      </c>
      <c r="BR348" s="63" t="n">
        <f aca="false">IF(ISNUMBER(BR310),N(BR304)+BR310,"")</f>
        <v>34189</v>
      </c>
      <c r="BS348" s="63" t="n">
        <f aca="false">IF(ISNUMBER(BS310),N(BS304)+BS310,"")</f>
        <v>35229</v>
      </c>
      <c r="BT348" s="63" t="n">
        <f aca="false">IF(ISNUMBER(BT310),N(BT304)+BT310,"")</f>
        <v>35680</v>
      </c>
      <c r="BU348" s="63" t="n">
        <f aca="false">IF(ISNUMBER(BU310),N(BU304)+BU310,"")</f>
        <v>39385</v>
      </c>
      <c r="BV348" s="63" t="n">
        <f aca="false">IF(ISNUMBER(BV310),N(BV304)+BV310,"")</f>
        <v>39385</v>
      </c>
      <c r="BW348" s="63" t="n">
        <f aca="false">IF(ISNUMBER(BW310),N(BW304)+BW310,"")</f>
        <v>43161</v>
      </c>
      <c r="BX348" s="63" t="n">
        <f aca="false">IF(ISNUMBER(BX310),N(BX304)+BX310,"")</f>
        <v>42549</v>
      </c>
      <c r="BY348" s="52"/>
      <c r="BZ348" s="52"/>
      <c r="CA348" s="20" t="n">
        <f aca="false">CA352+CA355</f>
        <v>42549</v>
      </c>
      <c r="CB348" s="20" t="n">
        <f aca="false">CB352+CB355</f>
        <v>42549</v>
      </c>
      <c r="CC348" s="20" t="n">
        <f aca="false">CC352+CC355</f>
        <v>42549</v>
      </c>
      <c r="CD348" s="20" t="n">
        <f aca="false">CD352+CD355</f>
        <v>44090.7916448727</v>
      </c>
      <c r="CE348" s="20" t="n">
        <f aca="false">CE352+CE355</f>
        <v>47725.2934212329</v>
      </c>
      <c r="CF348" s="21" t="s">
        <v>538</v>
      </c>
    </row>
    <row r="349" customFormat="false" ht="15" hidden="false" customHeight="false" outlineLevel="0" collapsed="false">
      <c r="B349" s="23" t="s">
        <v>539</v>
      </c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  <c r="BP349" s="38"/>
      <c r="BQ349" s="38"/>
      <c r="BR349" s="38"/>
      <c r="BS349" s="38"/>
      <c r="BT349" s="38"/>
      <c r="BU349" s="38"/>
      <c r="BV349" s="38"/>
      <c r="BW349" s="38"/>
      <c r="BX349" s="38"/>
      <c r="BY349" s="39"/>
      <c r="BZ349" s="39"/>
      <c r="CA349" s="42" t="n">
        <v>-2117</v>
      </c>
      <c r="CB349" s="42" t="n">
        <v>-3254</v>
      </c>
      <c r="CC349" s="42" t="n">
        <v>-3057</v>
      </c>
      <c r="CD349" s="42" t="n">
        <v>-3150</v>
      </c>
      <c r="CE349" s="42" t="n">
        <v>-3105</v>
      </c>
      <c r="CF349" s="21" t="s">
        <v>540</v>
      </c>
    </row>
    <row r="350" customFormat="false" ht="15" hidden="false" customHeight="false" outlineLevel="0" collapsed="false">
      <c r="B350" s="23" t="s">
        <v>541</v>
      </c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9"/>
      <c r="BZ350" s="29"/>
      <c r="CA350" s="31" t="n">
        <v>1</v>
      </c>
      <c r="CB350" s="31" t="n">
        <v>1</v>
      </c>
      <c r="CC350" s="31" t="n">
        <v>1</v>
      </c>
      <c r="CD350" s="31" t="n">
        <v>1</v>
      </c>
      <c r="CE350" s="31" t="n">
        <v>1</v>
      </c>
      <c r="CF350" s="21" t="s">
        <v>542</v>
      </c>
    </row>
    <row r="351" customFormat="false" ht="15" hidden="false" customHeight="false" outlineLevel="0" collapsed="false">
      <c r="B351" s="23" t="s">
        <v>543</v>
      </c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  <c r="BO351" s="38"/>
      <c r="BP351" s="38"/>
      <c r="BQ351" s="38"/>
      <c r="BR351" s="38"/>
      <c r="BS351" s="38"/>
      <c r="BT351" s="38"/>
      <c r="BU351" s="38"/>
      <c r="BV351" s="38"/>
      <c r="BW351" s="38"/>
      <c r="BX351" s="38"/>
      <c r="BY351" s="39"/>
      <c r="BZ351" s="39"/>
      <c r="CA351" s="44" t="n">
        <f aca="false">-CA349*CA350</f>
        <v>2117</v>
      </c>
      <c r="CB351" s="44" t="n">
        <f aca="false">-CB349*CB350</f>
        <v>3254</v>
      </c>
      <c r="CC351" s="44" t="n">
        <f aca="false">-CC349*CC350</f>
        <v>3057</v>
      </c>
      <c r="CD351" s="44" t="n">
        <f aca="false">-CD349*CD350</f>
        <v>3150</v>
      </c>
      <c r="CE351" s="44" t="n">
        <f aca="false">-CE349*CE350</f>
        <v>3105</v>
      </c>
      <c r="CF351" s="21"/>
    </row>
    <row r="352" customFormat="false" ht="15" hidden="false" customHeight="false" outlineLevel="0" collapsed="false">
      <c r="B352" s="23" t="s">
        <v>544</v>
      </c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  <c r="BO352" s="38"/>
      <c r="BP352" s="38"/>
      <c r="BQ352" s="38"/>
      <c r="BR352" s="38"/>
      <c r="BS352" s="38"/>
      <c r="BT352" s="38"/>
      <c r="BU352" s="38"/>
      <c r="BV352" s="38"/>
      <c r="BW352" s="38"/>
      <c r="BX352" s="38"/>
      <c r="BY352" s="39"/>
      <c r="BZ352" s="39"/>
      <c r="CA352" s="44" t="n">
        <f aca="false">BX348-BX355+CA349+CA351</f>
        <v>42549</v>
      </c>
      <c r="CB352" s="44" t="n">
        <f aca="false">CA352+CB349+CB351</f>
        <v>42549</v>
      </c>
      <c r="CC352" s="44" t="n">
        <f aca="false">CB352+CC349+CC351</f>
        <v>42549</v>
      </c>
      <c r="CD352" s="44" t="n">
        <f aca="false">CC352+CD349+CD351</f>
        <v>42549</v>
      </c>
      <c r="CE352" s="44" t="n">
        <f aca="false">CD352+CE349+CE351</f>
        <v>42549</v>
      </c>
      <c r="CF352" s="21"/>
    </row>
    <row r="353" customFormat="false" ht="15" hidden="false" customHeight="false" outlineLevel="0" collapsed="false">
      <c r="B353" s="23" t="s">
        <v>545</v>
      </c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  <c r="BP353" s="38"/>
      <c r="BQ353" s="38"/>
      <c r="BR353" s="38"/>
      <c r="BS353" s="38"/>
      <c r="BT353" s="38"/>
      <c r="BU353" s="38"/>
      <c r="BV353" s="38"/>
      <c r="BW353" s="38"/>
      <c r="BX353" s="38"/>
      <c r="BY353" s="39"/>
      <c r="BZ353" s="39"/>
      <c r="CA353" s="44" t="n">
        <f aca="false">CA263+CA247+CA253+CA257+CA256+CA258+CA259+CA261+(BW254+BX254)+(BW255+BX255)+CA349+CA351</f>
        <v>9419.26</v>
      </c>
      <c r="CB353" s="44" t="n">
        <f aca="false">CB263+CB247+CB253+CB257+CB256+CB258+CB259+CB261+CB349+CB351</f>
        <v>8949.20468325422</v>
      </c>
      <c r="CC353" s="44" t="n">
        <f aca="false">CC263+CC247+CC253+CC257+CC256+CC258+CC259+CC261+CC349+CC351</f>
        <v>5846.49864308701</v>
      </c>
      <c r="CD353" s="44" t="n">
        <f aca="false">CD263+CD247+CD253+CD257+CD256+CD258+CD259+CD261+CD349+CD351</f>
        <v>2458.2083551273</v>
      </c>
      <c r="CE353" s="44" t="n">
        <f aca="false">CE263+CE247+CE253+CE257+CE256+CE258+CE259+CE261+CE349+CE351</f>
        <v>365.498223639836</v>
      </c>
      <c r="CF353" s="21"/>
    </row>
    <row r="354" customFormat="false" ht="15" hidden="false" customHeight="false" outlineLevel="0" collapsed="false">
      <c r="B354" s="23" t="s">
        <v>546</v>
      </c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  <c r="BO354" s="38"/>
      <c r="BP354" s="38"/>
      <c r="BQ354" s="38"/>
      <c r="BR354" s="38"/>
      <c r="BS354" s="38"/>
      <c r="BT354" s="38"/>
      <c r="BU354" s="38"/>
      <c r="BV354" s="38"/>
      <c r="BW354" s="38"/>
      <c r="BX354" s="38"/>
      <c r="BY354" s="39"/>
      <c r="BZ354" s="39"/>
      <c r="CA354" s="42" t="n">
        <v>4000</v>
      </c>
      <c r="CB354" s="42" t="n">
        <v>4000</v>
      </c>
      <c r="CC354" s="42" t="n">
        <v>4000</v>
      </c>
      <c r="CD354" s="42" t="n">
        <v>4000</v>
      </c>
      <c r="CE354" s="42" t="n">
        <v>4000</v>
      </c>
      <c r="CF354" s="21" t="s">
        <v>547</v>
      </c>
    </row>
    <row r="355" customFormat="false" ht="15" hidden="false" customHeight="false" outlineLevel="0" collapsed="false">
      <c r="B355" s="23" t="s">
        <v>548</v>
      </c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  <c r="BO355" s="38"/>
      <c r="BP355" s="38"/>
      <c r="BQ355" s="38"/>
      <c r="BR355" s="38"/>
      <c r="BS355" s="38"/>
      <c r="BT355" s="38"/>
      <c r="BU355" s="38"/>
      <c r="BV355" s="38"/>
      <c r="BW355" s="38"/>
      <c r="BX355" s="37" t="n">
        <v>0</v>
      </c>
      <c r="BY355" s="39"/>
      <c r="BZ355" s="39"/>
      <c r="CA355" s="44" t="n">
        <f aca="false">MAX(0,BX355+CA354-CA353)</f>
        <v>0</v>
      </c>
      <c r="CB355" s="44" t="n">
        <f aca="false">MAX(0,CA355+CB354-CB353)</f>
        <v>0</v>
      </c>
      <c r="CC355" s="44" t="n">
        <f aca="false">MAX(0,CB355+CC354-CC353)</f>
        <v>0</v>
      </c>
      <c r="CD355" s="44" t="n">
        <f aca="false">MAX(0,CC355+CD354-CD353)</f>
        <v>1541.7916448727</v>
      </c>
      <c r="CE355" s="44" t="n">
        <f aca="false">MAX(0,CD355+CE354-CE353)</f>
        <v>5176.29342123287</v>
      </c>
      <c r="CF355" s="21" t="s">
        <v>549</v>
      </c>
    </row>
    <row r="356" customFormat="false" ht="15" hidden="false" customHeight="false" outlineLevel="0" collapsed="false">
      <c r="B356" s="23" t="s">
        <v>550</v>
      </c>
      <c r="C356" s="38"/>
      <c r="D356" s="61" t="n">
        <f aca="false">IFERROR(D348-C348,"")</f>
        <v>-468.802999999999</v>
      </c>
      <c r="E356" s="61" t="n">
        <f aca="false">IFERROR(E348-D348,"")</f>
        <v>-136.9</v>
      </c>
      <c r="F356" s="61" t="n">
        <f aca="false">IFERROR(F348-E348,"")</f>
        <v>123.2</v>
      </c>
      <c r="G356" s="61" t="n">
        <f aca="false">IFERROR(G348-F348,"")</f>
        <v>-44.4000000000001</v>
      </c>
      <c r="H356" s="61" t="n">
        <f aca="false">IFERROR(H348-G348,"")</f>
        <v>4890.9</v>
      </c>
      <c r="I356" s="61" t="n">
        <f aca="false">IFERROR(I348-H348,"")</f>
        <v>96.3000000000002</v>
      </c>
      <c r="J356" s="38"/>
      <c r="K356" s="38"/>
      <c r="L356" s="38"/>
      <c r="M356" s="38"/>
      <c r="N356" s="61" t="n">
        <f aca="false">IFERROR(N348-I348,"")</f>
        <v>3363</v>
      </c>
      <c r="O356" s="38"/>
      <c r="P356" s="38"/>
      <c r="Q356" s="38"/>
      <c r="R356" s="38"/>
      <c r="S356" s="61" t="n">
        <f aca="false">IFERROR(S348-N348,"")</f>
        <v>4076.7</v>
      </c>
      <c r="T356" s="38"/>
      <c r="U356" s="38"/>
      <c r="V356" s="38"/>
      <c r="W356" s="38"/>
      <c r="X356" s="61" t="n">
        <f aca="false">IFERROR(X348-S348,"")</f>
        <v>-2037.3</v>
      </c>
      <c r="Y356" s="38"/>
      <c r="Z356" s="38"/>
      <c r="AA356" s="38"/>
      <c r="AB356" s="38"/>
      <c r="AC356" s="61" t="n">
        <f aca="false">IFERROR(AC348-X348,"")</f>
        <v>4101.2</v>
      </c>
      <c r="AD356" s="38"/>
      <c r="AE356" s="38"/>
      <c r="AF356" s="38"/>
      <c r="AG356" s="38"/>
      <c r="AH356" s="61" t="n">
        <f aca="false">IFERROR(AH348-AC348,"")</f>
        <v>4380.1</v>
      </c>
      <c r="AI356" s="38"/>
      <c r="AJ356" s="38"/>
      <c r="AK356" s="38"/>
      <c r="AL356" s="38"/>
      <c r="AM356" s="61" t="n">
        <f aca="false">IFERROR(AM348-AH348,"")</f>
        <v>-2018</v>
      </c>
      <c r="AN356" s="38"/>
      <c r="AO356" s="38"/>
      <c r="AP356" s="38"/>
      <c r="AQ356" s="38"/>
      <c r="AR356" s="61" t="n">
        <f aca="false">IFERROR(AR348-AM348,"")</f>
        <v>-1238</v>
      </c>
      <c r="AS356" s="38"/>
      <c r="AT356" s="38"/>
      <c r="AU356" s="38"/>
      <c r="AV356" s="38"/>
      <c r="AW356" s="61" t="n">
        <f aca="false">IFERROR(AW348-AR348,"")</f>
        <v>3983</v>
      </c>
      <c r="AX356" s="38"/>
      <c r="AY356" s="38"/>
      <c r="AZ356" s="38"/>
      <c r="BA356" s="38"/>
      <c r="BB356" s="61" t="n">
        <f aca="false">IFERROR(BB348-AW348,"")</f>
        <v>13135</v>
      </c>
      <c r="BC356" s="38"/>
      <c r="BD356" s="38"/>
      <c r="BE356" s="38"/>
      <c r="BF356" s="38"/>
      <c r="BG356" s="61" t="n">
        <f aca="false">IFERROR(BG348-BB348,"")</f>
        <v>-382</v>
      </c>
      <c r="BH356" s="38"/>
      <c r="BI356" s="38"/>
      <c r="BJ356" s="38"/>
      <c r="BK356" s="38"/>
      <c r="BL356" s="61" t="n">
        <f aca="false">IFERROR(BL348-BG348,"")</f>
        <v>429</v>
      </c>
      <c r="BM356" s="38"/>
      <c r="BN356" s="38"/>
      <c r="BO356" s="38"/>
      <c r="BP356" s="38"/>
      <c r="BQ356" s="61" t="n">
        <f aca="false">IFERROR(BQ348-BL348,"")</f>
        <v>-3642</v>
      </c>
      <c r="BR356" s="38"/>
      <c r="BS356" s="38"/>
      <c r="BT356" s="38"/>
      <c r="BU356" s="38"/>
      <c r="BV356" s="61" t="n">
        <f aca="false">IFERROR(BV348-BQ348,"")</f>
        <v>8110</v>
      </c>
      <c r="BW356" s="38"/>
      <c r="BX356" s="38"/>
      <c r="BY356" s="39"/>
      <c r="BZ356" s="39"/>
      <c r="CA356" s="44" t="n">
        <f aca="false">IFERROR(CA348-BV348,"")</f>
        <v>3164</v>
      </c>
      <c r="CB356" s="44" t="n">
        <f aca="false">IFERROR(CB348-CA348,"")</f>
        <v>0</v>
      </c>
      <c r="CC356" s="44" t="n">
        <f aca="false">IFERROR(CC348-CB348,"")</f>
        <v>0</v>
      </c>
      <c r="CD356" s="44" t="n">
        <f aca="false">IFERROR(CD348-CC348,"")</f>
        <v>1541.7916448727</v>
      </c>
      <c r="CE356" s="44" t="n">
        <f aca="false">IFERROR(CE348-CD348,"")</f>
        <v>3634.50177636016</v>
      </c>
      <c r="CF356" s="21"/>
    </row>
    <row r="357" customFormat="false" ht="15" hidden="false" customHeight="false" outlineLevel="0" collapsed="false">
      <c r="B357" s="23" t="s">
        <v>551</v>
      </c>
      <c r="C357" s="24"/>
      <c r="D357" s="80" t="n">
        <f aca="false">IF(AND(ISNUMBER(D149),ISNUMBER(C348)),D149/C348,"")</f>
        <v>0.0524774183812856</v>
      </c>
      <c r="E357" s="80" t="n">
        <f aca="false">IF(AND(ISNUMBER(E149),ISNUMBER(D348)),E149/D348,"")</f>
        <v>0.0591745626822157</v>
      </c>
      <c r="F357" s="80" t="n">
        <f aca="false">IF(AND(ISNUMBER(F149),ISNUMBER(E348)),F149/E348,"")</f>
        <v>0.0573774474080552</v>
      </c>
      <c r="G357" s="80" t="n">
        <f aca="false">IF(AND(ISNUMBER(G149),ISNUMBER(F348)),G149/F348,"")</f>
        <v>0.0388264955305982</v>
      </c>
      <c r="H357" s="80" t="n">
        <f aca="false">IF(AND(ISNUMBER(H149),ISNUMBER(G348)),H149/G348,"")</f>
        <v>0.0820270459969117</v>
      </c>
      <c r="I357" s="80" t="n">
        <f aca="false">IF(AND(ISNUMBER(I149),ISNUMBER(H348)),I149/H348,"")</f>
        <v>0.0343767785998862</v>
      </c>
      <c r="J357" s="24"/>
      <c r="K357" s="24"/>
      <c r="L357" s="24"/>
      <c r="M357" s="24"/>
      <c r="N357" s="80" t="n">
        <f aca="false">IF(AND(ISNUMBER(N149),ISNUMBER(I348)),N149/I348,"")</f>
        <v>0.0367895793270918</v>
      </c>
      <c r="O357" s="24"/>
      <c r="P357" s="24"/>
      <c r="Q357" s="24"/>
      <c r="R357" s="24"/>
      <c r="S357" s="80" t="n">
        <f aca="false">IF(AND(ISNUMBER(S149),ISNUMBER(N348)),S149/N348,"")</f>
        <v>0.0457601098471485</v>
      </c>
      <c r="T357" s="24"/>
      <c r="U357" s="24"/>
      <c r="V357" s="24"/>
      <c r="W357" s="24"/>
      <c r="X357" s="80" t="n">
        <f aca="false">IF(AND(ISNUMBER(X149),ISNUMBER(S348)),X149/S348,"")</f>
        <v>0.0284880527327657</v>
      </c>
      <c r="Y357" s="24"/>
      <c r="Z357" s="24"/>
      <c r="AA357" s="24"/>
      <c r="AB357" s="24"/>
      <c r="AC357" s="80" t="n">
        <f aca="false">IF(AND(ISNUMBER(AC149),ISNUMBER(X348)),AC149/X348,"")</f>
        <v>0.0374879257905115</v>
      </c>
      <c r="AD357" s="24"/>
      <c r="AE357" s="24"/>
      <c r="AF357" s="24"/>
      <c r="AG357" s="24"/>
      <c r="AH357" s="80" t="n">
        <f aca="false">IF(AND(ISNUMBER(AH149),ISNUMBER(AC348)),AH149/AC348,"")</f>
        <v>0.0356028121410401</v>
      </c>
      <c r="AI357" s="24"/>
      <c r="AJ357" s="24"/>
      <c r="AK357" s="24"/>
      <c r="AL357" s="24"/>
      <c r="AM357" s="80" t="n">
        <f aca="false">IF(AND(ISNUMBER(AM149),ISNUMBER(AH348)),AM149/AH348,"")</f>
        <v>0.0317498095963443</v>
      </c>
      <c r="AN357" s="24"/>
      <c r="AO357" s="24"/>
      <c r="AP357" s="24"/>
      <c r="AQ357" s="24"/>
      <c r="AR357" s="80" t="n">
        <f aca="false">IF(AND(ISNUMBER(AR149),ISNUMBER(AM348)),AR149/AM348,"")</f>
        <v>0.0355976829910479</v>
      </c>
      <c r="AS357" s="24"/>
      <c r="AT357" s="24"/>
      <c r="AU357" s="24"/>
      <c r="AV357" s="24"/>
      <c r="AW357" s="80" t="n">
        <f aca="false">IF(AND(ISNUMBER(AW149),ISNUMBER(AR348)),AW149/AR348,"")</f>
        <v>0.0311514195583596</v>
      </c>
      <c r="AX357" s="24"/>
      <c r="AY357" s="24"/>
      <c r="AZ357" s="24"/>
      <c r="BA357" s="24"/>
      <c r="BB357" s="80" t="n">
        <f aca="false">IF(AND(ISNUMBER(BB149),ISNUMBER(AW348)),BB149/AW348,"")</f>
        <v>0.0246606855302507</v>
      </c>
      <c r="BC357" s="24"/>
      <c r="BD357" s="24"/>
      <c r="BE357" s="24"/>
      <c r="BF357" s="24"/>
      <c r="BG357" s="80" t="n">
        <f aca="false">IF(AND(ISNUMBER(BG149),ISNUMBER(BB348)),BG149/BB348,"")</f>
        <v>0.020820189274448</v>
      </c>
      <c r="BH357" s="24"/>
      <c r="BI357" s="24"/>
      <c r="BJ357" s="24"/>
      <c r="BK357" s="24"/>
      <c r="BL357" s="80" t="n">
        <f aca="false">IF(AND(ISNUMBER(BL149),ISNUMBER(BG348)),BL149/BG348,"")</f>
        <v>0.039868939921132</v>
      </c>
      <c r="BM357" s="24"/>
      <c r="BN357" s="24"/>
      <c r="BO357" s="24"/>
      <c r="BP357" s="24"/>
      <c r="BQ357" s="80" t="n">
        <f aca="false">IF(AND(ISNUMBER(BQ149),ISNUMBER(BL348)),BQ149/BL348,"")</f>
        <v>0.0398086891771916</v>
      </c>
      <c r="BR357" s="24"/>
      <c r="BS357" s="24"/>
      <c r="BT357" s="24"/>
      <c r="BU357" s="24"/>
      <c r="BV357" s="80" t="n">
        <f aca="false">IF(AND(ISNUMBER(BV149),ISNUMBER(BQ348)),BV149/BQ348,"")</f>
        <v>0.0453717026378897</v>
      </c>
      <c r="BW357" s="24"/>
      <c r="BX357" s="24"/>
      <c r="BY357" s="29"/>
      <c r="BZ357" s="29"/>
      <c r="CA357" s="29"/>
      <c r="CB357" s="31" t="n">
        <v>0.037</v>
      </c>
      <c r="CC357" s="31" t="n">
        <v>0.038</v>
      </c>
      <c r="CD357" s="31" t="n">
        <v>0.039</v>
      </c>
      <c r="CE357" s="31" t="n">
        <v>0.04</v>
      </c>
      <c r="CF357" s="21" t="s">
        <v>552</v>
      </c>
    </row>
    <row r="358" customFormat="false" ht="15" hidden="false" customHeight="false" outlineLevel="0" collapsed="false">
      <c r="B358" s="23" t="s">
        <v>553</v>
      </c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9"/>
      <c r="BZ358" s="29"/>
      <c r="CA358" s="29"/>
      <c r="CB358" s="31" t="n">
        <v>0.04</v>
      </c>
      <c r="CC358" s="31" t="n">
        <v>0.04</v>
      </c>
      <c r="CD358" s="31" t="n">
        <v>0.04</v>
      </c>
      <c r="CE358" s="31" t="n">
        <v>0.04</v>
      </c>
      <c r="CF358" s="21"/>
    </row>
    <row r="359" customFormat="false" ht="15" hidden="false" customHeight="false" outlineLevel="0" collapsed="false">
      <c r="B359" s="23" t="s">
        <v>554</v>
      </c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9"/>
      <c r="BZ359" s="29"/>
      <c r="CA359" s="29"/>
      <c r="CB359" s="31" t="n">
        <v>0.035</v>
      </c>
      <c r="CC359" s="31" t="n">
        <v>0.035</v>
      </c>
      <c r="CD359" s="31" t="n">
        <v>0.035</v>
      </c>
      <c r="CE359" s="31" t="n">
        <v>0.035</v>
      </c>
      <c r="CF359" s="21"/>
    </row>
    <row r="360" customFormat="false" ht="15" hidden="false" customHeight="false" outlineLevel="0" collapsed="false">
      <c r="B360" s="23" t="s">
        <v>555</v>
      </c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  <c r="BO360" s="38"/>
      <c r="BP360" s="38"/>
      <c r="BQ360" s="38"/>
      <c r="BR360" s="38"/>
      <c r="BS360" s="38"/>
      <c r="BT360" s="38"/>
      <c r="BU360" s="38"/>
      <c r="BV360" s="38"/>
      <c r="BW360" s="38"/>
      <c r="BX360" s="38"/>
      <c r="BY360" s="39"/>
      <c r="BZ360" s="39"/>
      <c r="CA360" s="39"/>
      <c r="CB360" s="42" t="n">
        <v>380</v>
      </c>
      <c r="CC360" s="42" t="n">
        <v>380</v>
      </c>
      <c r="CD360" s="42" t="n">
        <v>380</v>
      </c>
      <c r="CE360" s="42" t="n">
        <v>380</v>
      </c>
      <c r="CF360" s="21" t="s">
        <v>556</v>
      </c>
    </row>
    <row r="361" customFormat="false" ht="15" hidden="false" customHeight="false" outlineLevel="0" collapsed="false">
      <c r="B361" s="12" t="s">
        <v>557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3"/>
    </row>
    <row r="362" customFormat="false" ht="15" hidden="false" customHeight="false" outlineLevel="0" collapsed="false">
      <c r="B362" s="23" t="s">
        <v>558</v>
      </c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48"/>
      <c r="BL362" s="48"/>
      <c r="BM362" s="48"/>
      <c r="BN362" s="48"/>
      <c r="BO362" s="48"/>
      <c r="BP362" s="48"/>
      <c r="BQ362" s="48"/>
      <c r="BR362" s="48"/>
      <c r="BS362" s="48"/>
      <c r="BT362" s="48"/>
      <c r="BU362" s="48"/>
      <c r="BV362" s="48"/>
      <c r="BW362" s="48"/>
      <c r="BX362" s="48"/>
      <c r="BY362" s="49"/>
      <c r="BZ362" s="49"/>
      <c r="CA362" s="49"/>
      <c r="CB362" s="51" t="n">
        <f aca="false">CHOOSE(MATCH($CF$2,{"Bull","Base","Bear"},0),$CO$27,$CP$27,$CQ$27)</f>
        <v>2.5</v>
      </c>
      <c r="CC362" s="51" t="n">
        <f aca="false">CHOOSE(MATCH($CF$2,{"Bull","Base","Bear"},0),$CO$27,$CP$27,$CQ$27)</f>
        <v>2.5</v>
      </c>
      <c r="CD362" s="51" t="n">
        <f aca="false">CHOOSE(MATCH($CF$2,{"Bull","Base","Bear"},0),$CO$27,$CP$27,$CQ$27)</f>
        <v>2.5</v>
      </c>
      <c r="CE362" s="51" t="n">
        <f aca="false">CHOOSE(MATCH($CF$2,{"Bull","Base","Bear"},0),$CO$27,$CP$27,$CQ$27)</f>
        <v>2.5</v>
      </c>
      <c r="CF362" s="21" t="s">
        <v>559</v>
      </c>
    </row>
    <row r="363" customFormat="false" ht="15" hidden="false" customHeight="false" outlineLevel="0" collapsed="false">
      <c r="B363" s="23" t="s">
        <v>560</v>
      </c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  <c r="BP363" s="38"/>
      <c r="BQ363" s="38"/>
      <c r="BR363" s="38"/>
      <c r="BS363" s="38"/>
      <c r="BT363" s="38"/>
      <c r="BU363" s="38"/>
      <c r="BV363" s="38"/>
      <c r="BW363" s="38"/>
      <c r="BX363" s="38"/>
      <c r="BY363" s="39"/>
      <c r="BZ363" s="39"/>
      <c r="CA363" s="39"/>
      <c r="CB363" s="44" t="n">
        <f aca="false">CA352+CA355-CA292-CB247-CB253-CB257-CB258-CB259</f>
        <v>29291.628580458</v>
      </c>
      <c r="CC363" s="44" t="n">
        <f aca="false">CB352+CB355-CB292-CC247-CC253-CC257-CC258-CC259</f>
        <v>29113.9369005784</v>
      </c>
      <c r="CD363" s="44" t="n">
        <f aca="false">CC352+CC355-CC292-CD247-CD253-CD257-CD258-CD259</f>
        <v>31481.5716703429</v>
      </c>
      <c r="CE363" s="44" t="n">
        <f aca="false">CD352+CD355-CD292-CE247-CE253-CE257-CE258-CE259</f>
        <v>34002.7914764051</v>
      </c>
      <c r="CF363" s="21"/>
    </row>
    <row r="364" customFormat="false" ht="15" hidden="false" customHeight="false" outlineLevel="0" collapsed="false">
      <c r="B364" s="23" t="s">
        <v>561</v>
      </c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  <c r="BP364" s="38"/>
      <c r="BQ364" s="38"/>
      <c r="BR364" s="38"/>
      <c r="BS364" s="38"/>
      <c r="BT364" s="38"/>
      <c r="BU364" s="38"/>
      <c r="BV364" s="38"/>
      <c r="BW364" s="38"/>
      <c r="BX364" s="38"/>
      <c r="BY364" s="39"/>
      <c r="BZ364" s="39"/>
      <c r="CA364" s="39"/>
      <c r="CB364" s="44" t="n">
        <f aca="false">CB362*CB192</f>
        <v>33631.7953167458</v>
      </c>
      <c r="CC364" s="44" t="n">
        <f aca="false">CC362*CC192</f>
        <v>36734.501356913</v>
      </c>
      <c r="CD364" s="44" t="n">
        <f aca="false">CD362*CD192</f>
        <v>40122.7916448727</v>
      </c>
      <c r="CE364" s="44" t="n">
        <f aca="false">CE362*CE192</f>
        <v>43757.2934212329</v>
      </c>
      <c r="CF364" s="21"/>
    </row>
    <row r="365" customFormat="false" ht="15" hidden="false" customHeight="false" outlineLevel="0" collapsed="false">
      <c r="B365" s="17" t="s">
        <v>562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52"/>
      <c r="BZ365" s="52"/>
      <c r="CA365" s="52"/>
      <c r="CB365" s="20" t="n">
        <f aca="false">MAX(0,CB364-CB363)</f>
        <v>4340.16673628776</v>
      </c>
      <c r="CC365" s="20" t="n">
        <f aca="false">MAX(0,CC364-CC363)</f>
        <v>7620.56445633455</v>
      </c>
      <c r="CD365" s="20" t="n">
        <f aca="false">MAX(0,CD364-CD363)</f>
        <v>8641.2199745298</v>
      </c>
      <c r="CE365" s="20" t="n">
        <f aca="false">MAX(0,CE364-CE363)</f>
        <v>9754.50194482775</v>
      </c>
      <c r="CF365" s="21" t="s">
        <v>563</v>
      </c>
    </row>
    <row r="366" customFormat="false" ht="15" hidden="false" customHeight="false" outlineLevel="0" collapsed="false">
      <c r="B366" s="12" t="s">
        <v>564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3"/>
    </row>
    <row r="367" customFormat="false" ht="15" hidden="false" customHeight="false" outlineLevel="0" collapsed="false">
      <c r="B367" s="23" t="s">
        <v>565</v>
      </c>
      <c r="C367" s="25" t="n">
        <f aca="false">IF(AND(ISNUMBER(C164),ISNUMBER(C136)),C164/C136,"")</f>
        <v>0.0634821502277261</v>
      </c>
      <c r="D367" s="25" t="n">
        <f aca="false">IF(AND(ISNUMBER(D164),ISNUMBER(D136)),D164/D136,"")</f>
        <v>0.0776491832881885</v>
      </c>
      <c r="E367" s="25" t="n">
        <f aca="false">IF(AND(ISNUMBER(E164),ISNUMBER(E136)),E164/E136,"")</f>
        <v>0.0755096208801677</v>
      </c>
      <c r="F367" s="25" t="n">
        <f aca="false">IF(AND(ISNUMBER(F164),ISNUMBER(F136)),F164/F136,"")</f>
        <v>0.0778757035322512</v>
      </c>
      <c r="G367" s="25" t="n">
        <f aca="false">IF(AND(ISNUMBER(G164),ISNUMBER(G136)),G164/G136,"")</f>
        <v>0.0713709714794183</v>
      </c>
      <c r="H367" s="25" t="n">
        <f aca="false">IF(AND(ISNUMBER(H164),ISNUMBER(H136)),H164/H136,"")</f>
        <v>0.073640402868863</v>
      </c>
      <c r="I367" s="25" t="n">
        <f aca="false">IF(AND(ISNUMBER(I164),ISNUMBER(I136)),I164/I136,"")</f>
        <v>0.0786337220921031</v>
      </c>
      <c r="J367" s="25" t="n">
        <f aca="false">IF(AND(ISNUMBER(J164),ISNUMBER(J136)),J164/J136,"")</f>
        <v>0.078646404511985</v>
      </c>
      <c r="K367" s="25" t="n">
        <f aca="false">IF(AND(ISNUMBER(K164),ISNUMBER(K136)),K164/K136,"")</f>
        <v>0.0769112064442456</v>
      </c>
      <c r="L367" s="25" t="n">
        <f aca="false">IF(AND(ISNUMBER(L164),ISNUMBER(L136)),L164/L136,"")</f>
        <v>0.0784510307663387</v>
      </c>
      <c r="M367" s="25" t="n">
        <f aca="false">IF(AND(ISNUMBER(M164),ISNUMBER(M136)),M164/M136,"")</f>
        <v>0.071908621535089</v>
      </c>
      <c r="N367" s="25" t="n">
        <f aca="false">IF(AND(ISNUMBER(N164),ISNUMBER(N136)),N164/N136,"")</f>
        <v>0.0763848040151868</v>
      </c>
      <c r="O367" s="25" t="n">
        <f aca="false">IF(AND(ISNUMBER(O164),ISNUMBER(O136)),O164/O136,"")</f>
        <v>0.0936595363135648</v>
      </c>
      <c r="P367" s="25" t="n">
        <f aca="false">IF(AND(ISNUMBER(P164),ISNUMBER(P136)),P164/P136,"")</f>
        <v>0.100603901062033</v>
      </c>
      <c r="Q367" s="25" t="n">
        <f aca="false">IF(AND(ISNUMBER(Q164),ISNUMBER(Q136)),Q164/Q136,"")</f>
        <v>0.109243898930815</v>
      </c>
      <c r="R367" s="25" t="n">
        <f aca="false">IF(AND(ISNUMBER(R164),ISNUMBER(R136)),R164/R136,"")</f>
        <v>0.0954193376068376</v>
      </c>
      <c r="S367" s="25" t="n">
        <f aca="false">IF(AND(ISNUMBER(S164),ISNUMBER(S136)),S164/S136,"")</f>
        <v>0.0997536945812808</v>
      </c>
      <c r="T367" s="25" t="n">
        <f aca="false">IF(AND(ISNUMBER(T164),ISNUMBER(T136)),T164/T136,"")</f>
        <v>0.106231499438604</v>
      </c>
      <c r="U367" s="25" t="n">
        <f aca="false">IF(AND(ISNUMBER(U164),ISNUMBER(U136)),U164/U136,"")</f>
        <v>0.098269685546372</v>
      </c>
      <c r="V367" s="25" t="n">
        <f aca="false">IF(AND(ISNUMBER(V164),ISNUMBER(V136)),V164/V136,"")</f>
        <v>0.103730112533954</v>
      </c>
      <c r="W367" s="25" t="n">
        <f aca="false">IF(AND(ISNUMBER(W164),ISNUMBER(W136)),W164/W136,"")</f>
        <v>0.0912412681354111</v>
      </c>
      <c r="X367" s="25" t="n">
        <f aca="false">IF(AND(ISNUMBER(X164),ISNUMBER(X136)),X164/X136,"")</f>
        <v>0.0995084112369882</v>
      </c>
      <c r="Y367" s="25" t="n">
        <f aca="false">IF(AND(ISNUMBER(Y164),ISNUMBER(Y136)),Y164/Y136,"")</f>
        <v>0.0968846046381671</v>
      </c>
      <c r="Z367" s="25" t="n">
        <f aca="false">IF(AND(ISNUMBER(Z164),ISNUMBER(Z136)),Z164/Z136,"")</f>
        <v>0.0959384371141295</v>
      </c>
      <c r="AA367" s="25" t="n">
        <f aca="false">IF(AND(ISNUMBER(AA164),ISNUMBER(AA136)),AA164/AA136,"")</f>
        <v>0.0964171992250997</v>
      </c>
      <c r="AB367" s="25" t="n">
        <f aca="false">IF(AND(ISNUMBER(AB164),ISNUMBER(AB136)),AB164/AB136,"")</f>
        <v>0.0956553339255431</v>
      </c>
      <c r="AC367" s="25" t="n">
        <f aca="false">IF(AND(ISNUMBER(AC164),ISNUMBER(AC136)),AC164/AC136,"")</f>
        <v>0.0962017281288819</v>
      </c>
      <c r="AD367" s="25" t="n">
        <f aca="false">IF(AND(ISNUMBER(AD164),ISNUMBER(AD136)),AD164/AD136,"")</f>
        <v>0.0974816369359916</v>
      </c>
      <c r="AE367" s="25" t="n">
        <f aca="false">IF(AND(ISNUMBER(AE164),ISNUMBER(AE136)),AE164/AE136,"")</f>
        <v>0.0958316633266533</v>
      </c>
      <c r="AF367" s="25" t="n">
        <f aca="false">IF(AND(ISNUMBER(AF164),ISNUMBER(AF136)),AF164/AF136,"")</f>
        <v>0.101012470192721</v>
      </c>
      <c r="AG367" s="25" t="n">
        <f aca="false">IF(AND(ISNUMBER(AG164),ISNUMBER(AG136)),AG164/AG136,"")</f>
        <v>0.0948404167355714</v>
      </c>
      <c r="AH367" s="25" t="n">
        <f aca="false">IF(AND(ISNUMBER(AH164),ISNUMBER(AH136)),AH164/AH136,"")</f>
        <v>0.0971890238072474</v>
      </c>
      <c r="AI367" s="25" t="n">
        <f aca="false">IF(AND(ISNUMBER(AI164),ISNUMBER(AI136)),AI164/AI136,"")</f>
        <v>0.0982402186912694</v>
      </c>
      <c r="AJ367" s="25" t="n">
        <f aca="false">IF(AND(ISNUMBER(AJ164),ISNUMBER(AJ136)),AJ164/AJ136,"")</f>
        <v>0.0939453767686739</v>
      </c>
      <c r="AK367" s="25" t="n">
        <f aca="false">IF(AND(ISNUMBER(AK164),ISNUMBER(AK136)),AK164/AK136,"")</f>
        <v>0.0951013513513514</v>
      </c>
      <c r="AL367" s="25" t="n">
        <f aca="false">IF(AND(ISNUMBER(AL164),ISNUMBER(AL136)),AL164/AL136,"")</f>
        <v>0.0857538035961273</v>
      </c>
      <c r="AM367" s="25" t="n">
        <f aca="false">IF(AND(ISNUMBER(AM164),ISNUMBER(AM136)),AM164/AM136,"")</f>
        <v>0.0930700385910173</v>
      </c>
      <c r="AN367" s="25" t="n">
        <f aca="false">IF(AND(ISNUMBER(AN164),ISNUMBER(AN136)),AN164/AN136,"")</f>
        <v>0.0906122448979592</v>
      </c>
      <c r="AO367" s="25" t="n">
        <f aca="false">IF(AND(ISNUMBER(AO164),ISNUMBER(AO136)),AO164/AO136,"")</f>
        <v>0.0904053198226726</v>
      </c>
      <c r="AP367" s="25" t="n">
        <f aca="false">IF(AND(ISNUMBER(AP164),ISNUMBER(AP136)),AP164/AP136,"")</f>
        <v>0.0916772959183674</v>
      </c>
      <c r="AQ367" s="25" t="n">
        <f aca="false">IF(AND(ISNUMBER(AQ164),ISNUMBER(AQ136)),AQ164/AQ136,"")</f>
        <v>0.084346170742422</v>
      </c>
      <c r="AR367" s="25" t="n">
        <f aca="false">IF(AND(ISNUMBER(AR164),ISNUMBER(AR136)),AR164/AR136,"")</f>
        <v>0.0891472868217054</v>
      </c>
      <c r="AS367" s="25" t="n">
        <f aca="false">IF(AND(ISNUMBER(AS164),ISNUMBER(AS136)),AS164/AS136,"")</f>
        <v>0.0921348314606742</v>
      </c>
      <c r="AT367" s="25" t="n">
        <f aca="false">IF(AND(ISNUMBER(AT164),ISNUMBER(AT136)),AT164/AT136,"")</f>
        <v>0.0829839525805985</v>
      </c>
      <c r="AU367" s="25" t="n">
        <f aca="false">IF(AND(ISNUMBER(AU164),ISNUMBER(AU136)),AU164/AU136,"")</f>
        <v>0.0674803426827837</v>
      </c>
      <c r="AV367" s="25" t="n">
        <f aca="false">IF(AND(ISNUMBER(AV164),ISNUMBER(AV136)),AV164/AV136,"")</f>
        <v>0.0570616113744076</v>
      </c>
      <c r="AW367" s="25" t="n">
        <f aca="false">IF(AND(ISNUMBER(AW164),ISNUMBER(AW136)),AW164/AW136,"")</f>
        <v>0.072164628468558</v>
      </c>
      <c r="AX367" s="25" t="n">
        <f aca="false">IF(AND(ISNUMBER(AX164),ISNUMBER(AX136)),AX164/AX136,"")</f>
        <v>0.0626892792247123</v>
      </c>
      <c r="AY367" s="25" t="n">
        <f aca="false">IF(AND(ISNUMBER(AY164),ISNUMBER(AY136)),AY164/AY136,"")</f>
        <v>0.0711743772241993</v>
      </c>
      <c r="AZ367" s="25" t="n">
        <f aca="false">IF(AND(ISNUMBER(AZ164),ISNUMBER(AZ136)),AZ164/AZ136,"")</f>
        <v>0.0673097534833869</v>
      </c>
      <c r="BA367" s="25" t="n">
        <f aca="false">IF(AND(ISNUMBER(BA164),ISNUMBER(BA136)),BA164/BA136,"")</f>
        <v>0.0638198467576154</v>
      </c>
      <c r="BB367" s="25" t="n">
        <f aca="false">IF(AND(ISNUMBER(BB164),ISNUMBER(BB136)),BB164/BB136,"")</f>
        <v>0.0661038994159802</v>
      </c>
      <c r="BC367" s="25" t="n">
        <f aca="false">IF(AND(ISNUMBER(BC164),ISNUMBER(BC136)),BC164/BC136,"")</f>
        <v>0.0726857336266712</v>
      </c>
      <c r="BD367" s="25" t="n">
        <f aca="false">IF(AND(ISNUMBER(BD164),ISNUMBER(BD136)),BD164/BD136,"")</f>
        <v>0.076207839562443</v>
      </c>
      <c r="BE367" s="25" t="n">
        <f aca="false">IF(AND(ISNUMBER(BE164),ISNUMBER(BE136)),BE164/BE136,"")</f>
        <v>0.078486466235834</v>
      </c>
      <c r="BF367" s="25" t="n">
        <f aca="false">IF(AND(ISNUMBER(BF164),ISNUMBER(BF136)),BF164/BF136,"")</f>
        <v>0.0740611353711791</v>
      </c>
      <c r="BG367" s="25" t="n">
        <f aca="false">IF(AND(ISNUMBER(BG164),ISNUMBER(BG136)),BG164/BG136,"")</f>
        <v>0.0752755204274741</v>
      </c>
      <c r="BH367" s="25" t="n">
        <f aca="false">IF(AND(ISNUMBER(BH164),ISNUMBER(BH136)),BH164/BH136,"")</f>
        <v>0.0802054154995332</v>
      </c>
      <c r="BI367" s="25" t="n">
        <f aca="false">IF(AND(ISNUMBER(BI164),ISNUMBER(BI136)),BI164/BI136,"")</f>
        <v>0.0800037428651633</v>
      </c>
      <c r="BJ367" s="25" t="n">
        <f aca="false">IF(AND(ISNUMBER(BJ164),ISNUMBER(BJ136)),BJ164/BJ136,"")</f>
        <v>0.0806695668621146</v>
      </c>
      <c r="BK367" s="25" t="n">
        <f aca="false">IF(AND(ISNUMBER(BK164),ISNUMBER(BK136)),BK164/BK136,"")</f>
        <v>0.077071467940474</v>
      </c>
      <c r="BL367" s="25" t="n">
        <f aca="false">IF(AND(ISNUMBER(BL164),ISNUMBER(BL136)),BL164/BL136,"")</f>
        <v>0.0794735982453275</v>
      </c>
      <c r="BM367" s="25" t="n">
        <f aca="false">IF(AND(ISNUMBER(BM164),ISNUMBER(BM136)),BM164/BM136,"")</f>
        <v>0.0809086515224746</v>
      </c>
      <c r="BN367" s="25" t="n">
        <f aca="false">IF(AND(ISNUMBER(BN164),ISNUMBER(BN136)),BN164/BN136,"")</f>
        <v>0.0748505834361066</v>
      </c>
      <c r="BO367" s="25" t="n">
        <f aca="false">IF(AND(ISNUMBER(BO164),ISNUMBER(BO136)),BO164/BO136,"")</f>
        <v>0.0699188526137007</v>
      </c>
      <c r="BP367" s="25" t="n">
        <f aca="false">IF(AND(ISNUMBER(BP164),ISNUMBER(BP136)),BP164/BP136,"")</f>
        <v>0.0650285212812637</v>
      </c>
      <c r="BQ367" s="25" t="n">
        <f aca="false">IF(AND(ISNUMBER(BQ164),ISNUMBER(BQ136)),BQ164/BQ136,"")</f>
        <v>0.0724830336528371</v>
      </c>
      <c r="BR367" s="25" t="n">
        <f aca="false">IF(AND(ISNUMBER(BR164),ISNUMBER(BR136)),BR164/BR136,"")</f>
        <v>0.0681204168274797</v>
      </c>
      <c r="BS367" s="25" t="n">
        <f aca="false">IF(AND(ISNUMBER(BS164),ISNUMBER(BS136)),BS164/BS136,"")</f>
        <v>0.0631045601105481</v>
      </c>
      <c r="BT367" s="25" t="n">
        <f aca="false">IF(AND(ISNUMBER(BT164),ISNUMBER(BT136)),BT164/BT136,"")</f>
        <v>0.0595216687646107</v>
      </c>
      <c r="BU367" s="25" t="n">
        <f aca="false">IF(AND(ISNUMBER(BU164),ISNUMBER(BU136)),BU164/BU136,"")</f>
        <v>0.0595169873106836</v>
      </c>
      <c r="BV367" s="25" t="n">
        <f aca="false">IF(AND(ISNUMBER(BV164),ISNUMBER(BV136)),BV164/BV136,"")</f>
        <v>0.0623933925846126</v>
      </c>
      <c r="BW367" s="25" t="n">
        <f aca="false">IF(AND(ISNUMBER(BW164),ISNUMBER(BW136)),BW164/BW136,"")</f>
        <v>0.0668786915038619</v>
      </c>
      <c r="BX367" s="25" t="n">
        <f aca="false">IF(AND(ISNUMBER(BX164),ISNUMBER(BX136)),BX164/BX136,"")</f>
        <v>0.0680340170085043</v>
      </c>
      <c r="BY367" s="29"/>
      <c r="BZ367" s="29"/>
      <c r="CA367" s="26" t="n">
        <f aca="false">IFERROR(CA164/CA136,"")</f>
        <v>0.0671721360978818</v>
      </c>
      <c r="CB367" s="26" t="n">
        <f aca="false">IFERROR(CB164/CB136,"")</f>
        <v>0.0662399640019897</v>
      </c>
      <c r="CC367" s="26" t="n">
        <f aca="false">IFERROR(CC164/CC136,"")</f>
        <v>0.0649306117776849</v>
      </c>
      <c r="CD367" s="26" t="n">
        <f aca="false">IFERROR(CD164/CD136,"")</f>
        <v>0.0621467757215169</v>
      </c>
      <c r="CE367" s="26" t="n">
        <f aca="false">IFERROR(CE164/CE136,"")</f>
        <v>0.0567803935980751</v>
      </c>
      <c r="CF367" s="21"/>
    </row>
    <row r="368" customFormat="false" ht="15" hidden="false" customHeight="false" outlineLevel="0" collapsed="false">
      <c r="B368" s="23" t="s">
        <v>449</v>
      </c>
      <c r="C368" s="25" t="n">
        <f aca="false">IFERROR(-N(C248)/C136,"")</f>
        <v>0.0202552103759425</v>
      </c>
      <c r="D368" s="25" t="n">
        <f aca="false">IFERROR(-N(D248)/D136,"")</f>
        <v>0.0180066486087171</v>
      </c>
      <c r="E368" s="25" t="n">
        <f aca="false">IFERROR(-N(E248)/E136,"")</f>
        <v>0.0251857496666032</v>
      </c>
      <c r="F368" s="25" t="n">
        <f aca="false">IFERROR(-N(F248)/F136,"")</f>
        <v>0.0205248424780162</v>
      </c>
      <c r="G368" s="25" t="n">
        <f aca="false">IFERROR(-N(G248)/G136,"")</f>
        <v>0.0246090817243968</v>
      </c>
      <c r="H368" s="25" t="n">
        <f aca="false">IFERROR(-N(H248)/H136,"")</f>
        <v>0.0227274665484099</v>
      </c>
      <c r="I368" s="25" t="n">
        <f aca="false">IFERROR(-N(I248)/I136,"")</f>
        <v>0.0251880510635577</v>
      </c>
      <c r="J368" s="25" t="n">
        <f aca="false">IFERROR(-N(J248)/J136,"")</f>
        <v>0.0206799310668964</v>
      </c>
      <c r="K368" s="25" t="n">
        <f aca="false">IFERROR(-N(K248)/K136,"")</f>
        <v>0.0202462886947934</v>
      </c>
      <c r="L368" s="25" t="n">
        <f aca="false">IFERROR(-N(L248)/L136,"")</f>
        <v>0.0176389498088853</v>
      </c>
      <c r="M368" s="25" t="n">
        <f aca="false">IFERROR(-N(M248)/M136,"")</f>
        <v>0.0272577807262973</v>
      </c>
      <c r="N368" s="25" t="n">
        <f aca="false">IFERROR(-N(N248)/N136,"")</f>
        <v>0.0215732259764864</v>
      </c>
      <c r="O368" s="25" t="n">
        <f aca="false">IFERROR(-N(O248)/O136,"")</f>
        <v>0.0268220827462534</v>
      </c>
      <c r="P368" s="25" t="n">
        <f aca="false">IFERROR(-N(P248)/P136,"")</f>
        <v>0.0174691686526759</v>
      </c>
      <c r="Q368" s="25" t="n">
        <f aca="false">IFERROR(-N(Q248)/Q136,"")</f>
        <v>0.0217432996116412</v>
      </c>
      <c r="R368" s="25" t="n">
        <f aca="false">IFERROR(-N(R248)/R136,"")</f>
        <v>0.0348780270655271</v>
      </c>
      <c r="S368" s="25" t="n">
        <f aca="false">IFERROR(-N(S248)/S136,"")</f>
        <v>0.0253173550587344</v>
      </c>
      <c r="T368" s="25" t="n">
        <f aca="false">IFERROR(-N(T248)/T136,"")</f>
        <v>0.0248035112789629</v>
      </c>
      <c r="U368" s="25" t="n">
        <f aca="false">IFERROR(-N(U248)/U136,"")</f>
        <v>0.0223137980285186</v>
      </c>
      <c r="V368" s="25" t="n">
        <f aca="false">IFERROR(-N(V248)/V136,"")</f>
        <v>0.0244955374466434</v>
      </c>
      <c r="W368" s="25" t="n">
        <f aca="false">IFERROR(-N(W248)/W136,"")</f>
        <v>0.0278130037614186</v>
      </c>
      <c r="X368" s="25" t="n">
        <f aca="false">IFERROR(-N(X248)/X136,"")</f>
        <v>0.0249272047814965</v>
      </c>
      <c r="Y368" s="25" t="n">
        <f aca="false">IFERROR(-N(Y248)/Y136,"")</f>
        <v>0.0267998509825836</v>
      </c>
      <c r="Z368" s="25" t="n">
        <f aca="false">IFERROR(-N(Z248)/Z136,"")</f>
        <v>0.0253131063679661</v>
      </c>
      <c r="AA368" s="25" t="n">
        <f aca="false">IFERROR(-N(AA248)/AA136,"")</f>
        <v>0.018036473758044</v>
      </c>
      <c r="AB368" s="25" t="n">
        <f aca="false">IFERROR(-N(AB248)/AB136,"")</f>
        <v>0.026952273277881</v>
      </c>
      <c r="AC368" s="25" t="n">
        <f aca="false">IFERROR(-N(AC248)/AC136,"")</f>
        <v>0.0243185710924204</v>
      </c>
      <c r="AD368" s="25" t="n">
        <f aca="false">IFERROR(-N(AD248)/AD136,"")</f>
        <v>0.019601259181532</v>
      </c>
      <c r="AE368" s="25" t="n">
        <f aca="false">IFERROR(-N(AE248)/AE136,"")</f>
        <v>0.0176352705410822</v>
      </c>
      <c r="AF368" s="25" t="n">
        <f aca="false">IFERROR(-N(AF248)/AF136,"")</f>
        <v>0.0217739728704898</v>
      </c>
      <c r="AG368" s="25" t="n">
        <f aca="false">IFERROR(-N(AG248)/AG136,"")</f>
        <v>0.0355878948238796</v>
      </c>
      <c r="AH368" s="25" t="n">
        <f aca="false">IFERROR(-N(AH248)/AH136,"")</f>
        <v>0.0242853045224209</v>
      </c>
      <c r="AI368" s="25" t="n">
        <f aca="false">IFERROR(-N(AI248)/AI136,"")</f>
        <v>0.0201606014009909</v>
      </c>
      <c r="AJ368" s="25" t="n">
        <f aca="false">IFERROR(-N(AJ248)/AJ136,"")</f>
        <v>0.0301085883514314</v>
      </c>
      <c r="AK368" s="25" t="n">
        <f aca="false">IFERROR(-N(AK248)/AK136,"")</f>
        <v>0.029222972972973</v>
      </c>
      <c r="AL368" s="25" t="n">
        <f aca="false">IFERROR(-N(AL248)/AL136,"")</f>
        <v>0.0436453050560934</v>
      </c>
      <c r="AM368" s="25" t="n">
        <f aca="false">IFERROR(-N(AM248)/AM136,"")</f>
        <v>0.0311191395024222</v>
      </c>
      <c r="AN368" s="25" t="n">
        <f aca="false">IFERROR(-N(AN248)/AN136,"")</f>
        <v>0.0328163265306122</v>
      </c>
      <c r="AO368" s="25" t="n">
        <f aca="false">IFERROR(-N(AO248)/AO136,"")</f>
        <v>0.0348321722609246</v>
      </c>
      <c r="AP368" s="25" t="n">
        <f aca="false">IFERROR(-N(AP248)/AP136,"")</f>
        <v>0.0344387755102041</v>
      </c>
      <c r="AQ368" s="25" t="n">
        <f aca="false">IFERROR(-N(AQ248)/AQ136,"")</f>
        <v>0.0423195196954166</v>
      </c>
      <c r="AR368" s="25" t="n">
        <f aca="false">IFERROR(-N(AR248)/AR136,"")</f>
        <v>0.036254012998199</v>
      </c>
      <c r="AS368" s="25" t="n">
        <f aca="false">IFERROR(-N(AS248)/AS136,"")</f>
        <v>0.0406099518459069</v>
      </c>
      <c r="AT368" s="25" t="n">
        <f aca="false">IFERROR(-N(AT248)/AT136,"")</f>
        <v>0.0388896920630331</v>
      </c>
      <c r="AU368" s="25" t="n">
        <f aca="false">IFERROR(-N(AU248)/AU136,"")</f>
        <v>0.0429527050815632</v>
      </c>
      <c r="AV368" s="25" t="n">
        <f aca="false">IFERROR(-N(AV248)/AV136,"")</f>
        <v>0.0555450236966825</v>
      </c>
      <c r="AW368" s="25" t="n">
        <f aca="false">IFERROR(-N(AW248)/AW136,"")</f>
        <v>0.0457508225215718</v>
      </c>
      <c r="AX368" s="25" t="n">
        <f aca="false">IFERROR(-N(AX248)/AX136,"")</f>
        <v>0.0633959216636382</v>
      </c>
      <c r="AY368" s="25" t="n">
        <f aca="false">IFERROR(-N(AY248)/AY136,"")</f>
        <v>0.058233581365254</v>
      </c>
      <c r="AZ368" s="25" t="n">
        <f aca="false">IFERROR(-N(AZ248)/AZ136,"")</f>
        <v>0.0561629153269025</v>
      </c>
      <c r="BA368" s="25" t="n">
        <f aca="false">IFERROR(-N(BA248)/BA136,"")</f>
        <v>0.0776490375630723</v>
      </c>
      <c r="BB368" s="25" t="n">
        <f aca="false">IFERROR(-N(BB248)/BB136,"")</f>
        <v>0.0643441891306011</v>
      </c>
      <c r="BC368" s="25" t="n">
        <f aca="false">IFERROR(-N(BC248)/BC136,"")</f>
        <v>0.0541546793027585</v>
      </c>
      <c r="BD368" s="25" t="n">
        <f aca="false">IFERROR(-N(BD248)/BD136,"")</f>
        <v>0.0461257976298997</v>
      </c>
      <c r="BE368" s="25" t="n">
        <f aca="false">IFERROR(-N(BE248)/BE136,"")</f>
        <v>0.0512316193687365</v>
      </c>
      <c r="BF368" s="25" t="n">
        <f aca="false">IFERROR(-N(BF248)/BF136,"")</f>
        <v>0.0480349344978166</v>
      </c>
      <c r="BG368" s="25" t="n">
        <f aca="false">IFERROR(-N(BG248)/BG136,"")</f>
        <v>0.0499387732383391</v>
      </c>
      <c r="BH368" s="25" t="n">
        <f aca="false">IFERROR(-N(BH248)/BH136,"")</f>
        <v>0.0427637721755369</v>
      </c>
      <c r="BI368" s="25" t="n">
        <f aca="false">IFERROR(-N(BI248)/BI136,"")</f>
        <v>0.0265743426593057</v>
      </c>
      <c r="BJ368" s="25" t="n">
        <f aca="false">IFERROR(-N(BJ248)/BJ136,"")</f>
        <v>0.0313977681104596</v>
      </c>
      <c r="BK368" s="25" t="n">
        <f aca="false">IFERROR(-N(BK248)/BK136,"")</f>
        <v>0.0372037479331251</v>
      </c>
      <c r="BL368" s="25" t="n">
        <f aca="false">IFERROR(-N(BL248)/BL136,"")</f>
        <v>0.0345101150337168</v>
      </c>
      <c r="BM368" s="25" t="n">
        <f aca="false">IFERROR(-N(BM248)/BM136,"")</f>
        <v>0.0335427742870952</v>
      </c>
      <c r="BN368" s="25" t="n">
        <f aca="false">IFERROR(-N(BN248)/BN136,"")</f>
        <v>0.028555165544066</v>
      </c>
      <c r="BO368" s="25" t="n">
        <f aca="false">IFERROR(-N(BO248)/BO136,"")</f>
        <v>0.0256652198528024</v>
      </c>
      <c r="BP368" s="25" t="n">
        <f aca="false">IFERROR(-N(BP248)/BP136,"")</f>
        <v>0.0421237384817903</v>
      </c>
      <c r="BQ368" s="25" t="n">
        <f aca="false">IFERROR(-N(BQ248)/BQ136,"")</f>
        <v>0.0326500151589356</v>
      </c>
      <c r="BR368" s="25" t="n">
        <f aca="false">IFERROR(-N(BR248)/BR136,"")</f>
        <v>0.0349285989965264</v>
      </c>
      <c r="BS368" s="25" t="n">
        <f aca="false">IFERROR(-N(BS248)/BS136,"")</f>
        <v>0.0270842929525564</v>
      </c>
      <c r="BT368" s="25" t="n">
        <f aca="false">IFERROR(-N(BT248)/BT136,"")</f>
        <v>0.0363244020859558</v>
      </c>
      <c r="BU368" s="25" t="n">
        <f aca="false">IFERROR(-N(BU248)/BU136,"")</f>
        <v>0.0380679492427343</v>
      </c>
      <c r="BV368" s="25" t="n">
        <f aca="false">IFERROR(-N(BV248)/BV136,"")</f>
        <v>0.0342265912559476</v>
      </c>
      <c r="BW368" s="25" t="n">
        <f aca="false">IFERROR(-N(BW248)/BW136,"")</f>
        <v>0.034166288050886</v>
      </c>
      <c r="BX368" s="25" t="n">
        <f aca="false">IFERROR(-N(BX248)/BX136,"")</f>
        <v>0.0375187593796899</v>
      </c>
      <c r="BY368" s="29"/>
      <c r="BZ368" s="29"/>
      <c r="CA368" s="26" t="n">
        <f aca="false">IFERROR(-N(CA248)/CA136,"")</f>
        <v>0.0418848167539267</v>
      </c>
      <c r="CB368" s="26" t="n">
        <f aca="false">IFERROR(-N(CB248)/CB136,"")</f>
        <v>0.042</v>
      </c>
      <c r="CC368" s="26" t="n">
        <f aca="false">IFERROR(-N(CC248)/CC136,"")</f>
        <v>0.042</v>
      </c>
      <c r="CD368" s="26" t="n">
        <f aca="false">IFERROR(-N(CD248)/CD136,"")</f>
        <v>0.042</v>
      </c>
      <c r="CE368" s="26" t="n">
        <f aca="false">IFERROR(-N(CE248)/CE136,"")</f>
        <v>0.042</v>
      </c>
      <c r="CF368" s="21"/>
    </row>
    <row r="370" customFormat="false" ht="15" hidden="false" customHeight="false" outlineLevel="0" collapsed="false">
      <c r="B370" s="11" t="s">
        <v>566</v>
      </c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 t="s">
        <v>567</v>
      </c>
    </row>
    <row r="371" customFormat="false" ht="15" hidden="false" customHeight="false" outlineLevel="0" collapsed="false">
      <c r="B371" s="12" t="s">
        <v>568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3"/>
    </row>
    <row r="372" customFormat="false" ht="15" hidden="false" customHeight="false" outlineLevel="0" collapsed="false">
      <c r="B372" s="23" t="s">
        <v>569</v>
      </c>
      <c r="C372" s="61" t="n">
        <f aca="false">C196</f>
        <v>572.869</v>
      </c>
      <c r="D372" s="61" t="n">
        <f aca="false">D196</f>
        <v>1636.9</v>
      </c>
      <c r="E372" s="61" t="n">
        <f aca="false">E196</f>
        <v>1869.1</v>
      </c>
      <c r="F372" s="61" t="n">
        <f aca="false">F196</f>
        <v>1714.9</v>
      </c>
      <c r="G372" s="61" t="n">
        <f aca="false">G196</f>
        <v>1916</v>
      </c>
      <c r="H372" s="61" t="n">
        <f aca="false">H196</f>
        <v>2127.8</v>
      </c>
      <c r="I372" s="61" t="n">
        <f aca="false">I196</f>
        <v>2379.9</v>
      </c>
      <c r="J372" s="38"/>
      <c r="K372" s="38"/>
      <c r="L372" s="38"/>
      <c r="M372" s="38"/>
      <c r="N372" s="61" t="n">
        <f aca="false">N196</f>
        <v>2552.5</v>
      </c>
      <c r="O372" s="38"/>
      <c r="P372" s="38"/>
      <c r="Q372" s="38"/>
      <c r="R372" s="38"/>
      <c r="S372" s="61" t="n">
        <f aca="false">S196</f>
        <v>3694.8</v>
      </c>
      <c r="T372" s="38"/>
      <c r="U372" s="38"/>
      <c r="V372" s="38"/>
      <c r="W372" s="38"/>
      <c r="X372" s="61" t="n">
        <f aca="false">X196</f>
        <v>3821.7</v>
      </c>
      <c r="Y372" s="38"/>
      <c r="Z372" s="38"/>
      <c r="AA372" s="38"/>
      <c r="AB372" s="38"/>
      <c r="AC372" s="61" t="n">
        <f aca="false">AC196</f>
        <v>4221.8</v>
      </c>
      <c r="AD372" s="38"/>
      <c r="AE372" s="38"/>
      <c r="AF372" s="38"/>
      <c r="AG372" s="38"/>
      <c r="AH372" s="61" t="n">
        <f aca="false">AH196</f>
        <v>4860</v>
      </c>
      <c r="AI372" s="38"/>
      <c r="AJ372" s="38"/>
      <c r="AK372" s="38"/>
      <c r="AL372" s="38"/>
      <c r="AM372" s="61" t="n">
        <f aca="false">AM196</f>
        <v>5615</v>
      </c>
      <c r="AN372" s="38"/>
      <c r="AO372" s="38"/>
      <c r="AP372" s="38"/>
      <c r="AQ372" s="38"/>
      <c r="AR372" s="61" t="n">
        <f aca="false">AR196</f>
        <v>5973</v>
      </c>
      <c r="AS372" s="38"/>
      <c r="AT372" s="38"/>
      <c r="AU372" s="38"/>
      <c r="AV372" s="38"/>
      <c r="AW372" s="61" t="n">
        <f aca="false">AW196</f>
        <v>9556</v>
      </c>
      <c r="AX372" s="38"/>
      <c r="AY372" s="38"/>
      <c r="AZ372" s="38"/>
      <c r="BA372" s="38"/>
      <c r="BB372" s="61" t="n">
        <f aca="false">BB196</f>
        <v>12138</v>
      </c>
      <c r="BC372" s="38"/>
      <c r="BD372" s="38"/>
      <c r="BE372" s="38"/>
      <c r="BF372" s="38"/>
      <c r="BG372" s="61" t="n">
        <f aca="false">BG196</f>
        <v>10985</v>
      </c>
      <c r="BH372" s="38"/>
      <c r="BI372" s="38"/>
      <c r="BJ372" s="38"/>
      <c r="BK372" s="38"/>
      <c r="BL372" s="61" t="n">
        <f aca="false">BL196</f>
        <v>9810</v>
      </c>
      <c r="BM372" s="38"/>
      <c r="BN372" s="38"/>
      <c r="BO372" s="38"/>
      <c r="BP372" s="38"/>
      <c r="BQ372" s="61" t="n">
        <f aca="false">BQ196</f>
        <v>9707</v>
      </c>
      <c r="BR372" s="38"/>
      <c r="BS372" s="38"/>
      <c r="BT372" s="38"/>
      <c r="BU372" s="38"/>
      <c r="BV372" s="61" t="n">
        <f aca="false">BV196</f>
        <v>10110</v>
      </c>
      <c r="BW372" s="38"/>
      <c r="BX372" s="38"/>
      <c r="BY372" s="39"/>
      <c r="BZ372" s="39"/>
      <c r="CA372" s="44" t="n">
        <f aca="false">CA196</f>
        <v>11219.25</v>
      </c>
      <c r="CB372" s="44" t="n">
        <f aca="false">CB196</f>
        <v>12084.794198135</v>
      </c>
      <c r="CC372" s="44" t="n">
        <f aca="false">CC196</f>
        <v>13222.2186888485</v>
      </c>
      <c r="CD372" s="44" t="n">
        <f aca="false">CD196</f>
        <v>14466.0398850873</v>
      </c>
      <c r="CE372" s="44" t="n">
        <f aca="false">CE196</f>
        <v>15801.5487010655</v>
      </c>
      <c r="CF372" s="21"/>
    </row>
    <row r="373" customFormat="false" ht="15" hidden="false" customHeight="false" outlineLevel="0" collapsed="false">
      <c r="B373" s="23" t="s">
        <v>570</v>
      </c>
      <c r="C373" s="25" t="n">
        <f aca="false">C215</f>
        <v>0.283723508434803</v>
      </c>
      <c r="D373" s="25" t="n">
        <f aca="false">D215</f>
        <v>0.24052186268811</v>
      </c>
      <c r="E373" s="25" t="n">
        <f aca="false">E215</f>
        <v>0.230359445970953</v>
      </c>
      <c r="F373" s="25" t="n">
        <f aca="false">F215</f>
        <v>0.200409759731793</v>
      </c>
      <c r="G373" s="25" t="n">
        <f aca="false">G215</f>
        <v>0.207477448103467</v>
      </c>
      <c r="H373" s="25" t="n">
        <f aca="false">H215</f>
        <v>0.191327693632541</v>
      </c>
      <c r="I373" s="25" t="n">
        <f aca="false">I215</f>
        <v>0.167320201134843</v>
      </c>
      <c r="J373" s="24"/>
      <c r="K373" s="24"/>
      <c r="L373" s="24"/>
      <c r="M373" s="24"/>
      <c r="N373" s="25" t="n">
        <f aca="false">N215</f>
        <v>0.147000517152215</v>
      </c>
      <c r="O373" s="24"/>
      <c r="P373" s="24"/>
      <c r="Q373" s="24"/>
      <c r="R373" s="24"/>
      <c r="S373" s="25" t="n">
        <f aca="false">S215</f>
        <v>0.144998321072072</v>
      </c>
      <c r="T373" s="24"/>
      <c r="U373" s="24"/>
      <c r="V373" s="24"/>
      <c r="W373" s="24"/>
      <c r="X373" s="25" t="n">
        <f aca="false">X215</f>
        <v>0.137044781320787</v>
      </c>
      <c r="Y373" s="24"/>
      <c r="Z373" s="24"/>
      <c r="AA373" s="24"/>
      <c r="AB373" s="24"/>
      <c r="AC373" s="25" t="n">
        <f aca="false">AC215</f>
        <v>0.138455895837154</v>
      </c>
      <c r="AD373" s="24"/>
      <c r="AE373" s="24"/>
      <c r="AF373" s="24"/>
      <c r="AG373" s="24"/>
      <c r="AH373" s="25" t="n">
        <f aca="false">AH215</f>
        <v>0.130184331797235</v>
      </c>
      <c r="AI373" s="24"/>
      <c r="AJ373" s="24"/>
      <c r="AK373" s="24"/>
      <c r="AL373" s="24"/>
      <c r="AM373" s="25" t="n">
        <f aca="false">AM215</f>
        <v>0.118773197890213</v>
      </c>
      <c r="AN373" s="24"/>
      <c r="AO373" s="24"/>
      <c r="AP373" s="24"/>
      <c r="AQ373" s="24"/>
      <c r="AR373" s="25" t="n">
        <f aca="false">AR215</f>
        <v>0.110495261934561</v>
      </c>
      <c r="AS373" s="24"/>
      <c r="AT373" s="24"/>
      <c r="AU373" s="24"/>
      <c r="AV373" s="24"/>
      <c r="AW373" s="25" t="n">
        <f aca="false">AW215</f>
        <v>0.142512077294686</v>
      </c>
      <c r="AX373" s="24"/>
      <c r="AY373" s="24"/>
      <c r="AZ373" s="24"/>
      <c r="BA373" s="24"/>
      <c r="BB373" s="25" t="n">
        <f aca="false">BB215</f>
        <v>0.145681759821964</v>
      </c>
      <c r="BC373" s="24"/>
      <c r="BD373" s="24"/>
      <c r="BE373" s="24"/>
      <c r="BF373" s="24"/>
      <c r="BG373" s="25" t="n">
        <f aca="false">BG215</f>
        <v>0.130405918057663</v>
      </c>
      <c r="BH373" s="24"/>
      <c r="BI373" s="24"/>
      <c r="BJ373" s="24"/>
      <c r="BK373" s="24"/>
      <c r="BL373" s="25" t="n">
        <f aca="false">BL215</f>
        <v>0.0999032153995053</v>
      </c>
      <c r="BM373" s="24"/>
      <c r="BN373" s="24"/>
      <c r="BO373" s="24"/>
      <c r="BP373" s="24"/>
      <c r="BQ373" s="25" t="n">
        <f aca="false">BQ215</f>
        <v>0.105027694929697</v>
      </c>
      <c r="BR373" s="24"/>
      <c r="BS373" s="24"/>
      <c r="BT373" s="24"/>
      <c r="BU373" s="24"/>
      <c r="BV373" s="25" t="n">
        <f aca="false">BV215</f>
        <v>0.10397268777157</v>
      </c>
      <c r="BW373" s="24"/>
      <c r="BX373" s="24"/>
      <c r="BY373" s="29"/>
      <c r="BZ373" s="29"/>
      <c r="CA373" s="26" t="n">
        <f aca="false">CA215</f>
        <v>0.112995498163725</v>
      </c>
      <c r="CB373" s="26" t="n">
        <f aca="false">CB215</f>
        <v>0.12</v>
      </c>
      <c r="CC373" s="26" t="n">
        <f aca="false">CC215</f>
        <v>0.125</v>
      </c>
      <c r="CD373" s="26" t="n">
        <f aca="false">CD215</f>
        <v>0.13</v>
      </c>
      <c r="CE373" s="26" t="n">
        <f aca="false">CE215</f>
        <v>0.13</v>
      </c>
      <c r="CF373" s="21"/>
    </row>
    <row r="374" customFormat="false" ht="15" hidden="false" customHeight="false" outlineLevel="0" collapsed="false">
      <c r="B374" s="17" t="s">
        <v>571</v>
      </c>
      <c r="C374" s="63" t="n">
        <f aca="false">IFERROR(C372*(1-C373),"n/a")</f>
        <v>410.332597446463</v>
      </c>
      <c r="D374" s="63" t="n">
        <f aca="false">IFERROR(D372*(1-D373),"n/a")</f>
        <v>1243.18976296583</v>
      </c>
      <c r="E374" s="63" t="n">
        <f aca="false">IFERROR(E372*(1-E373),"n/a")</f>
        <v>1438.53515953569</v>
      </c>
      <c r="F374" s="63" t="n">
        <f aca="false">IFERROR(F372*(1-F373),"n/a")</f>
        <v>1371.21730303595</v>
      </c>
      <c r="G374" s="63" t="n">
        <f aca="false">IFERROR(G372*(1-G373),"n/a")</f>
        <v>1518.47320943376</v>
      </c>
      <c r="H374" s="63" t="n">
        <f aca="false">IFERROR(H372*(1-H373),"n/a")</f>
        <v>1720.69293348868</v>
      </c>
      <c r="I374" s="63" t="n">
        <f aca="false">IFERROR(I372*(1-I373),"n/a")</f>
        <v>1981.69465331919</v>
      </c>
      <c r="J374" s="18"/>
      <c r="K374" s="18"/>
      <c r="L374" s="18"/>
      <c r="M374" s="18"/>
      <c r="N374" s="63" t="n">
        <f aca="false">IFERROR(N372*(1-N373),"n/a")</f>
        <v>2177.28117996897</v>
      </c>
      <c r="O374" s="18"/>
      <c r="P374" s="18"/>
      <c r="Q374" s="18"/>
      <c r="R374" s="18"/>
      <c r="S374" s="63" t="n">
        <f aca="false">IFERROR(S372*(1-S373),"n/a")</f>
        <v>3159.06020330291</v>
      </c>
      <c r="T374" s="18"/>
      <c r="U374" s="18"/>
      <c r="V374" s="18"/>
      <c r="W374" s="18"/>
      <c r="X374" s="63" t="n">
        <f aca="false">IFERROR(X372*(1-X373),"n/a")</f>
        <v>3297.95595922635</v>
      </c>
      <c r="Y374" s="18"/>
      <c r="Z374" s="18"/>
      <c r="AA374" s="18"/>
      <c r="AB374" s="18"/>
      <c r="AC374" s="63" t="n">
        <f aca="false">IFERROR(AC372*(1-AC373),"n/a")</f>
        <v>3637.2668989547</v>
      </c>
      <c r="AD374" s="18"/>
      <c r="AE374" s="18"/>
      <c r="AF374" s="18"/>
      <c r="AG374" s="18"/>
      <c r="AH374" s="63" t="n">
        <f aca="false">IFERROR(AH372*(1-AH373),"n/a")</f>
        <v>4227.30414746544</v>
      </c>
      <c r="AI374" s="18"/>
      <c r="AJ374" s="18"/>
      <c r="AK374" s="18"/>
      <c r="AL374" s="18"/>
      <c r="AM374" s="63" t="n">
        <f aca="false">IFERROR(AM372*(1-AM373),"n/a")</f>
        <v>4948.08849384645</v>
      </c>
      <c r="AN374" s="18"/>
      <c r="AO374" s="18"/>
      <c r="AP374" s="18"/>
      <c r="AQ374" s="18"/>
      <c r="AR374" s="63" t="n">
        <f aca="false">IFERROR(AR372*(1-AR373),"n/a")</f>
        <v>5313.01180046487</v>
      </c>
      <c r="AS374" s="18"/>
      <c r="AT374" s="18"/>
      <c r="AU374" s="18"/>
      <c r="AV374" s="18"/>
      <c r="AW374" s="63" t="n">
        <f aca="false">IFERROR(AW372*(1-AW373),"n/a")</f>
        <v>8194.15458937198</v>
      </c>
      <c r="AX374" s="18"/>
      <c r="AY374" s="18"/>
      <c r="AZ374" s="18"/>
      <c r="BA374" s="18"/>
      <c r="BB374" s="63" t="n">
        <f aca="false">IFERROR(BB372*(1-BB373),"n/a")</f>
        <v>10369.714799281</v>
      </c>
      <c r="BC374" s="18"/>
      <c r="BD374" s="18"/>
      <c r="BE374" s="18"/>
      <c r="BF374" s="18"/>
      <c r="BG374" s="63" t="n">
        <f aca="false">IFERROR(BG372*(1-BG373),"n/a")</f>
        <v>9552.49099013657</v>
      </c>
      <c r="BH374" s="18"/>
      <c r="BI374" s="18"/>
      <c r="BJ374" s="18"/>
      <c r="BK374" s="18"/>
      <c r="BL374" s="63" t="n">
        <f aca="false">IFERROR(BL372*(1-BL373),"n/a")</f>
        <v>8829.94945693085</v>
      </c>
      <c r="BM374" s="18"/>
      <c r="BN374" s="18"/>
      <c r="BO374" s="18"/>
      <c r="BP374" s="18"/>
      <c r="BQ374" s="63" t="n">
        <f aca="false">IFERROR(BQ372*(1-BQ373),"n/a")</f>
        <v>8687.49616531743</v>
      </c>
      <c r="BR374" s="18"/>
      <c r="BS374" s="18"/>
      <c r="BT374" s="18"/>
      <c r="BU374" s="18"/>
      <c r="BV374" s="63" t="n">
        <f aca="false">IFERROR(BV372*(1-BV373),"n/a")</f>
        <v>9058.83612662942</v>
      </c>
      <c r="BW374" s="18"/>
      <c r="BX374" s="18"/>
      <c r="BY374" s="52"/>
      <c r="BZ374" s="52"/>
      <c r="CA374" s="20" t="n">
        <f aca="false">IFERROR(CA372*(1-CA373),"n/a")</f>
        <v>9951.52525722663</v>
      </c>
      <c r="CB374" s="20" t="n">
        <f aca="false">IFERROR(CB372*(1-CB373),"n/a")</f>
        <v>10634.6188943588</v>
      </c>
      <c r="CC374" s="20" t="n">
        <f aca="false">IFERROR(CC372*(1-CC373),"n/a")</f>
        <v>11569.4413527424</v>
      </c>
      <c r="CD374" s="20" t="n">
        <f aca="false">IFERROR(CD372*(1-CD373),"n/a")</f>
        <v>12585.454700026</v>
      </c>
      <c r="CE374" s="20" t="n">
        <f aca="false">IFERROR(CE372*(1-CE373),"n/a")</f>
        <v>13747.347369927</v>
      </c>
      <c r="CF374" s="21"/>
    </row>
    <row r="375" customFormat="false" ht="15" hidden="false" customHeight="false" outlineLevel="0" collapsed="false">
      <c r="B375" s="17" t="s">
        <v>572</v>
      </c>
      <c r="C375" s="63" t="n">
        <f aca="false">IFERROR(C376+C377,"n/a")</f>
        <v>15884.607</v>
      </c>
      <c r="D375" s="63" t="n">
        <f aca="false">IFERROR(D376+D377,"n/a")</f>
        <v>16033.2</v>
      </c>
      <c r="E375" s="63" t="n">
        <f aca="false">IFERROR(E376+E377,"n/a")</f>
        <v>15696.9</v>
      </c>
      <c r="F375" s="63" t="n">
        <f aca="false">IFERROR(F376+F377,"n/a")</f>
        <v>16041.2</v>
      </c>
      <c r="G375" s="63" t="n">
        <f aca="false">IFERROR(G376+G377,"n/a")</f>
        <v>16572.1</v>
      </c>
      <c r="H375" s="63" t="n">
        <f aca="false">IFERROR(H376+H377,"n/a")</f>
        <v>21045.5</v>
      </c>
      <c r="I375" s="63" t="n">
        <f aca="false">IFERROR(I376+I377,"n/a")</f>
        <v>21733.7</v>
      </c>
      <c r="J375" s="18"/>
      <c r="K375" s="18"/>
      <c r="L375" s="18"/>
      <c r="M375" s="18"/>
      <c r="N375" s="63" t="n">
        <f aca="false">IFERROR(N376+N377,"n/a")</f>
        <v>21512.9</v>
      </c>
      <c r="O375" s="18"/>
      <c r="P375" s="18"/>
      <c r="Q375" s="18"/>
      <c r="R375" s="18"/>
      <c r="S375" s="63" t="n">
        <f aca="false">IFERROR(S376+S377,"n/a")</f>
        <v>33760.1</v>
      </c>
      <c r="T375" s="18"/>
      <c r="U375" s="18"/>
      <c r="V375" s="18"/>
      <c r="W375" s="18"/>
      <c r="X375" s="63" t="n">
        <f aca="false">IFERROR(X376+X377,"n/a")</f>
        <v>33468.6</v>
      </c>
      <c r="Y375" s="18"/>
      <c r="Z375" s="18"/>
      <c r="AA375" s="18"/>
      <c r="AB375" s="18"/>
      <c r="AC375" s="63" t="n">
        <f aca="false">IFERROR(AC376+AC377,"n/a")</f>
        <v>37381</v>
      </c>
      <c r="AD375" s="18"/>
      <c r="AE375" s="18"/>
      <c r="AF375" s="18"/>
      <c r="AG375" s="18"/>
      <c r="AH375" s="63" t="n">
        <f aca="false">IFERROR(AH376+AH377,"n/a")</f>
        <v>45086</v>
      </c>
      <c r="AI375" s="18"/>
      <c r="AJ375" s="18"/>
      <c r="AK375" s="18"/>
      <c r="AL375" s="18"/>
      <c r="AM375" s="63" t="n">
        <f aca="false">IFERROR(AM376+AM377,"n/a")</f>
        <v>44473</v>
      </c>
      <c r="AN375" s="18"/>
      <c r="AO375" s="18"/>
      <c r="AP375" s="18"/>
      <c r="AQ375" s="18"/>
      <c r="AR375" s="63" t="n">
        <f aca="false">IFERROR(AR376+AR377,"n/a")</f>
        <v>45028</v>
      </c>
      <c r="AS375" s="18"/>
      <c r="AT375" s="18"/>
      <c r="AU375" s="18"/>
      <c r="AV375" s="18"/>
      <c r="AW375" s="63" t="n">
        <f aca="false">IFERROR(AW376+AW377,"n/a")</f>
        <v>45917</v>
      </c>
      <c r="AX375" s="18"/>
      <c r="AY375" s="18"/>
      <c r="AZ375" s="18"/>
      <c r="BA375" s="18"/>
      <c r="BB375" s="63" t="n">
        <f aca="false">IFERROR(BB376+BB377,"n/a")</f>
        <v>71370</v>
      </c>
      <c r="BC375" s="18"/>
      <c r="BD375" s="18"/>
      <c r="BE375" s="18"/>
      <c r="BF375" s="18"/>
      <c r="BG375" s="63" t="n">
        <f aca="false">IFERROR(BG376+BG377,"n/a")</f>
        <v>70112</v>
      </c>
      <c r="BH375" s="18"/>
      <c r="BI375" s="18"/>
      <c r="BJ375" s="18"/>
      <c r="BK375" s="18"/>
      <c r="BL375" s="63" t="n">
        <f aca="false">IFERROR(BL376+BL377,"n/a")</f>
        <v>73682</v>
      </c>
      <c r="BM375" s="18"/>
      <c r="BN375" s="18"/>
      <c r="BO375" s="18"/>
      <c r="BP375" s="18"/>
      <c r="BQ375" s="63" t="n">
        <f aca="false">IFERROR(BQ376+BQ377,"n/a")</f>
        <v>75377</v>
      </c>
      <c r="BR375" s="18"/>
      <c r="BS375" s="18"/>
      <c r="BT375" s="18"/>
      <c r="BU375" s="18"/>
      <c r="BV375" s="63" t="n">
        <f aca="false">IFERROR(BV376+BV377,"n/a")</f>
        <v>82816</v>
      </c>
      <c r="BW375" s="18"/>
      <c r="BX375" s="18"/>
      <c r="BY375" s="52"/>
      <c r="BZ375" s="52"/>
      <c r="CA375" s="20" t="n">
        <f aca="false">IFERROR(CA376+CA377,"n/a")</f>
        <v>90041.331143691</v>
      </c>
      <c r="CB375" s="20" t="n">
        <f aca="false">IFERROR(CB376+CB377,"n/a")</f>
        <v>93686.9112792179</v>
      </c>
      <c r="CC375" s="20" t="n">
        <f aca="false">IFERROR(CC376+CC377,"n/a")</f>
        <v>97468.6701556624</v>
      </c>
      <c r="CD375" s="20" t="n">
        <f aca="false">IFERROR(CD376+CD377,"n/a")</f>
        <v>101356.22845772</v>
      </c>
      <c r="CE375" s="20" t="n">
        <f aca="false">IFERROR(CE376+CE377,"n/a")</f>
        <v>105481.383073988</v>
      </c>
      <c r="CF375" s="21"/>
    </row>
    <row r="376" customFormat="false" ht="15" hidden="false" customHeight="false" outlineLevel="0" collapsed="false">
      <c r="B376" s="23" t="s">
        <v>573</v>
      </c>
      <c r="C376" s="61" t="n">
        <f aca="false">IFERROR(C321+N(C313),"n/a")</f>
        <v>13911.8</v>
      </c>
      <c r="D376" s="61" t="n">
        <f aca="false">IFERROR(D321+N(D313),"n/a")</f>
        <v>14488.3</v>
      </c>
      <c r="E376" s="61" t="n">
        <f aca="false">IFERROR(E321+N(E313),"n/a")</f>
        <v>14926.6</v>
      </c>
      <c r="F376" s="61" t="n">
        <f aca="false">IFERROR(F321+N(F313),"n/a")</f>
        <v>15430.9</v>
      </c>
      <c r="G376" s="61" t="n">
        <f aca="false">IFERROR(G321+N(G313),"n/a")</f>
        <v>15361</v>
      </c>
      <c r="H376" s="61" t="n">
        <f aca="false">IFERROR(H321+N(H313),"n/a")</f>
        <v>15038.1</v>
      </c>
      <c r="I376" s="61" t="n">
        <f aca="false">IFERROR(I321+N(I313),"n/a")</f>
        <v>15464.7</v>
      </c>
      <c r="J376" s="38"/>
      <c r="K376" s="38"/>
      <c r="L376" s="38"/>
      <c r="M376" s="38"/>
      <c r="N376" s="61" t="n">
        <f aca="false">IFERROR(N321+N(N313),"n/a")</f>
        <v>16856.1</v>
      </c>
      <c r="O376" s="38"/>
      <c r="P376" s="38"/>
      <c r="Q376" s="38"/>
      <c r="R376" s="38"/>
      <c r="S376" s="61" t="n">
        <f aca="false">IFERROR(S321+N(S313),"n/a")</f>
        <v>20548.1</v>
      </c>
      <c r="T376" s="38"/>
      <c r="U376" s="38"/>
      <c r="V376" s="38"/>
      <c r="W376" s="38"/>
      <c r="X376" s="61" t="n">
        <f aca="false">IFERROR(X321+N(X313),"n/a")</f>
        <v>21394</v>
      </c>
      <c r="Y376" s="38"/>
      <c r="Z376" s="38"/>
      <c r="AA376" s="38"/>
      <c r="AB376" s="38"/>
      <c r="AC376" s="61" t="n">
        <f aca="false">IFERROR(AC321+N(AC313),"n/a")</f>
        <v>21539.3</v>
      </c>
      <c r="AD376" s="38"/>
      <c r="AE376" s="38"/>
      <c r="AF376" s="38"/>
      <c r="AG376" s="38"/>
      <c r="AH376" s="61" t="n">
        <f aca="false">IFERROR(AH321+N(AH313),"n/a")</f>
        <v>25413</v>
      </c>
      <c r="AI376" s="38"/>
      <c r="AJ376" s="38"/>
      <c r="AK376" s="38"/>
      <c r="AL376" s="38"/>
      <c r="AM376" s="61" t="n">
        <f aca="false">IFERROR(AM321+N(AM313),"n/a")</f>
        <v>27586</v>
      </c>
      <c r="AN376" s="38"/>
      <c r="AO376" s="38"/>
      <c r="AP376" s="38"/>
      <c r="AQ376" s="38"/>
      <c r="AR376" s="61" t="n">
        <f aca="false">IFERROR(AR321+N(AR313),"n/a")</f>
        <v>29675</v>
      </c>
      <c r="AS376" s="38"/>
      <c r="AT376" s="38"/>
      <c r="AU376" s="38"/>
      <c r="AV376" s="38"/>
      <c r="AW376" s="61" t="n">
        <f aca="false">IFERROR(AW321+N(AW313),"n/a")</f>
        <v>34507</v>
      </c>
      <c r="AX376" s="38"/>
      <c r="AY376" s="38"/>
      <c r="AZ376" s="38"/>
      <c r="BA376" s="38"/>
      <c r="BB376" s="61" t="n">
        <f aca="false">IFERROR(BB321+N(BB313),"n/a")</f>
        <v>40977</v>
      </c>
      <c r="BC376" s="38"/>
      <c r="BD376" s="38"/>
      <c r="BE376" s="38"/>
      <c r="BF376" s="38"/>
      <c r="BG376" s="61" t="n">
        <f aca="false">IFERROR(BG321+N(BG313),"n/a")</f>
        <v>44148</v>
      </c>
      <c r="BH376" s="38"/>
      <c r="BI376" s="38"/>
      <c r="BJ376" s="38"/>
      <c r="BK376" s="38"/>
      <c r="BL376" s="61" t="n">
        <f aca="false">IFERROR(BL321+N(BL313),"n/a")</f>
        <v>46842</v>
      </c>
      <c r="BM376" s="38"/>
      <c r="BN376" s="38"/>
      <c r="BO376" s="38"/>
      <c r="BP376" s="38"/>
      <c r="BQ376" s="61" t="n">
        <f aca="false">IFERROR(BQ321+N(BQ313),"n/a")</f>
        <v>49672</v>
      </c>
      <c r="BR376" s="38"/>
      <c r="BS376" s="38"/>
      <c r="BT376" s="38"/>
      <c r="BU376" s="38"/>
      <c r="BV376" s="61" t="n">
        <f aca="false">IFERROR(BV321+N(BV313),"n/a")</f>
        <v>53536</v>
      </c>
      <c r="BW376" s="38"/>
      <c r="BX376" s="38"/>
      <c r="BY376" s="39"/>
      <c r="BZ376" s="39"/>
      <c r="CA376" s="44" t="n">
        <f aca="false">CA321+N(CA313)</f>
        <v>56878.591143691</v>
      </c>
      <c r="CB376" s="44" t="n">
        <f aca="false">CB321+N(CB313)</f>
        <v>60055.1159624721</v>
      </c>
      <c r="CC376" s="44" t="n">
        <f aca="false">CC321+N(CC313)</f>
        <v>60734.1687987494</v>
      </c>
      <c r="CD376" s="44" t="n">
        <f aca="false">CD321+N(CD313)</f>
        <v>61233.4368128475</v>
      </c>
      <c r="CE376" s="44" t="n">
        <f aca="false">CE321+N(CE313)</f>
        <v>61724.0896527554</v>
      </c>
      <c r="CF376" s="21"/>
    </row>
    <row r="377" customFormat="false" ht="15" hidden="false" customHeight="false" outlineLevel="0" collapsed="false">
      <c r="B377" s="23" t="s">
        <v>574</v>
      </c>
      <c r="C377" s="61" t="n">
        <f aca="false">IFERROR(C348-C292-N(C293),"n/a")</f>
        <v>1972.807</v>
      </c>
      <c r="D377" s="61" t="n">
        <f aca="false">IFERROR(D348-D292-N(D293),"n/a")</f>
        <v>1544.9</v>
      </c>
      <c r="E377" s="61" t="n">
        <f aca="false">IFERROR(E348-E292-N(E293),"n/a")</f>
        <v>770.3</v>
      </c>
      <c r="F377" s="61" t="n">
        <f aca="false">IFERROR(F348-F292-N(F293),"n/a")</f>
        <v>610.3</v>
      </c>
      <c r="G377" s="61" t="n">
        <f aca="false">IFERROR(G348-G292-N(G293),"n/a")</f>
        <v>1211.1</v>
      </c>
      <c r="H377" s="61" t="n">
        <f aca="false">IFERROR(H348-H292-N(H293),"n/a")</f>
        <v>6007.4</v>
      </c>
      <c r="I377" s="61" t="n">
        <f aca="false">IFERROR(I348-I292-N(I293),"n/a")</f>
        <v>6269</v>
      </c>
      <c r="J377" s="38"/>
      <c r="K377" s="38"/>
      <c r="L377" s="38"/>
      <c r="M377" s="38"/>
      <c r="N377" s="61" t="n">
        <f aca="false">IFERROR(N348-N292-N(N293),"n/a")</f>
        <v>4656.8</v>
      </c>
      <c r="O377" s="38"/>
      <c r="P377" s="38"/>
      <c r="Q377" s="38"/>
      <c r="R377" s="38"/>
      <c r="S377" s="61" t="n">
        <f aca="false">IFERROR(S348-S292-N(S293),"n/a")</f>
        <v>13212</v>
      </c>
      <c r="T377" s="38"/>
      <c r="U377" s="38"/>
      <c r="V377" s="38"/>
      <c r="W377" s="38"/>
      <c r="X377" s="61" t="n">
        <f aca="false">IFERROR(X348-X292-N(X293),"n/a")</f>
        <v>12074.6</v>
      </c>
      <c r="Y377" s="38"/>
      <c r="Z377" s="38"/>
      <c r="AA377" s="38"/>
      <c r="AB377" s="38"/>
      <c r="AC377" s="61" t="n">
        <f aca="false">IFERROR(AC348-AC292-N(AC293),"n/a")</f>
        <v>15841.7</v>
      </c>
      <c r="AD377" s="38"/>
      <c r="AE377" s="38"/>
      <c r="AF377" s="38"/>
      <c r="AG377" s="38"/>
      <c r="AH377" s="61" t="n">
        <f aca="false">IFERROR(AH348-AH292-N(AH293),"n/a")</f>
        <v>19673</v>
      </c>
      <c r="AI377" s="38"/>
      <c r="AJ377" s="38"/>
      <c r="AK377" s="38"/>
      <c r="AL377" s="38"/>
      <c r="AM377" s="61" t="n">
        <f aca="false">IFERROR(AM348-AM292-N(AM293),"n/a")</f>
        <v>16887</v>
      </c>
      <c r="AN377" s="38"/>
      <c r="AO377" s="38"/>
      <c r="AP377" s="38"/>
      <c r="AQ377" s="38"/>
      <c r="AR377" s="61" t="n">
        <f aca="false">IFERROR(AR348-AR292-N(AR293),"n/a")</f>
        <v>15353</v>
      </c>
      <c r="AS377" s="38"/>
      <c r="AT377" s="38"/>
      <c r="AU377" s="38"/>
      <c r="AV377" s="38"/>
      <c r="AW377" s="61" t="n">
        <f aca="false">IFERROR(AW348-AW292-N(AW293),"n/a")</f>
        <v>11410</v>
      </c>
      <c r="AX377" s="38"/>
      <c r="AY377" s="38"/>
      <c r="AZ377" s="38"/>
      <c r="BA377" s="38"/>
      <c r="BB377" s="61" t="n">
        <f aca="false">IFERROR(BB348-BB292-N(BB293),"n/a")</f>
        <v>30393</v>
      </c>
      <c r="BC377" s="38"/>
      <c r="BD377" s="38"/>
      <c r="BE377" s="38"/>
      <c r="BF377" s="38"/>
      <c r="BG377" s="61" t="n">
        <f aca="false">IFERROR(BG348-BG292-N(BG293),"n/a")</f>
        <v>25964</v>
      </c>
      <c r="BH377" s="38"/>
      <c r="BI377" s="38"/>
      <c r="BJ377" s="38"/>
      <c r="BK377" s="38"/>
      <c r="BL377" s="61" t="n">
        <f aca="false">IFERROR(BL348-BL292-N(BL293),"n/a")</f>
        <v>26840</v>
      </c>
      <c r="BM377" s="38"/>
      <c r="BN377" s="38"/>
      <c r="BO377" s="38"/>
      <c r="BP377" s="38"/>
      <c r="BQ377" s="61" t="n">
        <f aca="false">IFERROR(BQ348-BQ292-N(BQ293),"n/a")</f>
        <v>25705</v>
      </c>
      <c r="BR377" s="38"/>
      <c r="BS377" s="38"/>
      <c r="BT377" s="38"/>
      <c r="BU377" s="38"/>
      <c r="BV377" s="61" t="n">
        <f aca="false">IFERROR(BV348-BV292-N(BV293),"n/a")</f>
        <v>29280</v>
      </c>
      <c r="BW377" s="38"/>
      <c r="BX377" s="38"/>
      <c r="BY377" s="39"/>
      <c r="BZ377" s="39"/>
      <c r="CA377" s="44" t="n">
        <f aca="false">CA348-CA292-N(CA293)</f>
        <v>33162.74</v>
      </c>
      <c r="CB377" s="44" t="n">
        <f aca="false">CB348-CB292-N(CB293)</f>
        <v>33631.7953167458</v>
      </c>
      <c r="CC377" s="44" t="n">
        <f aca="false">CC348-CC292-N(CC293)</f>
        <v>36734.501356913</v>
      </c>
      <c r="CD377" s="44" t="n">
        <f aca="false">CD348-CD292-N(CD293)</f>
        <v>40122.7916448727</v>
      </c>
      <c r="CE377" s="44" t="n">
        <f aca="false">CE348-CE292-N(CE293)</f>
        <v>43757.2934212329</v>
      </c>
      <c r="CF377" s="21"/>
    </row>
    <row r="378" customFormat="false" ht="15" hidden="false" customHeight="false" outlineLevel="0" collapsed="false">
      <c r="B378" s="58" t="s">
        <v>575</v>
      </c>
      <c r="C378" s="81" t="n">
        <f aca="false">IFERROR(C374/C375,"n/a")</f>
        <v>0.0258320899879023</v>
      </c>
      <c r="D378" s="81" t="n">
        <f aca="false">IFERROR(D374/D375,"n/a")</f>
        <v>0.0775384678645455</v>
      </c>
      <c r="E378" s="81" t="n">
        <f aca="false">IFERROR(E374/E375,"n/a")</f>
        <v>0.0916445387009979</v>
      </c>
      <c r="F378" s="81" t="n">
        <f aca="false">IFERROR(F374/F375,"n/a")</f>
        <v>0.0854809679472825</v>
      </c>
      <c r="G378" s="81" t="n">
        <f aca="false">IFERROR(G374/G375,"n/a")</f>
        <v>0.0916282914919507</v>
      </c>
      <c r="H378" s="81" t="n">
        <f aca="false">IFERROR(H374/H375,"n/a")</f>
        <v>0.081760610747603</v>
      </c>
      <c r="I378" s="81" t="n">
        <f aca="false">IFERROR(I374/I375,"n/a")</f>
        <v>0.0911807309992861</v>
      </c>
      <c r="J378" s="82"/>
      <c r="K378" s="82"/>
      <c r="L378" s="82"/>
      <c r="M378" s="82"/>
      <c r="N378" s="81" t="n">
        <f aca="false">IFERROR(N374/N375,"n/a")</f>
        <v>0.101208167191265</v>
      </c>
      <c r="O378" s="82"/>
      <c r="P378" s="82"/>
      <c r="Q378" s="82"/>
      <c r="R378" s="82"/>
      <c r="S378" s="81" t="n">
        <f aca="false">IFERROR(S374/S375,"n/a")</f>
        <v>0.0935737809811851</v>
      </c>
      <c r="T378" s="82"/>
      <c r="U378" s="82"/>
      <c r="V378" s="82"/>
      <c r="W378" s="82"/>
      <c r="X378" s="81" t="n">
        <f aca="false">IFERROR(X374/X375,"n/a")</f>
        <v>0.0985388082927385</v>
      </c>
      <c r="Y378" s="82"/>
      <c r="Z378" s="82"/>
      <c r="AA378" s="82"/>
      <c r="AB378" s="82"/>
      <c r="AC378" s="81" t="n">
        <f aca="false">IFERROR(AC374/AC375,"n/a")</f>
        <v>0.097302557421008</v>
      </c>
      <c r="AD378" s="82"/>
      <c r="AE378" s="82"/>
      <c r="AF378" s="82"/>
      <c r="AG378" s="82"/>
      <c r="AH378" s="81" t="n">
        <f aca="false">IFERROR(AH374/AH375,"n/a")</f>
        <v>0.0937609046592166</v>
      </c>
      <c r="AI378" s="82"/>
      <c r="AJ378" s="82"/>
      <c r="AK378" s="82"/>
      <c r="AL378" s="82"/>
      <c r="AM378" s="81" t="n">
        <f aca="false">IFERROR(AM374/AM375,"n/a")</f>
        <v>0.111260506236288</v>
      </c>
      <c r="AN378" s="82"/>
      <c r="AO378" s="82"/>
      <c r="AP378" s="82"/>
      <c r="AQ378" s="82"/>
      <c r="AR378" s="81" t="n">
        <f aca="false">IFERROR(AR374/AR375,"n/a")</f>
        <v>0.117993510714775</v>
      </c>
      <c r="AS378" s="82"/>
      <c r="AT378" s="82"/>
      <c r="AU378" s="82"/>
      <c r="AV378" s="82"/>
      <c r="AW378" s="81" t="n">
        <f aca="false">IFERROR(AW374/AW375,"n/a")</f>
        <v>0.178455791741011</v>
      </c>
      <c r="AX378" s="82"/>
      <c r="AY378" s="82"/>
      <c r="AZ378" s="82"/>
      <c r="BA378" s="82"/>
      <c r="BB378" s="81" t="n">
        <f aca="false">IFERROR(BB374/BB375,"n/a")</f>
        <v>0.145295149212288</v>
      </c>
      <c r="BC378" s="82"/>
      <c r="BD378" s="82"/>
      <c r="BE378" s="82"/>
      <c r="BF378" s="82"/>
      <c r="BG378" s="81" t="n">
        <f aca="false">IFERROR(BG374/BG375,"n/a")</f>
        <v>0.136246163140926</v>
      </c>
      <c r="BH378" s="82"/>
      <c r="BI378" s="82"/>
      <c r="BJ378" s="82"/>
      <c r="BK378" s="82"/>
      <c r="BL378" s="81" t="n">
        <f aca="false">IFERROR(BL374/BL375,"n/a")</f>
        <v>0.119838623502767</v>
      </c>
      <c r="BM378" s="82"/>
      <c r="BN378" s="82"/>
      <c r="BO378" s="82"/>
      <c r="BP378" s="82"/>
      <c r="BQ378" s="81" t="n">
        <f aca="false">IFERROR(BQ374/BQ375,"n/a")</f>
        <v>0.115253939070505</v>
      </c>
      <c r="BR378" s="82"/>
      <c r="BS378" s="82"/>
      <c r="BT378" s="82"/>
      <c r="BU378" s="82"/>
      <c r="BV378" s="81" t="n">
        <f aca="false">IFERROR(BV374/BV375,"n/a")</f>
        <v>0.109385096196742</v>
      </c>
      <c r="BW378" s="82"/>
      <c r="BX378" s="82"/>
      <c r="BY378" s="82"/>
      <c r="BZ378" s="82"/>
      <c r="CA378" s="81" t="n">
        <f aca="false">IFERROR(CA374/CA375,"n/a")</f>
        <v>0.110521747411149</v>
      </c>
      <c r="CB378" s="81" t="n">
        <f aca="false">IFERROR(CB374/CB375,"n/a")</f>
        <v>0.113512322576887</v>
      </c>
      <c r="CC378" s="81" t="n">
        <f aca="false">IFERROR(CC374/CC375,"n/a")</f>
        <v>0.11869907873233</v>
      </c>
      <c r="CD378" s="81" t="n">
        <f aca="false">IFERROR(CD374/CD375,"n/a")</f>
        <v>0.124170511191386</v>
      </c>
      <c r="CE378" s="81" t="n">
        <f aca="false">IFERROR(CE374/CE375,"n/a")</f>
        <v>0.130329608593434</v>
      </c>
      <c r="CF378" s="21"/>
    </row>
    <row r="379" customFormat="false" ht="15" hidden="false" customHeight="false" outlineLevel="0" collapsed="false">
      <c r="B379" s="23" t="s">
        <v>576</v>
      </c>
      <c r="C379" s="25" t="n">
        <f aca="false">IFERROR(C372/C136,"n/a")</f>
        <v>0.151088308761143</v>
      </c>
      <c r="D379" s="25" t="n">
        <f aca="false">IFERROR(D372/D136,"n/a")</f>
        <v>0.167949191496347</v>
      </c>
      <c r="E379" s="25" t="n">
        <f aca="false">IFERROR(E372/E136,"n/a")</f>
        <v>0.178043436845113</v>
      </c>
      <c r="F379" s="25" t="n">
        <f aca="false">IFERROR(F372/F136,"n/a")</f>
        <v>0.169629168026747</v>
      </c>
      <c r="G379" s="25" t="n">
        <f aca="false">IFERROR(G372/G136,"n/a")</f>
        <v>0.177593222538397</v>
      </c>
      <c r="H379" s="25" t="n">
        <f aca="false">IFERROR(H372/H136,"n/a")</f>
        <v>0.181461550925729</v>
      </c>
      <c r="I379" s="25" t="n">
        <f aca="false">IFERROR(I372/I136,"n/a")</f>
        <v>0.190241328867537</v>
      </c>
      <c r="J379" s="24"/>
      <c r="K379" s="24"/>
      <c r="L379" s="24"/>
      <c r="M379" s="24"/>
      <c r="N379" s="25" t="n">
        <f aca="false">IFERROR(N372/N136,"n/a")</f>
        <v>0.194991711419906</v>
      </c>
      <c r="O379" s="24"/>
      <c r="P379" s="24"/>
      <c r="Q379" s="24"/>
      <c r="R379" s="24"/>
      <c r="S379" s="25" t="n">
        <f aca="false">IFERROR(S372/S136,"n/a")</f>
        <v>0.218761841606669</v>
      </c>
      <c r="T379" s="24"/>
      <c r="U379" s="24"/>
      <c r="V379" s="24"/>
      <c r="W379" s="24"/>
      <c r="X379" s="25" t="n">
        <f aca="false">IFERROR(X372/X136,"n/a")</f>
        <v>0.225264361582987</v>
      </c>
      <c r="Y379" s="24"/>
      <c r="Z379" s="24"/>
      <c r="AA379" s="24"/>
      <c r="AB379" s="24"/>
      <c r="AC379" s="25" t="n">
        <f aca="false">IFERROR(AC372/AC136,"n/a")</f>
        <v>0.231026425377994</v>
      </c>
      <c r="AD379" s="24"/>
      <c r="AE379" s="24"/>
      <c r="AF379" s="24"/>
      <c r="AG379" s="24"/>
      <c r="AH379" s="25" t="n">
        <f aca="false">IFERROR(AH372/AH136,"n/a")</f>
        <v>0.232335787360168</v>
      </c>
      <c r="AI379" s="24"/>
      <c r="AJ379" s="24"/>
      <c r="AK379" s="24"/>
      <c r="AL379" s="24"/>
      <c r="AM379" s="25" t="n">
        <f aca="false">IFERROR(AM372/AM136,"n/a")</f>
        <v>0.230519747105674</v>
      </c>
      <c r="AN379" s="24"/>
      <c r="AO379" s="24"/>
      <c r="AP379" s="24"/>
      <c r="AQ379" s="24"/>
      <c r="AR379" s="25" t="n">
        <f aca="false">IFERROR(AR372/AR136,"n/a")</f>
        <v>0.233850129198966</v>
      </c>
      <c r="AS379" s="24"/>
      <c r="AT379" s="24"/>
      <c r="AU379" s="24"/>
      <c r="AV379" s="24"/>
      <c r="AW379" s="25" t="n">
        <f aca="false">IFERROR(AW372/AW136,"n/a")</f>
        <v>0.296604382643243</v>
      </c>
      <c r="AX379" s="24"/>
      <c r="AY379" s="24"/>
      <c r="AZ379" s="24"/>
      <c r="BA379" s="24"/>
      <c r="BB379" s="25" t="n">
        <f aca="false">IFERROR(BB372/BB136,"n/a")</f>
        <v>0.309555991941037</v>
      </c>
      <c r="BC379" s="24"/>
      <c r="BD379" s="24"/>
      <c r="BE379" s="24"/>
      <c r="BF379" s="24"/>
      <c r="BG379" s="25" t="n">
        <f aca="false">IFERROR(BG372/BG136,"n/a")</f>
        <v>0.244573082489146</v>
      </c>
      <c r="BH379" s="24"/>
      <c r="BI379" s="24"/>
      <c r="BJ379" s="24"/>
      <c r="BK379" s="24"/>
      <c r="BL379" s="25" t="n">
        <f aca="false">IFERROR(BL372/BL136,"n/a")</f>
        <v>0.228900763002543</v>
      </c>
      <c r="BM379" s="24"/>
      <c r="BN379" s="24"/>
      <c r="BO379" s="24"/>
      <c r="BP379" s="24"/>
      <c r="BQ379" s="25" t="n">
        <f aca="false">IFERROR(BQ372/BQ136,"n/a")</f>
        <v>0.22638121224842</v>
      </c>
      <c r="BR379" s="24"/>
      <c r="BS379" s="24"/>
      <c r="BT379" s="24"/>
      <c r="BU379" s="24"/>
      <c r="BV379" s="25" t="n">
        <f aca="false">IFERROR(BV372/BV136,"n/a")</f>
        <v>0.226905467277134</v>
      </c>
      <c r="BW379" s="24"/>
      <c r="BX379" s="24"/>
      <c r="BY379" s="29"/>
      <c r="BZ379" s="29"/>
      <c r="CA379" s="26" t="n">
        <f aca="false">IFERROR(CA372/CA136,"n/a")</f>
        <v>0.234958115183246</v>
      </c>
      <c r="CB379" s="26" t="n">
        <f aca="false">IFERROR(CB372/CB136,"n/a")</f>
        <v>0.238528939026843</v>
      </c>
      <c r="CC379" s="26" t="n">
        <f aca="false">IFERROR(CC372/CC136,"n/a")</f>
        <v>0.242596022537744</v>
      </c>
      <c r="CD379" s="26" t="n">
        <f aca="false">IFERROR(CD372/CD136,"n/a")</f>
        <v>0.246724027282201</v>
      </c>
      <c r="CE379" s="26" t="n">
        <f aca="false">IFERROR(CE372/CE136,"n/a")</f>
        <v>0.250763883864051</v>
      </c>
      <c r="CF379" s="21"/>
    </row>
    <row r="380" customFormat="false" ht="15" hidden="false" customHeight="false" outlineLevel="0" collapsed="false">
      <c r="B380" s="23" t="s">
        <v>577</v>
      </c>
      <c r="C380" s="83" t="n">
        <f aca="false">IFERROR(C136/C375,"n/a")</f>
        <v>0.238697564251983</v>
      </c>
      <c r="D380" s="83" t="n">
        <f aca="false">IFERROR(D136/D375,"n/a")</f>
        <v>0.607888631090487</v>
      </c>
      <c r="E380" s="83" t="n">
        <f aca="false">IFERROR(E136/E375,"n/a")</f>
        <v>0.668794475342265</v>
      </c>
      <c r="F380" s="83" t="n">
        <f aca="false">IFERROR(F136/F375,"n/a")</f>
        <v>0.630233398997581</v>
      </c>
      <c r="G380" s="83" t="n">
        <f aca="false">IFERROR(G136/G375,"n/a")</f>
        <v>0.651015864012407</v>
      </c>
      <c r="H380" s="83" t="n">
        <f aca="false">IFERROR(H136/H375,"n/a")</f>
        <v>0.5571689909957</v>
      </c>
      <c r="I380" s="83" t="n">
        <f aca="false">IFERROR(I136/I375,"n/a")</f>
        <v>0.575599184676332</v>
      </c>
      <c r="J380" s="84"/>
      <c r="K380" s="84"/>
      <c r="L380" s="84"/>
      <c r="M380" s="84"/>
      <c r="N380" s="83" t="n">
        <f aca="false">IFERROR(N136/N375,"n/a")</f>
        <v>0.608486071148009</v>
      </c>
      <c r="O380" s="84"/>
      <c r="P380" s="84"/>
      <c r="Q380" s="84"/>
      <c r="R380" s="84"/>
      <c r="S380" s="83" t="n">
        <f aca="false">IFERROR(S136/S375,"n/a")</f>
        <v>0.50028287830901</v>
      </c>
      <c r="T380" s="84"/>
      <c r="U380" s="84"/>
      <c r="V380" s="84"/>
      <c r="W380" s="84"/>
      <c r="X380" s="83" t="n">
        <f aca="false">IFERROR(X136/X375,"n/a")</f>
        <v>0.506904979592812</v>
      </c>
      <c r="Y380" s="84"/>
      <c r="Z380" s="84"/>
      <c r="AA380" s="84"/>
      <c r="AB380" s="84"/>
      <c r="AC380" s="83" t="n">
        <f aca="false">IFERROR(AC136/AC375,"n/a")</f>
        <v>0.488860651132929</v>
      </c>
      <c r="AD380" s="84"/>
      <c r="AE380" s="84"/>
      <c r="AF380" s="84"/>
      <c r="AG380" s="84"/>
      <c r="AH380" s="83" t="n">
        <f aca="false">IFERROR(AH136/AH375,"n/a")</f>
        <v>0.463957769595883</v>
      </c>
      <c r="AI380" s="84"/>
      <c r="AJ380" s="84"/>
      <c r="AK380" s="84"/>
      <c r="AL380" s="84"/>
      <c r="AM380" s="83" t="n">
        <f aca="false">IFERROR(AM136/AM375,"n/a")</f>
        <v>0.547703100757763</v>
      </c>
      <c r="AN380" s="84"/>
      <c r="AO380" s="84"/>
      <c r="AP380" s="84"/>
      <c r="AQ380" s="84"/>
      <c r="AR380" s="83" t="n">
        <f aca="false">IFERROR(AR136/AR375,"n/a")</f>
        <v>0.567247046282313</v>
      </c>
      <c r="AS380" s="84"/>
      <c r="AT380" s="84"/>
      <c r="AU380" s="84"/>
      <c r="AV380" s="84"/>
      <c r="AW380" s="83" t="n">
        <f aca="false">IFERROR(AW136/AW375,"n/a")</f>
        <v>0.701657338240739</v>
      </c>
      <c r="AX380" s="84"/>
      <c r="AY380" s="84"/>
      <c r="AZ380" s="84"/>
      <c r="BA380" s="84"/>
      <c r="BB380" s="83" t="n">
        <f aca="false">IFERROR(BB136/BB375,"n/a")</f>
        <v>0.549404511699594</v>
      </c>
      <c r="BC380" s="84"/>
      <c r="BD380" s="84"/>
      <c r="BE380" s="84"/>
      <c r="BF380" s="84"/>
      <c r="BG380" s="83" t="n">
        <f aca="false">IFERROR(BG136/BG375,"n/a")</f>
        <v>0.640617868553172</v>
      </c>
      <c r="BH380" s="84"/>
      <c r="BI380" s="84"/>
      <c r="BJ380" s="84"/>
      <c r="BK380" s="84"/>
      <c r="BL380" s="83" t="n">
        <f aca="false">IFERROR(BL136/BL375,"n/a")</f>
        <v>0.581648163730626</v>
      </c>
      <c r="BM380" s="84"/>
      <c r="BN380" s="84"/>
      <c r="BO380" s="84"/>
      <c r="BP380" s="84"/>
      <c r="BQ380" s="83" t="n">
        <f aca="false">IFERROR(BQ136/BQ375,"n/a")</f>
        <v>0.568860527747191</v>
      </c>
      <c r="BR380" s="84"/>
      <c r="BS380" s="84"/>
      <c r="BT380" s="84"/>
      <c r="BU380" s="84"/>
      <c r="BV380" s="83" t="n">
        <f aca="false">IFERROR(BV136/BV375,"n/a")</f>
        <v>0.538011978361669</v>
      </c>
      <c r="BW380" s="84"/>
      <c r="BX380" s="84"/>
      <c r="BY380" s="85"/>
      <c r="BZ380" s="85"/>
      <c r="CA380" s="86" t="n">
        <f aca="false">IFERROR(CA136/CA375,"n/a")</f>
        <v>0.530312017753257</v>
      </c>
      <c r="CB380" s="86" t="n">
        <f aca="false">IFERROR(CB136/CB375,"n/a")</f>
        <v>0.540778306321303</v>
      </c>
      <c r="CC380" s="86" t="n">
        <f aca="false">IFERROR(CC136/CC375,"n/a")</f>
        <v>0.559185136511048</v>
      </c>
      <c r="CD380" s="86" t="n">
        <f aca="false">IFERROR(CD136/CD375,"n/a")</f>
        <v>0.578479230740233</v>
      </c>
      <c r="CE380" s="86" t="n">
        <f aca="false">IFERROR(CE136/CE375,"n/a")</f>
        <v>0.597391241115724</v>
      </c>
      <c r="CF380" s="21"/>
    </row>
    <row r="381" customFormat="false" ht="15" hidden="false" customHeight="false" outlineLevel="0" collapsed="false">
      <c r="B381" s="23" t="s">
        <v>578</v>
      </c>
      <c r="C381" s="25" t="n">
        <f aca="false">IFERROR(1-C373,"n/a")</f>
        <v>0.716276491565197</v>
      </c>
      <c r="D381" s="25" t="n">
        <f aca="false">IFERROR(1-D373,"n/a")</f>
        <v>0.75947813731189</v>
      </c>
      <c r="E381" s="25" t="n">
        <f aca="false">IFERROR(1-E373,"n/a")</f>
        <v>0.769640554029047</v>
      </c>
      <c r="F381" s="25" t="n">
        <f aca="false">IFERROR(1-F373,"n/a")</f>
        <v>0.799590240268207</v>
      </c>
      <c r="G381" s="25" t="n">
        <f aca="false">IFERROR(1-G373,"n/a")</f>
        <v>0.792522551896533</v>
      </c>
      <c r="H381" s="25" t="n">
        <f aca="false">IFERROR(1-H373,"n/a")</f>
        <v>0.808672306367459</v>
      </c>
      <c r="I381" s="25" t="n">
        <f aca="false">IFERROR(1-I373,"n/a")</f>
        <v>0.832679798865157</v>
      </c>
      <c r="J381" s="24"/>
      <c r="K381" s="24"/>
      <c r="L381" s="24"/>
      <c r="M381" s="24"/>
      <c r="N381" s="25" t="n">
        <f aca="false">IFERROR(1-N373,"n/a")</f>
        <v>0.852999482847785</v>
      </c>
      <c r="O381" s="24"/>
      <c r="P381" s="24"/>
      <c r="Q381" s="24"/>
      <c r="R381" s="24"/>
      <c r="S381" s="25" t="n">
        <f aca="false">IFERROR(1-S373,"n/a")</f>
        <v>0.855001678927928</v>
      </c>
      <c r="T381" s="24"/>
      <c r="U381" s="24"/>
      <c r="V381" s="24"/>
      <c r="W381" s="24"/>
      <c r="X381" s="25" t="n">
        <f aca="false">IFERROR(1-X373,"n/a")</f>
        <v>0.862955218679213</v>
      </c>
      <c r="Y381" s="24"/>
      <c r="Z381" s="24"/>
      <c r="AA381" s="24"/>
      <c r="AB381" s="24"/>
      <c r="AC381" s="25" t="n">
        <f aca="false">IFERROR(1-AC373,"n/a")</f>
        <v>0.861544104162846</v>
      </c>
      <c r="AD381" s="24"/>
      <c r="AE381" s="24"/>
      <c r="AF381" s="24"/>
      <c r="AG381" s="24"/>
      <c r="AH381" s="25" t="n">
        <f aca="false">IFERROR(1-AH373,"n/a")</f>
        <v>0.869815668202765</v>
      </c>
      <c r="AI381" s="24"/>
      <c r="AJ381" s="24"/>
      <c r="AK381" s="24"/>
      <c r="AL381" s="24"/>
      <c r="AM381" s="25" t="n">
        <f aca="false">IFERROR(1-AM373,"n/a")</f>
        <v>0.881226802109787</v>
      </c>
      <c r="AN381" s="24"/>
      <c r="AO381" s="24"/>
      <c r="AP381" s="24"/>
      <c r="AQ381" s="24"/>
      <c r="AR381" s="25" t="n">
        <f aca="false">IFERROR(1-AR373,"n/a")</f>
        <v>0.889504738065439</v>
      </c>
      <c r="AS381" s="24"/>
      <c r="AT381" s="24"/>
      <c r="AU381" s="24"/>
      <c r="AV381" s="24"/>
      <c r="AW381" s="25" t="n">
        <f aca="false">IFERROR(1-AW373,"n/a")</f>
        <v>0.857487922705314</v>
      </c>
      <c r="AX381" s="24"/>
      <c r="AY381" s="24"/>
      <c r="AZ381" s="24"/>
      <c r="BA381" s="24"/>
      <c r="BB381" s="25" t="n">
        <f aca="false">IFERROR(1-BB373,"n/a")</f>
        <v>0.854318240178037</v>
      </c>
      <c r="BC381" s="24"/>
      <c r="BD381" s="24"/>
      <c r="BE381" s="24"/>
      <c r="BF381" s="24"/>
      <c r="BG381" s="25" t="n">
        <f aca="false">IFERROR(1-BG373,"n/a")</f>
        <v>0.869594081942337</v>
      </c>
      <c r="BH381" s="24"/>
      <c r="BI381" s="24"/>
      <c r="BJ381" s="24"/>
      <c r="BK381" s="24"/>
      <c r="BL381" s="25" t="n">
        <f aca="false">IFERROR(1-BL373,"n/a")</f>
        <v>0.900096784600495</v>
      </c>
      <c r="BM381" s="24"/>
      <c r="BN381" s="24"/>
      <c r="BO381" s="24"/>
      <c r="BP381" s="24"/>
      <c r="BQ381" s="25" t="n">
        <f aca="false">IFERROR(1-BQ373,"n/a")</f>
        <v>0.894972305070303</v>
      </c>
      <c r="BR381" s="24"/>
      <c r="BS381" s="24"/>
      <c r="BT381" s="24"/>
      <c r="BU381" s="24"/>
      <c r="BV381" s="25" t="n">
        <f aca="false">IFERROR(1-BV373,"n/a")</f>
        <v>0.89602731222843</v>
      </c>
      <c r="BW381" s="24"/>
      <c r="BX381" s="24"/>
      <c r="BY381" s="29"/>
      <c r="BZ381" s="29"/>
      <c r="CA381" s="26" t="n">
        <f aca="false">IFERROR(1-CA373,"n/a")</f>
        <v>0.887004501836275</v>
      </c>
      <c r="CB381" s="26" t="n">
        <f aca="false">IFERROR(1-CB373,"n/a")</f>
        <v>0.88</v>
      </c>
      <c r="CC381" s="26" t="n">
        <f aca="false">IFERROR(1-CC373,"n/a")</f>
        <v>0.875</v>
      </c>
      <c r="CD381" s="26" t="n">
        <f aca="false">IFERROR(1-CD373,"n/a")</f>
        <v>0.87</v>
      </c>
      <c r="CE381" s="26" t="n">
        <f aca="false">IFERROR(1-CE373,"n/a")</f>
        <v>0.87</v>
      </c>
      <c r="CF381" s="21"/>
    </row>
    <row r="382" customFormat="false" ht="15" hidden="false" customHeight="false" outlineLevel="0" collapsed="false">
      <c r="B382" s="23" t="s">
        <v>579</v>
      </c>
      <c r="C382" s="25" t="n">
        <f aca="false">IFERROR(C379*C380*C381,"n/a")</f>
        <v>0.0258320899879023</v>
      </c>
      <c r="D382" s="25" t="n">
        <f aca="false">IFERROR(D379*D380*D381,"n/a")</f>
        <v>0.0775384678645455</v>
      </c>
      <c r="E382" s="25" t="n">
        <f aca="false">IFERROR(E379*E380*E381,"n/a")</f>
        <v>0.0916445387009979</v>
      </c>
      <c r="F382" s="25" t="n">
        <f aca="false">IFERROR(F379*F380*F381,"n/a")</f>
        <v>0.0854809679472825</v>
      </c>
      <c r="G382" s="25" t="n">
        <f aca="false">IFERROR(G379*G380*G381,"n/a")</f>
        <v>0.0916282914919508</v>
      </c>
      <c r="H382" s="25" t="n">
        <f aca="false">IFERROR(H379*H380*H381,"n/a")</f>
        <v>0.081760610747603</v>
      </c>
      <c r="I382" s="25" t="n">
        <f aca="false">IFERROR(I379*I380*I381,"n/a")</f>
        <v>0.0911807309992861</v>
      </c>
      <c r="J382" s="24"/>
      <c r="K382" s="24"/>
      <c r="L382" s="24"/>
      <c r="M382" s="24"/>
      <c r="N382" s="25" t="n">
        <f aca="false">IFERROR(N379*N380*N381,"n/a")</f>
        <v>0.101208167191265</v>
      </c>
      <c r="O382" s="24"/>
      <c r="P382" s="24"/>
      <c r="Q382" s="24"/>
      <c r="R382" s="24"/>
      <c r="S382" s="25" t="n">
        <f aca="false">IFERROR(S379*S380*S381,"n/a")</f>
        <v>0.0935737809811851</v>
      </c>
      <c r="T382" s="24"/>
      <c r="U382" s="24"/>
      <c r="V382" s="24"/>
      <c r="W382" s="24"/>
      <c r="X382" s="25" t="n">
        <f aca="false">IFERROR(X379*X380*X381,"n/a")</f>
        <v>0.0985388082927385</v>
      </c>
      <c r="Y382" s="24"/>
      <c r="Z382" s="24"/>
      <c r="AA382" s="24"/>
      <c r="AB382" s="24"/>
      <c r="AC382" s="25" t="n">
        <f aca="false">IFERROR(AC379*AC380*AC381,"n/a")</f>
        <v>0.097302557421008</v>
      </c>
      <c r="AD382" s="24"/>
      <c r="AE382" s="24"/>
      <c r="AF382" s="24"/>
      <c r="AG382" s="24"/>
      <c r="AH382" s="25" t="n">
        <f aca="false">IFERROR(AH379*AH380*AH381,"n/a")</f>
        <v>0.0937609046592166</v>
      </c>
      <c r="AI382" s="24"/>
      <c r="AJ382" s="24"/>
      <c r="AK382" s="24"/>
      <c r="AL382" s="24"/>
      <c r="AM382" s="25" t="n">
        <f aca="false">IFERROR(AM379*AM380*AM381,"n/a")</f>
        <v>0.111260506236288</v>
      </c>
      <c r="AN382" s="24"/>
      <c r="AO382" s="24"/>
      <c r="AP382" s="24"/>
      <c r="AQ382" s="24"/>
      <c r="AR382" s="25" t="n">
        <f aca="false">IFERROR(AR379*AR380*AR381,"n/a")</f>
        <v>0.117993510714775</v>
      </c>
      <c r="AS382" s="24"/>
      <c r="AT382" s="24"/>
      <c r="AU382" s="24"/>
      <c r="AV382" s="24"/>
      <c r="AW382" s="25" t="n">
        <f aca="false">IFERROR(AW379*AW380*AW381,"n/a")</f>
        <v>0.178455791741011</v>
      </c>
      <c r="AX382" s="24"/>
      <c r="AY382" s="24"/>
      <c r="AZ382" s="24"/>
      <c r="BA382" s="24"/>
      <c r="BB382" s="25" t="n">
        <f aca="false">IFERROR(BB379*BB380*BB381,"n/a")</f>
        <v>0.145295149212288</v>
      </c>
      <c r="BC382" s="24"/>
      <c r="BD382" s="24"/>
      <c r="BE382" s="24"/>
      <c r="BF382" s="24"/>
      <c r="BG382" s="25" t="n">
        <f aca="false">IFERROR(BG379*BG380*BG381,"n/a")</f>
        <v>0.136246163140926</v>
      </c>
      <c r="BH382" s="24"/>
      <c r="BI382" s="24"/>
      <c r="BJ382" s="24"/>
      <c r="BK382" s="24"/>
      <c r="BL382" s="25" t="n">
        <f aca="false">IFERROR(BL379*BL380*BL381,"n/a")</f>
        <v>0.119838623502767</v>
      </c>
      <c r="BM382" s="24"/>
      <c r="BN382" s="24"/>
      <c r="BO382" s="24"/>
      <c r="BP382" s="24"/>
      <c r="BQ382" s="25" t="n">
        <f aca="false">IFERROR(BQ379*BQ380*BQ381,"n/a")</f>
        <v>0.115253939070505</v>
      </c>
      <c r="BR382" s="24"/>
      <c r="BS382" s="24"/>
      <c r="BT382" s="24"/>
      <c r="BU382" s="24"/>
      <c r="BV382" s="25" t="n">
        <f aca="false">IFERROR(BV379*BV380*BV381,"n/a")</f>
        <v>0.109385096196742</v>
      </c>
      <c r="BW382" s="24"/>
      <c r="BX382" s="24"/>
      <c r="BY382" s="29"/>
      <c r="BZ382" s="29"/>
      <c r="CA382" s="26" t="n">
        <f aca="false">IFERROR(CA379*CA380*CA381,"n/a")</f>
        <v>0.110521747411149</v>
      </c>
      <c r="CB382" s="26" t="n">
        <f aca="false">IFERROR(CB379*CB380*CB381,"n/a")</f>
        <v>0.113512322576887</v>
      </c>
      <c r="CC382" s="26" t="n">
        <f aca="false">IFERROR(CC379*CC380*CC381,"n/a")</f>
        <v>0.11869907873233</v>
      </c>
      <c r="CD382" s="26" t="n">
        <f aca="false">IFERROR(CD379*CD380*CD381,"n/a")</f>
        <v>0.124170511191386</v>
      </c>
      <c r="CE382" s="26" t="n">
        <f aca="false">IFERROR(CE379*CE380*CE381,"n/a")</f>
        <v>0.130329608593434</v>
      </c>
      <c r="CF382" s="21"/>
    </row>
    <row r="383" customFormat="false" ht="15" hidden="false" customHeight="false" outlineLevel="0" collapsed="false">
      <c r="B383" s="12" t="s">
        <v>580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3"/>
    </row>
    <row r="384" customFormat="false" ht="15" hidden="false" customHeight="false" outlineLevel="0" collapsed="false">
      <c r="B384" s="23" t="s">
        <v>571</v>
      </c>
      <c r="C384" s="61" t="n">
        <f aca="false">C374</f>
        <v>410.332597446463</v>
      </c>
      <c r="D384" s="61" t="n">
        <f aca="false">D374</f>
        <v>1243.18976296583</v>
      </c>
      <c r="E384" s="61" t="n">
        <f aca="false">E374</f>
        <v>1438.53515953569</v>
      </c>
      <c r="F384" s="61" t="n">
        <f aca="false">F374</f>
        <v>1371.21730303595</v>
      </c>
      <c r="G384" s="61" t="n">
        <f aca="false">G374</f>
        <v>1518.47320943376</v>
      </c>
      <c r="H384" s="61" t="n">
        <f aca="false">H374</f>
        <v>1720.69293348868</v>
      </c>
      <c r="I384" s="61" t="n">
        <f aca="false">I374</f>
        <v>1981.69465331919</v>
      </c>
      <c r="J384" s="38"/>
      <c r="K384" s="38"/>
      <c r="L384" s="38"/>
      <c r="M384" s="38"/>
      <c r="N384" s="61" t="n">
        <f aca="false">N374</f>
        <v>2177.28117996897</v>
      </c>
      <c r="O384" s="38"/>
      <c r="P384" s="38"/>
      <c r="Q384" s="38"/>
      <c r="R384" s="38"/>
      <c r="S384" s="61" t="n">
        <f aca="false">S374</f>
        <v>3159.06020330291</v>
      </c>
      <c r="T384" s="38"/>
      <c r="U384" s="38"/>
      <c r="V384" s="38"/>
      <c r="W384" s="38"/>
      <c r="X384" s="61" t="n">
        <f aca="false">X374</f>
        <v>3297.95595922635</v>
      </c>
      <c r="Y384" s="38"/>
      <c r="Z384" s="38"/>
      <c r="AA384" s="38"/>
      <c r="AB384" s="38"/>
      <c r="AC384" s="61" t="n">
        <f aca="false">AC374</f>
        <v>3637.2668989547</v>
      </c>
      <c r="AD384" s="38"/>
      <c r="AE384" s="38"/>
      <c r="AF384" s="38"/>
      <c r="AG384" s="38"/>
      <c r="AH384" s="61" t="n">
        <f aca="false">AH374</f>
        <v>4227.30414746544</v>
      </c>
      <c r="AI384" s="38"/>
      <c r="AJ384" s="38"/>
      <c r="AK384" s="38"/>
      <c r="AL384" s="38"/>
      <c r="AM384" s="61" t="n">
        <f aca="false">AM374</f>
        <v>4948.08849384645</v>
      </c>
      <c r="AN384" s="38"/>
      <c r="AO384" s="38"/>
      <c r="AP384" s="38"/>
      <c r="AQ384" s="38"/>
      <c r="AR384" s="61" t="n">
        <f aca="false">AR374</f>
        <v>5313.01180046487</v>
      </c>
      <c r="AS384" s="38"/>
      <c r="AT384" s="38"/>
      <c r="AU384" s="38"/>
      <c r="AV384" s="38"/>
      <c r="AW384" s="61" t="n">
        <f aca="false">AW374</f>
        <v>8194.15458937198</v>
      </c>
      <c r="AX384" s="38"/>
      <c r="AY384" s="38"/>
      <c r="AZ384" s="38"/>
      <c r="BA384" s="38"/>
      <c r="BB384" s="61" t="n">
        <f aca="false">BB374</f>
        <v>10369.714799281</v>
      </c>
      <c r="BC384" s="38"/>
      <c r="BD384" s="38"/>
      <c r="BE384" s="38"/>
      <c r="BF384" s="38"/>
      <c r="BG384" s="61" t="n">
        <f aca="false">BG374</f>
        <v>9552.49099013657</v>
      </c>
      <c r="BH384" s="38"/>
      <c r="BI384" s="38"/>
      <c r="BJ384" s="38"/>
      <c r="BK384" s="38"/>
      <c r="BL384" s="61" t="n">
        <f aca="false">BL374</f>
        <v>8829.94945693085</v>
      </c>
      <c r="BM384" s="38"/>
      <c r="BN384" s="38"/>
      <c r="BO384" s="38"/>
      <c r="BP384" s="38"/>
      <c r="BQ384" s="61" t="n">
        <f aca="false">BQ374</f>
        <v>8687.49616531743</v>
      </c>
      <c r="BR384" s="38"/>
      <c r="BS384" s="38"/>
      <c r="BT384" s="38"/>
      <c r="BU384" s="38"/>
      <c r="BV384" s="61" t="n">
        <f aca="false">BV374</f>
        <v>9058.83612662942</v>
      </c>
      <c r="BW384" s="38"/>
      <c r="BX384" s="38"/>
      <c r="BY384" s="39"/>
      <c r="BZ384" s="39"/>
      <c r="CA384" s="44" t="n">
        <f aca="false">CA374</f>
        <v>9951.52525722663</v>
      </c>
      <c r="CB384" s="44" t="n">
        <f aca="false">CB374</f>
        <v>10634.6188943588</v>
      </c>
      <c r="CC384" s="44" t="n">
        <f aca="false">CC374</f>
        <v>11569.4413527424</v>
      </c>
      <c r="CD384" s="44" t="n">
        <f aca="false">CD374</f>
        <v>12585.454700026</v>
      </c>
      <c r="CE384" s="44" t="n">
        <f aca="false">CE374</f>
        <v>13747.347369927</v>
      </c>
      <c r="CF384" s="21"/>
    </row>
    <row r="385" customFormat="false" ht="15" hidden="false" customHeight="false" outlineLevel="0" collapsed="false">
      <c r="B385" s="23" t="s">
        <v>581</v>
      </c>
      <c r="C385" s="61" t="n">
        <f aca="false">C302</f>
        <v>21262.238</v>
      </c>
      <c r="D385" s="61" t="n">
        <f aca="false">D302</f>
        <v>21201.3</v>
      </c>
      <c r="E385" s="61" t="n">
        <f aca="false">E302</f>
        <v>21090</v>
      </c>
      <c r="F385" s="61" t="n">
        <f aca="false">F302</f>
        <v>21600.8</v>
      </c>
      <c r="G385" s="61" t="n">
        <f aca="false">G302</f>
        <v>21386.8</v>
      </c>
      <c r="H385" s="61" t="n">
        <f aca="false">H302</f>
        <v>26833.7</v>
      </c>
      <c r="I385" s="61" t="n">
        <f aca="false">I302</f>
        <v>27359.8</v>
      </c>
      <c r="J385" s="38"/>
      <c r="K385" s="38"/>
      <c r="L385" s="38"/>
      <c r="M385" s="38"/>
      <c r="N385" s="61" t="n">
        <f aca="false">N302</f>
        <v>31876.2</v>
      </c>
      <c r="O385" s="38"/>
      <c r="P385" s="38"/>
      <c r="Q385" s="38"/>
      <c r="R385" s="38"/>
      <c r="S385" s="61" t="n">
        <f aca="false">S302</f>
        <v>42639.4</v>
      </c>
      <c r="T385" s="38"/>
      <c r="U385" s="38"/>
      <c r="V385" s="38"/>
      <c r="W385" s="38"/>
      <c r="X385" s="61" t="n">
        <f aca="false">X302</f>
        <v>40999.1</v>
      </c>
      <c r="Y385" s="38"/>
      <c r="Z385" s="38"/>
      <c r="AA385" s="38"/>
      <c r="AB385" s="38"/>
      <c r="AC385" s="61" t="n">
        <f aca="false">AC302</f>
        <v>45836.7</v>
      </c>
      <c r="AD385" s="38"/>
      <c r="AE385" s="38"/>
      <c r="AF385" s="38"/>
      <c r="AG385" s="38"/>
      <c r="AH385" s="61" t="n">
        <f aca="false">AH302</f>
        <v>56589</v>
      </c>
      <c r="AI385" s="38"/>
      <c r="AJ385" s="38"/>
      <c r="AK385" s="38"/>
      <c r="AL385" s="38"/>
      <c r="AM385" s="61" t="n">
        <f aca="false">AM302</f>
        <v>56181</v>
      </c>
      <c r="AN385" s="38"/>
      <c r="AO385" s="38"/>
      <c r="AP385" s="38"/>
      <c r="AQ385" s="38"/>
      <c r="AR385" s="61" t="n">
        <f aca="false">AR302</f>
        <v>58189</v>
      </c>
      <c r="AS385" s="38"/>
      <c r="AT385" s="38"/>
      <c r="AU385" s="38"/>
      <c r="AV385" s="38"/>
      <c r="AW385" s="61" t="n">
        <f aca="false">AW302</f>
        <v>69052</v>
      </c>
      <c r="AX385" s="38"/>
      <c r="AY385" s="38"/>
      <c r="AZ385" s="38"/>
      <c r="BA385" s="38"/>
      <c r="BB385" s="61" t="n">
        <f aca="false">BB302</f>
        <v>94791</v>
      </c>
      <c r="BC385" s="38"/>
      <c r="BD385" s="38"/>
      <c r="BE385" s="38"/>
      <c r="BF385" s="38"/>
      <c r="BG385" s="61" t="n">
        <f aca="false">BG302</f>
        <v>97290</v>
      </c>
      <c r="BH385" s="38"/>
      <c r="BI385" s="38"/>
      <c r="BJ385" s="38"/>
      <c r="BK385" s="38"/>
      <c r="BL385" s="61" t="n">
        <f aca="false">BL302</f>
        <v>98726</v>
      </c>
      <c r="BM385" s="38"/>
      <c r="BN385" s="38"/>
      <c r="BO385" s="38"/>
      <c r="BP385" s="38"/>
      <c r="BQ385" s="61" t="n">
        <f aca="false">BQ302</f>
        <v>97322</v>
      </c>
      <c r="BR385" s="38"/>
      <c r="BS385" s="38"/>
      <c r="BT385" s="38"/>
      <c r="BU385" s="38"/>
      <c r="BV385" s="61" t="n">
        <f aca="false">BV302</f>
        <v>110344</v>
      </c>
      <c r="BW385" s="38"/>
      <c r="BX385" s="38"/>
      <c r="BY385" s="39"/>
      <c r="BZ385" s="39"/>
      <c r="CA385" s="44" t="n">
        <f aca="false">CA302</f>
        <v>117419.095598212</v>
      </c>
      <c r="CB385" s="44" t="n">
        <f aca="false">CB302</f>
        <v>120617.099352233</v>
      </c>
      <c r="CC385" s="44" t="n">
        <f aca="false">CC302</f>
        <v>121500.08591097</v>
      </c>
      <c r="CD385" s="44" t="n">
        <f aca="false">CD302</f>
        <v>123801.220179747</v>
      </c>
      <c r="CE385" s="44" t="n">
        <f aca="false">CE302</f>
        <v>128279.753712097</v>
      </c>
      <c r="CF385" s="21"/>
    </row>
    <row r="386" customFormat="false" ht="15" hidden="false" customHeight="false" outlineLevel="0" collapsed="false">
      <c r="B386" s="23" t="s">
        <v>582</v>
      </c>
      <c r="C386" s="61" t="n">
        <f aca="false">-(C300+C299)</f>
        <v>-16036.554</v>
      </c>
      <c r="D386" s="61" t="n">
        <f aca="false">-(D300+D299)</f>
        <v>-15871</v>
      </c>
      <c r="E386" s="61" t="n">
        <f aca="false">-(E300+E299)</f>
        <v>-15100.9</v>
      </c>
      <c r="F386" s="61" t="n">
        <f aca="false">-(F300+F299)</f>
        <v>-15319.9</v>
      </c>
      <c r="G386" s="61" t="n">
        <f aca="false">-(G300+G299)</f>
        <v>-15311.7</v>
      </c>
      <c r="H386" s="61" t="n">
        <f aca="false">-(H300+H299)</f>
        <v>-19803.9</v>
      </c>
      <c r="I386" s="61" t="n">
        <f aca="false">-(I300+I299)</f>
        <v>-20279</v>
      </c>
      <c r="J386" s="38"/>
      <c r="K386" s="38"/>
      <c r="L386" s="38"/>
      <c r="M386" s="38"/>
      <c r="N386" s="61" t="n">
        <f aca="false">-(N300+N299)</f>
        <v>-19574.6</v>
      </c>
      <c r="O386" s="38"/>
      <c r="P386" s="38"/>
      <c r="Q386" s="38"/>
      <c r="R386" s="38"/>
      <c r="S386" s="61" t="n">
        <f aca="false">-(S300+S299)</f>
        <v>-32952.7</v>
      </c>
      <c r="T386" s="38"/>
      <c r="U386" s="38"/>
      <c r="V386" s="38"/>
      <c r="W386" s="38"/>
      <c r="X386" s="61" t="n">
        <f aca="false">-(X300+X299)</f>
        <v>-31585.9</v>
      </c>
      <c r="Y386" s="38"/>
      <c r="Z386" s="38"/>
      <c r="AA386" s="38"/>
      <c r="AB386" s="38"/>
      <c r="AC386" s="61" t="n">
        <f aca="false">-(AC300+AC299)</f>
        <v>-35296.8</v>
      </c>
      <c r="AD386" s="38"/>
      <c r="AE386" s="38"/>
      <c r="AF386" s="38"/>
      <c r="AG386" s="38"/>
      <c r="AH386" s="61" t="n">
        <f aca="false">-(AH300+AH299)</f>
        <v>-41974</v>
      </c>
      <c r="AI386" s="38"/>
      <c r="AJ386" s="38"/>
      <c r="AK386" s="38"/>
      <c r="AL386" s="38"/>
      <c r="AM386" s="61" t="n">
        <f aca="false">-(AM300+AM299)</f>
        <v>-40325</v>
      </c>
      <c r="AN386" s="38"/>
      <c r="AO386" s="38"/>
      <c r="AP386" s="38"/>
      <c r="AQ386" s="38"/>
      <c r="AR386" s="61" t="n">
        <f aca="false">-(AR300+AR299)</f>
        <v>-39728</v>
      </c>
      <c r="AS386" s="38"/>
      <c r="AT386" s="38"/>
      <c r="AU386" s="38"/>
      <c r="AV386" s="38"/>
      <c r="AW386" s="61" t="n">
        <f aca="false">-(AW300+AW299)</f>
        <v>-38726</v>
      </c>
      <c r="AX386" s="38"/>
      <c r="AY386" s="38"/>
      <c r="AZ386" s="38"/>
      <c r="BA386" s="38"/>
      <c r="BB386" s="61" t="n">
        <f aca="false">-(BB300+BB299)</f>
        <v>-62037</v>
      </c>
      <c r="BC386" s="38"/>
      <c r="BD386" s="38"/>
      <c r="BE386" s="38"/>
      <c r="BF386" s="38"/>
      <c r="BG386" s="61" t="n">
        <f aca="false">-(BG300+BG299)</f>
        <v>-58638</v>
      </c>
      <c r="BH386" s="38"/>
      <c r="BI386" s="38"/>
      <c r="BJ386" s="38"/>
      <c r="BK386" s="38"/>
      <c r="BL386" s="61" t="n">
        <f aca="false">-(BL300+BL299)</f>
        <v>-60690</v>
      </c>
      <c r="BM386" s="38"/>
      <c r="BN386" s="38"/>
      <c r="BO386" s="38"/>
      <c r="BP386" s="38"/>
      <c r="BQ386" s="61" t="n">
        <f aca="false">-(BQ300+BQ299)</f>
        <v>-61386</v>
      </c>
      <c r="BR386" s="38"/>
      <c r="BS386" s="38"/>
      <c r="BT386" s="38"/>
      <c r="BU386" s="38"/>
      <c r="BV386" s="61" t="n">
        <f aca="false">-(BV300+BV299)</f>
        <v>-65200</v>
      </c>
      <c r="BW386" s="38"/>
      <c r="BX386" s="38"/>
      <c r="BY386" s="39"/>
      <c r="BZ386" s="39"/>
      <c r="CA386" s="44" t="n">
        <f aca="false">-(CA300+CA299)</f>
        <v>-72468</v>
      </c>
      <c r="CB386" s="44" t="n">
        <f aca="false">-(CB300+CB299)</f>
        <v>-74279.9523809524</v>
      </c>
      <c r="CC386" s="44" t="n">
        <f aca="false">-(CC300+CC299)</f>
        <v>-76012.6190476191</v>
      </c>
      <c r="CD386" s="44" t="n">
        <f aca="false">-(CD300+CD299)</f>
        <v>-77751.8766666667</v>
      </c>
      <c r="CE386" s="44" t="n">
        <f aca="false">-(CE300+CE299)</f>
        <v>-79675.3052380952</v>
      </c>
      <c r="CF386" s="21"/>
    </row>
    <row r="387" customFormat="false" ht="15" hidden="false" customHeight="false" outlineLevel="0" collapsed="false">
      <c r="B387" s="23" t="s">
        <v>583</v>
      </c>
      <c r="C387" s="61" t="n">
        <f aca="false">-(C309-N(C304))</f>
        <v>-1669.023</v>
      </c>
      <c r="D387" s="61" t="n">
        <f aca="false">-(D309-N(D304))</f>
        <v>-1756.1</v>
      </c>
      <c r="E387" s="61" t="n">
        <f aca="false">-(E309-N(E304))</f>
        <v>-1525.4</v>
      </c>
      <c r="F387" s="61" t="n">
        <f aca="false">-(F309-N(F304))</f>
        <v>-1521.8</v>
      </c>
      <c r="G387" s="61" t="n">
        <f aca="false">-(G309-N(G304))</f>
        <v>-1636.6</v>
      </c>
      <c r="H387" s="61" t="n">
        <f aca="false">-(H309-N(H304))</f>
        <v>-1816.4</v>
      </c>
      <c r="I387" s="61" t="n">
        <f aca="false">-(I309-N(I304))</f>
        <v>-2030.7</v>
      </c>
      <c r="J387" s="38"/>
      <c r="K387" s="38"/>
      <c r="L387" s="38"/>
      <c r="M387" s="38"/>
      <c r="N387" s="61" t="n">
        <f aca="false">-(N309-N(N304))</f>
        <v>-2129.6</v>
      </c>
      <c r="O387" s="38"/>
      <c r="P387" s="38"/>
      <c r="Q387" s="38"/>
      <c r="R387" s="38"/>
      <c r="S387" s="61" t="n">
        <f aca="false">-(S309-N(S304))</f>
        <v>-3192.1</v>
      </c>
      <c r="T387" s="38"/>
      <c r="U387" s="38"/>
      <c r="V387" s="38"/>
      <c r="W387" s="38"/>
      <c r="X387" s="61" t="n">
        <f aca="false">-(X309-N(X304))</f>
        <v>-3048.4</v>
      </c>
      <c r="Y387" s="38"/>
      <c r="Z387" s="38"/>
      <c r="AA387" s="38"/>
      <c r="AB387" s="38"/>
      <c r="AC387" s="61" t="n">
        <f aca="false">-(AC309-N(AC304))</f>
        <v>-3525.5</v>
      </c>
      <c r="AD387" s="38"/>
      <c r="AE387" s="38"/>
      <c r="AF387" s="38"/>
      <c r="AG387" s="38"/>
      <c r="AH387" s="61" t="n">
        <f aca="false">-(AH309-N(AH304))</f>
        <v>-4861</v>
      </c>
      <c r="AI387" s="38"/>
      <c r="AJ387" s="38"/>
      <c r="AK387" s="38"/>
      <c r="AL387" s="38"/>
      <c r="AM387" s="61" t="n">
        <f aca="false">-(AM309-N(AM304))</f>
        <v>-4952</v>
      </c>
      <c r="AN387" s="38"/>
      <c r="AO387" s="38"/>
      <c r="AP387" s="38"/>
      <c r="AQ387" s="38"/>
      <c r="AR387" s="61" t="n">
        <f aca="false">-(AR309-N(AR304))</f>
        <v>-5525</v>
      </c>
      <c r="AS387" s="38"/>
      <c r="AT387" s="38"/>
      <c r="AU387" s="38"/>
      <c r="AV387" s="38"/>
      <c r="AW387" s="61" t="n">
        <f aca="false">-(AW309-N(AW304))</f>
        <v>-7676</v>
      </c>
      <c r="AX387" s="38"/>
      <c r="AY387" s="38"/>
      <c r="AZ387" s="38"/>
      <c r="BA387" s="38"/>
      <c r="BB387" s="61" t="n">
        <f aca="false">-(BB309-N(BB304))</f>
        <v>-10806</v>
      </c>
      <c r="BC387" s="38"/>
      <c r="BD387" s="38"/>
      <c r="BE387" s="38"/>
      <c r="BF387" s="38"/>
      <c r="BG387" s="61" t="n">
        <f aca="false">-(BG309-N(BG304))</f>
        <v>-11535</v>
      </c>
      <c r="BH387" s="38"/>
      <c r="BI387" s="38"/>
      <c r="BJ387" s="38"/>
      <c r="BK387" s="38"/>
      <c r="BL387" s="61" t="n">
        <f aca="false">-(BL309-N(BL304))</f>
        <v>-10403</v>
      </c>
      <c r="BM387" s="38"/>
      <c r="BN387" s="38"/>
      <c r="BO387" s="38"/>
      <c r="BP387" s="38"/>
      <c r="BQ387" s="61" t="n">
        <f aca="false">-(BQ309-N(BQ304))</f>
        <v>-11118</v>
      </c>
      <c r="BR387" s="38"/>
      <c r="BS387" s="38"/>
      <c r="BT387" s="38"/>
      <c r="BU387" s="38"/>
      <c r="BV387" s="61" t="n">
        <f aca="false">-(BV309-N(BV304))</f>
        <v>-11656</v>
      </c>
      <c r="BW387" s="38"/>
      <c r="BX387" s="38"/>
      <c r="BY387" s="39"/>
      <c r="BZ387" s="39"/>
      <c r="CA387" s="44" t="n">
        <f aca="false">-(CA309-N(CA304))</f>
        <v>-12117.0044545214</v>
      </c>
      <c r="CB387" s="44" t="n">
        <f aca="false">-(CB309-N(CB304))</f>
        <v>-12635.4952945231</v>
      </c>
      <c r="CC387" s="44" t="n">
        <f aca="false">-(CC309-N(CC304))</f>
        <v>-13356.262350316</v>
      </c>
      <c r="CD387" s="44" t="n">
        <f aca="false">-(CD309-N(CD304))</f>
        <v>-14131.52255536</v>
      </c>
      <c r="CE387" s="44" t="n">
        <f aca="false">-(CE309-N(CE304))</f>
        <v>-14954.0443285848</v>
      </c>
      <c r="CF387" s="21"/>
    </row>
    <row r="388" customFormat="false" ht="15" hidden="false" customHeight="false" outlineLevel="0" collapsed="false">
      <c r="B388" s="17" t="s">
        <v>584</v>
      </c>
      <c r="C388" s="63" t="n">
        <f aca="false">SUM(C385:C387)</f>
        <v>3556.661</v>
      </c>
      <c r="D388" s="63" t="n">
        <f aca="false">SUM(D385:D387)</f>
        <v>3574.2</v>
      </c>
      <c r="E388" s="63" t="n">
        <f aca="false">SUM(E385:E387)</f>
        <v>4463.7</v>
      </c>
      <c r="F388" s="63" t="n">
        <f aca="false">SUM(F385:F387)</f>
        <v>4759.1</v>
      </c>
      <c r="G388" s="63" t="n">
        <f aca="false">SUM(G385:G387)</f>
        <v>4438.5</v>
      </c>
      <c r="H388" s="63" t="n">
        <f aca="false">SUM(H385:H387)</f>
        <v>5213.4</v>
      </c>
      <c r="I388" s="63" t="n">
        <f aca="false">SUM(I385:I387)</f>
        <v>5050.1</v>
      </c>
      <c r="J388" s="18"/>
      <c r="K388" s="18"/>
      <c r="L388" s="18"/>
      <c r="M388" s="18"/>
      <c r="N388" s="63" t="n">
        <f aca="false">SUM(N385:N387)</f>
        <v>10172</v>
      </c>
      <c r="O388" s="18"/>
      <c r="P388" s="18"/>
      <c r="Q388" s="18"/>
      <c r="R388" s="18"/>
      <c r="S388" s="63" t="n">
        <f aca="false">SUM(S385:S387)</f>
        <v>6494.6</v>
      </c>
      <c r="T388" s="18"/>
      <c r="U388" s="18"/>
      <c r="V388" s="18"/>
      <c r="W388" s="18"/>
      <c r="X388" s="63" t="n">
        <f aca="false">SUM(X385:X387)</f>
        <v>6364.8</v>
      </c>
      <c r="Y388" s="18"/>
      <c r="Z388" s="18"/>
      <c r="AA388" s="18"/>
      <c r="AB388" s="18"/>
      <c r="AC388" s="63" t="n">
        <f aca="false">SUM(AC385:AC387)</f>
        <v>7014.39999999999</v>
      </c>
      <c r="AD388" s="18"/>
      <c r="AE388" s="18"/>
      <c r="AF388" s="18"/>
      <c r="AG388" s="18"/>
      <c r="AH388" s="63" t="n">
        <f aca="false">SUM(AH385:AH387)</f>
        <v>9754</v>
      </c>
      <c r="AI388" s="18"/>
      <c r="AJ388" s="18"/>
      <c r="AK388" s="18"/>
      <c r="AL388" s="18"/>
      <c r="AM388" s="63" t="n">
        <f aca="false">SUM(AM385:AM387)</f>
        <v>10904</v>
      </c>
      <c r="AN388" s="18"/>
      <c r="AO388" s="18"/>
      <c r="AP388" s="18"/>
      <c r="AQ388" s="18"/>
      <c r="AR388" s="63" t="n">
        <f aca="false">SUM(AR385:AR387)</f>
        <v>12936</v>
      </c>
      <c r="AS388" s="18"/>
      <c r="AT388" s="18"/>
      <c r="AU388" s="18"/>
      <c r="AV388" s="18"/>
      <c r="AW388" s="63" t="n">
        <f aca="false">SUM(AW385:AW387)</f>
        <v>22650</v>
      </c>
      <c r="AX388" s="18"/>
      <c r="AY388" s="18"/>
      <c r="AZ388" s="18"/>
      <c r="BA388" s="18"/>
      <c r="BB388" s="63" t="n">
        <f aca="false">SUM(BB385:BB387)</f>
        <v>21948</v>
      </c>
      <c r="BC388" s="18"/>
      <c r="BD388" s="18"/>
      <c r="BE388" s="18"/>
      <c r="BF388" s="18"/>
      <c r="BG388" s="63" t="n">
        <f aca="false">SUM(BG385:BG387)</f>
        <v>27117</v>
      </c>
      <c r="BH388" s="18"/>
      <c r="BI388" s="18"/>
      <c r="BJ388" s="18"/>
      <c r="BK388" s="18"/>
      <c r="BL388" s="63" t="n">
        <f aca="false">SUM(BL385:BL387)</f>
        <v>27633</v>
      </c>
      <c r="BM388" s="18"/>
      <c r="BN388" s="18"/>
      <c r="BO388" s="18"/>
      <c r="BP388" s="18"/>
      <c r="BQ388" s="63" t="n">
        <f aca="false">SUM(BQ385:BQ387)</f>
        <v>24818</v>
      </c>
      <c r="BR388" s="18"/>
      <c r="BS388" s="18"/>
      <c r="BT388" s="18"/>
      <c r="BU388" s="18"/>
      <c r="BV388" s="63" t="n">
        <f aca="false">SUM(BV385:BV387)</f>
        <v>33488</v>
      </c>
      <c r="BW388" s="18"/>
      <c r="BX388" s="18"/>
      <c r="BY388" s="52"/>
      <c r="BZ388" s="52"/>
      <c r="CA388" s="20" t="n">
        <f aca="false">SUM(CA385:CA387)</f>
        <v>32834.091143691</v>
      </c>
      <c r="CB388" s="20" t="n">
        <f aca="false">SUM(CB385:CB387)</f>
        <v>33701.6516767578</v>
      </c>
      <c r="CC388" s="20" t="n">
        <f aca="false">SUM(CC385:CC387)</f>
        <v>32131.2045130351</v>
      </c>
      <c r="CD388" s="20" t="n">
        <f aca="false">SUM(CD385:CD387)</f>
        <v>31917.8209577202</v>
      </c>
      <c r="CE388" s="20" t="n">
        <f aca="false">SUM(CE385:CE387)</f>
        <v>33650.4041454168</v>
      </c>
      <c r="CF388" s="21"/>
    </row>
    <row r="389" customFormat="false" ht="15" hidden="false" customHeight="false" outlineLevel="0" collapsed="false">
      <c r="B389" s="58" t="s">
        <v>585</v>
      </c>
      <c r="C389" s="81" t="n">
        <f aca="false">IFERROR(C384/C388,"n/a")</f>
        <v>0.115370173723743</v>
      </c>
      <c r="D389" s="81" t="n">
        <f aca="false">IFERROR(D384/D388,"n/a")</f>
        <v>0.347823222809533</v>
      </c>
      <c r="E389" s="81" t="n">
        <f aca="false">IFERROR(E384/E388,"n/a")</f>
        <v>0.322274158105539</v>
      </c>
      <c r="F389" s="81" t="n">
        <f aca="false">IFERROR(F384/F388,"n/a")</f>
        <v>0.288125339462492</v>
      </c>
      <c r="G389" s="81" t="n">
        <f aca="false">IFERROR(G384/G388,"n/a")</f>
        <v>0.342114049664021</v>
      </c>
      <c r="H389" s="81" t="n">
        <f aca="false">IFERROR(H384/H388,"n/a")</f>
        <v>0.3300519686747</v>
      </c>
      <c r="I389" s="81" t="n">
        <f aca="false">IFERROR(I384/I388,"n/a")</f>
        <v>0.392407012399593</v>
      </c>
      <c r="J389" s="82"/>
      <c r="K389" s="82"/>
      <c r="L389" s="82"/>
      <c r="M389" s="82"/>
      <c r="N389" s="81" t="n">
        <f aca="false">IFERROR(N384/N388,"n/a")</f>
        <v>0.214046517889203</v>
      </c>
      <c r="O389" s="82"/>
      <c r="P389" s="82"/>
      <c r="Q389" s="82"/>
      <c r="R389" s="82"/>
      <c r="S389" s="81" t="n">
        <f aca="false">IFERROR(S384/S388,"n/a")</f>
        <v>0.486413359298942</v>
      </c>
      <c r="T389" s="82"/>
      <c r="U389" s="82"/>
      <c r="V389" s="82"/>
      <c r="W389" s="82"/>
      <c r="X389" s="81" t="n">
        <f aca="false">IFERROR(X384/X388,"n/a")</f>
        <v>0.518155473734658</v>
      </c>
      <c r="Y389" s="82"/>
      <c r="Z389" s="82"/>
      <c r="AA389" s="82"/>
      <c r="AB389" s="82"/>
      <c r="AC389" s="81" t="n">
        <f aca="false">IFERROR(AC384/AC388,"n/a")</f>
        <v>0.518542840293497</v>
      </c>
      <c r="AD389" s="82"/>
      <c r="AE389" s="82"/>
      <c r="AF389" s="82"/>
      <c r="AG389" s="82"/>
      <c r="AH389" s="81" t="n">
        <f aca="false">IFERROR(AH384/AH388,"n/a")</f>
        <v>0.433391854363896</v>
      </c>
      <c r="AI389" s="82"/>
      <c r="AJ389" s="82"/>
      <c r="AK389" s="82"/>
      <c r="AL389" s="82"/>
      <c r="AM389" s="81" t="n">
        <f aca="false">IFERROR(AM384/AM388,"n/a")</f>
        <v>0.453786545657232</v>
      </c>
      <c r="AN389" s="82"/>
      <c r="AO389" s="82"/>
      <c r="AP389" s="82"/>
      <c r="AQ389" s="82"/>
      <c r="AR389" s="81" t="n">
        <f aca="false">IFERROR(AR384/AR388,"n/a")</f>
        <v>0.410715197933277</v>
      </c>
      <c r="AS389" s="82"/>
      <c r="AT389" s="82"/>
      <c r="AU389" s="82"/>
      <c r="AV389" s="82"/>
      <c r="AW389" s="81" t="n">
        <f aca="false">IFERROR(AW384/AW388,"n/a")</f>
        <v>0.361772829552847</v>
      </c>
      <c r="AX389" s="82"/>
      <c r="AY389" s="82"/>
      <c r="AZ389" s="82"/>
      <c r="BA389" s="82"/>
      <c r="BB389" s="81" t="n">
        <f aca="false">IFERROR(BB384/BB388,"n/a")</f>
        <v>0.472467413854611</v>
      </c>
      <c r="BC389" s="82"/>
      <c r="BD389" s="82"/>
      <c r="BE389" s="82"/>
      <c r="BF389" s="82"/>
      <c r="BG389" s="81" t="n">
        <f aca="false">IFERROR(BG384/BG388,"n/a")</f>
        <v>0.352269461597395</v>
      </c>
      <c r="BH389" s="82"/>
      <c r="BI389" s="82"/>
      <c r="BJ389" s="82"/>
      <c r="BK389" s="82"/>
      <c r="BL389" s="81" t="n">
        <f aca="false">IFERROR(BL384/BL388,"n/a")</f>
        <v>0.319543641911152</v>
      </c>
      <c r="BM389" s="82"/>
      <c r="BN389" s="82"/>
      <c r="BO389" s="82"/>
      <c r="BP389" s="82"/>
      <c r="BQ389" s="81" t="n">
        <f aca="false">IFERROR(BQ384/BQ388,"n/a")</f>
        <v>0.350048197490427</v>
      </c>
      <c r="BR389" s="82"/>
      <c r="BS389" s="82"/>
      <c r="BT389" s="82"/>
      <c r="BU389" s="82"/>
      <c r="BV389" s="81" t="n">
        <f aca="false">IFERROR(BV384/BV388,"n/a")</f>
        <v>0.270509917780382</v>
      </c>
      <c r="BW389" s="82"/>
      <c r="BX389" s="82"/>
      <c r="BY389" s="82"/>
      <c r="BZ389" s="82"/>
      <c r="CA389" s="81" t="n">
        <f aca="false">IFERROR(CA384/CA388,"n/a")</f>
        <v>0.303085144451723</v>
      </c>
      <c r="CB389" s="81" t="n">
        <f aca="false">IFERROR(CB384/CB388,"n/a")</f>
        <v>0.315551860673134</v>
      </c>
      <c r="CC389" s="81" t="n">
        <f aca="false">IFERROR(CC384/CC388,"n/a")</f>
        <v>0.360068709781761</v>
      </c>
      <c r="CD389" s="81" t="n">
        <f aca="false">IFERROR(CD384/CD388,"n/a")</f>
        <v>0.394308080012645</v>
      </c>
      <c r="CE389" s="81" t="n">
        <f aca="false">IFERROR(CE384/CE388,"n/a")</f>
        <v>0.408534391162709</v>
      </c>
      <c r="CF389" s="21"/>
    </row>
    <row r="390" customFormat="false" ht="15" hidden="false" customHeight="false" outlineLevel="0" collapsed="false">
      <c r="B390" s="12" t="s">
        <v>586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3"/>
    </row>
    <row r="391" customFormat="false" ht="15" hidden="false" customHeight="false" outlineLevel="0" collapsed="false">
      <c r="B391" s="23" t="s">
        <v>587</v>
      </c>
      <c r="C391" s="61" t="n">
        <f aca="false">C159</f>
        <v>168.935</v>
      </c>
      <c r="D391" s="61" t="n">
        <f aca="false">D159</f>
        <v>761.099999999998</v>
      </c>
      <c r="E391" s="61" t="n">
        <f aca="false">E159</f>
        <v>994.200000000002</v>
      </c>
      <c r="F391" s="61" t="n">
        <f aca="false">F159</f>
        <v>850.300000000001</v>
      </c>
      <c r="G391" s="61" t="n">
        <f aca="false">G159</f>
        <v>1035.6</v>
      </c>
      <c r="H391" s="61" t="n">
        <f aca="false">H159</f>
        <v>1329.9</v>
      </c>
      <c r="I391" s="61" t="n">
        <f aca="false">I159</f>
        <v>1177.9</v>
      </c>
      <c r="J391" s="38"/>
      <c r="K391" s="38"/>
      <c r="L391" s="38"/>
      <c r="M391" s="38"/>
      <c r="N391" s="61" t="n">
        <f aca="false">N159</f>
        <v>1273.3</v>
      </c>
      <c r="O391" s="38"/>
      <c r="P391" s="38"/>
      <c r="Q391" s="38"/>
      <c r="R391" s="38"/>
      <c r="S391" s="61" t="n">
        <f aca="false">S159</f>
        <v>1894.4</v>
      </c>
      <c r="T391" s="38"/>
      <c r="U391" s="38"/>
      <c r="V391" s="38"/>
      <c r="W391" s="38"/>
      <c r="X391" s="61" t="n">
        <f aca="false">X159</f>
        <v>1975.4</v>
      </c>
      <c r="Y391" s="38"/>
      <c r="Z391" s="38"/>
      <c r="AA391" s="38"/>
      <c r="AB391" s="38"/>
      <c r="AC391" s="61" t="n">
        <f aca="false">AC159</f>
        <v>2021.8</v>
      </c>
      <c r="AD391" s="38"/>
      <c r="AE391" s="38"/>
      <c r="AF391" s="38"/>
      <c r="AG391" s="38"/>
      <c r="AH391" s="61" t="n">
        <f aca="false">AH159</f>
        <v>2225</v>
      </c>
      <c r="AI391" s="38"/>
      <c r="AJ391" s="38"/>
      <c r="AK391" s="38"/>
      <c r="AL391" s="38"/>
      <c r="AM391" s="61" t="n">
        <f aca="false">AM159</f>
        <v>2938</v>
      </c>
      <c r="AN391" s="38"/>
      <c r="AO391" s="38"/>
      <c r="AP391" s="38"/>
      <c r="AQ391" s="38"/>
      <c r="AR391" s="61" t="n">
        <f aca="false">AR159</f>
        <v>3696</v>
      </c>
      <c r="AS391" s="38"/>
      <c r="AT391" s="38"/>
      <c r="AU391" s="38"/>
      <c r="AV391" s="38"/>
      <c r="AW391" s="61" t="n">
        <f aca="false">AW159</f>
        <v>6375</v>
      </c>
      <c r="AX391" s="38"/>
      <c r="AY391" s="38"/>
      <c r="AZ391" s="38"/>
      <c r="BA391" s="38"/>
      <c r="BB391" s="61" t="n">
        <f aca="false">BB159</f>
        <v>7725</v>
      </c>
      <c r="BC391" s="38"/>
      <c r="BD391" s="38"/>
      <c r="BE391" s="38"/>
      <c r="BF391" s="38"/>
      <c r="BG391" s="61" t="n">
        <f aca="false">BG159</f>
        <v>6950</v>
      </c>
      <c r="BH391" s="38"/>
      <c r="BI391" s="38"/>
      <c r="BJ391" s="38"/>
      <c r="BK391" s="38"/>
      <c r="BL391" s="61" t="n">
        <f aca="false">BL159</f>
        <v>5995</v>
      </c>
      <c r="BM391" s="38"/>
      <c r="BN391" s="38"/>
      <c r="BO391" s="38"/>
      <c r="BP391" s="38"/>
      <c r="BQ391" s="61" t="n">
        <f aca="false">BQ159</f>
        <v>6335</v>
      </c>
      <c r="BR391" s="38"/>
      <c r="BS391" s="38"/>
      <c r="BT391" s="38"/>
      <c r="BU391" s="38"/>
      <c r="BV391" s="61" t="n">
        <f aca="false">BV159</f>
        <v>6704</v>
      </c>
      <c r="BW391" s="38"/>
      <c r="BX391" s="38"/>
      <c r="BY391" s="39"/>
      <c r="BZ391" s="39"/>
      <c r="CA391" s="44" t="n">
        <f aca="false">CA159</f>
        <v>7618.77625</v>
      </c>
      <c r="CB391" s="44" t="n">
        <f aca="false">CB159</f>
        <v>7907.71599807448</v>
      </c>
      <c r="CC391" s="44" t="n">
        <f aca="false">CC159</f>
        <v>8730.23879292395</v>
      </c>
      <c r="CD391" s="44" t="n">
        <f aca="false">CD159</f>
        <v>9605.01421040877</v>
      </c>
      <c r="CE391" s="44" t="n">
        <f aca="false">CE159</f>
        <v>10744.7372704989</v>
      </c>
      <c r="CF391" s="21"/>
    </row>
    <row r="392" customFormat="false" ht="15" hidden="false" customHeight="false" outlineLevel="0" collapsed="false">
      <c r="B392" s="23" t="s">
        <v>588</v>
      </c>
      <c r="C392" s="61" t="n">
        <f aca="false">C319</f>
        <v>13911.8</v>
      </c>
      <c r="D392" s="61" t="n">
        <f aca="false">D319</f>
        <v>14488.3</v>
      </c>
      <c r="E392" s="61" t="n">
        <f aca="false">E319</f>
        <v>14926.6</v>
      </c>
      <c r="F392" s="61" t="n">
        <f aca="false">F319</f>
        <v>15430.9</v>
      </c>
      <c r="G392" s="61" t="n">
        <f aca="false">G319</f>
        <v>15361</v>
      </c>
      <c r="H392" s="61" t="n">
        <f aca="false">H319</f>
        <v>15038.1</v>
      </c>
      <c r="I392" s="61" t="n">
        <f aca="false">I319</f>
        <v>15464.7</v>
      </c>
      <c r="J392" s="38"/>
      <c r="K392" s="38"/>
      <c r="L392" s="38"/>
      <c r="M392" s="38"/>
      <c r="N392" s="61" t="n">
        <f aca="false">N319</f>
        <v>16856.1</v>
      </c>
      <c r="O392" s="38"/>
      <c r="P392" s="38"/>
      <c r="Q392" s="38"/>
      <c r="R392" s="38"/>
      <c r="S392" s="61" t="n">
        <f aca="false">S319</f>
        <v>20548.1</v>
      </c>
      <c r="T392" s="38"/>
      <c r="U392" s="38"/>
      <c r="V392" s="38"/>
      <c r="W392" s="38"/>
      <c r="X392" s="61" t="n">
        <f aca="false">X319</f>
        <v>21350.2</v>
      </c>
      <c r="Y392" s="38"/>
      <c r="Z392" s="38"/>
      <c r="AA392" s="38"/>
      <c r="AB392" s="38"/>
      <c r="AC392" s="61" t="n">
        <f aca="false">AC319</f>
        <v>21539.3</v>
      </c>
      <c r="AD392" s="38"/>
      <c r="AE392" s="38"/>
      <c r="AF392" s="38"/>
      <c r="AG392" s="38"/>
      <c r="AH392" s="61" t="n">
        <f aca="false">AH319</f>
        <v>25413</v>
      </c>
      <c r="AI392" s="38"/>
      <c r="AJ392" s="38"/>
      <c r="AK392" s="38"/>
      <c r="AL392" s="38"/>
      <c r="AM392" s="61" t="n">
        <f aca="false">AM319</f>
        <v>27586</v>
      </c>
      <c r="AN392" s="38"/>
      <c r="AO392" s="38"/>
      <c r="AP392" s="38"/>
      <c r="AQ392" s="38"/>
      <c r="AR392" s="61" t="n">
        <f aca="false">AR319</f>
        <v>29675</v>
      </c>
      <c r="AS392" s="38"/>
      <c r="AT392" s="38"/>
      <c r="AU392" s="38"/>
      <c r="AV392" s="38"/>
      <c r="AW392" s="61" t="n">
        <f aca="false">AW319</f>
        <v>34507</v>
      </c>
      <c r="AX392" s="38"/>
      <c r="AY392" s="38"/>
      <c r="AZ392" s="38"/>
      <c r="BA392" s="38"/>
      <c r="BB392" s="61" t="n">
        <f aca="false">BB319</f>
        <v>40793</v>
      </c>
      <c r="BC392" s="38"/>
      <c r="BD392" s="38"/>
      <c r="BE392" s="38"/>
      <c r="BF392" s="38"/>
      <c r="BG392" s="61" t="n">
        <f aca="false">BG319</f>
        <v>43978</v>
      </c>
      <c r="BH392" s="38"/>
      <c r="BI392" s="38"/>
      <c r="BJ392" s="38"/>
      <c r="BK392" s="38"/>
      <c r="BL392" s="61" t="n">
        <f aca="false">BL319</f>
        <v>46735</v>
      </c>
      <c r="BM392" s="38"/>
      <c r="BN392" s="38"/>
      <c r="BO392" s="38"/>
      <c r="BP392" s="38"/>
      <c r="BQ392" s="61" t="n">
        <f aca="false">BQ319</f>
        <v>49585</v>
      </c>
      <c r="BR392" s="38"/>
      <c r="BS392" s="38"/>
      <c r="BT392" s="38"/>
      <c r="BU392" s="38"/>
      <c r="BV392" s="61" t="n">
        <f aca="false">BV319</f>
        <v>53407</v>
      </c>
      <c r="BW392" s="38"/>
      <c r="BX392" s="38"/>
      <c r="BY392" s="39"/>
      <c r="BZ392" s="39"/>
      <c r="CA392" s="44" t="n">
        <f aca="false">CA319</f>
        <v>56740.591143691</v>
      </c>
      <c r="CB392" s="44" t="n">
        <f aca="false">CB319</f>
        <v>59897.1159624721</v>
      </c>
      <c r="CC392" s="44" t="n">
        <f aca="false">CC319</f>
        <v>60556.1687987494</v>
      </c>
      <c r="CD392" s="44" t="n">
        <f aca="false">CD319</f>
        <v>61035.4368128475</v>
      </c>
      <c r="CE392" s="44" t="n">
        <f aca="false">CE319</f>
        <v>61506.0896527554</v>
      </c>
      <c r="CF392" s="21"/>
    </row>
    <row r="393" customFormat="false" ht="15" hidden="false" customHeight="false" outlineLevel="0" collapsed="false">
      <c r="B393" s="58" t="s">
        <v>589</v>
      </c>
      <c r="C393" s="81" t="n">
        <f aca="false">IFERROR(C391/C392,"n/a")</f>
        <v>0.0121432884314036</v>
      </c>
      <c r="D393" s="81" t="n">
        <f aca="false">IFERROR(D391/D392,"n/a")</f>
        <v>0.0525320430968435</v>
      </c>
      <c r="E393" s="81" t="n">
        <f aca="false">IFERROR(E391/E392,"n/a")</f>
        <v>0.0666059249929657</v>
      </c>
      <c r="F393" s="81" t="n">
        <f aca="false">IFERROR(F391/F392,"n/a")</f>
        <v>0.0551037204570052</v>
      </c>
      <c r="G393" s="81" t="n">
        <f aca="false">IFERROR(G391/G392,"n/a")</f>
        <v>0.0674174858407656</v>
      </c>
      <c r="H393" s="81" t="n">
        <f aca="false">IFERROR(H391/H392,"n/a")</f>
        <v>0.0884353741496599</v>
      </c>
      <c r="I393" s="81" t="n">
        <f aca="false">IFERROR(I391/I392,"n/a")</f>
        <v>0.0761670126158282</v>
      </c>
      <c r="J393" s="82"/>
      <c r="K393" s="82"/>
      <c r="L393" s="82"/>
      <c r="M393" s="82"/>
      <c r="N393" s="81" t="n">
        <f aca="false">IFERROR(N391/N392,"n/a")</f>
        <v>0.0755394189640545</v>
      </c>
      <c r="O393" s="82"/>
      <c r="P393" s="82"/>
      <c r="Q393" s="82"/>
      <c r="R393" s="82"/>
      <c r="S393" s="81" t="n">
        <f aca="false">IFERROR(S391/S392,"n/a")</f>
        <v>0.0921934388094275</v>
      </c>
      <c r="T393" s="82"/>
      <c r="U393" s="82"/>
      <c r="V393" s="82"/>
      <c r="W393" s="82"/>
      <c r="X393" s="81" t="n">
        <f aca="false">IFERROR(X391/X392,"n/a")</f>
        <v>0.0925237234311623</v>
      </c>
      <c r="Y393" s="82"/>
      <c r="Z393" s="82"/>
      <c r="AA393" s="82"/>
      <c r="AB393" s="82"/>
      <c r="AC393" s="81" t="n">
        <f aca="false">IFERROR(AC391/AC392,"n/a")</f>
        <v>0.0938656316593389</v>
      </c>
      <c r="AD393" s="82"/>
      <c r="AE393" s="82"/>
      <c r="AF393" s="82"/>
      <c r="AG393" s="82"/>
      <c r="AH393" s="81" t="n">
        <f aca="false">IFERROR(AH391/AH392,"n/a")</f>
        <v>0.0875536142918978</v>
      </c>
      <c r="AI393" s="82"/>
      <c r="AJ393" s="82"/>
      <c r="AK393" s="82"/>
      <c r="AL393" s="82"/>
      <c r="AM393" s="81" t="n">
        <f aca="false">IFERROR(AM391/AM392,"n/a")</f>
        <v>0.106503298774741</v>
      </c>
      <c r="AN393" s="82"/>
      <c r="AO393" s="82"/>
      <c r="AP393" s="82"/>
      <c r="AQ393" s="82"/>
      <c r="AR393" s="81" t="n">
        <f aca="false">IFERROR(AR391/AR392,"n/a")</f>
        <v>0.124549283909014</v>
      </c>
      <c r="AS393" s="82"/>
      <c r="AT393" s="82"/>
      <c r="AU393" s="82"/>
      <c r="AV393" s="82"/>
      <c r="AW393" s="81" t="n">
        <f aca="false">IFERROR(AW391/AW392,"n/a")</f>
        <v>0.184745124177703</v>
      </c>
      <c r="AX393" s="82"/>
      <c r="AY393" s="82"/>
      <c r="AZ393" s="82"/>
      <c r="BA393" s="82"/>
      <c r="BB393" s="81" t="n">
        <f aca="false">IFERROR(BB391/BB392,"n/a")</f>
        <v>0.189370725369549</v>
      </c>
      <c r="BC393" s="82"/>
      <c r="BD393" s="82"/>
      <c r="BE393" s="82"/>
      <c r="BF393" s="82"/>
      <c r="BG393" s="81" t="n">
        <f aca="false">IFERROR(BG391/BG392,"n/a")</f>
        <v>0.158033562235663</v>
      </c>
      <c r="BH393" s="82"/>
      <c r="BI393" s="82"/>
      <c r="BJ393" s="82"/>
      <c r="BK393" s="82"/>
      <c r="BL393" s="81" t="n">
        <f aca="false">IFERROR(BL391/BL392,"n/a")</f>
        <v>0.128276452337648</v>
      </c>
      <c r="BM393" s="82"/>
      <c r="BN393" s="82"/>
      <c r="BO393" s="82"/>
      <c r="BP393" s="82"/>
      <c r="BQ393" s="81" t="n">
        <f aca="false">IFERROR(BQ391/BQ392,"n/a")</f>
        <v>0.127760411414742</v>
      </c>
      <c r="BR393" s="82"/>
      <c r="BS393" s="82"/>
      <c r="BT393" s="82"/>
      <c r="BU393" s="82"/>
      <c r="BV393" s="81" t="n">
        <f aca="false">IFERROR(BV391/BV392,"n/a")</f>
        <v>0.125526616361151</v>
      </c>
      <c r="BW393" s="82"/>
      <c r="BX393" s="82"/>
      <c r="BY393" s="82"/>
      <c r="BZ393" s="82"/>
      <c r="CA393" s="81" t="n">
        <f aca="false">IFERROR(CA391/CA392,"n/a")</f>
        <v>0.134273825782076</v>
      </c>
      <c r="CB393" s="81" t="n">
        <f aca="false">IFERROR(CB391/CB392,"n/a")</f>
        <v>0.132021648638792</v>
      </c>
      <c r="CC393" s="81" t="n">
        <f aca="false">IFERROR(CC391/CC392,"n/a")</f>
        <v>0.144167621005513</v>
      </c>
      <c r="CD393" s="81" t="n">
        <f aca="false">IFERROR(CD391/CD392,"n/a")</f>
        <v>0.157367829444075</v>
      </c>
      <c r="CE393" s="81" t="n">
        <f aca="false">IFERROR(CE391/CE392,"n/a")</f>
        <v>0.174693877161764</v>
      </c>
      <c r="CF393" s="21"/>
    </row>
    <row r="394" customFormat="false" ht="15" hidden="false" customHeight="false" outlineLevel="0" collapsed="false">
      <c r="B394" s="12" t="s">
        <v>590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3"/>
    </row>
    <row r="395" customFormat="false" ht="15" hidden="false" customHeight="false" outlineLevel="0" collapsed="false">
      <c r="B395" s="23" t="s">
        <v>591</v>
      </c>
      <c r="C395" s="61" t="n">
        <f aca="false">C377</f>
        <v>1972.807</v>
      </c>
      <c r="D395" s="61" t="n">
        <f aca="false">D377</f>
        <v>1544.9</v>
      </c>
      <c r="E395" s="61" t="n">
        <f aca="false">E377</f>
        <v>770.3</v>
      </c>
      <c r="F395" s="61" t="n">
        <f aca="false">F377</f>
        <v>610.3</v>
      </c>
      <c r="G395" s="61" t="n">
        <f aca="false">G377</f>
        <v>1211.1</v>
      </c>
      <c r="H395" s="61" t="n">
        <f aca="false">H377</f>
        <v>6007.4</v>
      </c>
      <c r="I395" s="61" t="n">
        <f aca="false">I377</f>
        <v>6269</v>
      </c>
      <c r="J395" s="38"/>
      <c r="K395" s="38"/>
      <c r="L395" s="38"/>
      <c r="M395" s="38"/>
      <c r="N395" s="61" t="n">
        <f aca="false">N377</f>
        <v>4656.8</v>
      </c>
      <c r="O395" s="38"/>
      <c r="P395" s="38"/>
      <c r="Q395" s="38"/>
      <c r="R395" s="38"/>
      <c r="S395" s="61" t="n">
        <f aca="false">S377</f>
        <v>13212</v>
      </c>
      <c r="T395" s="38"/>
      <c r="U395" s="38"/>
      <c r="V395" s="38"/>
      <c r="W395" s="38"/>
      <c r="X395" s="61" t="n">
        <f aca="false">X377</f>
        <v>12074.6</v>
      </c>
      <c r="Y395" s="38"/>
      <c r="Z395" s="38"/>
      <c r="AA395" s="38"/>
      <c r="AB395" s="38"/>
      <c r="AC395" s="61" t="n">
        <f aca="false">AC377</f>
        <v>15841.7</v>
      </c>
      <c r="AD395" s="38"/>
      <c r="AE395" s="38"/>
      <c r="AF395" s="38"/>
      <c r="AG395" s="38"/>
      <c r="AH395" s="61" t="n">
        <f aca="false">AH377</f>
        <v>19673</v>
      </c>
      <c r="AI395" s="38"/>
      <c r="AJ395" s="38"/>
      <c r="AK395" s="38"/>
      <c r="AL395" s="38"/>
      <c r="AM395" s="61" t="n">
        <f aca="false">AM377</f>
        <v>16887</v>
      </c>
      <c r="AN395" s="38"/>
      <c r="AO395" s="38"/>
      <c r="AP395" s="38"/>
      <c r="AQ395" s="38"/>
      <c r="AR395" s="61" t="n">
        <f aca="false">AR377</f>
        <v>15353</v>
      </c>
      <c r="AS395" s="38"/>
      <c r="AT395" s="38"/>
      <c r="AU395" s="38"/>
      <c r="AV395" s="38"/>
      <c r="AW395" s="61" t="n">
        <f aca="false">AW377</f>
        <v>11410</v>
      </c>
      <c r="AX395" s="38"/>
      <c r="AY395" s="38"/>
      <c r="AZ395" s="38"/>
      <c r="BA395" s="38"/>
      <c r="BB395" s="61" t="n">
        <f aca="false">BB377</f>
        <v>30393</v>
      </c>
      <c r="BC395" s="38"/>
      <c r="BD395" s="38"/>
      <c r="BE395" s="38"/>
      <c r="BF395" s="38"/>
      <c r="BG395" s="61" t="n">
        <f aca="false">BG377</f>
        <v>25964</v>
      </c>
      <c r="BH395" s="38"/>
      <c r="BI395" s="38"/>
      <c r="BJ395" s="38"/>
      <c r="BK395" s="38"/>
      <c r="BL395" s="61" t="n">
        <f aca="false">BL377</f>
        <v>26840</v>
      </c>
      <c r="BM395" s="38"/>
      <c r="BN395" s="38"/>
      <c r="BO395" s="38"/>
      <c r="BP395" s="38"/>
      <c r="BQ395" s="61" t="n">
        <f aca="false">BQ377</f>
        <v>25705</v>
      </c>
      <c r="BR395" s="38"/>
      <c r="BS395" s="38"/>
      <c r="BT395" s="38"/>
      <c r="BU395" s="38"/>
      <c r="BV395" s="61" t="n">
        <f aca="false">BV377</f>
        <v>29280</v>
      </c>
      <c r="BW395" s="38"/>
      <c r="BX395" s="38"/>
      <c r="BY395" s="39"/>
      <c r="BZ395" s="39"/>
      <c r="CA395" s="44" t="n">
        <f aca="false">CA377</f>
        <v>33162.74</v>
      </c>
      <c r="CB395" s="44" t="n">
        <f aca="false">CB377</f>
        <v>33631.7953167458</v>
      </c>
      <c r="CC395" s="44" t="n">
        <f aca="false">CC377</f>
        <v>36734.501356913</v>
      </c>
      <c r="CD395" s="44" t="n">
        <f aca="false">CD377</f>
        <v>40122.7916448727</v>
      </c>
      <c r="CE395" s="44" t="n">
        <f aca="false">CE377</f>
        <v>43757.2934212329</v>
      </c>
      <c r="CF395" s="21"/>
    </row>
    <row r="396" customFormat="false" ht="15" hidden="false" customHeight="false" outlineLevel="0" collapsed="false">
      <c r="B396" s="23" t="s">
        <v>592</v>
      </c>
      <c r="C396" s="61" t="n">
        <f aca="false">C195</f>
        <v>642.816</v>
      </c>
      <c r="D396" s="61" t="n">
        <f aca="false">D195</f>
        <v>1822.6</v>
      </c>
      <c r="E396" s="61" t="n">
        <f aca="false">E195</f>
        <v>2059</v>
      </c>
      <c r="F396" s="61" t="n">
        <f aca="false">F195</f>
        <v>1905.2</v>
      </c>
      <c r="G396" s="61" t="n">
        <f aca="false">G195</f>
        <v>2114.3</v>
      </c>
      <c r="H396" s="61" t="n">
        <f aca="false">H195</f>
        <v>2343.4</v>
      </c>
      <c r="I396" s="61" t="n">
        <f aca="false">I195</f>
        <v>2616</v>
      </c>
      <c r="J396" s="38"/>
      <c r="K396" s="38"/>
      <c r="L396" s="38"/>
      <c r="M396" s="38"/>
      <c r="N396" s="61" t="n">
        <f aca="false">N195</f>
        <v>2789.3</v>
      </c>
      <c r="O396" s="38"/>
      <c r="P396" s="38"/>
      <c r="Q396" s="38"/>
      <c r="R396" s="38"/>
      <c r="S396" s="61" t="n">
        <f aca="false">S195</f>
        <v>4047.9</v>
      </c>
      <c r="T396" s="38"/>
      <c r="U396" s="38"/>
      <c r="V396" s="38"/>
      <c r="W396" s="38"/>
      <c r="X396" s="61" t="n">
        <f aca="false">X195</f>
        <v>4195.1</v>
      </c>
      <c r="Y396" s="38"/>
      <c r="Z396" s="38"/>
      <c r="AA396" s="38"/>
      <c r="AB396" s="38"/>
      <c r="AC396" s="61" t="n">
        <f aca="false">AC195</f>
        <v>4601.8</v>
      </c>
      <c r="AD396" s="38"/>
      <c r="AE396" s="38"/>
      <c r="AF396" s="38"/>
      <c r="AG396" s="38"/>
      <c r="AH396" s="61" t="n">
        <f aca="false">AH195</f>
        <v>5299</v>
      </c>
      <c r="AI396" s="38"/>
      <c r="AJ396" s="38"/>
      <c r="AK396" s="38"/>
      <c r="AL396" s="38"/>
      <c r="AM396" s="61" t="n">
        <f aca="false">AM195</f>
        <v>6141</v>
      </c>
      <c r="AN396" s="38"/>
      <c r="AO396" s="38"/>
      <c r="AP396" s="38"/>
      <c r="AQ396" s="38"/>
      <c r="AR396" s="61" t="n">
        <f aca="false">AR195</f>
        <v>6537</v>
      </c>
      <c r="AS396" s="38"/>
      <c r="AT396" s="38"/>
      <c r="AU396" s="38"/>
      <c r="AV396" s="38"/>
      <c r="AW396" s="61" t="n">
        <f aca="false">AW195</f>
        <v>10214</v>
      </c>
      <c r="AX396" s="38"/>
      <c r="AY396" s="38"/>
      <c r="AZ396" s="38"/>
      <c r="BA396" s="38"/>
      <c r="BB396" s="61" t="n">
        <f aca="false">BB195</f>
        <v>12969</v>
      </c>
      <c r="BC396" s="38"/>
      <c r="BD396" s="38"/>
      <c r="BE396" s="38"/>
      <c r="BF396" s="38"/>
      <c r="BG396" s="61" t="n">
        <f aca="false">BG195</f>
        <v>11971</v>
      </c>
      <c r="BH396" s="38"/>
      <c r="BI396" s="38"/>
      <c r="BJ396" s="38"/>
      <c r="BK396" s="38"/>
      <c r="BL396" s="61" t="n">
        <f aca="false">BL195</f>
        <v>10878</v>
      </c>
      <c r="BM396" s="38"/>
      <c r="BN396" s="38"/>
      <c r="BO396" s="38"/>
      <c r="BP396" s="38"/>
      <c r="BQ396" s="61" t="n">
        <f aca="false">BQ195</f>
        <v>10863</v>
      </c>
      <c r="BR396" s="38"/>
      <c r="BS396" s="38"/>
      <c r="BT396" s="38"/>
      <c r="BU396" s="38"/>
      <c r="BV396" s="61" t="n">
        <f aca="false">BV195</f>
        <v>11160</v>
      </c>
      <c r="BW396" s="38"/>
      <c r="BX396" s="38"/>
      <c r="BY396" s="39"/>
      <c r="BZ396" s="39"/>
      <c r="CA396" s="44" t="n">
        <f aca="false">CA195</f>
        <v>12639.9551151122</v>
      </c>
      <c r="CB396" s="44" t="n">
        <f aca="false">CB195</f>
        <v>13452.7181266983</v>
      </c>
      <c r="CC396" s="44" t="n">
        <f aca="false">CC195</f>
        <v>14693.8005427652</v>
      </c>
      <c r="CD396" s="44" t="n">
        <f aca="false">CD195</f>
        <v>16049.1166579491</v>
      </c>
      <c r="CE396" s="44" t="n">
        <f aca="false">CE195</f>
        <v>17502.9173684931</v>
      </c>
      <c r="CF396" s="21"/>
    </row>
    <row r="397" customFormat="false" ht="15" hidden="false" customHeight="false" outlineLevel="0" collapsed="false">
      <c r="B397" s="58" t="s">
        <v>593</v>
      </c>
      <c r="C397" s="87" t="n">
        <f aca="false">IFERROR(C395/C396,"n/a")</f>
        <v>3.06900730535643</v>
      </c>
      <c r="D397" s="87" t="n">
        <f aca="false">IFERROR(D395/D396,"n/a")</f>
        <v>0.847635246351367</v>
      </c>
      <c r="E397" s="87" t="n">
        <f aca="false">IFERROR(E395/E396,"n/a")</f>
        <v>0.374113647401651</v>
      </c>
      <c r="F397" s="87" t="n">
        <f aca="false">IFERROR(F395/F396,"n/a")</f>
        <v>0.320333823220659</v>
      </c>
      <c r="G397" s="87" t="n">
        <f aca="false">IFERROR(G395/G396,"n/a")</f>
        <v>0.572813697204749</v>
      </c>
      <c r="H397" s="87" t="n">
        <f aca="false">IFERROR(H395/H396,"n/a")</f>
        <v>2.56354015532986</v>
      </c>
      <c r="I397" s="87" t="n">
        <f aca="false">IFERROR(I395/I396,"n/a")</f>
        <v>2.39640672782875</v>
      </c>
      <c r="J397" s="88"/>
      <c r="K397" s="88"/>
      <c r="L397" s="88"/>
      <c r="M397" s="88"/>
      <c r="N397" s="87" t="n">
        <f aca="false">IFERROR(N395/N396,"n/a")</f>
        <v>1.66952281934536</v>
      </c>
      <c r="O397" s="88"/>
      <c r="P397" s="88"/>
      <c r="Q397" s="88"/>
      <c r="R397" s="88"/>
      <c r="S397" s="87" t="n">
        <f aca="false">IFERROR(S395/S396,"n/a")</f>
        <v>3.2639146223968</v>
      </c>
      <c r="T397" s="88"/>
      <c r="U397" s="88"/>
      <c r="V397" s="88"/>
      <c r="W397" s="88"/>
      <c r="X397" s="87" t="n">
        <f aca="false">IFERROR(X395/X396,"n/a")</f>
        <v>2.87826273509571</v>
      </c>
      <c r="Y397" s="88"/>
      <c r="Z397" s="88"/>
      <c r="AA397" s="88"/>
      <c r="AB397" s="88"/>
      <c r="AC397" s="87" t="n">
        <f aca="false">IFERROR(AC395/AC396,"n/a")</f>
        <v>3.44250076057195</v>
      </c>
      <c r="AD397" s="88"/>
      <c r="AE397" s="88"/>
      <c r="AF397" s="88"/>
      <c r="AG397" s="88"/>
      <c r="AH397" s="87" t="n">
        <f aca="false">IFERROR(AH395/AH396,"n/a")</f>
        <v>3.71258728061898</v>
      </c>
      <c r="AI397" s="88"/>
      <c r="AJ397" s="88"/>
      <c r="AK397" s="88"/>
      <c r="AL397" s="88"/>
      <c r="AM397" s="87" t="n">
        <f aca="false">IFERROR(AM395/AM396,"n/a")</f>
        <v>2.74987787005374</v>
      </c>
      <c r="AN397" s="88"/>
      <c r="AO397" s="88"/>
      <c r="AP397" s="88"/>
      <c r="AQ397" s="88"/>
      <c r="AR397" s="87" t="n">
        <f aca="false">IFERROR(AR395/AR396,"n/a")</f>
        <v>2.34863087042986</v>
      </c>
      <c r="AS397" s="88"/>
      <c r="AT397" s="88"/>
      <c r="AU397" s="88"/>
      <c r="AV397" s="88"/>
      <c r="AW397" s="87" t="n">
        <f aca="false">IFERROR(AW395/AW396,"n/a")</f>
        <v>1.11709418445271</v>
      </c>
      <c r="AX397" s="88"/>
      <c r="AY397" s="88"/>
      <c r="AZ397" s="88"/>
      <c r="BA397" s="88"/>
      <c r="BB397" s="87" t="n">
        <f aca="false">IFERROR(BB395/BB396,"n/a")</f>
        <v>2.34351145038168</v>
      </c>
      <c r="BC397" s="88"/>
      <c r="BD397" s="88"/>
      <c r="BE397" s="88"/>
      <c r="BF397" s="88"/>
      <c r="BG397" s="87" t="n">
        <f aca="false">IFERROR(BG395/BG396,"n/a")</f>
        <v>2.16890819480411</v>
      </c>
      <c r="BH397" s="88"/>
      <c r="BI397" s="88"/>
      <c r="BJ397" s="88"/>
      <c r="BK397" s="88"/>
      <c r="BL397" s="87" t="n">
        <f aca="false">IFERROR(BL395/BL396,"n/a")</f>
        <v>2.46736532450818</v>
      </c>
      <c r="BM397" s="88"/>
      <c r="BN397" s="88"/>
      <c r="BO397" s="88"/>
      <c r="BP397" s="88"/>
      <c r="BQ397" s="87" t="n">
        <f aca="false">IFERROR(BQ395/BQ396,"n/a")</f>
        <v>2.36628923870018</v>
      </c>
      <c r="BR397" s="88"/>
      <c r="BS397" s="88"/>
      <c r="BT397" s="88"/>
      <c r="BU397" s="88"/>
      <c r="BV397" s="87" t="n">
        <f aca="false">IFERROR(BV395/BV396,"n/a")</f>
        <v>2.62365591397849</v>
      </c>
      <c r="BW397" s="88"/>
      <c r="BX397" s="88"/>
      <c r="BY397" s="88"/>
      <c r="BZ397" s="88"/>
      <c r="CA397" s="87" t="n">
        <f aca="false">IFERROR(CA395/CA396,"n/a")</f>
        <v>2.62364381028149</v>
      </c>
      <c r="CB397" s="87" t="n">
        <f aca="false">IFERROR(CB395/CB396,"n/a")</f>
        <v>2.5</v>
      </c>
      <c r="CC397" s="87" t="n">
        <f aca="false">IFERROR(CC395/CC396,"n/a")</f>
        <v>2.5</v>
      </c>
      <c r="CD397" s="87" t="n">
        <f aca="false">IFERROR(CD395/CD396,"n/a")</f>
        <v>2.5</v>
      </c>
      <c r="CE397" s="87" t="n">
        <f aca="false">IFERROR(CE395/CE396,"n/a")</f>
        <v>2.5</v>
      </c>
      <c r="CF397" s="21"/>
    </row>
    <row r="399" customFormat="false" ht="15" hidden="false" customHeight="false" outlineLevel="0" collapsed="false">
      <c r="B399" s="11" t="s">
        <v>594</v>
      </c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 t="s">
        <v>595</v>
      </c>
    </row>
    <row r="400" customFormat="false" ht="15" hidden="false" customHeight="false" outlineLevel="0" collapsed="false">
      <c r="B400" s="23" t="s">
        <v>596</v>
      </c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2"/>
      <c r="BD400" s="72"/>
      <c r="BE400" s="72"/>
      <c r="BF400" s="72"/>
      <c r="BG400" s="72"/>
      <c r="BH400" s="72"/>
      <c r="BI400" s="72"/>
      <c r="BJ400" s="72"/>
      <c r="BK400" s="72"/>
      <c r="BL400" s="72"/>
      <c r="BM400" s="72"/>
      <c r="BN400" s="72"/>
      <c r="BO400" s="72"/>
      <c r="BP400" s="72"/>
      <c r="BQ400" s="72"/>
      <c r="BR400" s="72"/>
      <c r="BS400" s="72"/>
      <c r="BT400" s="72"/>
      <c r="BU400" s="72"/>
      <c r="BV400" s="72"/>
      <c r="BW400" s="72"/>
      <c r="BX400" s="72"/>
      <c r="BY400" s="71"/>
      <c r="BZ400" s="71"/>
      <c r="CA400" s="89" t="n">
        <v>676.76</v>
      </c>
      <c r="CB400" s="67" t="n">
        <f aca="false">CA400</f>
        <v>676.76</v>
      </c>
      <c r="CC400" s="67" t="n">
        <f aca="false">CB400</f>
        <v>676.76</v>
      </c>
      <c r="CD400" s="67" t="n">
        <f aca="false">CC400</f>
        <v>676.76</v>
      </c>
      <c r="CE400" s="67" t="n">
        <f aca="false">CD400</f>
        <v>676.76</v>
      </c>
      <c r="CF400" s="21"/>
    </row>
    <row r="401" customFormat="false" ht="15" hidden="false" customHeight="false" outlineLevel="0" collapsed="false">
      <c r="B401" s="23" t="s">
        <v>597</v>
      </c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  <c r="BD401" s="54"/>
      <c r="BE401" s="54"/>
      <c r="BF401" s="54"/>
      <c r="BG401" s="54"/>
      <c r="BH401" s="54"/>
      <c r="BI401" s="54"/>
      <c r="BJ401" s="54"/>
      <c r="BK401" s="54"/>
      <c r="BL401" s="54"/>
      <c r="BM401" s="54"/>
      <c r="BN401" s="54"/>
      <c r="BO401" s="54"/>
      <c r="BP401" s="54"/>
      <c r="BQ401" s="54"/>
      <c r="BR401" s="54"/>
      <c r="BS401" s="54"/>
      <c r="BT401" s="54"/>
      <c r="BU401" s="54"/>
      <c r="BV401" s="54"/>
      <c r="BW401" s="54"/>
      <c r="BX401" s="54"/>
      <c r="BY401" s="55"/>
      <c r="BZ401" s="55"/>
      <c r="CA401" s="57" t="n">
        <f aca="false">CA286+(BX168-BX167)</f>
        <v>370.247286</v>
      </c>
      <c r="CB401" s="57" t="n">
        <f aca="false">CB286+N(CB345)</f>
        <v>366.809179575315</v>
      </c>
      <c r="CC401" s="57" t="n">
        <f aca="false">CC286+N(CC345)</f>
        <v>358.655231734089</v>
      </c>
      <c r="CD401" s="57" t="n">
        <f aca="false">CD286+N(CD345)</f>
        <v>350.019173134986</v>
      </c>
      <c r="CE401" s="57" t="n">
        <f aca="false">CE286+N(CE345)</f>
        <v>340.924796799787</v>
      </c>
      <c r="CF401" s="21"/>
    </row>
    <row r="402" customFormat="false" ht="15" hidden="false" customHeight="false" outlineLevel="0" collapsed="false">
      <c r="B402" s="23" t="s">
        <v>598</v>
      </c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  <c r="BO402" s="38"/>
      <c r="BP402" s="38"/>
      <c r="BQ402" s="38"/>
      <c r="BR402" s="38"/>
      <c r="BS402" s="38"/>
      <c r="BT402" s="38"/>
      <c r="BU402" s="38"/>
      <c r="BV402" s="38"/>
      <c r="BW402" s="38"/>
      <c r="BX402" s="38"/>
      <c r="BY402" s="39"/>
      <c r="BZ402" s="39"/>
      <c r="CA402" s="44" t="n">
        <f aca="false">IFERROR(CA400*CA401,"n/a")</f>
        <v>250568.55327336</v>
      </c>
      <c r="CB402" s="44" t="n">
        <f aca="false">IFERROR(CB400*CB401,"n/a")</f>
        <v>248241.78036939</v>
      </c>
      <c r="CC402" s="44" t="n">
        <f aca="false">IFERROR(CC400*CC401,"n/a")</f>
        <v>242723.514628362</v>
      </c>
      <c r="CD402" s="44" t="n">
        <f aca="false">IFERROR(CD400*CD401,"n/a")</f>
        <v>236878.975610833</v>
      </c>
      <c r="CE402" s="44" t="n">
        <f aca="false">IFERROR(CE400*CE401,"n/a")</f>
        <v>230724.265482224</v>
      </c>
      <c r="CF402" s="21"/>
    </row>
    <row r="403" customFormat="false" ht="15" hidden="false" customHeight="false" outlineLevel="0" collapsed="false">
      <c r="B403" s="23" t="s">
        <v>599</v>
      </c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  <c r="BP403" s="38"/>
      <c r="BQ403" s="38"/>
      <c r="BR403" s="38"/>
      <c r="BS403" s="38"/>
      <c r="BT403" s="38"/>
      <c r="BU403" s="38"/>
      <c r="BV403" s="38"/>
      <c r="BW403" s="38"/>
      <c r="BX403" s="38"/>
      <c r="BY403" s="39"/>
      <c r="BZ403" s="39"/>
      <c r="CA403" s="44" t="n">
        <f aca="false">CA395</f>
        <v>33162.74</v>
      </c>
      <c r="CB403" s="44" t="n">
        <f aca="false">CB395</f>
        <v>33631.7953167458</v>
      </c>
      <c r="CC403" s="44" t="n">
        <f aca="false">CC395</f>
        <v>36734.501356913</v>
      </c>
      <c r="CD403" s="44" t="n">
        <f aca="false">CD395</f>
        <v>40122.7916448727</v>
      </c>
      <c r="CE403" s="44" t="n">
        <f aca="false">CE395</f>
        <v>43757.2934212329</v>
      </c>
      <c r="CF403" s="21"/>
    </row>
    <row r="404" customFormat="false" ht="15" hidden="false" customHeight="false" outlineLevel="0" collapsed="false">
      <c r="B404" s="23" t="s">
        <v>600</v>
      </c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  <c r="BP404" s="38"/>
      <c r="BQ404" s="38"/>
      <c r="BR404" s="38"/>
      <c r="BS404" s="38"/>
      <c r="BT404" s="38"/>
      <c r="BU404" s="38"/>
      <c r="BV404" s="38"/>
      <c r="BW404" s="38"/>
      <c r="BX404" s="38"/>
      <c r="BY404" s="39"/>
      <c r="BZ404" s="39"/>
      <c r="CA404" s="44" t="n">
        <f aca="false">N(CA320)+N(CA313)</f>
        <v>138</v>
      </c>
      <c r="CB404" s="44" t="n">
        <f aca="false">N(CB320)+N(CB313)</f>
        <v>158</v>
      </c>
      <c r="CC404" s="44" t="n">
        <f aca="false">N(CC320)+N(CC313)</f>
        <v>178</v>
      </c>
      <c r="CD404" s="44" t="n">
        <f aca="false">N(CD320)+N(CD313)</f>
        <v>198</v>
      </c>
      <c r="CE404" s="44" t="n">
        <f aca="false">N(CE320)+N(CE313)</f>
        <v>218</v>
      </c>
      <c r="CF404" s="21"/>
    </row>
    <row r="405" customFormat="false" ht="15" hidden="false" customHeight="false" outlineLevel="0" collapsed="false">
      <c r="B405" s="17" t="s">
        <v>601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52"/>
      <c r="BZ405" s="52"/>
      <c r="CA405" s="20" t="n">
        <f aca="false">IFERROR(CA402+CA403+CA404,"n/a")</f>
        <v>283869.29327336</v>
      </c>
      <c r="CB405" s="20" t="n">
        <f aca="false">IFERROR(CB402+CB403+CB404,"n/a")</f>
        <v>282031.575686136</v>
      </c>
      <c r="CC405" s="20" t="n">
        <f aca="false">IFERROR(CC402+CC403+CC404,"n/a")</f>
        <v>279636.015985275</v>
      </c>
      <c r="CD405" s="20" t="n">
        <f aca="false">IFERROR(CD402+CD403+CD404,"n/a")</f>
        <v>277199.767255706</v>
      </c>
      <c r="CE405" s="20" t="n">
        <f aca="false">IFERROR(CE402+CE403+CE404,"n/a")</f>
        <v>274699.558903456</v>
      </c>
      <c r="CF405" s="21"/>
    </row>
    <row r="406" customFormat="false" ht="15" hidden="false" customHeight="false" outlineLevel="0" collapsed="false">
      <c r="B406" s="17" t="s">
        <v>602</v>
      </c>
      <c r="CF406" s="64"/>
    </row>
    <row r="407" customFormat="false" ht="15" hidden="false" customHeight="false" outlineLevel="0" collapsed="false">
      <c r="B407" s="23" t="s">
        <v>603</v>
      </c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48"/>
      <c r="BL407" s="48"/>
      <c r="BM407" s="48"/>
      <c r="BN407" s="48"/>
      <c r="BO407" s="48"/>
      <c r="BP407" s="48"/>
      <c r="BQ407" s="48"/>
      <c r="BR407" s="48"/>
      <c r="BS407" s="48"/>
      <c r="BT407" s="48"/>
      <c r="BU407" s="48"/>
      <c r="BV407" s="48"/>
      <c r="BW407" s="48"/>
      <c r="BX407" s="48"/>
      <c r="BY407" s="49"/>
      <c r="BZ407" s="49"/>
      <c r="CA407" s="51" t="n">
        <f aca="false">IFERROR(CA405/CA136,"n/a")</f>
        <v>5.94490666541068</v>
      </c>
      <c r="CB407" s="51" t="n">
        <f aca="false">IFERROR(CB405/CB136,"n/a")</f>
        <v>5.56672223105503</v>
      </c>
      <c r="CC407" s="51" t="n">
        <f aca="false">IFERROR(CC405/CC136,"n/a")</f>
        <v>5.13065067465138</v>
      </c>
      <c r="CD407" s="51" t="n">
        <f aca="false">IFERROR(CD405/CD136,"n/a")</f>
        <v>4.72775158110271</v>
      </c>
      <c r="CE407" s="51" t="n">
        <f aca="false">IFERROR(CE405/CE136,"n/a")</f>
        <v>4.3593656286189</v>
      </c>
      <c r="CF407" s="21"/>
    </row>
    <row r="408" customFormat="false" ht="15" hidden="false" customHeight="false" outlineLevel="0" collapsed="false">
      <c r="B408" s="23" t="s">
        <v>604</v>
      </c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48"/>
      <c r="BL408" s="48"/>
      <c r="BM408" s="48"/>
      <c r="BN408" s="48"/>
      <c r="BO408" s="48"/>
      <c r="BP408" s="48"/>
      <c r="BQ408" s="48"/>
      <c r="BR408" s="48"/>
      <c r="BS408" s="48"/>
      <c r="BT408" s="48"/>
      <c r="BU408" s="48"/>
      <c r="BV408" s="48"/>
      <c r="BW408" s="48"/>
      <c r="BX408" s="48"/>
      <c r="BY408" s="49"/>
      <c r="BZ408" s="49"/>
      <c r="CA408" s="51" t="n">
        <f aca="false">IFERROR(CA405/CA195,"n/a")</f>
        <v>22.4580934574656</v>
      </c>
      <c r="CB408" s="51" t="n">
        <f aca="false">IFERROR(CB405/CB195,"n/a")</f>
        <v>20.9646536134891</v>
      </c>
      <c r="CC408" s="51" t="n">
        <f aca="false">IFERROR(CC405/CC195,"n/a")</f>
        <v>19.0308841590313</v>
      </c>
      <c r="CD408" s="51" t="n">
        <f aca="false">IFERROR(CD405/CD195,"n/a")</f>
        <v>17.2719641313349</v>
      </c>
      <c r="CE408" s="51" t="n">
        <f aca="false">IFERROR(CE405/CE195,"n/a")</f>
        <v>15.694501271996</v>
      </c>
      <c r="CF408" s="21"/>
    </row>
    <row r="409" customFormat="false" ht="15" hidden="false" customHeight="false" outlineLevel="0" collapsed="false">
      <c r="B409" s="23" t="s">
        <v>605</v>
      </c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  <c r="BL409" s="48"/>
      <c r="BM409" s="48"/>
      <c r="BN409" s="48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9"/>
      <c r="BZ409" s="49"/>
      <c r="CA409" s="51" t="n">
        <f aca="false">IFERROR(CA405/CA186,"n/a")</f>
        <v>25.301984827271</v>
      </c>
      <c r="CB409" s="51" t="n">
        <f aca="false">IFERROR(CB405/CB186,"n/a")</f>
        <v>23.3377226837393</v>
      </c>
      <c r="CC409" s="51" t="n">
        <f aca="false">IFERROR(CC405/CC186,"n/a")</f>
        <v>21.1489480370732</v>
      </c>
      <c r="CD409" s="51" t="n">
        <f aca="false">IFERROR(CD405/CD186,"n/a")</f>
        <v>19.1621044499859</v>
      </c>
      <c r="CE409" s="51" t="n">
        <f aca="false">IFERROR(CE405/CE186,"n/a")</f>
        <v>17.3843440348941</v>
      </c>
      <c r="CF409" s="21"/>
    </row>
    <row r="410" customFormat="false" ht="15" hidden="false" customHeight="false" outlineLevel="0" collapsed="false">
      <c r="B410" s="23" t="s">
        <v>606</v>
      </c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5"/>
      <c r="BZ410" s="85"/>
      <c r="CA410" s="86" t="n">
        <f aca="false">IFERROR(CA405/CA375,"n/a")</f>
        <v>3.15265544908873</v>
      </c>
      <c r="CB410" s="86" t="n">
        <f aca="false">IFERROR(CB405/CB375,"n/a")</f>
        <v>3.01036261987108</v>
      </c>
      <c r="CC410" s="86" t="n">
        <f aca="false">IFERROR(CC405/CC375,"n/a")</f>
        <v>2.86898359789543</v>
      </c>
      <c r="CD410" s="86" t="n">
        <f aca="false">IFERROR(CD405/CD375,"n/a")</f>
        <v>2.73490609776721</v>
      </c>
      <c r="CE410" s="86" t="n">
        <f aca="false">IFERROR(CE405/CE375,"n/a")</f>
        <v>2.60424684335787</v>
      </c>
      <c r="CF410" s="21"/>
    </row>
    <row r="411" customFormat="false" ht="15" hidden="false" customHeight="false" outlineLevel="0" collapsed="false">
      <c r="B411" s="23" t="s">
        <v>607</v>
      </c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48"/>
      <c r="BL411" s="48"/>
      <c r="BM411" s="48"/>
      <c r="BN411" s="48"/>
      <c r="BO411" s="48"/>
      <c r="BP411" s="48"/>
      <c r="BQ411" s="48"/>
      <c r="BR411" s="48"/>
      <c r="BS411" s="48"/>
      <c r="BT411" s="48"/>
      <c r="BU411" s="48"/>
      <c r="BV411" s="48"/>
      <c r="BW411" s="48"/>
      <c r="BX411" s="48"/>
      <c r="BY411" s="49"/>
      <c r="BZ411" s="49"/>
      <c r="CA411" s="51" t="n">
        <f aca="false">IFERROR(CA400/CA170,"n/a")</f>
        <v>32.9995699768713</v>
      </c>
      <c r="CB411" s="51" t="n">
        <f aca="false">IFERROR(CB400/CB170,"n/a")</f>
        <v>31.5822605265777</v>
      </c>
      <c r="CC411" s="51" t="n">
        <f aca="false">IFERROR(CC400/CC170,"n/a")</f>
        <v>28.1186635694141</v>
      </c>
      <c r="CD411" s="51" t="n">
        <f aca="false">IFERROR(CD400/CD170,"n/a")</f>
        <v>24.9662561518888</v>
      </c>
      <c r="CE411" s="51" t="n">
        <f aca="false">IFERROR(CE400/CE170,"n/a")</f>
        <v>21.7596405254563</v>
      </c>
      <c r="CF411" s="21"/>
    </row>
    <row r="412" customFormat="false" ht="15" hidden="false" customHeight="false" outlineLevel="0" collapsed="false">
      <c r="B412" s="23" t="s">
        <v>608</v>
      </c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8"/>
      <c r="BN412" s="48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9"/>
      <c r="BZ412" s="49"/>
      <c r="CA412" s="51" t="n">
        <f aca="false">IFERROR(CA400/CA212,"n/a")</f>
        <v>26.9211020176799</v>
      </c>
      <c r="CB412" s="51" t="n">
        <f aca="false">IFERROR(CB400/CB212,"n/a")</f>
        <v>25.3476745681588</v>
      </c>
      <c r="CC412" s="51" t="n">
        <f aca="false">IFERROR(CC400/CC212,"n/a")</f>
        <v>22.8562688853012</v>
      </c>
      <c r="CD412" s="51" t="n">
        <f aca="false">IFERROR(CD400/CD212,"n/a")</f>
        <v>20.6202264347881</v>
      </c>
      <c r="CE412" s="51" t="n">
        <f aca="false">IFERROR(CE400/CE212,"n/a")</f>
        <v>18.4905074492459</v>
      </c>
      <c r="CF412" s="21"/>
    </row>
    <row r="413" customFormat="false" ht="15" hidden="false" customHeight="false" outlineLevel="0" collapsed="false">
      <c r="B413" s="23" t="s">
        <v>609</v>
      </c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9"/>
      <c r="BZ413" s="29"/>
      <c r="CA413" s="26" t="n">
        <f aca="false">IFERROR(CA267/CA402,"n/a")</f>
        <v>0.0285351050903808</v>
      </c>
      <c r="CB413" s="26" t="n">
        <f aca="false">IFERROR(CB267/CB402,"n/a")</f>
        <v>0.0347918178565197</v>
      </c>
      <c r="CC413" s="26" t="n">
        <f aca="false">IFERROR(CC267/CC402,"n/a")</f>
        <v>0.0385212003549849</v>
      </c>
      <c r="CD413" s="26" t="n">
        <f aca="false">IFERROR(CD267/CD402,"n/a")</f>
        <v>0.0428399489387592</v>
      </c>
      <c r="CE413" s="26" t="n">
        <f aca="false">IFERROR(CE267/CE402,"n/a")</f>
        <v>0.0480256301239748</v>
      </c>
      <c r="CF413" s="21"/>
    </row>
    <row r="414" customFormat="false" ht="15" hidden="false" customHeight="false" outlineLevel="0" collapsed="false">
      <c r="B414" s="23" t="s">
        <v>610</v>
      </c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9"/>
      <c r="BZ414" s="29"/>
      <c r="CA414" s="26" t="n">
        <f aca="false">IFERROR(CA175/CA400,"n/a")</f>
        <v>0.00277794195874461</v>
      </c>
      <c r="CB414" s="26" t="n">
        <f aca="false">IFERROR(CB175/CB400,"n/a")</f>
        <v>0.00305573615461907</v>
      </c>
      <c r="CC414" s="26" t="n">
        <f aca="false">IFERROR(CC175/CC400,"n/a")</f>
        <v>0.00336130977008097</v>
      </c>
      <c r="CD414" s="26" t="n">
        <f aca="false">IFERROR(CD175/CD400,"n/a")</f>
        <v>0.00369744074708907</v>
      </c>
      <c r="CE414" s="26" t="n">
        <f aca="false">IFERROR(CE175/CE400,"n/a")</f>
        <v>0.00406718482179798</v>
      </c>
      <c r="CF414" s="21"/>
    </row>
  </sheetData>
  <dataValidations count="1">
    <dataValidation allowBlank="false" errorStyle="stop" operator="between" showDropDown="false" showErrorMessage="false" showInputMessage="false" sqref="CF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5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15"/>
    <col collapsed="false" customWidth="true" hidden="false" outlineLevel="0" max="2" min="2" style="0" width="63.85"/>
    <col collapsed="false" customWidth="true" hidden="false" outlineLevel="0" max="3" min="3" style="0" width="11.85"/>
    <col collapsed="false" customWidth="true" hidden="false" outlineLevel="0" max="9" min="9" style="0" width="13.29"/>
    <col collapsed="false" customWidth="true" hidden="false" outlineLevel="0" max="10" min="10" style="0" width="12.57"/>
    <col collapsed="false" customWidth="true" hidden="false" outlineLevel="0" max="13" min="13" style="0" width="3.86"/>
    <col collapsed="false" customWidth="true" hidden="false" outlineLevel="0" max="14" min="14" style="0" width="63.85"/>
    <col collapsed="false" customWidth="true" hidden="false" outlineLevel="0" max="15" min="15" style="0" width="11.85"/>
    <col collapsed="false" customWidth="true" hidden="false" outlineLevel="0" max="21" min="21" style="0" width="13.29"/>
    <col collapsed="false" customWidth="true" hidden="false" outlineLevel="0" max="22" min="22" style="0" width="12.57"/>
    <col collapsed="false" customWidth="true" hidden="false" outlineLevel="0" max="25" min="25" style="0" width="3.86"/>
    <col collapsed="false" customWidth="true" hidden="false" outlineLevel="0" max="26" min="26" style="0" width="63.85"/>
    <col collapsed="false" customWidth="true" hidden="false" outlineLevel="0" max="27" min="27" style="0" width="11.85"/>
    <col collapsed="false" customWidth="true" hidden="false" outlineLevel="0" max="33" min="33" style="0" width="13.29"/>
    <col collapsed="false" customWidth="true" hidden="false" outlineLevel="0" max="34" min="34" style="0" width="12.57"/>
  </cols>
  <sheetData>
    <row r="2" customFormat="false" ht="19.5" hidden="false" customHeight="true" outlineLevel="0" collapsed="false">
      <c r="B2" s="90" t="s">
        <v>611</v>
      </c>
      <c r="J2" s="91" t="s">
        <v>612</v>
      </c>
      <c r="K2" s="92" t="n">
        <f aca="false">Model!$CA$400</f>
        <v>676.76</v>
      </c>
    </row>
    <row r="3" customFormat="false" ht="15" hidden="false" customHeight="true" outlineLevel="0" collapsed="false">
      <c r="B3" s="93" t="s">
        <v>613</v>
      </c>
      <c r="J3" s="91" t="s">
        <v>614</v>
      </c>
      <c r="K3" s="94" t="n">
        <f aca="true">TODAY()</f>
        <v>46301</v>
      </c>
    </row>
    <row r="5" customFormat="false" ht="15" hidden="false" customHeight="true" outlineLevel="0" collapsed="false">
      <c r="B5" s="95" t="s">
        <v>615</v>
      </c>
      <c r="C5" s="96" t="str">
        <f aca="false">Model!$CF$2</f>
        <v>Base</v>
      </c>
      <c r="N5" s="97" t="s">
        <v>615</v>
      </c>
      <c r="O5" s="98" t="s">
        <v>82</v>
      </c>
      <c r="P5" s="93" t="s">
        <v>616</v>
      </c>
      <c r="Z5" s="97" t="s">
        <v>615</v>
      </c>
      <c r="AA5" s="98" t="s">
        <v>83</v>
      </c>
      <c r="AB5" s="93" t="s">
        <v>617</v>
      </c>
    </row>
    <row r="7" customFormat="false" ht="31.5" hidden="false" customHeight="true" outlineLevel="0" collapsed="false">
      <c r="B7" s="99" t="s">
        <v>618</v>
      </c>
      <c r="C7" s="100" t="s">
        <v>619</v>
      </c>
      <c r="D7" s="100" t="s">
        <v>64</v>
      </c>
      <c r="E7" s="100" t="s">
        <v>65</v>
      </c>
      <c r="F7" s="100" t="s">
        <v>66</v>
      </c>
      <c r="G7" s="100" t="s">
        <v>67</v>
      </c>
      <c r="H7" s="100" t="s">
        <v>68</v>
      </c>
      <c r="I7" s="100" t="s">
        <v>620</v>
      </c>
      <c r="J7" s="101" t="s">
        <v>621</v>
      </c>
      <c r="K7" s="101" t="s">
        <v>622</v>
      </c>
      <c r="L7" s="101" t="s">
        <v>623</v>
      </c>
      <c r="N7" s="99" t="s">
        <v>618</v>
      </c>
      <c r="O7" s="100" t="s">
        <v>619</v>
      </c>
      <c r="P7" s="100" t="s">
        <v>64</v>
      </c>
      <c r="Q7" s="100" t="s">
        <v>65</v>
      </c>
      <c r="R7" s="100" t="s">
        <v>66</v>
      </c>
      <c r="S7" s="100" t="s">
        <v>67</v>
      </c>
      <c r="T7" s="100" t="s">
        <v>68</v>
      </c>
      <c r="U7" s="100" t="s">
        <v>620</v>
      </c>
      <c r="V7" s="101" t="s">
        <v>621</v>
      </c>
      <c r="W7" s="101" t="s">
        <v>622</v>
      </c>
      <c r="X7" s="101" t="s">
        <v>623</v>
      </c>
      <c r="Z7" s="99" t="s">
        <v>618</v>
      </c>
      <c r="AA7" s="100" t="s">
        <v>619</v>
      </c>
      <c r="AB7" s="100" t="s">
        <v>64</v>
      </c>
      <c r="AC7" s="100" t="s">
        <v>65</v>
      </c>
      <c r="AD7" s="100" t="s">
        <v>66</v>
      </c>
      <c r="AE7" s="100" t="s">
        <v>67</v>
      </c>
      <c r="AF7" s="100" t="s">
        <v>68</v>
      </c>
      <c r="AG7" s="100" t="s">
        <v>620</v>
      </c>
      <c r="AH7" s="101" t="s">
        <v>621</v>
      </c>
      <c r="AI7" s="101" t="s">
        <v>622</v>
      </c>
      <c r="AJ7" s="101" t="s">
        <v>623</v>
      </c>
    </row>
    <row r="9" customFormat="false" ht="15" hidden="false" customHeight="true" outlineLevel="0" collapsed="false">
      <c r="B9" s="102" t="s">
        <v>279</v>
      </c>
      <c r="C9" s="103" t="n">
        <f aca="false">Model!BV136</f>
        <v>44556</v>
      </c>
      <c r="D9" s="104" t="n">
        <f aca="false">Model!CA136</f>
        <v>47750</v>
      </c>
      <c r="E9" s="104" t="n">
        <f aca="false">Model!CB136</f>
        <v>50663.8492060496</v>
      </c>
      <c r="F9" s="104" t="n">
        <f aca="false">Model!CC136</f>
        <v>54503.0316265443</v>
      </c>
      <c r="G9" s="104" t="n">
        <f aca="false">Model!CD136</f>
        <v>58632.4730689533</v>
      </c>
      <c r="H9" s="104" t="n">
        <f aca="false">Model!CE136</f>
        <v>63013.654349173</v>
      </c>
      <c r="I9" s="105" t="n">
        <f aca="false">IFERROR((H9/C9)^(1/5)-1,"n/m")</f>
        <v>0.0717801125567132</v>
      </c>
      <c r="N9" s="102" t="s">
        <v>279</v>
      </c>
      <c r="O9" s="103" t="n">
        <v>44556</v>
      </c>
      <c r="P9" s="104" t="n">
        <v>48100</v>
      </c>
      <c r="Q9" s="104" t="n">
        <v>52310.7095079615</v>
      </c>
      <c r="R9" s="104" t="n">
        <v>57917.6180132209</v>
      </c>
      <c r="S9" s="104" t="n">
        <v>64007.4292159789</v>
      </c>
      <c r="T9" s="104" t="n">
        <v>70559.9023665377</v>
      </c>
      <c r="U9" s="105" t="n">
        <v>0.0963023755813268</v>
      </c>
      <c r="Z9" s="102" t="s">
        <v>279</v>
      </c>
      <c r="AA9" s="103" t="n">
        <v>44556</v>
      </c>
      <c r="AB9" s="104" t="n">
        <v>47400</v>
      </c>
      <c r="AC9" s="104" t="n">
        <v>49031.2349084184</v>
      </c>
      <c r="AD9" s="104" t="n">
        <v>51158.6132898654</v>
      </c>
      <c r="AE9" s="104" t="n">
        <v>53432.5977845396</v>
      </c>
      <c r="AF9" s="104" t="n">
        <v>55804.7044911637</v>
      </c>
      <c r="AG9" s="105" t="n">
        <v>0.0460511553608398</v>
      </c>
    </row>
    <row r="10" customFormat="false" ht="15" hidden="false" customHeight="true" outlineLevel="0" collapsed="false">
      <c r="B10" s="106" t="s">
        <v>624</v>
      </c>
      <c r="C10" s="107"/>
      <c r="D10" s="108" t="n">
        <f aca="false">IFERROR(D9/C9-1,"")</f>
        <v>0.0716850704731122</v>
      </c>
      <c r="E10" s="108" t="n">
        <f aca="false">IFERROR(E9/D9-1,"")</f>
        <v>0.0610230200219808</v>
      </c>
      <c r="F10" s="108" t="n">
        <f aca="false">IFERROR(F9/E9-1,"")</f>
        <v>0.0757775510676426</v>
      </c>
      <c r="G10" s="108" t="n">
        <f aca="false">IFERROR(G9/F9-1,"")</f>
        <v>0.0757653532138163</v>
      </c>
      <c r="H10" s="108" t="n">
        <f aca="false">IFERROR(H9/G9-1,"")</f>
        <v>0.0747227781960915</v>
      </c>
      <c r="N10" s="106" t="s">
        <v>624</v>
      </c>
      <c r="O10" s="107"/>
      <c r="P10" s="108" t="n">
        <v>0.0795403537121822</v>
      </c>
      <c r="Q10" s="108" t="n">
        <v>0.0875407382112576</v>
      </c>
      <c r="R10" s="108" t="n">
        <v>0.107184715290585</v>
      </c>
      <c r="S10" s="108" t="n">
        <v>0.105146092185074</v>
      </c>
      <c r="T10" s="108" t="n">
        <v>0.102370509655199</v>
      </c>
      <c r="Z10" s="106" t="s">
        <v>624</v>
      </c>
      <c r="AA10" s="107"/>
      <c r="AB10" s="108" t="n">
        <v>0.0638297872340425</v>
      </c>
      <c r="AC10" s="108" t="n">
        <v>0.0344142385742288</v>
      </c>
      <c r="AD10" s="108" t="n">
        <v>0.0433882276353126</v>
      </c>
      <c r="AE10" s="108" t="n">
        <v>0.0444496898653182</v>
      </c>
      <c r="AF10" s="108" t="n">
        <v>0.0443943735655399</v>
      </c>
    </row>
    <row r="11" customFormat="false" ht="15" hidden="false" customHeight="true" outlineLevel="0" collapsed="false">
      <c r="B11" s="102" t="s">
        <v>625</v>
      </c>
      <c r="C11" s="109" t="n">
        <f aca="false">Model!BV222</f>
        <v>0.02</v>
      </c>
      <c r="D11" s="110" t="n">
        <f aca="false">Model!CA222</f>
        <v>0.0369472676762779</v>
      </c>
      <c r="E11" s="110" t="n">
        <f aca="false">Model!CB222</f>
        <v>0.0544090846626542</v>
      </c>
      <c r="F11" s="110" t="n">
        <f aca="false">Model!CC222</f>
        <v>0.0595096171053843</v>
      </c>
      <c r="G11" s="110" t="n">
        <f aca="false">Model!CD222</f>
        <v>0.0606620885151947</v>
      </c>
      <c r="H11" s="110" t="n">
        <f aca="false">Model!CE222</f>
        <v>0.0606945646482744</v>
      </c>
      <c r="N11" s="102" t="s">
        <v>625</v>
      </c>
      <c r="O11" s="109" t="n">
        <v>0.02</v>
      </c>
      <c r="P11" s="110" t="n">
        <v>0.0447976412042203</v>
      </c>
      <c r="Q11" s="110" t="n">
        <v>0.0747379370220301</v>
      </c>
      <c r="R11" s="110" t="n">
        <v>0.0798847476534568</v>
      </c>
      <c r="S11" s="110" t="n">
        <v>0.0810421315495177</v>
      </c>
      <c r="T11" s="110" t="n">
        <v>0.0810791567345312</v>
      </c>
      <c r="Z11" s="102" t="s">
        <v>625</v>
      </c>
      <c r="AA11" s="109" t="n">
        <v>0.02</v>
      </c>
      <c r="AB11" s="110" t="n">
        <v>0.0290968941483355</v>
      </c>
      <c r="AC11" s="110" t="n">
        <v>0.0340805655871216</v>
      </c>
      <c r="AD11" s="110" t="n">
        <v>0.0391442886130269</v>
      </c>
      <c r="AE11" s="110" t="n">
        <v>0.0403028709698294</v>
      </c>
      <c r="AF11" s="110" t="n">
        <v>0.0403415841838584</v>
      </c>
    </row>
    <row r="12" customFormat="false" ht="15" hidden="false" customHeight="true" outlineLevel="0" collapsed="false">
      <c r="B12" s="102" t="s">
        <v>626</v>
      </c>
      <c r="C12" s="103" t="n">
        <f aca="false">Model!BV186</f>
        <v>10110</v>
      </c>
      <c r="D12" s="104" t="n">
        <f aca="false">Model!CA186</f>
        <v>11219.25</v>
      </c>
      <c r="E12" s="104" t="n">
        <f aca="false">Model!CB186</f>
        <v>12084.794198135</v>
      </c>
      <c r="F12" s="104" t="n">
        <f aca="false">Model!CC186</f>
        <v>13222.2186888485</v>
      </c>
      <c r="G12" s="104" t="n">
        <f aca="false">Model!CD186</f>
        <v>14466.0398850873</v>
      </c>
      <c r="H12" s="104" t="n">
        <f aca="false">Model!CE186</f>
        <v>15801.5487010655</v>
      </c>
      <c r="I12" s="105" t="n">
        <f aca="false">IFERROR((H12/C12)^(1/5)-1,"n/m")</f>
        <v>0.0934267632295949</v>
      </c>
      <c r="N12" s="102" t="s">
        <v>626</v>
      </c>
      <c r="O12" s="103" t="n">
        <v>10110</v>
      </c>
      <c r="P12" s="104" t="n">
        <v>11349.6</v>
      </c>
      <c r="Q12" s="104" t="n">
        <v>13117.6138986941</v>
      </c>
      <c r="R12" s="104" t="n">
        <v>14727.587563292</v>
      </c>
      <c r="S12" s="104" t="n">
        <v>16506.3166734502</v>
      </c>
      <c r="T12" s="104" t="n">
        <v>18445.2430053702</v>
      </c>
      <c r="U12" s="105" t="n">
        <v>0.127785859860334</v>
      </c>
      <c r="Z12" s="102" t="s">
        <v>626</v>
      </c>
      <c r="AA12" s="103" t="n">
        <v>10110</v>
      </c>
      <c r="AB12" s="104" t="n">
        <v>11089.6</v>
      </c>
      <c r="AC12" s="104" t="n">
        <v>11089.1773806864</v>
      </c>
      <c r="AD12" s="104" t="n">
        <v>11795.6661951587</v>
      </c>
      <c r="AE12" s="104" t="n">
        <v>12562.1477053314</v>
      </c>
      <c r="AF12" s="104" t="n">
        <v>13370.8473786987</v>
      </c>
      <c r="AG12" s="105" t="n">
        <v>0.057502871220344</v>
      </c>
    </row>
    <row r="13" customFormat="false" ht="15" hidden="false" customHeight="true" outlineLevel="0" collapsed="false">
      <c r="B13" s="106" t="s">
        <v>627</v>
      </c>
      <c r="C13" s="111" t="n">
        <f aca="false">IFERROR(C12/C9,"")</f>
        <v>0.226905467277134</v>
      </c>
      <c r="D13" s="112" t="n">
        <f aca="false">IFERROR(D12/D9,"")</f>
        <v>0.234958115183246</v>
      </c>
      <c r="E13" s="112" t="n">
        <f aca="false">IFERROR(E12/E9,"")</f>
        <v>0.238528939026843</v>
      </c>
      <c r="F13" s="112" t="n">
        <f aca="false">IFERROR(F12/F9,"")</f>
        <v>0.242596022537744</v>
      </c>
      <c r="G13" s="112" t="n">
        <f aca="false">IFERROR(G12/G9,"")</f>
        <v>0.246724027282201</v>
      </c>
      <c r="H13" s="112" t="n">
        <f aca="false">IFERROR(H12/H9,"")</f>
        <v>0.250763883864051</v>
      </c>
      <c r="J13" s="113" t="n">
        <f aca="false">IFERROR(AVERAGE(Model!C187,Model!D187,Model!E187,Model!F187,Model!G187,Model!H187,Model!I187,Model!N187,Model!S187,Model!X187,Model!AC187,Model!AH187,Model!AM187,Model!AR187,Model!AW187,Model!BB187,Model!BG187,Model!BL187,Model!BQ187,Model!BV187),"")</f>
        <v>0.215783855535745</v>
      </c>
      <c r="K13" s="113" t="n">
        <f aca="false">IFERROR(MIN(Model!C187,Model!D187,Model!E187,Model!F187,Model!G187,Model!H187,Model!I187,Model!N187,Model!S187,Model!X187,Model!AC187,Model!AH187,Model!AM187,Model!AR187,Model!AW187,Model!BB187,Model!BG187,Model!BL187,Model!BQ187,Model!BV187),"")</f>
        <v>0.151088308761143</v>
      </c>
      <c r="L13" s="113" t="n">
        <f aca="false">IFERROR(MAX(Model!C187,Model!D187,Model!E187,Model!F187,Model!G187,Model!H187,Model!I187,Model!N187,Model!S187,Model!X187,Model!AC187,Model!AH187,Model!AM187,Model!AR187,Model!AW187,Model!BB187,Model!BG187,Model!BL187,Model!BQ187,Model!BV187),"")</f>
        <v>0.309555991941037</v>
      </c>
      <c r="N13" s="106" t="s">
        <v>627</v>
      </c>
      <c r="O13" s="111" t="n">
        <v>0.226905467277134</v>
      </c>
      <c r="P13" s="112" t="n">
        <v>0.23595841995842</v>
      </c>
      <c r="Q13" s="112" t="n">
        <v>0.25076344828964</v>
      </c>
      <c r="R13" s="112" t="n">
        <v>0.254285104748785</v>
      </c>
      <c r="S13" s="112" t="n">
        <v>0.25788126277894</v>
      </c>
      <c r="T13" s="112" t="n">
        <v>0.261412535827397</v>
      </c>
      <c r="V13" s="113" t="n">
        <v>0.215783855535745</v>
      </c>
      <c r="W13" s="113" t="n">
        <v>0.151088308761143</v>
      </c>
      <c r="X13" s="113" t="n">
        <v>0.309555991941037</v>
      </c>
      <c r="Z13" s="106" t="s">
        <v>627</v>
      </c>
      <c r="AA13" s="111" t="n">
        <v>0.226905467277134</v>
      </c>
      <c r="AB13" s="112" t="n">
        <v>0.233957805907173</v>
      </c>
      <c r="AC13" s="112" t="n">
        <v>0.226165573871411</v>
      </c>
      <c r="AD13" s="112" t="n">
        <v>0.23057048337734</v>
      </c>
      <c r="AE13" s="112" t="n">
        <v>0.23510269435124</v>
      </c>
      <c r="AF13" s="112" t="n">
        <v>0.239600720057856</v>
      </c>
      <c r="AH13" s="113" t="n">
        <v>0.215783855535745</v>
      </c>
      <c r="AI13" s="113" t="n">
        <v>0.151088308761143</v>
      </c>
      <c r="AJ13" s="113" t="n">
        <v>0.309555991941037</v>
      </c>
    </row>
    <row r="15" customFormat="false" ht="15" hidden="false" customHeight="true" outlineLevel="0" collapsed="false">
      <c r="B15" s="102" t="s">
        <v>628</v>
      </c>
      <c r="C15" s="103" t="n">
        <f aca="false">Model!BV145</f>
        <v>7747</v>
      </c>
      <c r="D15" s="104" t="n">
        <f aca="false">Model!CA145</f>
        <v>8999.25</v>
      </c>
      <c r="E15" s="104" t="n">
        <f aca="false">Model!CB145</f>
        <v>9622.76348385106</v>
      </c>
      <c r="F15" s="104" t="n">
        <f aca="false">Model!CC145</f>
        <v>10677.8671657559</v>
      </c>
      <c r="G15" s="104" t="n">
        <f aca="false">Model!CD145</f>
        <v>11903.5026657212</v>
      </c>
      <c r="H15" s="104" t="n">
        <f aca="false">Model!CE145</f>
        <v>13396.895346399</v>
      </c>
      <c r="I15" s="105" t="n">
        <f aca="false">IFERROR((H15/C15)^(1/5)-1,"n/m")</f>
        <v>0.115768565176553</v>
      </c>
      <c r="N15" s="102" t="s">
        <v>628</v>
      </c>
      <c r="O15" s="103" t="n">
        <v>7747</v>
      </c>
      <c r="P15" s="104" t="n">
        <v>9129.6</v>
      </c>
      <c r="Q15" s="104" t="n">
        <v>10602.8448797415</v>
      </c>
      <c r="R15" s="104" t="n">
        <v>12034.1770933079</v>
      </c>
      <c r="S15" s="104" t="n">
        <v>13697.2440029163</v>
      </c>
      <c r="T15" s="104" t="n">
        <v>15695.3121625995</v>
      </c>
      <c r="U15" s="105" t="n">
        <v>0.151667948470316</v>
      </c>
      <c r="Z15" s="102" t="s">
        <v>628</v>
      </c>
      <c r="AA15" s="103" t="n">
        <v>7747</v>
      </c>
      <c r="AB15" s="104" t="n">
        <v>8869.6</v>
      </c>
      <c r="AC15" s="104" t="n">
        <v>8679.79949504542</v>
      </c>
      <c r="AD15" s="104" t="n">
        <v>9399.95261065758</v>
      </c>
      <c r="AE15" s="104" t="n">
        <v>10245.0954519575</v>
      </c>
      <c r="AF15" s="104" t="n">
        <v>11309.4477231803</v>
      </c>
      <c r="AG15" s="105" t="n">
        <v>0.0786028619263803</v>
      </c>
    </row>
    <row r="16" customFormat="false" ht="15" hidden="false" customHeight="true" outlineLevel="0" collapsed="false">
      <c r="B16" s="106" t="s">
        <v>629</v>
      </c>
      <c r="C16" s="107"/>
      <c r="D16" s="108" t="n">
        <f aca="false">IFERROR(D15/C15-1,"")</f>
        <v>0.161643216729056</v>
      </c>
      <c r="E16" s="108" t="n">
        <f aca="false">IFERROR(E15/D15-1,"")</f>
        <v>0.0692850497375959</v>
      </c>
      <c r="F16" s="108" t="n">
        <f aca="false">IFERROR(F15/E15-1,"")</f>
        <v>0.10964663983226</v>
      </c>
      <c r="G16" s="108" t="n">
        <f aca="false">IFERROR(G15/F15-1,"")</f>
        <v>0.114782800810257</v>
      </c>
      <c r="H16" s="108" t="n">
        <f aca="false">IFERROR(H15/G15-1,"")</f>
        <v>0.125458255659346</v>
      </c>
      <c r="N16" s="106" t="s">
        <v>629</v>
      </c>
      <c r="O16" s="107"/>
      <c r="P16" s="108" t="n">
        <v>0.178469084807022</v>
      </c>
      <c r="Q16" s="108" t="n">
        <v>0.161370145432608</v>
      </c>
      <c r="R16" s="108" t="n">
        <v>0.134995110255847</v>
      </c>
      <c r="S16" s="108" t="n">
        <v>0.138195316282423</v>
      </c>
      <c r="T16" s="108" t="n">
        <v>0.145873736297451</v>
      </c>
      <c r="Z16" s="106" t="s">
        <v>629</v>
      </c>
      <c r="AA16" s="107"/>
      <c r="AB16" s="108" t="n">
        <v>0.144907706208855</v>
      </c>
      <c r="AC16" s="108" t="n">
        <v>-0.0213989926213791</v>
      </c>
      <c r="AD16" s="108" t="n">
        <v>0.0829688653549245</v>
      </c>
      <c r="AE16" s="108" t="n">
        <v>0.0899092661745613</v>
      </c>
      <c r="AF16" s="108" t="n">
        <v>0.103888956058431</v>
      </c>
    </row>
    <row r="17" customFormat="false" ht="15" hidden="false" customHeight="true" outlineLevel="0" collapsed="false">
      <c r="B17" s="106" t="s">
        <v>630</v>
      </c>
      <c r="C17" s="111" t="n">
        <f aca="false">IFERROR(C15/C9,"")</f>
        <v>0.173871083580214</v>
      </c>
      <c r="D17" s="112" t="n">
        <f aca="false">IFERROR(D15/D9,"")</f>
        <v>0.188465968586387</v>
      </c>
      <c r="E17" s="112" t="n">
        <f aca="false">IFERROR(E15/E9,"")</f>
        <v>0.189933525277863</v>
      </c>
      <c r="F17" s="112" t="n">
        <f aca="false">IFERROR(F15/F9,"")</f>
        <v>0.195913270273126</v>
      </c>
      <c r="G17" s="112" t="n">
        <f aca="false">IFERROR(G15/G9,"")</f>
        <v>0.20301894228003</v>
      </c>
      <c r="H17" s="112" t="n">
        <f aca="false">IFERROR(H15/H9,"")</f>
        <v>0.212603053810588</v>
      </c>
      <c r="J17" s="113" t="n">
        <f aca="false">IFERROR(AVERAGE(Model!C232,Model!D232,Model!E232,Model!F232,Model!G232,Model!H232,Model!I232,Model!N232,Model!S232,Model!X232,Model!AC232,Model!AH232,Model!AM232,Model!AR232,Model!AW232,Model!BB232,Model!BG232,Model!BL232,Model!BQ232,Model!BV232),"")</f>
        <v>0.14680256058164</v>
      </c>
      <c r="K17" s="113" t="n">
        <f aca="false">IFERROR(MIN(Model!C232,Model!D232,Model!E232,Model!F232,Model!G232,Model!H232,Model!I232,Model!N232,Model!S232,Model!X232,Model!AC232,Model!AH232,Model!AM232,Model!AR232,Model!AW232,Model!BB232,Model!BG232,Model!BL232,Model!BQ232,Model!BV232),"")</f>
        <v>0.063814198533238</v>
      </c>
      <c r="L17" s="113" t="n">
        <f aca="false">IFERROR(MAX(Model!C232,Model!D232,Model!E232,Model!F232,Model!G232,Model!H232,Model!I232,Model!N232,Model!S232,Model!X232,Model!AC232,Model!AH232,Model!AM232,Model!AR232,Model!AW232,Model!BB232,Model!BG232,Model!BL232,Model!BQ232,Model!BV232),"")</f>
        <v>0.255744561475096</v>
      </c>
      <c r="N17" s="106" t="s">
        <v>630</v>
      </c>
      <c r="O17" s="111" t="n">
        <v>0.173871083580214</v>
      </c>
      <c r="P17" s="112" t="n">
        <v>0.189804573804574</v>
      </c>
      <c r="Q17" s="112" t="n">
        <v>0.202689754726569</v>
      </c>
      <c r="R17" s="112" t="n">
        <v>0.20778093965399</v>
      </c>
      <c r="S17" s="112" t="n">
        <v>0.213994596731857</v>
      </c>
      <c r="T17" s="112" t="n">
        <v>0.222439539117657</v>
      </c>
      <c r="V17" s="113" t="n">
        <v>0.14680256058164</v>
      </c>
      <c r="W17" s="113" t="n">
        <v>0.063814198533238</v>
      </c>
      <c r="X17" s="113" t="n">
        <v>0.255744561475096</v>
      </c>
      <c r="Z17" s="106" t="s">
        <v>630</v>
      </c>
      <c r="AA17" s="111" t="n">
        <v>0.173871083580214</v>
      </c>
      <c r="AB17" s="112" t="n">
        <v>0.187122362869198</v>
      </c>
      <c r="AC17" s="112" t="n">
        <v>0.17702592054346</v>
      </c>
      <c r="AD17" s="112" t="n">
        <v>0.183741348839878</v>
      </c>
      <c r="AE17" s="112" t="n">
        <v>0.191738674081869</v>
      </c>
      <c r="AF17" s="112" t="n">
        <v>0.202661188269012</v>
      </c>
      <c r="AH17" s="113" t="n">
        <v>0.14680256058164</v>
      </c>
      <c r="AI17" s="113" t="n">
        <v>0.063814198533238</v>
      </c>
      <c r="AJ17" s="113" t="n">
        <v>0.255744561475096</v>
      </c>
    </row>
    <row r="19" customFormat="false" ht="15" hidden="false" customHeight="true" outlineLevel="0" collapsed="false">
      <c r="B19" s="102" t="s">
        <v>631</v>
      </c>
      <c r="C19" s="103" t="n">
        <f aca="false">Model!BV208</f>
        <v>8643</v>
      </c>
      <c r="D19" s="104" t="n">
        <f aca="false">Model!CA208</f>
        <v>9339.00625</v>
      </c>
      <c r="E19" s="104" t="n">
        <f aca="false">Model!CB208</f>
        <v>9852.72026235878</v>
      </c>
      <c r="F19" s="104" t="n">
        <f aca="false">Model!CC208</f>
        <v>10740.2764961671</v>
      </c>
      <c r="G19" s="104" t="n">
        <f aca="false">Model!CD208</f>
        <v>11629.418613708</v>
      </c>
      <c r="H19" s="104" t="n">
        <f aca="false">Model!CE208</f>
        <v>12644.4134206854</v>
      </c>
      <c r="I19" s="105" t="n">
        <f aca="false">IFERROR((H19/C19)^(1/5)-1,"n/m")</f>
        <v>0.0790630833463133</v>
      </c>
      <c r="N19" s="102" t="s">
        <v>631</v>
      </c>
      <c r="O19" s="103" t="n">
        <v>8643</v>
      </c>
      <c r="P19" s="104" t="n">
        <v>9454.366</v>
      </c>
      <c r="Q19" s="104" t="n">
        <v>10738.5229890039</v>
      </c>
      <c r="R19" s="104" t="n">
        <v>11857.7270737974</v>
      </c>
      <c r="S19" s="104" t="n">
        <v>13131.7688729103</v>
      </c>
      <c r="T19" s="104" t="n">
        <v>14595.6573126717</v>
      </c>
      <c r="U19" s="105" t="n">
        <v>0.110482781519864</v>
      </c>
      <c r="Z19" s="102" t="s">
        <v>631</v>
      </c>
      <c r="AA19" s="103" t="n">
        <v>8643</v>
      </c>
      <c r="AB19" s="104" t="n">
        <v>9224.266</v>
      </c>
      <c r="AC19" s="104" t="n">
        <v>8968.87746300403</v>
      </c>
      <c r="AD19" s="104" t="n">
        <v>9666.6820865549</v>
      </c>
      <c r="AE19" s="104" t="n">
        <v>10188.8122821309</v>
      </c>
      <c r="AF19" s="104" t="n">
        <v>10798.6433017021</v>
      </c>
      <c r="AG19" s="105" t="n">
        <v>0.0455406836687893</v>
      </c>
    </row>
    <row r="21" customFormat="false" ht="15" hidden="false" customHeight="true" outlineLevel="0" collapsed="false">
      <c r="B21" s="102" t="s">
        <v>632</v>
      </c>
      <c r="C21" s="114" t="n">
        <f aca="false">Model!BV168</f>
        <v>378</v>
      </c>
      <c r="D21" s="115" t="n">
        <f aca="false">Model!CA168</f>
        <v>371.5</v>
      </c>
      <c r="E21" s="115" t="n">
        <f aca="false">Model!CB168</f>
        <v>369.028232787657</v>
      </c>
      <c r="F21" s="115" t="n">
        <f aca="false">Model!CC168</f>
        <v>362.732205654702</v>
      </c>
      <c r="G21" s="115" t="n">
        <f aca="false">Model!CD168</f>
        <v>354.337202434538</v>
      </c>
      <c r="H21" s="115" t="n">
        <f aca="false">Model!CE168</f>
        <v>345.471984967386</v>
      </c>
      <c r="I21" s="105" t="n">
        <f aca="false">IFERROR((H21/C21)^(1/5)-1,"n/m")</f>
        <v>-0.0178355578039485</v>
      </c>
      <c r="N21" s="102" t="s">
        <v>632</v>
      </c>
      <c r="O21" s="114" t="n">
        <v>378</v>
      </c>
      <c r="P21" s="115" t="n">
        <v>371.130592824635</v>
      </c>
      <c r="Q21" s="115" t="n">
        <v>365.314466319754</v>
      </c>
      <c r="R21" s="115" t="n">
        <v>357.044294937796</v>
      </c>
      <c r="S21" s="115" t="n">
        <v>348.834197269284</v>
      </c>
      <c r="T21" s="115" t="n">
        <v>339.48382792861</v>
      </c>
      <c r="U21" s="105" t="n">
        <v>-0.0212642360769482</v>
      </c>
      <c r="Z21" s="102" t="s">
        <v>632</v>
      </c>
      <c r="AA21" s="114" t="n">
        <v>378</v>
      </c>
      <c r="AB21" s="115" t="n">
        <v>371.5</v>
      </c>
      <c r="AC21" s="115" t="n">
        <v>371.519649306958</v>
      </c>
      <c r="AD21" s="115" t="n">
        <v>367.202953440207</v>
      </c>
      <c r="AE21" s="115" t="n">
        <v>358.092057013265</v>
      </c>
      <c r="AF21" s="115" t="n">
        <v>349.106211093334</v>
      </c>
      <c r="AG21" s="105" t="n">
        <v>-0.0157778035170949</v>
      </c>
    </row>
    <row r="23" customFormat="false" ht="15" hidden="false" customHeight="true" outlineLevel="0" collapsed="false">
      <c r="B23" s="102" t="s">
        <v>633</v>
      </c>
      <c r="C23" s="116" t="n">
        <f aca="false">Model!BV212</f>
        <v>22.8650793650794</v>
      </c>
      <c r="D23" s="117" t="n">
        <f aca="false">Model!CA212</f>
        <v>25.1386440107672</v>
      </c>
      <c r="E23" s="117" t="n">
        <f aca="false">Model!CB212</f>
        <v>26.6990961312929</v>
      </c>
      <c r="F23" s="117" t="n">
        <f aca="false">Model!CC212</f>
        <v>29.6093821522734</v>
      </c>
      <c r="G23" s="117" t="n">
        <f aca="false">Model!CD212</f>
        <v>32.8202021515268</v>
      </c>
      <c r="H23" s="117" t="n">
        <f aca="false">Model!CE212</f>
        <v>36.600401684898</v>
      </c>
      <c r="I23" s="105" t="n">
        <f aca="false">IFERROR((H23/C23)^(1/5)-1,"n/m")</f>
        <v>0.0986582663628133</v>
      </c>
      <c r="N23" s="102" t="s">
        <v>633</v>
      </c>
      <c r="O23" s="116" t="n">
        <v>22.8650793650794</v>
      </c>
      <c r="P23" s="117" t="n">
        <v>25.4744992269267</v>
      </c>
      <c r="Q23" s="117" t="n">
        <v>29.3952853747779</v>
      </c>
      <c r="R23" s="117" t="n">
        <v>33.2108011300481</v>
      </c>
      <c r="S23" s="117" t="n">
        <v>37.6447291455579</v>
      </c>
      <c r="T23" s="117" t="n">
        <v>42.9936748437426</v>
      </c>
      <c r="U23" s="105" t="n">
        <v>0.134609383301508</v>
      </c>
      <c r="Z23" s="102" t="s">
        <v>633</v>
      </c>
      <c r="AA23" s="116" t="n">
        <v>22.8650793650794</v>
      </c>
      <c r="AB23" s="117" t="n">
        <v>24.8297873485868</v>
      </c>
      <c r="AC23" s="117" t="n">
        <v>24.1410581640428</v>
      </c>
      <c r="AD23" s="117" t="n">
        <v>26.3251752089433</v>
      </c>
      <c r="AE23" s="117" t="n">
        <v>28.4530530141121</v>
      </c>
      <c r="AF23" s="117" t="n">
        <v>30.9322577443776</v>
      </c>
      <c r="AG23" s="105" t="n">
        <v>0.0623014674989086</v>
      </c>
    </row>
    <row r="24" customFormat="false" ht="15" hidden="false" customHeight="true" outlineLevel="0" collapsed="false">
      <c r="B24" s="106" t="s">
        <v>634</v>
      </c>
      <c r="C24" s="107"/>
      <c r="D24" s="108" t="n">
        <f aca="false">IFERROR(D23/C23-1,"")</f>
        <v>0.0994339275795424</v>
      </c>
      <c r="E24" s="108" t="n">
        <f aca="false">IFERROR(E23/D23-1,"")</f>
        <v>0.0620738381854382</v>
      </c>
      <c r="F24" s="108" t="n">
        <f aca="false">IFERROR(F23/E23-1,"")</f>
        <v>0.109003166499316</v>
      </c>
      <c r="G24" s="108" t="n">
        <f aca="false">IFERROR(G23/F23-1,"")</f>
        <v>0.108439277210883</v>
      </c>
      <c r="H24" s="108" t="n">
        <f aca="false">IFERROR(H23/G23-1,"")</f>
        <v>0.115179044782191</v>
      </c>
      <c r="N24" s="106" t="s">
        <v>634</v>
      </c>
      <c r="O24" s="107"/>
      <c r="P24" s="108" t="n">
        <v>0.114122493090163</v>
      </c>
      <c r="Q24" s="108" t="n">
        <v>0.153910234424037</v>
      </c>
      <c r="R24" s="108" t="n">
        <v>0.129800262410244</v>
      </c>
      <c r="S24" s="108" t="n">
        <v>0.133508613602763</v>
      </c>
      <c r="T24" s="108" t="n">
        <v>0.1420901629416</v>
      </c>
      <c r="Z24" s="106" t="s">
        <v>634</v>
      </c>
      <c r="AA24" s="107"/>
      <c r="AB24" s="108" t="n">
        <v>0.0859261388135848</v>
      </c>
      <c r="AC24" s="108" t="n">
        <v>-0.0277380218716714</v>
      </c>
      <c r="AD24" s="108" t="n">
        <v>0.0904731279821733</v>
      </c>
      <c r="AE24" s="108" t="n">
        <v>0.0808305277469124</v>
      </c>
      <c r="AF24" s="108" t="n">
        <v>0.0871331708775116</v>
      </c>
    </row>
    <row r="26" customFormat="false" ht="15" hidden="false" customHeight="true" outlineLevel="0" collapsed="false">
      <c r="B26" s="106" t="s">
        <v>635</v>
      </c>
      <c r="C26" s="118"/>
      <c r="D26" s="118"/>
      <c r="E26" s="118"/>
      <c r="F26" s="118"/>
      <c r="G26" s="118" t="n">
        <v>26</v>
      </c>
      <c r="H26" s="118" t="n">
        <v>26</v>
      </c>
      <c r="N26" s="106" t="s">
        <v>635</v>
      </c>
      <c r="O26" s="118"/>
      <c r="P26" s="118"/>
      <c r="Q26" s="118"/>
      <c r="R26" s="118"/>
      <c r="S26" s="118" t="n">
        <v>30</v>
      </c>
      <c r="T26" s="118" t="n">
        <v>30</v>
      </c>
      <c r="Z26" s="106" t="s">
        <v>635</v>
      </c>
      <c r="AA26" s="118"/>
      <c r="AB26" s="118"/>
      <c r="AC26" s="118"/>
      <c r="AD26" s="118" t="n">
        <v>21</v>
      </c>
      <c r="AE26" s="118" t="n">
        <v>21</v>
      </c>
      <c r="AF26" s="118" t="n">
        <v>21</v>
      </c>
    </row>
    <row r="27" customFormat="false" ht="15" hidden="false" customHeight="true" outlineLevel="0" collapsed="false">
      <c r="B27" s="95" t="s">
        <v>636</v>
      </c>
      <c r="C27" s="119"/>
      <c r="D27" s="119"/>
      <c r="E27" s="119"/>
      <c r="F27" s="119"/>
      <c r="G27" s="119" t="n">
        <f aca="false">G26*G23</f>
        <v>853.325255939696</v>
      </c>
      <c r="H27" s="119" t="n">
        <f aca="false">H26*H23</f>
        <v>951.610443807349</v>
      </c>
      <c r="N27" s="95" t="s">
        <v>636</v>
      </c>
      <c r="O27" s="119"/>
      <c r="P27" s="119"/>
      <c r="Q27" s="119"/>
      <c r="R27" s="119"/>
      <c r="S27" s="119" t="n">
        <f aca="false">S26*S23</f>
        <v>1129.34187436674</v>
      </c>
      <c r="T27" s="119" t="n">
        <f aca="false">T26*T23</f>
        <v>1289.81024531228</v>
      </c>
      <c r="Z27" s="95" t="s">
        <v>636</v>
      </c>
      <c r="AA27" s="119"/>
      <c r="AB27" s="119"/>
      <c r="AC27" s="119"/>
      <c r="AD27" s="119" t="n">
        <f aca="false">AD26*AD23</f>
        <v>552.828679387809</v>
      </c>
      <c r="AE27" s="119" t="n">
        <f aca="false">AE26*AE23</f>
        <v>597.514113296354</v>
      </c>
      <c r="AF27" s="119" t="n">
        <f aca="false">AF26*AF23</f>
        <v>649.57741263193</v>
      </c>
    </row>
    <row r="28" customFormat="false" ht="15" hidden="false" customHeight="true" outlineLevel="0" collapsed="false">
      <c r="B28" s="0" t="s">
        <v>637</v>
      </c>
      <c r="E28" s="120"/>
      <c r="F28" s="120"/>
      <c r="G28" s="120" t="n">
        <f aca="false">IFERROR(G27/$K$2-1,"")</f>
        <v>0.260897889857108</v>
      </c>
      <c r="H28" s="120" t="n">
        <f aca="false">IFERROR(H27/$K$2-1,"")</f>
        <v>0.406126904378729</v>
      </c>
      <c r="N28" s="121" t="s">
        <v>637</v>
      </c>
      <c r="O28" s="120"/>
      <c r="P28" s="120"/>
      <c r="Q28" s="120"/>
      <c r="R28" s="120"/>
      <c r="S28" s="120" t="n">
        <f aca="false">IFERROR(S27/$K$2-1,"")</f>
        <v>0.668747967324808</v>
      </c>
      <c r="T28" s="120" t="n">
        <f aca="false">IFERROR(T27/$K$2-1,"")</f>
        <v>0.905860637910453</v>
      </c>
      <c r="Z28" s="121" t="s">
        <v>637</v>
      </c>
      <c r="AA28" s="120"/>
      <c r="AB28" s="120"/>
      <c r="AC28" s="120"/>
      <c r="AD28" s="120" t="n">
        <f aca="false">IFERROR(AD27/$K$2-1,"")</f>
        <v>-0.183124476346402</v>
      </c>
      <c r="AE28" s="120" t="n">
        <f aca="false">IFERROR(AE27/$K$2-1,"")</f>
        <v>-0.117095996665946</v>
      </c>
      <c r="AF28" s="120" t="n">
        <f aca="false">IFERROR(AF27/$K$2-1,"")</f>
        <v>-0.040165771275002</v>
      </c>
    </row>
    <row r="29" customFormat="false" ht="15" hidden="false" customHeight="true" outlineLevel="0" collapsed="false">
      <c r="B29" s="96" t="s">
        <v>638</v>
      </c>
      <c r="C29" s="122"/>
      <c r="D29" s="122"/>
      <c r="E29" s="122"/>
      <c r="F29" s="122"/>
      <c r="G29" s="122" t="n">
        <f aca="false">IFERROR((G27/$K$2)^(1/((DATE(2029-1,12,31)-$K$3)/365.25))-1,"")</f>
        <v>0.109200886755809</v>
      </c>
      <c r="H29" s="122" t="n">
        <f aca="false">IFERROR((H27/$K$2)^(1/((DATE(2030-1,12,31)-$K$3)/365.25))-1,"")</f>
        <v>0.11106912369992</v>
      </c>
      <c r="N29" s="96" t="s">
        <v>638</v>
      </c>
      <c r="O29" s="122"/>
      <c r="P29" s="122"/>
      <c r="Q29" s="122"/>
      <c r="R29" s="122"/>
      <c r="S29" s="122" t="n">
        <f aca="false">IFERROR((S27/$K$2)^(1/((DATE(2029-1,12,31)-$K$3)/365.25))-1,"")</f>
        <v>0.257252614794165</v>
      </c>
      <c r="T29" s="122" t="n">
        <f aca="false">IFERROR((T27/$K$2)^(1/((DATE(2030-1,12,31)-$K$3)/365.25))-1,"")</f>
        <v>0.220537159128243</v>
      </c>
      <c r="Z29" s="96" t="s">
        <v>638</v>
      </c>
      <c r="AA29" s="122"/>
      <c r="AB29" s="122"/>
      <c r="AC29" s="122"/>
      <c r="AD29" s="122" t="n">
        <f aca="false">IFERROR((AD27/$K$2)^(1/((DATE(2028-1,12,31)-$K$3)/365.25))-1,"")</f>
        <v>-0.151097227320463</v>
      </c>
      <c r="AE29" s="122" t="n">
        <f aca="false">IFERROR((AE27/$K$2)^(1/((DATE(2029-1,12,31)-$K$3)/365.25))-1,"")</f>
        <v>-0.0541550444202411</v>
      </c>
      <c r="AF29" s="122" t="n">
        <f aca="false">IFERROR((AF27/$K$2)^(1/((DATE(2030-1,12,31)-$K$3)/365.25))-1,"")</f>
        <v>-0.0125878762093522</v>
      </c>
    </row>
    <row r="31" customFormat="false" ht="15" hidden="false" customHeight="true" outlineLevel="0" collapsed="false">
      <c r="B31" s="102" t="s">
        <v>639</v>
      </c>
      <c r="C31" s="103" t="n">
        <f aca="false">Model!BV267</f>
        <v>6337</v>
      </c>
      <c r="D31" s="104" t="n">
        <f aca="false">Model!CA267</f>
        <v>7150</v>
      </c>
      <c r="E31" s="104" t="n">
        <f aca="false">Model!CB267</f>
        <v>8636.78280698998</v>
      </c>
      <c r="F31" s="104" t="n">
        <f aca="false">Model!CC267</f>
        <v>9350.00113786526</v>
      </c>
      <c r="G31" s="104" t="n">
        <f aca="false">Model!CD267</f>
        <v>10147.8832198337</v>
      </c>
      <c r="H31" s="104" t="n">
        <f aca="false">Model!CE267</f>
        <v>11080.678234675</v>
      </c>
      <c r="I31" s="105" t="n">
        <f aca="false">IFERROR((H31/C31)^(1/5)-1,"n/m")</f>
        <v>0.11824387311744</v>
      </c>
      <c r="N31" s="102" t="s">
        <v>639</v>
      </c>
      <c r="O31" s="103" t="n">
        <v>6337</v>
      </c>
      <c r="P31" s="104" t="n">
        <v>7400</v>
      </c>
      <c r="Q31" s="104" t="n">
        <v>9326.10926452334</v>
      </c>
      <c r="R31" s="104" t="n">
        <v>10181.8106552989</v>
      </c>
      <c r="S31" s="104" t="n">
        <v>11310.3612893633</v>
      </c>
      <c r="T31" s="104" t="n">
        <v>12632.6810976734</v>
      </c>
      <c r="U31" s="105" t="n">
        <v>0.147948394910822</v>
      </c>
      <c r="Z31" s="102" t="s">
        <v>639</v>
      </c>
      <c r="AA31" s="103" t="n">
        <v>6337</v>
      </c>
      <c r="AB31" s="104" t="n">
        <v>6900</v>
      </c>
      <c r="AC31" s="104" t="n">
        <v>7947.32484232508</v>
      </c>
      <c r="AD31" s="104" t="n">
        <v>8553.6564630896</v>
      </c>
      <c r="AE31" s="104" t="n">
        <v>9030.85304504018</v>
      </c>
      <c r="AF31" s="104" t="n">
        <v>9608.10373759209</v>
      </c>
      <c r="AG31" s="105" t="n">
        <v>0.0868029166554667</v>
      </c>
    </row>
    <row r="32" customFormat="false" ht="15" hidden="false" customHeight="true" outlineLevel="0" collapsed="false">
      <c r="B32" s="106" t="s">
        <v>640</v>
      </c>
      <c r="C32" s="111" t="n">
        <f aca="false">IFERROR(C31/C9,"")</f>
        <v>0.142225513959961</v>
      </c>
      <c r="D32" s="112" t="n">
        <f aca="false">IFERROR(D31/D9,"")</f>
        <v>0.149738219895288</v>
      </c>
      <c r="E32" s="112" t="n">
        <f aca="false">IFERROR(E31/E9,"")</f>
        <v>0.170472298144269</v>
      </c>
      <c r="F32" s="112" t="n">
        <f aca="false">IFERROR(F31/F9,"")</f>
        <v>0.171550111229255</v>
      </c>
      <c r="G32" s="112" t="n">
        <f aca="false">IFERROR(G31/G9,"")</f>
        <v>0.173076158801958</v>
      </c>
      <c r="H32" s="112" t="n">
        <f aca="false">IFERROR(H31/H9,"")</f>
        <v>0.17584566946831</v>
      </c>
      <c r="J32" s="113" t="n">
        <f aca="false">IFERROR(AVERAGE(Model!C273,Model!D273,Model!E273,Model!F273,Model!G273,Model!H273,Model!I273,Model!N273,Model!S273,Model!X273,Model!AC273,Model!AH273,Model!AM273,Model!AR273,Model!AW273,Model!BB273,Model!BG273,Model!BL273,Model!BQ273,Model!BV273),"")</f>
        <v>0.146308464457476</v>
      </c>
      <c r="K32" s="113" t="n">
        <f aca="false">IFERROR(MIN(Model!C273,Model!D273,Model!E273,Model!F273,Model!G273,Model!H273,Model!I273,Model!N273,Model!S273,Model!X273,Model!AC273,Model!AH273,Model!AM273,Model!AR273,Model!AW273,Model!BB273,Model!BG273,Model!BL273,Model!BQ273,Model!BV273),"")</f>
        <v>0.0887484152539668</v>
      </c>
      <c r="L32" s="113" t="n">
        <f aca="false">IFERROR(MAX(Model!C273,Model!D273,Model!E273,Model!F273,Model!G273,Model!H273,Model!I273,Model!N273,Model!S273,Model!X273,Model!AC273,Model!AH273,Model!AM273,Model!AR273,Model!AW273,Model!BB273,Model!BG273,Model!BL273,Model!BQ273,Model!BV273),"")</f>
        <v>0.211776025824074</v>
      </c>
      <c r="N32" s="106" t="s">
        <v>640</v>
      </c>
      <c r="O32" s="111" t="n">
        <v>0.142225513959961</v>
      </c>
      <c r="P32" s="112" t="n">
        <v>0.153846153846154</v>
      </c>
      <c r="Q32" s="112" t="n">
        <v>0.178282981673264</v>
      </c>
      <c r="R32" s="112" t="n">
        <v>0.175798159602742</v>
      </c>
      <c r="S32" s="112" t="n">
        <v>0.176703883094554</v>
      </c>
      <c r="T32" s="112" t="n">
        <v>0.179034843784936</v>
      </c>
      <c r="V32" s="113" t="n">
        <v>0.146308464457476</v>
      </c>
      <c r="W32" s="113" t="n">
        <v>0.0887484152539668</v>
      </c>
      <c r="X32" s="113" t="n">
        <v>0.211776025824074</v>
      </c>
      <c r="Z32" s="106" t="s">
        <v>640</v>
      </c>
      <c r="AA32" s="111" t="n">
        <v>0.142225513959961</v>
      </c>
      <c r="AB32" s="112" t="n">
        <v>0.145569620253165</v>
      </c>
      <c r="AC32" s="112" t="n">
        <v>0.162086981026875</v>
      </c>
      <c r="AD32" s="112" t="n">
        <v>0.167198755263839</v>
      </c>
      <c r="AE32" s="112" t="n">
        <v>0.169013924448442</v>
      </c>
      <c r="AF32" s="112" t="n">
        <v>0.172173723079449</v>
      </c>
      <c r="AH32" s="113" t="n">
        <v>0.146308464457476</v>
      </c>
      <c r="AI32" s="113" t="n">
        <v>0.0887484152539668</v>
      </c>
      <c r="AJ32" s="113" t="n">
        <v>0.211776025824074</v>
      </c>
    </row>
    <row r="33" customFormat="false" ht="15" hidden="false" customHeight="true" outlineLevel="0" collapsed="false">
      <c r="B33" s="106" t="s">
        <v>641</v>
      </c>
      <c r="C33" s="123" t="n">
        <f aca="false">IFERROR(C31/C21,"")</f>
        <v>16.7645502645503</v>
      </c>
      <c r="D33" s="124" t="n">
        <f aca="false">IFERROR(D31/D21,"")</f>
        <v>19.2462987886945</v>
      </c>
      <c r="E33" s="124" t="n">
        <f aca="false">IFERROR(E31/E21,"")</f>
        <v>23.4041247786038</v>
      </c>
      <c r="F33" s="124" t="n">
        <f aca="false">IFERROR(F31/F21,"")</f>
        <v>25.7765949427878</v>
      </c>
      <c r="G33" s="124" t="n">
        <f aca="false">IFERROR(G31/G21,"")</f>
        <v>28.639056667239</v>
      </c>
      <c r="H33" s="124" t="n">
        <f aca="false">IFERROR(H31/H21,"")</f>
        <v>32.0740283346595</v>
      </c>
      <c r="N33" s="106" t="s">
        <v>641</v>
      </c>
      <c r="O33" s="123" t="n">
        <v>16.7645502645503</v>
      </c>
      <c r="P33" s="124" t="n">
        <v>19.9390730461733</v>
      </c>
      <c r="Q33" s="124" t="n">
        <v>25.5289897454001</v>
      </c>
      <c r="R33" s="124" t="n">
        <v>28.5169397737408</v>
      </c>
      <c r="S33" s="124" t="n">
        <v>32.4233156551225</v>
      </c>
      <c r="T33" s="124" t="n">
        <v>37.2114370653613</v>
      </c>
      <c r="Z33" s="106" t="s">
        <v>641</v>
      </c>
      <c r="AA33" s="123" t="n">
        <v>16.7645502645503</v>
      </c>
      <c r="AB33" s="124" t="n">
        <v>18.5733512786003</v>
      </c>
      <c r="AC33" s="124" t="n">
        <v>21.3913984284552</v>
      </c>
      <c r="AD33" s="124" t="n">
        <v>23.2940840561143</v>
      </c>
      <c r="AE33" s="124" t="n">
        <v>25.2193615249769</v>
      </c>
      <c r="AF33" s="124" t="n">
        <v>27.5220074357926</v>
      </c>
    </row>
    <row r="34" customFormat="false" ht="15" hidden="false" customHeight="true" outlineLevel="0" collapsed="false">
      <c r="B34" s="106" t="s">
        <v>642</v>
      </c>
      <c r="E34" s="125"/>
      <c r="F34" s="125" t="str">
        <f aca="false">IFERROR(F33/F$27,"")</f>
        <v/>
      </c>
      <c r="G34" s="125" t="n">
        <f aca="false">IFERROR(G33/G$27,"")</f>
        <v>0.0335617122168747</v>
      </c>
      <c r="H34" s="125" t="n">
        <f aca="false">IFERROR(H33/H$27,"")</f>
        <v>0.0337049982410164</v>
      </c>
      <c r="N34" s="106" t="s">
        <v>642</v>
      </c>
      <c r="Q34" s="125"/>
      <c r="R34" s="125" t="str">
        <f aca="false">IFERROR(R33/R$27,"")</f>
        <v/>
      </c>
      <c r="S34" s="125" t="n">
        <f aca="false">IFERROR(S33/S$27,"")</f>
        <v>0.0287099206989942</v>
      </c>
      <c r="T34" s="125" t="n">
        <f aca="false">IFERROR(T33/T$27,"")</f>
        <v>0.0288503190299531</v>
      </c>
      <c r="Z34" s="106" t="s">
        <v>642</v>
      </c>
      <c r="AC34" s="125"/>
      <c r="AD34" s="125" t="n">
        <f aca="false">IFERROR(AD33/AD$27,"")</f>
        <v>0.0421361715204603</v>
      </c>
      <c r="AE34" s="125" t="n">
        <f aca="false">IFERROR(AE33/AE$27,"")</f>
        <v>0.042207139486375</v>
      </c>
      <c r="AF34" s="125" t="n">
        <f aca="false">IFERROR(AF33/AF$27,"")</f>
        <v>0.0423690955082322</v>
      </c>
    </row>
    <row r="35" customFormat="false" ht="15" hidden="false" customHeight="true" outlineLevel="0" collapsed="false">
      <c r="B35" s="102" t="s">
        <v>643</v>
      </c>
      <c r="C35" s="103" t="n">
        <f aca="false">Model!BV195</f>
        <v>11160</v>
      </c>
      <c r="D35" s="104" t="n">
        <f aca="false">Model!CA195</f>
        <v>12639.9551151122</v>
      </c>
      <c r="E35" s="104" t="n">
        <f aca="false">Model!CB195</f>
        <v>13452.7181266983</v>
      </c>
      <c r="F35" s="104" t="n">
        <f aca="false">Model!CC195</f>
        <v>14693.8005427652</v>
      </c>
      <c r="G35" s="104" t="n">
        <f aca="false">Model!CD195</f>
        <v>16049.1166579491</v>
      </c>
      <c r="H35" s="104" t="n">
        <f aca="false">Model!CE195</f>
        <v>17502.9173684931</v>
      </c>
      <c r="I35" s="105" t="n">
        <f aca="false">IFERROR((H35/C35)^(1/5)-1,"n/m")</f>
        <v>0.0941812025966506</v>
      </c>
      <c r="N35" s="102" t="s">
        <v>643</v>
      </c>
      <c r="O35" s="103" t="n">
        <v>11160</v>
      </c>
      <c r="P35" s="104" t="n">
        <v>12779.999014847</v>
      </c>
      <c r="Q35" s="104" t="n">
        <v>14530.003055409</v>
      </c>
      <c r="R35" s="104" t="n">
        <v>16291.3632496489</v>
      </c>
      <c r="S35" s="104" t="n">
        <v>18234.5172622817</v>
      </c>
      <c r="T35" s="104" t="n">
        <v>20350.3603692667</v>
      </c>
      <c r="U35" s="105" t="n">
        <v>0.127668844799745</v>
      </c>
      <c r="Z35" s="102" t="s">
        <v>643</v>
      </c>
      <c r="AA35" s="103" t="n">
        <v>11160</v>
      </c>
      <c r="AB35" s="104" t="n">
        <v>12500.6112153774</v>
      </c>
      <c r="AC35" s="104" t="n">
        <v>12413.0207232137</v>
      </c>
      <c r="AD35" s="104" t="n">
        <v>13176.948753985</v>
      </c>
      <c r="AE35" s="104" t="n">
        <v>14004.8278455139</v>
      </c>
      <c r="AF35" s="104" t="n">
        <v>14877.5743999601</v>
      </c>
      <c r="AG35" s="105" t="n">
        <v>0.0591893058212067</v>
      </c>
    </row>
    <row r="36" customFormat="false" ht="15" hidden="false" customHeight="true" outlineLevel="0" collapsed="false">
      <c r="B36" s="106" t="s">
        <v>644</v>
      </c>
      <c r="C36" s="111" t="n">
        <f aca="false">IFERROR(C35/C9,"")</f>
        <v>0.250471316994344</v>
      </c>
      <c r="D36" s="112" t="n">
        <f aca="false">IFERROR(D35/D9,"")</f>
        <v>0.264711101887167</v>
      </c>
      <c r="E36" s="112" t="n">
        <f aca="false">IFERROR(E35/E9,"")</f>
        <v>0.265528939026843</v>
      </c>
      <c r="F36" s="112" t="n">
        <f aca="false">IFERROR(F35/F9,"")</f>
        <v>0.269596022537744</v>
      </c>
      <c r="G36" s="112" t="n">
        <f aca="false">IFERROR(G35/G9,"")</f>
        <v>0.273724027282201</v>
      </c>
      <c r="H36" s="112" t="n">
        <f aca="false">IFERROR(H35/H9,"")</f>
        <v>0.277763883864051</v>
      </c>
      <c r="J36" s="113" t="n">
        <f aca="false">IFERROR(AVERAGE(Model!C230,Model!D230,Model!E230,Model!F230,Model!G230,Model!H230,Model!I230,Model!N230,Model!S230,Model!X230,Model!AC230,Model!AH230,Model!AM230,Model!AR230,Model!AW230,Model!BB230,Model!BG230,Model!BL230,Model!BQ230,Model!BV230),"")</f>
        <v>0.236560394280525</v>
      </c>
      <c r="K36" s="113" t="n">
        <f aca="false">IFERROR(MIN(Model!C230,Model!D230,Model!E230,Model!F230,Model!G230,Model!H230,Model!I230,Model!N230,Model!S230,Model!X230,Model!AC230,Model!AH230,Model!AM230,Model!AR230,Model!AW230,Model!BB230,Model!BG230,Model!BL230,Model!BQ230,Model!BV230),"")</f>
        <v>0.169536110846639</v>
      </c>
      <c r="L36" s="113" t="n">
        <f aca="false">IFERROR(MAX(Model!C230,Model!D230,Model!E230,Model!F230,Model!G230,Model!H230,Model!I230,Model!N230,Model!S230,Model!X230,Model!AC230,Model!AH230,Model!AM230,Model!AR230,Model!AW230,Model!BB230,Model!BG230,Model!BL230,Model!BQ230,Model!BV230),"")</f>
        <v>0.330749024508429</v>
      </c>
      <c r="N36" s="106" t="s">
        <v>644</v>
      </c>
      <c r="O36" s="111" t="n">
        <v>0.250471316994344</v>
      </c>
      <c r="P36" s="112" t="n">
        <v>0.265696445215114</v>
      </c>
      <c r="Q36" s="112" t="n">
        <v>0.27776344828964</v>
      </c>
      <c r="R36" s="112" t="n">
        <v>0.281285104748785</v>
      </c>
      <c r="S36" s="112" t="n">
        <v>0.28488126277894</v>
      </c>
      <c r="T36" s="112" t="n">
        <v>0.288412535827397</v>
      </c>
      <c r="V36" s="113" t="n">
        <v>0.236560394280525</v>
      </c>
      <c r="W36" s="113" t="n">
        <v>0.169536110846639</v>
      </c>
      <c r="X36" s="113" t="n">
        <v>0.330749024508429</v>
      </c>
      <c r="Z36" s="106" t="s">
        <v>644</v>
      </c>
      <c r="AA36" s="111" t="n">
        <v>0.250471316994344</v>
      </c>
      <c r="AB36" s="112" t="n">
        <v>0.263725975007963</v>
      </c>
      <c r="AC36" s="112" t="n">
        <v>0.253165573871411</v>
      </c>
      <c r="AD36" s="112" t="n">
        <v>0.25757048337734</v>
      </c>
      <c r="AE36" s="112" t="n">
        <v>0.26210269435124</v>
      </c>
      <c r="AF36" s="112" t="n">
        <v>0.266600720057856</v>
      </c>
      <c r="AH36" s="113" t="n">
        <v>0.236560394280525</v>
      </c>
      <c r="AI36" s="113" t="n">
        <v>0.169536110846639</v>
      </c>
      <c r="AJ36" s="113" t="n">
        <v>0.330749024508429</v>
      </c>
    </row>
    <row r="38" customFormat="false" ht="15" hidden="false" customHeight="true" outlineLevel="0" collapsed="false">
      <c r="B38" s="102" t="s">
        <v>645</v>
      </c>
      <c r="C38" s="103" t="n">
        <f aca="false">Model!BV395</f>
        <v>29280</v>
      </c>
      <c r="D38" s="104" t="n">
        <f aca="false">Model!CA395</f>
        <v>33162.74</v>
      </c>
      <c r="E38" s="104" t="n">
        <f aca="false">Model!CB395</f>
        <v>33631.7953167458</v>
      </c>
      <c r="F38" s="104" t="n">
        <f aca="false">Model!CC395</f>
        <v>36734.501356913</v>
      </c>
      <c r="G38" s="104" t="n">
        <f aca="false">Model!CD395</f>
        <v>40122.7916448727</v>
      </c>
      <c r="H38" s="104" t="n">
        <f aca="false">Model!CE395</f>
        <v>43757.2934212329</v>
      </c>
      <c r="N38" s="102" t="s">
        <v>645</v>
      </c>
      <c r="O38" s="103" t="n">
        <v>29280</v>
      </c>
      <c r="P38" s="104" t="n">
        <v>33912.0455145103</v>
      </c>
      <c r="Q38" s="104" t="n">
        <v>39957.5084023748</v>
      </c>
      <c r="R38" s="104" t="n">
        <v>44801.2489365346</v>
      </c>
      <c r="S38" s="104" t="n">
        <v>50144.9224712746</v>
      </c>
      <c r="T38" s="104" t="n">
        <v>55963.4910154834</v>
      </c>
      <c r="Z38" s="102" t="s">
        <v>645</v>
      </c>
      <c r="AA38" s="103" t="n">
        <v>29280</v>
      </c>
      <c r="AB38" s="104" t="n">
        <v>33412.74</v>
      </c>
      <c r="AC38" s="104" t="n">
        <v>27929.2966272308</v>
      </c>
      <c r="AD38" s="104" t="n">
        <v>29648.1346964664</v>
      </c>
      <c r="AE38" s="104" t="n">
        <v>31510.8626524063</v>
      </c>
      <c r="AF38" s="104" t="n">
        <v>33474.5423999103</v>
      </c>
    </row>
    <row r="39" customFormat="false" ht="15" hidden="false" customHeight="true" outlineLevel="0" collapsed="false">
      <c r="B39" s="106" t="s">
        <v>646</v>
      </c>
      <c r="C39" s="126" t="n">
        <f aca="false">IFERROR(C38/C35,"")</f>
        <v>2.62365591397849</v>
      </c>
      <c r="D39" s="127" t="n">
        <f aca="false">IFERROR(D38/D35,"")</f>
        <v>2.62364381028149</v>
      </c>
      <c r="E39" s="127" t="n">
        <f aca="false">IFERROR(E38/E35,"")</f>
        <v>2.5</v>
      </c>
      <c r="F39" s="127" t="n">
        <f aca="false">IFERROR(F38/F35,"")</f>
        <v>2.5</v>
      </c>
      <c r="G39" s="127" t="n">
        <f aca="false">IFERROR(G38/G35,"")</f>
        <v>2.5</v>
      </c>
      <c r="H39" s="127" t="n">
        <f aca="false">IFERROR(H38/H35,"")</f>
        <v>2.5</v>
      </c>
      <c r="N39" s="106" t="s">
        <v>646</v>
      </c>
      <c r="O39" s="126" t="n">
        <v>2.62365591397849</v>
      </c>
      <c r="P39" s="127" t="n">
        <v>2.65352489269471</v>
      </c>
      <c r="Q39" s="127" t="n">
        <v>2.75</v>
      </c>
      <c r="R39" s="127" t="n">
        <v>2.75</v>
      </c>
      <c r="S39" s="127" t="n">
        <v>2.75</v>
      </c>
      <c r="T39" s="127" t="n">
        <v>2.75</v>
      </c>
      <c r="Z39" s="106" t="s">
        <v>646</v>
      </c>
      <c r="AA39" s="126" t="n">
        <v>2.62365591397849</v>
      </c>
      <c r="AB39" s="127" t="n">
        <v>2.67288850315558</v>
      </c>
      <c r="AC39" s="127" t="n">
        <v>2.25</v>
      </c>
      <c r="AD39" s="127" t="n">
        <v>2.25</v>
      </c>
      <c r="AE39" s="127" t="n">
        <v>2.25</v>
      </c>
      <c r="AF39" s="127" t="n">
        <v>2.25</v>
      </c>
    </row>
    <row r="40" customFormat="false" ht="15" hidden="false" customHeight="true" outlineLevel="0" collapsed="false">
      <c r="B40" s="128" t="s">
        <v>647</v>
      </c>
      <c r="C40" s="126"/>
      <c r="D40" s="129" t="n">
        <f aca="false">Model!CA282</f>
        <v>0</v>
      </c>
      <c r="E40" s="129" t="n">
        <f aca="false">Model!CB282</f>
        <v>4340.16673628776</v>
      </c>
      <c r="F40" s="129" t="n">
        <f aca="false">Model!CC282</f>
        <v>7620.56445633455</v>
      </c>
      <c r="G40" s="129" t="n">
        <f aca="false">Model!CD282</f>
        <v>8641.2199745298</v>
      </c>
      <c r="H40" s="129" t="n">
        <f aca="false">Model!CE282</f>
        <v>9754.50194482775</v>
      </c>
      <c r="N40" s="128" t="s">
        <v>647</v>
      </c>
      <c r="O40" s="126"/>
      <c r="P40" s="129" t="n">
        <v>1000</v>
      </c>
      <c r="Q40" s="129" t="n">
        <v>7608.95650109447</v>
      </c>
      <c r="R40" s="129" t="n">
        <v>7206.94330991297</v>
      </c>
      <c r="S40" s="129" t="n">
        <v>8772.65845492958</v>
      </c>
      <c r="T40" s="129" t="n">
        <v>10505.9308266587</v>
      </c>
      <c r="Z40" s="106" t="s">
        <v>647</v>
      </c>
      <c r="AA40" s="126"/>
      <c r="AB40" s="127" t="n">
        <v>0</v>
      </c>
      <c r="AC40" s="127" t="n">
        <v>698.210082107911</v>
      </c>
      <c r="AD40" s="127" t="n">
        <v>8429.016862031</v>
      </c>
      <c r="AE40" s="127" t="n">
        <v>8988.72178563499</v>
      </c>
      <c r="AF40" s="127" t="n">
        <v>9601.33113464479</v>
      </c>
    </row>
    <row r="41" customFormat="false" ht="15" hidden="false" customHeight="true" outlineLevel="0" collapsed="false">
      <c r="B41" s="128" t="s">
        <v>648</v>
      </c>
      <c r="C41" s="126"/>
      <c r="D41" s="130" t="n">
        <f aca="false">Model!CA281</f>
        <v>676.76</v>
      </c>
      <c r="E41" s="130" t="n">
        <f aca="false">Model!CB281</f>
        <v>730.9008</v>
      </c>
      <c r="F41" s="130" t="n">
        <f aca="false">Model!CC281</f>
        <v>789.372864</v>
      </c>
      <c r="G41" s="130" t="n">
        <f aca="false">Model!CD281</f>
        <v>852.52269312</v>
      </c>
      <c r="H41" s="130" t="n">
        <f aca="false">Model!CE281</f>
        <v>920.7245085696</v>
      </c>
      <c r="N41" s="128" t="s">
        <v>648</v>
      </c>
      <c r="O41" s="126"/>
      <c r="P41" s="130" t="n">
        <v>676.76</v>
      </c>
      <c r="Q41" s="130" t="n">
        <v>730.9008</v>
      </c>
      <c r="R41" s="130" t="n">
        <v>789.372864</v>
      </c>
      <c r="S41" s="130" t="n">
        <v>852.52269312</v>
      </c>
      <c r="T41" s="130" t="n">
        <v>920.7245085696</v>
      </c>
      <c r="Z41" s="106" t="s">
        <v>648</v>
      </c>
      <c r="AA41" s="126"/>
      <c r="AB41" s="127" t="n">
        <v>676.76</v>
      </c>
      <c r="AC41" s="127" t="n">
        <v>730.9008</v>
      </c>
      <c r="AD41" s="127" t="n">
        <v>789.372864</v>
      </c>
      <c r="AE41" s="127" t="n">
        <v>852.52269312</v>
      </c>
      <c r="AF41" s="127" t="n">
        <v>920.7245085696</v>
      </c>
    </row>
    <row r="42" customFormat="false" ht="15" hidden="false" customHeight="true" outlineLevel="0" collapsed="false">
      <c r="B42" s="128" t="s">
        <v>649</v>
      </c>
      <c r="C42" s="126"/>
      <c r="D42" s="131" t="n">
        <f aca="false">Model!CA283</f>
        <v>0</v>
      </c>
      <c r="E42" s="131" t="n">
        <f aca="false">Model!CB283</f>
        <v>5.93810642468548</v>
      </c>
      <c r="F42" s="131" t="n">
        <f aca="false">Model!CC283</f>
        <v>9.65394784122519</v>
      </c>
      <c r="G42" s="131" t="n">
        <f aca="false">Model!CD283</f>
        <v>10.1360585991034</v>
      </c>
      <c r="H42" s="131" t="n">
        <f aca="false">Model!CE283</f>
        <v>10.5943763351993</v>
      </c>
      <c r="N42" s="128" t="s">
        <v>649</v>
      </c>
      <c r="O42" s="126"/>
      <c r="P42" s="131" t="n">
        <v>1.4776287014599</v>
      </c>
      <c r="Q42" s="131" t="n">
        <v>10.4103819575714</v>
      </c>
      <c r="R42" s="131" t="n">
        <v>9.12996080634584</v>
      </c>
      <c r="S42" s="131" t="n">
        <v>10.2902345306775</v>
      </c>
      <c r="T42" s="131" t="n">
        <v>11.4105041506718</v>
      </c>
      <c r="Z42" s="106" t="s">
        <v>649</v>
      </c>
      <c r="AA42" s="126"/>
      <c r="AB42" s="127" t="n">
        <v>0</v>
      </c>
      <c r="AC42" s="127" t="n">
        <v>0.955273386084556</v>
      </c>
      <c r="AD42" s="127" t="n">
        <v>10.6781183474164</v>
      </c>
      <c r="AE42" s="127" t="n">
        <v>10.5436745064682</v>
      </c>
      <c r="AF42" s="127" t="n">
        <v>10.4280173333944</v>
      </c>
    </row>
    <row r="44" customFormat="false" ht="15" hidden="false" customHeight="true" outlineLevel="0" collapsed="false">
      <c r="B44" s="102" t="s">
        <v>650</v>
      </c>
      <c r="C44" s="109" t="n">
        <f aca="false">Model!BV378</f>
        <v>0.109385096196742</v>
      </c>
      <c r="D44" s="110" t="n">
        <f aca="false">Model!CA378</f>
        <v>0.110521747411149</v>
      </c>
      <c r="E44" s="110" t="n">
        <f aca="false">Model!CB378</f>
        <v>0.113512322576887</v>
      </c>
      <c r="F44" s="110" t="n">
        <f aca="false">Model!CC378</f>
        <v>0.11869907873233</v>
      </c>
      <c r="G44" s="110" t="n">
        <f aca="false">Model!CD378</f>
        <v>0.124170511191386</v>
      </c>
      <c r="H44" s="110" t="n">
        <f aca="false">Model!CE378</f>
        <v>0.130329608593434</v>
      </c>
      <c r="J44" s="113" t="n">
        <f aca="false">IFERROR(AVERAGE(Model!C378,Model!D378,Model!E378,Model!F378,Model!G378,Model!H378,Model!I378,Model!N378,Model!S378,Model!X378,Model!AC378,Model!AH378,Model!AM378,Model!AR378,Model!AW378,Model!BB378,Model!BG378,Model!BL378,Model!BQ378,Model!BV378),"")</f>
        <v>0.103158934805014</v>
      </c>
      <c r="K44" s="113" t="n">
        <f aca="false">IFERROR(MIN(Model!C378,Model!D378,Model!E378,Model!F378,Model!G378,Model!H378,Model!I378,Model!N378,Model!S378,Model!X378,Model!AC378,Model!AH378,Model!AM378,Model!AR378,Model!AW378,Model!BB378,Model!BG378,Model!BL378,Model!BQ378,Model!BV378),"")</f>
        <v>0.0258320899879023</v>
      </c>
      <c r="L44" s="113" t="n">
        <f aca="false">IFERROR(MAX(Model!C378,Model!D378,Model!E378,Model!F378,Model!G378,Model!H378,Model!I378,Model!N378,Model!S378,Model!X378,Model!AC378,Model!AH378,Model!AM378,Model!AR378,Model!AW378,Model!BB378,Model!BG378,Model!BL378,Model!BQ378,Model!BV378),"")</f>
        <v>0.178455791741011</v>
      </c>
      <c r="N44" s="102" t="s">
        <v>650</v>
      </c>
      <c r="O44" s="109" t="n">
        <v>0.109385096196742</v>
      </c>
      <c r="P44" s="110" t="n">
        <v>0.111967056289743</v>
      </c>
      <c r="Q44" s="110" t="n">
        <v>0.119348285754051</v>
      </c>
      <c r="R44" s="110" t="n">
        <v>0.124274847519421</v>
      </c>
      <c r="S44" s="110" t="n">
        <v>0.129648360062848</v>
      </c>
      <c r="T44" s="110" t="n">
        <v>0.13591463951875</v>
      </c>
      <c r="V44" s="113" t="n">
        <v>0.103158934805014</v>
      </c>
      <c r="W44" s="113" t="n">
        <v>0.0258320899879023</v>
      </c>
      <c r="X44" s="113" t="n">
        <v>0.178455791741011</v>
      </c>
      <c r="Z44" s="102" t="s">
        <v>650</v>
      </c>
      <c r="AA44" s="109" t="n">
        <v>0.109385096196742</v>
      </c>
      <c r="AB44" s="110" t="n">
        <v>0.109086798273234</v>
      </c>
      <c r="AC44" s="110" t="n">
        <v>0.107643576708828</v>
      </c>
      <c r="AD44" s="110" t="n">
        <v>0.113104213492727</v>
      </c>
      <c r="AE44" s="110" t="n">
        <v>0.118825891287613</v>
      </c>
      <c r="AF44" s="110" t="n">
        <v>0.125151899223257</v>
      </c>
      <c r="AH44" s="113" t="n">
        <v>0.103158934805014</v>
      </c>
      <c r="AI44" s="113" t="n">
        <v>0.0258320899879023</v>
      </c>
      <c r="AJ44" s="113" t="n">
        <v>0.178455791741011</v>
      </c>
    </row>
    <row r="45" customFormat="false" ht="15" hidden="false" customHeight="true" outlineLevel="0" collapsed="false">
      <c r="B45" s="102" t="s">
        <v>651</v>
      </c>
      <c r="C45" s="109" t="n">
        <f aca="false">Model!BV389</f>
        <v>0.270509917780382</v>
      </c>
      <c r="D45" s="110" t="n">
        <f aca="false">Model!CA389</f>
        <v>0.303085144451723</v>
      </c>
      <c r="E45" s="110" t="n">
        <f aca="false">Model!CB389</f>
        <v>0.315551860673134</v>
      </c>
      <c r="F45" s="110" t="n">
        <f aca="false">Model!CC389</f>
        <v>0.360068709781761</v>
      </c>
      <c r="G45" s="110" t="n">
        <f aca="false">Model!CD389</f>
        <v>0.394308080012645</v>
      </c>
      <c r="H45" s="110" t="n">
        <f aca="false">Model!CE389</f>
        <v>0.408534391162709</v>
      </c>
      <c r="J45" s="113" t="n">
        <f aca="false">IFERROR(AVERAGE(Model!C389,Model!D389,Model!E389,Model!F389,Model!G389,Model!H389,Model!I389,Model!N389,Model!S389,Model!X389,Model!AC389,Model!AH389,Model!AM389,Model!AR389,Model!AW389,Model!BB389,Model!BG389,Model!BL389,Model!BQ389,Model!BV389),"")</f>
        <v>0.364991458809857</v>
      </c>
      <c r="K45" s="113" t="n">
        <f aca="false">IFERROR(MIN(Model!C389,Model!D389,Model!E389,Model!F389,Model!G389,Model!H389,Model!I389,Model!N389,Model!S389,Model!X389,Model!AC389,Model!AH389,Model!AM389,Model!AR389,Model!AW389,Model!BB389,Model!BG389,Model!BL389,Model!BQ389,Model!BV389),"")</f>
        <v>0.115370173723743</v>
      </c>
      <c r="L45" s="113" t="n">
        <f aca="false">IFERROR(MAX(Model!C389,Model!D389,Model!E389,Model!F389,Model!G389,Model!H389,Model!I389,Model!N389,Model!S389,Model!X389,Model!AC389,Model!AH389,Model!AM389,Model!AR389,Model!AW389,Model!BB389,Model!BG389,Model!BL389,Model!BQ389,Model!BV389),"")</f>
        <v>0.518542840293497</v>
      </c>
      <c r="N45" s="102" t="s">
        <v>651</v>
      </c>
      <c r="O45" s="109" t="n">
        <v>0.270509917780382</v>
      </c>
      <c r="P45" s="110" t="n">
        <v>0.315055767328129</v>
      </c>
      <c r="Q45" s="110" t="n">
        <v>0.398480419945892</v>
      </c>
      <c r="R45" s="110" t="n">
        <v>0.416513924298746</v>
      </c>
      <c r="S45" s="110" t="n">
        <v>0.434300050496598</v>
      </c>
      <c r="T45" s="110" t="n">
        <v>0.45392157902391</v>
      </c>
      <c r="V45" s="113" t="n">
        <v>0.364991458809857</v>
      </c>
      <c r="W45" s="113" t="n">
        <v>0.115370173723743</v>
      </c>
      <c r="X45" s="113" t="n">
        <v>0.518542840293497</v>
      </c>
      <c r="Z45" s="102" t="s">
        <v>651</v>
      </c>
      <c r="AA45" s="109" t="n">
        <v>0.270509917780382</v>
      </c>
      <c r="AB45" s="110" t="n">
        <v>0.300664785802286</v>
      </c>
      <c r="AC45" s="110" t="n">
        <v>0.249000814324671</v>
      </c>
      <c r="AD45" s="110" t="n">
        <v>0.267566991821798</v>
      </c>
      <c r="AE45" s="110" t="n">
        <v>0.288610175285535</v>
      </c>
      <c r="AF45" s="110" t="n">
        <v>0.313469250587509</v>
      </c>
      <c r="AH45" s="113" t="n">
        <v>0.364991458809857</v>
      </c>
      <c r="AI45" s="113" t="n">
        <v>0.115370173723743</v>
      </c>
      <c r="AJ45" s="113" t="n">
        <v>0.518542840293497</v>
      </c>
    </row>
    <row r="47" customFormat="false" ht="15" hidden="false" customHeight="true" outlineLevel="0" collapsed="false">
      <c r="B47" s="106" t="s">
        <v>652</v>
      </c>
      <c r="E47" s="132"/>
      <c r="F47" s="132" t="n">
        <f aca="false">F27*F21</f>
        <v>0</v>
      </c>
      <c r="G47" s="132" t="n">
        <f aca="false">G27*G21</f>
        <v>302364.883956408</v>
      </c>
      <c r="H47" s="132" t="n">
        <f aca="false">H27*H21</f>
        <v>328754.74893782</v>
      </c>
      <c r="N47" s="106" t="s">
        <v>652</v>
      </c>
      <c r="Q47" s="132"/>
      <c r="R47" s="132"/>
      <c r="S47" s="132" t="n">
        <f aca="false">S27*S21</f>
        <v>393953.066187309</v>
      </c>
      <c r="T47" s="132" t="n">
        <f aca="false">T27*T21</f>
        <v>437869.719380152</v>
      </c>
      <c r="Z47" s="106" t="s">
        <v>652</v>
      </c>
      <c r="AC47" s="132"/>
      <c r="AD47" s="132" t="n">
        <f aca="false">AD27*AD21</f>
        <v>203000.323817653</v>
      </c>
      <c r="AE47" s="132" t="n">
        <f aca="false">AE27*AE21</f>
        <v>213965.057924749</v>
      </c>
      <c r="AF47" s="132" t="n">
        <f aca="false">AF27*AF21</f>
        <v>226771.509335744</v>
      </c>
    </row>
    <row r="48" customFormat="false" ht="15" hidden="false" customHeight="true" outlineLevel="0" collapsed="false">
      <c r="B48" s="106" t="s">
        <v>653</v>
      </c>
      <c r="E48" s="132"/>
      <c r="F48" s="132" t="n">
        <f aca="false">F38+Model!CC404</f>
        <v>36912.501356913</v>
      </c>
      <c r="G48" s="132" t="n">
        <f aca="false">G38+Model!CD404</f>
        <v>40320.7916448727</v>
      </c>
      <c r="H48" s="132" t="n">
        <f aca="false">H38+Model!CE404</f>
        <v>43975.2934212329</v>
      </c>
      <c r="N48" s="106" t="s">
        <v>653</v>
      </c>
      <c r="Q48" s="132"/>
      <c r="R48" s="132"/>
      <c r="S48" s="132" t="n">
        <f aca="false">S38+198</f>
        <v>50342.9224712746</v>
      </c>
      <c r="T48" s="132" t="n">
        <f aca="false">T38+218</f>
        <v>56181.4910154834</v>
      </c>
      <c r="Z48" s="106" t="s">
        <v>653</v>
      </c>
      <c r="AC48" s="132"/>
      <c r="AD48" s="132" t="n">
        <f aca="false">AD38+178</f>
        <v>29826.1346964664</v>
      </c>
      <c r="AE48" s="132" t="n">
        <f aca="false">AE38+198</f>
        <v>31708.8626524063</v>
      </c>
      <c r="AF48" s="132" t="n">
        <f aca="false">AF38+218</f>
        <v>33692.5423999103</v>
      </c>
    </row>
    <row r="49" customFormat="false" ht="15" hidden="false" customHeight="true" outlineLevel="0" collapsed="false">
      <c r="B49" s="106" t="s">
        <v>654</v>
      </c>
      <c r="E49" s="132"/>
      <c r="F49" s="132" t="n">
        <f aca="false">F47+F48</f>
        <v>36912.501356913</v>
      </c>
      <c r="G49" s="132" t="n">
        <f aca="false">G47+G48</f>
        <v>342685.67560128</v>
      </c>
      <c r="H49" s="132" t="n">
        <f aca="false">H47+H48</f>
        <v>372730.042359053</v>
      </c>
      <c r="N49" s="106" t="s">
        <v>654</v>
      </c>
      <c r="Q49" s="132"/>
      <c r="R49" s="132"/>
      <c r="S49" s="132" t="n">
        <f aca="false">S47+S48</f>
        <v>444295.988658584</v>
      </c>
      <c r="T49" s="132" t="n">
        <f aca="false">T47+T48</f>
        <v>494051.210395635</v>
      </c>
      <c r="Z49" s="106" t="s">
        <v>654</v>
      </c>
      <c r="AC49" s="132"/>
      <c r="AD49" s="132" t="n">
        <f aca="false">AD47+AD48</f>
        <v>232826.458514119</v>
      </c>
      <c r="AE49" s="132" t="n">
        <f aca="false">AE47+AE48</f>
        <v>245673.920577155</v>
      </c>
      <c r="AF49" s="132" t="n">
        <f aca="false">AF47+AF48</f>
        <v>260464.051735654</v>
      </c>
    </row>
    <row r="50" customFormat="false" ht="15" hidden="false" customHeight="true" outlineLevel="0" collapsed="false">
      <c r="B50" s="106" t="s">
        <v>655</v>
      </c>
      <c r="E50" s="133"/>
      <c r="F50" s="133" t="n">
        <f aca="false">IFERROR(F49/F35,"")</f>
        <v>2.51211395237617</v>
      </c>
      <c r="G50" s="133" t="n">
        <f aca="false">IFERROR(G49/G35,"")</f>
        <v>21.3523076007768</v>
      </c>
      <c r="H50" s="133" t="n">
        <f aca="false">IFERROR(H49/H35,"")</f>
        <v>21.295309491091</v>
      </c>
      <c r="N50" s="106" t="s">
        <v>655</v>
      </c>
      <c r="Q50" s="133"/>
      <c r="R50" s="133"/>
      <c r="S50" s="133" t="n">
        <f aca="false">IFERROR(S49/S35,"")</f>
        <v>24.3656567524063</v>
      </c>
      <c r="T50" s="133" t="n">
        <f aca="false">IFERROR(T49/T35,"")</f>
        <v>24.2772708409506</v>
      </c>
      <c r="Z50" s="106" t="s">
        <v>655</v>
      </c>
      <c r="AC50" s="133"/>
      <c r="AD50" s="133" t="n">
        <f aca="false">IFERROR(AD49/AD35,"")</f>
        <v>17.6692239501734</v>
      </c>
      <c r="AE50" s="133" t="n">
        <f aca="false">IFERROR(AE49/AE35,"")</f>
        <v>17.5420878633542</v>
      </c>
      <c r="AF50" s="133" t="n">
        <f aca="false">IFERROR(AF49/AF35,"")</f>
        <v>17.5071584072437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0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55.29"/>
    <col collapsed="false" customWidth="true" hidden="false" outlineLevel="0" max="3" min="3" style="0" width="12.57"/>
    <col collapsed="false" customWidth="true" hidden="false" outlineLevel="0" max="15" min="15" style="0" width="2.29"/>
    <col collapsed="false" customWidth="true" hidden="false" outlineLevel="0" max="16" min="16" style="0" width="14.86"/>
  </cols>
  <sheetData>
    <row r="1" customFormat="false" ht="15" hidden="false" customHeight="false" outlineLevel="0" collapsed="false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</row>
    <row r="2" customFormat="false" ht="24" hidden="false" customHeight="true" outlineLevel="0" collapsed="false">
      <c r="A2" s="134"/>
      <c r="B2" s="135" t="s">
        <v>656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134"/>
      <c r="P2" s="134"/>
      <c r="Q2" s="134"/>
    </row>
    <row r="3" customFormat="false" ht="15" hidden="false" customHeight="true" outlineLevel="0" collapsed="false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</row>
    <row r="4" customFormat="false" ht="15.75" hidden="false" customHeight="true" outlineLevel="0" collapsed="false">
      <c r="A4" s="134"/>
      <c r="B4" s="13" t="s">
        <v>657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4"/>
      <c r="P4" s="134"/>
      <c r="Q4" s="134"/>
    </row>
    <row r="5" customFormat="false" ht="15.75" hidden="false" customHeight="true" outlineLevel="0" collapsed="false">
      <c r="A5" s="134"/>
      <c r="B5" s="136" t="s">
        <v>658</v>
      </c>
      <c r="C5" s="137" t="n">
        <v>0.055</v>
      </c>
      <c r="D5" s="138" t="s">
        <v>659</v>
      </c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customFormat="false" ht="15.75" hidden="false" customHeight="true" outlineLevel="0" collapsed="false">
      <c r="A6" s="134"/>
      <c r="B6" s="136" t="s">
        <v>660</v>
      </c>
      <c r="C6" s="137" t="n">
        <v>0.05</v>
      </c>
      <c r="D6" s="138" t="s">
        <v>661</v>
      </c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</row>
    <row r="7" customFormat="false" ht="15.75" hidden="false" customHeight="true" outlineLevel="0" collapsed="false">
      <c r="A7" s="134"/>
      <c r="B7" s="136" t="s">
        <v>662</v>
      </c>
      <c r="C7" s="139" t="n">
        <v>0.9</v>
      </c>
      <c r="D7" s="138" t="s">
        <v>663</v>
      </c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customFormat="false" ht="15.75" hidden="false" customHeight="true" outlineLevel="0" collapsed="false">
      <c r="A8" s="134"/>
      <c r="B8" s="136" t="s">
        <v>664</v>
      </c>
      <c r="C8" s="140" t="n">
        <f aca="false">C5+C7*C6</f>
        <v>0.1</v>
      </c>
      <c r="D8" s="138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</row>
    <row r="9" customFormat="false" ht="15.75" hidden="false" customHeight="true" outlineLevel="0" collapsed="false">
      <c r="A9" s="134"/>
      <c r="B9" s="136" t="s">
        <v>665</v>
      </c>
      <c r="C9" s="137" t="n">
        <v>0.05</v>
      </c>
      <c r="D9" s="138" t="s">
        <v>666</v>
      </c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</row>
    <row r="10" customFormat="false" ht="15.75" hidden="false" customHeight="true" outlineLevel="0" collapsed="false">
      <c r="A10" s="134"/>
      <c r="B10" s="136" t="s">
        <v>667</v>
      </c>
      <c r="C10" s="137" t="n">
        <v>0.13</v>
      </c>
      <c r="D10" s="138" t="s">
        <v>668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customFormat="false" ht="15.75" hidden="false" customHeight="true" outlineLevel="0" collapsed="false">
      <c r="A11" s="134"/>
      <c r="B11" s="136" t="s">
        <v>669</v>
      </c>
      <c r="C11" s="140" t="n">
        <f aca="false">C9*(1-C10)</f>
        <v>0.0435</v>
      </c>
      <c r="D11" s="138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</row>
    <row r="12" customFormat="false" ht="15.75" hidden="false" customHeight="true" outlineLevel="0" collapsed="false">
      <c r="A12" s="134"/>
      <c r="B12" s="136" t="s">
        <v>670</v>
      </c>
      <c r="C12" s="137" t="n">
        <v>0.15</v>
      </c>
      <c r="D12" s="138" t="s">
        <v>671</v>
      </c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</row>
    <row r="13" customFormat="false" ht="15.75" hidden="false" customHeight="true" outlineLevel="0" collapsed="false">
      <c r="A13" s="134"/>
      <c r="B13" s="141" t="s">
        <v>672</v>
      </c>
      <c r="C13" s="142" t="n">
        <f aca="false">C8*(1-C12)+C11*C12</f>
        <v>0.091525</v>
      </c>
      <c r="D13" s="138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</row>
    <row r="14" customFormat="false" ht="15" hidden="false" customHeight="true" outlineLevel="0" collapsed="false">
      <c r="A14" s="134"/>
      <c r="B14" s="134"/>
      <c r="C14" s="134"/>
      <c r="D14" s="138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</row>
    <row r="15" customFormat="false" ht="15.75" hidden="false" customHeight="true" outlineLevel="0" collapsed="false">
      <c r="A15" s="134"/>
      <c r="B15" s="136" t="s">
        <v>673</v>
      </c>
      <c r="C15" s="143" t="n">
        <f aca="true">TODAY()</f>
        <v>46301</v>
      </c>
      <c r="D15" s="138" t="s">
        <v>674</v>
      </c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</row>
    <row r="16" customFormat="false" ht="15.75" hidden="false" customHeight="true" outlineLevel="0" collapsed="false">
      <c r="A16" s="134"/>
      <c r="B16" s="13" t="s">
        <v>675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4"/>
      <c r="P16" s="144"/>
      <c r="Q16" s="144"/>
    </row>
    <row r="17" customFormat="false" ht="15.75" hidden="false" customHeight="true" outlineLevel="0" collapsed="false">
      <c r="A17" s="134"/>
      <c r="B17" s="58"/>
      <c r="C17" s="58"/>
      <c r="D17" s="8" t="s">
        <v>64</v>
      </c>
      <c r="E17" s="8" t="s">
        <v>65</v>
      </c>
      <c r="F17" s="8" t="s">
        <v>66</v>
      </c>
      <c r="G17" s="8" t="s">
        <v>67</v>
      </c>
      <c r="H17" s="8" t="s">
        <v>68</v>
      </c>
      <c r="I17" s="8" t="s">
        <v>676</v>
      </c>
      <c r="J17" s="8" t="s">
        <v>677</v>
      </c>
      <c r="K17" s="8" t="s">
        <v>678</v>
      </c>
      <c r="L17" s="8" t="s">
        <v>679</v>
      </c>
      <c r="M17" s="8" t="s">
        <v>680</v>
      </c>
      <c r="N17" s="8" t="s">
        <v>681</v>
      </c>
      <c r="O17" s="134"/>
      <c r="P17" s="15" t="s">
        <v>682</v>
      </c>
      <c r="Q17" s="15" t="s">
        <v>683</v>
      </c>
    </row>
    <row r="18" customFormat="false" ht="15.75" hidden="false" customHeight="true" outlineLevel="0" collapsed="false">
      <c r="A18" s="134"/>
      <c r="B18" s="136" t="s">
        <v>684</v>
      </c>
      <c r="C18" s="134"/>
      <c r="D18" s="145" t="n">
        <f aca="false">Model!CA196-Model!CA181-(Model!CA143+N(Model!CA85))</f>
        <v>10763.25</v>
      </c>
      <c r="E18" s="145" t="n">
        <f aca="false">Model!CB196-Model!CB181-(Model!CB143+N(Model!CB85))</f>
        <v>11660.8111028987</v>
      </c>
      <c r="F18" s="145" t="n">
        <f aca="false">Model!CC196-Model!CC181-(Model!CC143+N(Model!CC85))</f>
        <v>12795.2004990892</v>
      </c>
      <c r="G18" s="145" t="n">
        <f aca="false">Model!CD196-Model!CD181-(Model!CD143+N(Model!CD85))</f>
        <v>14014.2450466736</v>
      </c>
      <c r="H18" s="145" t="n">
        <f aca="false">Model!CE196-Model!CE181-(Model!CE143+N(Model!CE85))</f>
        <v>15323.4667749704</v>
      </c>
      <c r="I18" s="41" t="n">
        <f aca="false">H18*(1+I$26)</f>
        <v>16396.1094492184</v>
      </c>
      <c r="J18" s="41" t="n">
        <f aca="false">I18*(1+J$26)</f>
        <v>17461.8565634176</v>
      </c>
      <c r="K18" s="41" t="n">
        <f aca="false">J18*(1+K$26)</f>
        <v>18509.5679572226</v>
      </c>
      <c r="L18" s="41" t="n">
        <f aca="false">K18*(1+L$26)</f>
        <v>19527.5941948699</v>
      </c>
      <c r="M18" s="41" t="n">
        <f aca="false">L18*(1+M$26)</f>
        <v>20503.9739046133</v>
      </c>
      <c r="N18" s="134"/>
      <c r="O18" s="134"/>
      <c r="P18" s="146" t="n">
        <f aca="false">(H18/D18)^(1/(COLUMNS(D18:H18)-1))-1</f>
        <v>0.092328841552026</v>
      </c>
      <c r="Q18" s="146" t="n">
        <f aca="false">(M18/D18)^(1/(COLUMNS(D18:M18)-1))-1</f>
        <v>0.0742352553717947</v>
      </c>
    </row>
    <row r="19" customFormat="false" ht="15.75" hidden="false" customHeight="true" outlineLevel="0" collapsed="false">
      <c r="A19" s="134"/>
      <c r="B19" s="136" t="s">
        <v>685</v>
      </c>
      <c r="C19" s="134"/>
      <c r="D19" s="147" t="n">
        <f aca="false">1-$C$10</f>
        <v>0.87</v>
      </c>
      <c r="E19" s="147" t="n">
        <f aca="false">1-$C$10</f>
        <v>0.87</v>
      </c>
      <c r="F19" s="147" t="n">
        <f aca="false">1-$C$10</f>
        <v>0.87</v>
      </c>
      <c r="G19" s="147" t="n">
        <f aca="false">1-$C$10</f>
        <v>0.87</v>
      </c>
      <c r="H19" s="147" t="n">
        <f aca="false">1-$C$10</f>
        <v>0.87</v>
      </c>
      <c r="I19" s="147" t="n">
        <f aca="false">1-$C$10</f>
        <v>0.87</v>
      </c>
      <c r="J19" s="147" t="n">
        <f aca="false">1-$C$10</f>
        <v>0.87</v>
      </c>
      <c r="K19" s="147" t="n">
        <f aca="false">1-$C$10</f>
        <v>0.87</v>
      </c>
      <c r="L19" s="147" t="n">
        <f aca="false">1-$C$10</f>
        <v>0.87</v>
      </c>
      <c r="M19" s="147" t="n">
        <f aca="false">1-$C$10</f>
        <v>0.87</v>
      </c>
      <c r="N19" s="134"/>
      <c r="O19" s="134"/>
      <c r="P19" s="146"/>
      <c r="Q19" s="146"/>
    </row>
    <row r="20" customFormat="false" ht="15.75" hidden="false" customHeight="true" outlineLevel="0" collapsed="false">
      <c r="A20" s="134"/>
      <c r="B20" s="141" t="s">
        <v>686</v>
      </c>
      <c r="C20" s="134"/>
      <c r="D20" s="41" t="n">
        <f aca="false">D18*D19</f>
        <v>9364.0275</v>
      </c>
      <c r="E20" s="41" t="n">
        <f aca="false">E18*E19</f>
        <v>10144.9056595219</v>
      </c>
      <c r="F20" s="41" t="n">
        <f aca="false">F18*F19</f>
        <v>11131.8244342076</v>
      </c>
      <c r="G20" s="41" t="n">
        <f aca="false">G18*G19</f>
        <v>12192.3931906061</v>
      </c>
      <c r="H20" s="41" t="n">
        <f aca="false">H18*H19</f>
        <v>13331.4160942243</v>
      </c>
      <c r="I20" s="41" t="n">
        <f aca="false">I18*I19</f>
        <v>14264.61522082</v>
      </c>
      <c r="J20" s="41" t="n">
        <f aca="false">J18*J19</f>
        <v>15191.8152101733</v>
      </c>
      <c r="K20" s="41" t="n">
        <f aca="false">K18*K19</f>
        <v>16103.3241227837</v>
      </c>
      <c r="L20" s="41" t="n">
        <f aca="false">L18*L19</f>
        <v>16989.0069495368</v>
      </c>
      <c r="M20" s="41" t="n">
        <f aca="false">M18*M19</f>
        <v>17838.4572970136</v>
      </c>
      <c r="N20" s="134"/>
      <c r="O20" s="134"/>
      <c r="P20" s="146"/>
      <c r="Q20" s="146"/>
    </row>
    <row r="21" customFormat="false" ht="15.75" hidden="false" customHeight="true" outlineLevel="0" collapsed="false">
      <c r="A21" s="134"/>
      <c r="B21" s="136" t="s">
        <v>687</v>
      </c>
      <c r="C21" s="134"/>
      <c r="D21" s="145" t="n">
        <f aca="false">Model!CA126</f>
        <v>1322.46949867386</v>
      </c>
      <c r="E21" s="145" t="n">
        <f aca="false">Model!CB126</f>
        <v>1367.92392856334</v>
      </c>
      <c r="F21" s="145" t="n">
        <f aca="false">Model!CC126</f>
        <v>1471.5818539167</v>
      </c>
      <c r="G21" s="145" t="n">
        <f aca="false">Model!CD126</f>
        <v>1583.07677286174</v>
      </c>
      <c r="H21" s="145" t="n">
        <f aca="false">Model!CE126</f>
        <v>1701.36866742767</v>
      </c>
      <c r="I21" s="41" t="n">
        <f aca="false">H21*(1+I$26)</f>
        <v>1820.46447414761</v>
      </c>
      <c r="J21" s="41" t="n">
        <f aca="false">I21*(1+J$26)</f>
        <v>1938.7946649672</v>
      </c>
      <c r="K21" s="41" t="n">
        <f aca="false">J21*(1+K$26)</f>
        <v>2055.12234486523</v>
      </c>
      <c r="L21" s="41" t="n">
        <f aca="false">K21*(1+L$26)</f>
        <v>2168.15407383282</v>
      </c>
      <c r="M21" s="41" t="n">
        <f aca="false">L21*(1+M$26)</f>
        <v>2276.56177752446</v>
      </c>
      <c r="N21" s="134"/>
      <c r="O21" s="134"/>
      <c r="P21" s="146"/>
      <c r="Q21" s="146"/>
    </row>
    <row r="22" customFormat="false" ht="15.75" hidden="false" customHeight="true" outlineLevel="0" collapsed="false">
      <c r="A22" s="134"/>
      <c r="B22" s="136" t="s">
        <v>688</v>
      </c>
      <c r="C22" s="134"/>
      <c r="D22" s="145" t="n">
        <f aca="false">Model!CA248</f>
        <v>-2000</v>
      </c>
      <c r="E22" s="145" t="n">
        <f aca="false">Model!CB248+Model!CB250</f>
        <v>-6127.88166665408</v>
      </c>
      <c r="F22" s="145" t="n">
        <f aca="false">Model!CC248+Model!CC250</f>
        <v>-6289.12732831486</v>
      </c>
      <c r="G22" s="145" t="n">
        <f aca="false">Model!CD248+Model!CD250</f>
        <v>-6462.56386889604</v>
      </c>
      <c r="H22" s="145" t="n">
        <f aca="false">Model!CE248+Model!CE250</f>
        <v>-6646.57348266527</v>
      </c>
      <c r="I22" s="41" t="n">
        <f aca="false">Model!CE248*(1+I$26)</f>
        <v>-2831.83362645183</v>
      </c>
      <c r="J22" s="41" t="n">
        <f aca="false">I22*(1+J$26)</f>
        <v>-3015.9028121712</v>
      </c>
      <c r="K22" s="41" t="n">
        <f aca="false">J22*(1+K$26)</f>
        <v>-3196.85698090148</v>
      </c>
      <c r="L22" s="41" t="n">
        <f aca="false">K22*(1+L$26)</f>
        <v>-3372.68411485106</v>
      </c>
      <c r="M22" s="41" t="n">
        <f aca="false">L22*(1+M$26)</f>
        <v>-3541.31832059361</v>
      </c>
      <c r="N22" s="134"/>
      <c r="O22" s="134"/>
      <c r="P22" s="146"/>
      <c r="Q22" s="146"/>
    </row>
    <row r="23" customFormat="false" ht="15.75" hidden="false" customHeight="true" outlineLevel="0" collapsed="false">
      <c r="A23" s="134"/>
      <c r="B23" s="136" t="s">
        <v>689</v>
      </c>
      <c r="C23" s="134"/>
      <c r="D23" s="145" t="n">
        <f aca="false">Model!CA245</f>
        <v>-758.192466081015</v>
      </c>
      <c r="E23" s="145" t="n">
        <f aca="false">Model!CB245</f>
        <v>-376.658111721824</v>
      </c>
      <c r="F23" s="145" t="n">
        <f aca="false">Model!CC245</f>
        <v>-514.713402046332</v>
      </c>
      <c r="G23" s="145" t="n">
        <f aca="false">Model!CD245</f>
        <v>-553.627991737757</v>
      </c>
      <c r="H23" s="145" t="n">
        <f aca="false">Model!CE245</f>
        <v>-587.378372459046</v>
      </c>
      <c r="I23" s="41" t="n">
        <f aca="false">H23*(1+I$26)</f>
        <v>-628.494858531179</v>
      </c>
      <c r="J23" s="41" t="n">
        <f aca="false">I23*(1+J$26)</f>
        <v>-669.347024335706</v>
      </c>
      <c r="K23" s="41" t="n">
        <f aca="false">J23*(1+K$26)</f>
        <v>-709.507845795848</v>
      </c>
      <c r="L23" s="41" t="n">
        <f aca="false">K23*(1+L$26)</f>
        <v>-748.53077731462</v>
      </c>
      <c r="M23" s="41" t="n">
        <f aca="false">L23*(1+M$26)</f>
        <v>-785.957316180351</v>
      </c>
      <c r="N23" s="134"/>
      <c r="O23" s="134"/>
      <c r="P23" s="146"/>
      <c r="Q23" s="146"/>
    </row>
    <row r="24" customFormat="false" ht="15.75" hidden="false" customHeight="true" outlineLevel="0" collapsed="false">
      <c r="A24" s="134"/>
      <c r="B24" s="148" t="s">
        <v>690</v>
      </c>
      <c r="C24" s="149"/>
      <c r="D24" s="150" t="n">
        <f aca="false">D20+D21+D22+D23</f>
        <v>7928.30453259284</v>
      </c>
      <c r="E24" s="150" t="n">
        <f aca="false">E20+E21+E22+E23</f>
        <v>5008.28980970928</v>
      </c>
      <c r="F24" s="150" t="n">
        <f aca="false">F20+F21+F22+F23</f>
        <v>5799.56555776314</v>
      </c>
      <c r="G24" s="150" t="n">
        <f aca="false">G20+G21+G22+G23</f>
        <v>6759.278102834</v>
      </c>
      <c r="H24" s="150" t="n">
        <f aca="false">H20+H21+H22+H23</f>
        <v>7798.83290652764</v>
      </c>
      <c r="I24" s="150" t="n">
        <f aca="false">I20+I21+I22+I23</f>
        <v>12624.7512099846</v>
      </c>
      <c r="J24" s="150" t="n">
        <f aca="false">J20+J21+J22+J23</f>
        <v>13445.3600386336</v>
      </c>
      <c r="K24" s="150" t="n">
        <f aca="false">K20+K21+K22+K23</f>
        <v>14252.0816409516</v>
      </c>
      <c r="L24" s="150" t="n">
        <f aca="false">L20+L21+L22+L23</f>
        <v>15035.9461312039</v>
      </c>
      <c r="M24" s="150" t="n">
        <f aca="false">M20+M21+M22+M23</f>
        <v>15787.7434377641</v>
      </c>
      <c r="N24" s="150" t="n">
        <f aca="false">M24*(1+$C$27)</f>
        <v>16340.3144580859</v>
      </c>
      <c r="O24" s="134"/>
      <c r="P24" s="151" t="n">
        <f aca="false">(H24/D24)^(1/(COLUMNS(D24:H24)-1))-1</f>
        <v>-0.00410781809912797</v>
      </c>
      <c r="Q24" s="151" t="n">
        <f aca="false">(M24/D24)^(1/(COLUMNS(D24:M24)-1))-1</f>
        <v>0.0795375384517363</v>
      </c>
    </row>
    <row r="25" customFormat="false" ht="15.75" hidden="false" customHeight="true" outlineLevel="0" collapsed="false">
      <c r="A25" s="134"/>
      <c r="B25" s="141" t="s">
        <v>691</v>
      </c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52" t="n">
        <f aca="false">N24/($C$13-$C$27)</f>
        <v>289081.19342036</v>
      </c>
      <c r="O25" s="134"/>
      <c r="P25" s="134"/>
      <c r="Q25" s="134"/>
    </row>
    <row r="26" customFormat="false" ht="15.75" hidden="false" customHeight="true" outlineLevel="0" collapsed="false">
      <c r="A26" s="134"/>
      <c r="B26" s="136" t="s">
        <v>692</v>
      </c>
      <c r="C26" s="134"/>
      <c r="D26" s="134"/>
      <c r="E26" s="134"/>
      <c r="F26" s="134"/>
      <c r="G26" s="134"/>
      <c r="H26" s="134"/>
      <c r="I26" s="153" t="n">
        <v>0.07</v>
      </c>
      <c r="J26" s="154" t="n">
        <f aca="false">I26+($M$26-$I$26)/4</f>
        <v>0.065</v>
      </c>
      <c r="K26" s="154" t="n">
        <f aca="false">J26+($M$26-$I$26)/4</f>
        <v>0.06</v>
      </c>
      <c r="L26" s="154" t="n">
        <f aca="false">K26+($M$26-$I$26)/4</f>
        <v>0.055</v>
      </c>
      <c r="M26" s="153" t="n">
        <v>0.05</v>
      </c>
      <c r="N26" s="134"/>
      <c r="O26" s="134"/>
      <c r="P26" s="134"/>
      <c r="Q26" s="134"/>
    </row>
    <row r="27" customFormat="false" ht="15.75" hidden="false" customHeight="true" outlineLevel="0" collapsed="false">
      <c r="A27" s="134"/>
      <c r="B27" s="136" t="s">
        <v>693</v>
      </c>
      <c r="C27" s="155" t="n">
        <v>0.035</v>
      </c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</row>
    <row r="28" customFormat="false" ht="15" hidden="false" customHeight="true" outlineLevel="0" collapsed="false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</row>
    <row r="29" customFormat="false" ht="15.75" hidden="false" customHeight="true" outlineLevel="0" collapsed="false">
      <c r="A29" s="134"/>
      <c r="B29" s="136" t="s">
        <v>694</v>
      </c>
      <c r="C29" s="134"/>
      <c r="D29" s="147" t="n">
        <f aca="false">(DATE(2026,12,31)-$C$15)/365.25</f>
        <v>0.235455167693361</v>
      </c>
      <c r="E29" s="147" t="n">
        <f aca="false">(DATE(2027,12,31)-$C$15)/365.25</f>
        <v>1.23477070499658</v>
      </c>
      <c r="F29" s="147" t="n">
        <f aca="false">(DATE(2028,12,31)-$C$15)/365.25</f>
        <v>2.23682409308693</v>
      </c>
      <c r="G29" s="147" t="n">
        <f aca="false">(DATE(2029,12,31)-$C$15)/365.25</f>
        <v>3.23613963039014</v>
      </c>
      <c r="H29" s="147" t="n">
        <f aca="false">(DATE(2030,12,31)-$C$15)/365.25</f>
        <v>4.23545516769336</v>
      </c>
      <c r="I29" s="147" t="n">
        <f aca="false">(DATE(2031,12,31)-$C$15)/365.25</f>
        <v>5.23477070499658</v>
      </c>
      <c r="J29" s="147" t="n">
        <f aca="false">(DATE(2032,12,31)-$C$15)/365.25</f>
        <v>6.23682409308693</v>
      </c>
      <c r="K29" s="147" t="n">
        <f aca="false">(DATE(2033,12,31)-$C$15)/365.25</f>
        <v>7.23613963039014</v>
      </c>
      <c r="L29" s="147" t="n">
        <f aca="false">(DATE(2034,12,31)-$C$15)/365.25</f>
        <v>8.23545516769336</v>
      </c>
      <c r="M29" s="147" t="n">
        <f aca="false">(DATE(2035,12,31)-$C$15)/365.25</f>
        <v>9.23477070499658</v>
      </c>
      <c r="N29" s="147" t="n">
        <f aca="false">M29</f>
        <v>9.23477070499658</v>
      </c>
      <c r="O29" s="134"/>
      <c r="P29" s="134"/>
      <c r="Q29" s="134"/>
    </row>
    <row r="30" customFormat="false" ht="15.75" hidden="false" customHeight="true" outlineLevel="0" collapsed="false">
      <c r="A30" s="134"/>
      <c r="B30" s="136" t="s">
        <v>695</v>
      </c>
      <c r="C30" s="134"/>
      <c r="D30" s="156" t="n">
        <f aca="false">1/(1+$C$13)^D29</f>
        <v>0.979590967142634</v>
      </c>
      <c r="E30" s="156" t="n">
        <f aca="false">1/(1+$C$13)^E29</f>
        <v>0.897505497268226</v>
      </c>
      <c r="F30" s="156" t="n">
        <f aca="false">1/(1+$C$13)^F29</f>
        <v>0.822101294942513</v>
      </c>
      <c r="G30" s="156" t="n">
        <f aca="false">1/(1+$C$13)^G29</f>
        <v>0.753212775812375</v>
      </c>
      <c r="H30" s="156" t="n">
        <f aca="false">1/(1+$C$13)^H29</f>
        <v>0.690096815486289</v>
      </c>
      <c r="I30" s="156" t="n">
        <f aca="false">1/(1+$C$13)^I29</f>
        <v>0.632269698599678</v>
      </c>
      <c r="J30" s="156" t="n">
        <f aca="false">1/(1+$C$13)^J29</f>
        <v>0.579149364047144</v>
      </c>
      <c r="K30" s="156" t="n">
        <f aca="false">1/(1+$C$13)^K29</f>
        <v>0.530619161881291</v>
      </c>
      <c r="L30" s="156" t="n">
        <f aca="false">1/(1+$C$13)^L29</f>
        <v>0.486155579949294</v>
      </c>
      <c r="M30" s="156" t="n">
        <f aca="false">1/(1+$C$13)^M29</f>
        <v>0.445417853131941</v>
      </c>
      <c r="N30" s="156" t="n">
        <f aca="false">1/(1+$C$13)^N29</f>
        <v>0.445417853131941</v>
      </c>
      <c r="O30" s="134"/>
      <c r="P30" s="134"/>
      <c r="Q30" s="134"/>
    </row>
    <row r="31" customFormat="false" ht="15.75" hidden="false" customHeight="true" outlineLevel="0" collapsed="false">
      <c r="A31" s="134"/>
      <c r="B31" s="157" t="s">
        <v>696</v>
      </c>
      <c r="C31" s="158"/>
      <c r="D31" s="159" t="n">
        <f aca="false">D24*D30</f>
        <v>7766.49550488395</v>
      </c>
      <c r="E31" s="159" t="n">
        <f aca="false">E24*E30</f>
        <v>4494.96763612652</v>
      </c>
      <c r="F31" s="159" t="n">
        <f aca="false">F24*F30</f>
        <v>4767.83035514108</v>
      </c>
      <c r="G31" s="159" t="n">
        <f aca="false">G24*G30</f>
        <v>5091.1746223234</v>
      </c>
      <c r="H31" s="159" t="n">
        <f aca="false">H24*H30</f>
        <v>5381.9497533044</v>
      </c>
      <c r="I31" s="159" t="n">
        <f aca="false">I24*I30</f>
        <v>7982.24764243287</v>
      </c>
      <c r="J31" s="159" t="n">
        <f aca="false">J24*J30</f>
        <v>7786.87171575951</v>
      </c>
      <c r="K31" s="159" t="n">
        <f aca="false">K24*K30</f>
        <v>7562.42761538547</v>
      </c>
      <c r="L31" s="159" t="n">
        <f aca="false">L24*L30</f>
        <v>7309.80911150179</v>
      </c>
      <c r="M31" s="159" t="n">
        <f aca="false">M24*M30</f>
        <v>7032.14278784678</v>
      </c>
      <c r="N31" s="159" t="n">
        <f aca="false">N25*N30</f>
        <v>128761.924554116</v>
      </c>
      <c r="O31" s="134"/>
      <c r="P31" s="134"/>
      <c r="Q31" s="134"/>
    </row>
    <row r="32" customFormat="false" ht="15" hidden="false" customHeight="true" outlineLevel="0" collapsed="false">
      <c r="A32" s="134"/>
      <c r="B32" s="134"/>
      <c r="C32" s="134"/>
      <c r="D32" s="138" t="s">
        <v>697</v>
      </c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</row>
    <row r="33" customFormat="false" ht="15.75" hidden="false" customHeight="true" outlineLevel="0" collapsed="false">
      <c r="A33" s="134"/>
      <c r="B33" s="13" t="s">
        <v>698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4"/>
      <c r="P33" s="134"/>
      <c r="Q33" s="134"/>
    </row>
    <row r="34" customFormat="false" ht="15.75" hidden="false" customHeight="true" outlineLevel="0" collapsed="false">
      <c r="A34" s="134"/>
      <c r="B34" s="136" t="s">
        <v>699</v>
      </c>
      <c r="C34" s="134"/>
      <c r="D34" s="145" t="n">
        <f aca="false">Model!BV375+Model!CA75</f>
        <v>91914</v>
      </c>
      <c r="E34" s="41" t="n">
        <f aca="false">D38</f>
        <v>93349.7229674072</v>
      </c>
      <c r="F34" s="41" t="n">
        <f aca="false">E38</f>
        <v>98486.3388172197</v>
      </c>
      <c r="G34" s="41" t="n">
        <f aca="false">F38</f>
        <v>103818.597693664</v>
      </c>
      <c r="H34" s="41" t="n">
        <f aca="false">G38</f>
        <v>109251.712781436</v>
      </c>
      <c r="I34" s="41" t="n">
        <f aca="false">H38</f>
        <v>114784.295969133</v>
      </c>
      <c r="J34" s="41" t="n">
        <f aca="false">I38</f>
        <v>116424.159979968</v>
      </c>
      <c r="K34" s="41" t="n">
        <f aca="false">J38</f>
        <v>118170.615151508</v>
      </c>
      <c r="L34" s="41" t="n">
        <f aca="false">K38</f>
        <v>120021.85763334</v>
      </c>
      <c r="M34" s="41" t="n">
        <f aca="false">L38</f>
        <v>121974.918451673</v>
      </c>
      <c r="N34" s="41"/>
      <c r="O34" s="134"/>
      <c r="P34" s="134"/>
      <c r="Q34" s="134"/>
    </row>
    <row r="35" customFormat="false" ht="15.75" hidden="false" customHeight="true" outlineLevel="0" collapsed="false">
      <c r="A35" s="134"/>
      <c r="B35" s="136" t="s">
        <v>700</v>
      </c>
      <c r="C35" s="134"/>
      <c r="D35" s="41" t="n">
        <f aca="false">-D22</f>
        <v>2000</v>
      </c>
      <c r="E35" s="41" t="n">
        <f aca="false">-E22</f>
        <v>6127.88166665408</v>
      </c>
      <c r="F35" s="41" t="n">
        <f aca="false">-F22</f>
        <v>6289.12732831486</v>
      </c>
      <c r="G35" s="41" t="n">
        <f aca="false">-G22</f>
        <v>6462.56386889604</v>
      </c>
      <c r="H35" s="41" t="n">
        <f aca="false">-H22</f>
        <v>6646.57348266527</v>
      </c>
      <c r="I35" s="41" t="n">
        <f aca="false">-I22</f>
        <v>2831.83362645183</v>
      </c>
      <c r="J35" s="41" t="n">
        <f aca="false">-J22</f>
        <v>3015.9028121712</v>
      </c>
      <c r="K35" s="41" t="n">
        <f aca="false">-K22</f>
        <v>3196.85698090148</v>
      </c>
      <c r="L35" s="41" t="n">
        <f aca="false">-L22</f>
        <v>3372.68411485106</v>
      </c>
      <c r="M35" s="41" t="n">
        <f aca="false">-M22</f>
        <v>3541.31832059361</v>
      </c>
      <c r="N35" s="41"/>
      <c r="O35" s="134"/>
      <c r="P35" s="134"/>
      <c r="Q35" s="134"/>
    </row>
    <row r="36" customFormat="false" ht="15.75" hidden="false" customHeight="true" outlineLevel="0" collapsed="false">
      <c r="A36" s="134"/>
      <c r="B36" s="136" t="s">
        <v>701</v>
      </c>
      <c r="C36" s="134"/>
      <c r="D36" s="41" t="n">
        <f aca="false">-D21</f>
        <v>-1322.46949867386</v>
      </c>
      <c r="E36" s="41" t="n">
        <f aca="false">-E21</f>
        <v>-1367.92392856334</v>
      </c>
      <c r="F36" s="41" t="n">
        <f aca="false">-F21</f>
        <v>-1471.5818539167</v>
      </c>
      <c r="G36" s="41" t="n">
        <f aca="false">-G21</f>
        <v>-1583.07677286174</v>
      </c>
      <c r="H36" s="41" t="n">
        <f aca="false">-H21</f>
        <v>-1701.36866742767</v>
      </c>
      <c r="I36" s="41" t="n">
        <f aca="false">-I21</f>
        <v>-1820.46447414761</v>
      </c>
      <c r="J36" s="41" t="n">
        <f aca="false">-J21</f>
        <v>-1938.7946649672</v>
      </c>
      <c r="K36" s="41" t="n">
        <f aca="false">-K21</f>
        <v>-2055.12234486523</v>
      </c>
      <c r="L36" s="41" t="n">
        <f aca="false">-L21</f>
        <v>-2168.15407383282</v>
      </c>
      <c r="M36" s="41" t="n">
        <f aca="false">-M21</f>
        <v>-2276.56177752446</v>
      </c>
      <c r="N36" s="41"/>
      <c r="O36" s="134"/>
      <c r="P36" s="134"/>
      <c r="Q36" s="134"/>
    </row>
    <row r="37" customFormat="false" ht="15.75" hidden="false" customHeight="true" outlineLevel="0" collapsed="false">
      <c r="A37" s="134"/>
      <c r="B37" s="136" t="s">
        <v>702</v>
      </c>
      <c r="C37" s="134"/>
      <c r="D37" s="41" t="n">
        <f aca="false">-D23</f>
        <v>758.192466081015</v>
      </c>
      <c r="E37" s="41" t="n">
        <f aca="false">-E23</f>
        <v>376.658111721824</v>
      </c>
      <c r="F37" s="41" t="n">
        <f aca="false">-F23</f>
        <v>514.713402046332</v>
      </c>
      <c r="G37" s="41" t="n">
        <f aca="false">-G23</f>
        <v>553.627991737757</v>
      </c>
      <c r="H37" s="41" t="n">
        <f aca="false">-H23</f>
        <v>587.378372459046</v>
      </c>
      <c r="I37" s="41" t="n">
        <f aca="false">-I23</f>
        <v>628.494858531179</v>
      </c>
      <c r="J37" s="41" t="n">
        <f aca="false">-J23</f>
        <v>669.347024335706</v>
      </c>
      <c r="K37" s="41" t="n">
        <f aca="false">-K23</f>
        <v>709.507845795848</v>
      </c>
      <c r="L37" s="41" t="n">
        <f aca="false">-L23</f>
        <v>748.53077731462</v>
      </c>
      <c r="M37" s="41" t="n">
        <f aca="false">-M23</f>
        <v>785.957316180351</v>
      </c>
      <c r="N37" s="41"/>
      <c r="O37" s="134"/>
      <c r="P37" s="134"/>
      <c r="Q37" s="134"/>
    </row>
    <row r="38" customFormat="false" ht="15.75" hidden="false" customHeight="true" outlineLevel="0" collapsed="false">
      <c r="A38" s="134"/>
      <c r="B38" s="160" t="s">
        <v>703</v>
      </c>
      <c r="C38" s="160"/>
      <c r="D38" s="161" t="n">
        <f aca="false">SUM(D34:D37)</f>
        <v>93349.7229674072</v>
      </c>
      <c r="E38" s="161" t="n">
        <f aca="false">SUM(E34:E37)</f>
        <v>98486.3388172197</v>
      </c>
      <c r="F38" s="161" t="n">
        <f aca="false">SUM(F34:F37)</f>
        <v>103818.597693664</v>
      </c>
      <c r="G38" s="161" t="n">
        <f aca="false">SUM(G34:G37)</f>
        <v>109251.712781436</v>
      </c>
      <c r="H38" s="161" t="n">
        <f aca="false">SUM(H34:H37)</f>
        <v>114784.295969133</v>
      </c>
      <c r="I38" s="161" t="n">
        <f aca="false">SUM(I34:I37)</f>
        <v>116424.159979968</v>
      </c>
      <c r="J38" s="161" t="n">
        <f aca="false">SUM(J34:J37)</f>
        <v>118170.615151508</v>
      </c>
      <c r="K38" s="161" t="n">
        <f aca="false">SUM(K34:K37)</f>
        <v>120021.85763334</v>
      </c>
      <c r="L38" s="161" t="n">
        <f aca="false">SUM(L34:L37)</f>
        <v>121974.918451673</v>
      </c>
      <c r="M38" s="161" t="n">
        <f aca="false">SUM(M34:M37)</f>
        <v>124025.632310922</v>
      </c>
      <c r="N38" s="162"/>
      <c r="O38" s="134"/>
      <c r="P38" s="134"/>
      <c r="Q38" s="134"/>
    </row>
    <row r="39" customFormat="false" ht="15.75" hidden="false" customHeight="true" outlineLevel="0" collapsed="false">
      <c r="A39" s="134"/>
      <c r="B39" s="136" t="s">
        <v>704</v>
      </c>
      <c r="C39" s="134"/>
      <c r="D39" s="41" t="n">
        <f aca="false">D20</f>
        <v>9364.0275</v>
      </c>
      <c r="E39" s="41" t="n">
        <f aca="false">E20</f>
        <v>10144.9056595219</v>
      </c>
      <c r="F39" s="41" t="n">
        <f aca="false">F20</f>
        <v>11131.8244342076</v>
      </c>
      <c r="G39" s="41" t="n">
        <f aca="false">G20</f>
        <v>12192.3931906061</v>
      </c>
      <c r="H39" s="41" t="n">
        <f aca="false">H20</f>
        <v>13331.4160942243</v>
      </c>
      <c r="I39" s="41" t="n">
        <f aca="false">I20</f>
        <v>14264.61522082</v>
      </c>
      <c r="J39" s="41" t="n">
        <f aca="false">J20</f>
        <v>15191.8152101733</v>
      </c>
      <c r="K39" s="41" t="n">
        <f aca="false">K20</f>
        <v>16103.3241227837</v>
      </c>
      <c r="L39" s="41" t="n">
        <f aca="false">L20</f>
        <v>16989.0069495368</v>
      </c>
      <c r="M39" s="41" t="n">
        <f aca="false">M20</f>
        <v>17838.4572970136</v>
      </c>
      <c r="N39" s="41"/>
      <c r="O39" s="134"/>
      <c r="P39" s="134"/>
      <c r="Q39" s="134"/>
    </row>
    <row r="40" customFormat="false" ht="15.75" hidden="false" customHeight="true" outlineLevel="0" collapsed="false">
      <c r="A40" s="134"/>
      <c r="B40" s="163" t="s">
        <v>705</v>
      </c>
      <c r="C40" s="163"/>
      <c r="D40" s="164" t="n">
        <f aca="false">IFERROR(D39/AVERAGE(D34,D38),"")</f>
        <v>0.101088624907396</v>
      </c>
      <c r="E40" s="164" t="n">
        <f aca="false">IFERROR(E39/AVERAGE(E34,E38),"")</f>
        <v>0.105766408725712</v>
      </c>
      <c r="F40" s="164" t="n">
        <f aca="false">IFERROR(F39/AVERAGE(F34,F38),"")</f>
        <v>0.110049953562144</v>
      </c>
      <c r="G40" s="164" t="n">
        <f aca="false">IFERROR(G39/AVERAGE(G34,G38),"")</f>
        <v>0.114444787388911</v>
      </c>
      <c r="H40" s="164" t="n">
        <f aca="false">IFERROR(H39/AVERAGE(H34,H38),"")</f>
        <v>0.119011369364885</v>
      </c>
      <c r="I40" s="164" t="n">
        <f aca="false">IFERROR(I39/AVERAGE(I34,I38),"")</f>
        <v>0.12339181248596</v>
      </c>
      <c r="J40" s="164" t="n">
        <f aca="false">IFERROR(J39/AVERAGE(J34,J38),"")</f>
        <v>0.129515375623001</v>
      </c>
      <c r="K40" s="164" t="n">
        <f aca="false">IFERROR(K39/AVERAGE(K34,K38),"")</f>
        <v>0.135212703697226</v>
      </c>
      <c r="L40" s="164" t="n">
        <f aca="false">IFERROR(L39/AVERAGE(L34,L38),"")</f>
        <v>0.140406886607188</v>
      </c>
      <c r="M40" s="164" t="n">
        <f aca="false">IFERROR(M39/AVERAGE(M34,M38),"")</f>
        <v>0.145027783407109</v>
      </c>
      <c r="N40" s="164"/>
      <c r="O40" s="134"/>
      <c r="P40" s="134"/>
      <c r="Q40" s="134"/>
    </row>
    <row r="41" customFormat="false" ht="15.75" hidden="false" customHeight="true" outlineLevel="0" collapsed="false">
      <c r="A41" s="134"/>
      <c r="B41" s="136" t="s">
        <v>706</v>
      </c>
      <c r="C41" s="134"/>
      <c r="D41" s="36" t="n">
        <f aca="false">IFERROR(SUM(D35:D37)/D39,"")</f>
        <v>0.153323232701651</v>
      </c>
      <c r="E41" s="36" t="n">
        <f aca="false">IFERROR(SUM(E35:E37)/E39,"")</f>
        <v>0.506324654186549</v>
      </c>
      <c r="F41" s="36" t="n">
        <f aca="false">IFERROR(SUM(F35:F37)/F39,"")</f>
        <v>0.479010328267367</v>
      </c>
      <c r="G41" s="36" t="n">
        <f aca="false">IFERROR(SUM(G35:G37)/G39,"")</f>
        <v>0.445615147316455</v>
      </c>
      <c r="H41" s="36" t="n">
        <f aca="false">IFERROR(SUM(H35:H37)/H39,"")</f>
        <v>0.415003413635374</v>
      </c>
      <c r="I41" s="36" t="n">
        <f aca="false">IFERROR(SUM(I35:I37)/I39,"")</f>
        <v>0.114960269551606</v>
      </c>
      <c r="J41" s="36" t="n">
        <f aca="false">IFERROR(SUM(J35:J37)/J39,"")</f>
        <v>0.114960269551606</v>
      </c>
      <c r="K41" s="36" t="n">
        <f aca="false">IFERROR(SUM(K35:K37)/K39,"")</f>
        <v>0.114960269551606</v>
      </c>
      <c r="L41" s="36" t="n">
        <f aca="false">IFERROR(SUM(L35:L37)/L39,"")</f>
        <v>0.114960269551606</v>
      </c>
      <c r="M41" s="36" t="n">
        <f aca="false">IFERROR(SUM(M35:M37)/M39,"")</f>
        <v>0.114960269551606</v>
      </c>
      <c r="N41" s="36"/>
      <c r="O41" s="134"/>
      <c r="P41" s="134"/>
      <c r="Q41" s="134"/>
    </row>
    <row r="42" customFormat="false" ht="15.75" hidden="false" customHeight="true" outlineLevel="0" collapsed="false">
      <c r="A42" s="134"/>
      <c r="B42" s="136" t="s">
        <v>707</v>
      </c>
      <c r="C42" s="134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 t="n">
        <f aca="false">IFERROR($C$27/M41,"")</f>
        <v>0.304453009170167</v>
      </c>
      <c r="O42" s="134"/>
      <c r="P42" s="134"/>
      <c r="Q42" s="134"/>
    </row>
    <row r="43" customFormat="false" ht="15" hidden="false" customHeight="true" outlineLevel="0" collapsed="false">
      <c r="A43" s="134"/>
      <c r="B43" s="134"/>
      <c r="C43" s="134"/>
      <c r="D43" s="138" t="s">
        <v>708</v>
      </c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</row>
    <row r="44" customFormat="false" ht="15.75" hidden="false" customHeight="true" outlineLevel="0" collapsed="false">
      <c r="A44" s="134"/>
      <c r="B44" s="13" t="s">
        <v>709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4"/>
      <c r="P44" s="134"/>
      <c r="Q44" s="134"/>
    </row>
    <row r="45" customFormat="false" ht="15.75" hidden="false" customHeight="true" outlineLevel="0" collapsed="false">
      <c r="A45" s="134"/>
      <c r="B45" s="136" t="s">
        <v>710</v>
      </c>
      <c r="C45" s="41" t="n">
        <f aca="false">SUM(D31:M31)</f>
        <v>65175.9167447058</v>
      </c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</row>
    <row r="46" customFormat="false" ht="15.75" hidden="false" customHeight="true" outlineLevel="0" collapsed="false">
      <c r="A46" s="134"/>
      <c r="B46" s="136" t="s">
        <v>711</v>
      </c>
      <c r="C46" s="41" t="n">
        <f aca="false">N31</f>
        <v>128761.924554116</v>
      </c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</row>
    <row r="47" customFormat="false" ht="15.75" hidden="false" customHeight="true" outlineLevel="0" collapsed="false">
      <c r="A47" s="134"/>
      <c r="B47" s="141" t="s">
        <v>712</v>
      </c>
      <c r="C47" s="150" t="n">
        <f aca="false">C45+C46</f>
        <v>193937.841298822</v>
      </c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</row>
    <row r="48" customFormat="false" ht="15.75" hidden="false" customHeight="true" outlineLevel="0" collapsed="false">
      <c r="A48" s="134"/>
      <c r="B48" s="136" t="s">
        <v>713</v>
      </c>
      <c r="C48" s="145" t="n">
        <f aca="false">Model!CA395+Model!CA404</f>
        <v>33300.74</v>
      </c>
      <c r="D48" s="138" t="s">
        <v>714</v>
      </c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</row>
    <row r="49" customFormat="false" ht="15.75" hidden="false" customHeight="true" outlineLevel="0" collapsed="false">
      <c r="A49" s="134"/>
      <c r="B49" s="141" t="s">
        <v>715</v>
      </c>
      <c r="C49" s="162" t="n">
        <f aca="false">C47-C48</f>
        <v>160637.101298822</v>
      </c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</row>
    <row r="50" customFormat="false" ht="15.75" hidden="false" customHeight="true" outlineLevel="0" collapsed="false">
      <c r="A50" s="134"/>
      <c r="B50" s="136" t="s">
        <v>716</v>
      </c>
      <c r="C50" s="165" t="n">
        <f aca="false">Model!CA401</f>
        <v>370.247286</v>
      </c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</row>
    <row r="51" customFormat="false" ht="15.75" hidden="false" customHeight="true" outlineLevel="0" collapsed="false">
      <c r="A51" s="134"/>
      <c r="B51" s="141" t="s">
        <v>717</v>
      </c>
      <c r="C51" s="166" t="n">
        <f aca="false">C49/C50</f>
        <v>433.864358694643</v>
      </c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</row>
    <row r="52" customFormat="false" ht="15.75" hidden="false" customHeight="true" outlineLevel="0" collapsed="false">
      <c r="A52" s="134"/>
      <c r="B52" s="136" t="s">
        <v>718</v>
      </c>
      <c r="C52" s="167" t="n">
        <f aca="false">Model!CA400</f>
        <v>676.76</v>
      </c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</row>
    <row r="53" customFormat="false" ht="15.75" hidden="false" customHeight="true" outlineLevel="0" collapsed="false">
      <c r="A53" s="134"/>
      <c r="B53" s="141" t="s">
        <v>719</v>
      </c>
      <c r="C53" s="168" t="n">
        <f aca="false">C51/C52-1</f>
        <v>-0.358909571052304</v>
      </c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</row>
    <row r="54" customFormat="false" ht="15.75" hidden="false" customHeight="true" outlineLevel="0" collapsed="false">
      <c r="A54" s="134"/>
      <c r="B54" s="136" t="s">
        <v>720</v>
      </c>
      <c r="C54" s="36" t="n">
        <f aca="false">1-((1+C13)/(1+H54))^H55</f>
        <v>0.144918441133999</v>
      </c>
      <c r="D54" s="169" t="s">
        <v>721</v>
      </c>
      <c r="E54" s="170" t="s">
        <v>722</v>
      </c>
      <c r="F54" s="134"/>
      <c r="G54" s="134"/>
      <c r="H54" s="153" t="n">
        <v>0.15</v>
      </c>
      <c r="I54" s="134"/>
      <c r="J54" s="134"/>
      <c r="K54" s="134"/>
      <c r="L54" s="134"/>
      <c r="M54" s="134"/>
      <c r="N54" s="134"/>
      <c r="O54" s="134"/>
      <c r="P54" s="134"/>
      <c r="Q54" s="134"/>
    </row>
    <row r="55" customFormat="false" ht="15.75" hidden="false" customHeight="true" outlineLevel="0" collapsed="false">
      <c r="A55" s="134"/>
      <c r="B55" s="141" t="s">
        <v>723</v>
      </c>
      <c r="C55" s="171" t="n">
        <f aca="false">C51*(1-C54)</f>
        <v>370.989412169013</v>
      </c>
      <c r="D55" s="36" t="n">
        <f aca="false">C55/C52-1</f>
        <v>-0.451815396641331</v>
      </c>
      <c r="E55" s="170" t="s">
        <v>724</v>
      </c>
      <c r="F55" s="134"/>
      <c r="G55" s="134"/>
      <c r="H55" s="172" t="n">
        <v>3</v>
      </c>
      <c r="I55" s="134"/>
      <c r="J55" s="134"/>
      <c r="K55" s="134"/>
      <c r="L55" s="134"/>
      <c r="M55" s="134"/>
      <c r="N55" s="134"/>
      <c r="O55" s="134"/>
      <c r="P55" s="134"/>
      <c r="Q55" s="134"/>
    </row>
    <row r="56" customFormat="false" ht="15" hidden="false" customHeight="true" outlineLevel="0" collapsed="false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</row>
    <row r="57" customFormat="false" ht="15" hidden="false" customHeight="true" outlineLevel="0" collapsed="false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</row>
    <row r="58" customFormat="false" ht="15.75" hidden="false" customHeight="true" outlineLevel="0" collapsed="false">
      <c r="A58" s="134"/>
      <c r="B58" s="13" t="s">
        <v>725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34"/>
      <c r="P58" s="134"/>
      <c r="Q58" s="134"/>
    </row>
    <row r="59" customFormat="false" ht="15" hidden="false" customHeight="true" outlineLevel="0" collapsed="false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</row>
    <row r="60" customFormat="false" ht="15.75" hidden="false" customHeight="true" outlineLevel="0" collapsed="false">
      <c r="A60" s="134"/>
      <c r="B60" s="141"/>
      <c r="C60" s="134"/>
      <c r="D60" s="173" t="s">
        <v>726</v>
      </c>
      <c r="E60" s="173"/>
      <c r="F60" s="173"/>
      <c r="G60" s="173"/>
      <c r="H60" s="173"/>
      <c r="I60" s="134"/>
      <c r="J60" s="134"/>
      <c r="K60" s="134"/>
      <c r="L60" s="134"/>
      <c r="M60" s="134"/>
      <c r="N60" s="134"/>
      <c r="O60" s="134"/>
      <c r="P60" s="134"/>
      <c r="Q60" s="134"/>
    </row>
    <row r="61" customFormat="false" ht="15.75" hidden="false" customHeight="true" outlineLevel="0" collapsed="false">
      <c r="A61" s="134"/>
      <c r="B61" s="174" t="s">
        <v>727</v>
      </c>
      <c r="C61" s="175"/>
      <c r="D61" s="176" t="n">
        <f aca="false">F61-0.01</f>
        <v>0.081525</v>
      </c>
      <c r="E61" s="176" t="n">
        <f aca="false">F61-0.005</f>
        <v>0.086525</v>
      </c>
      <c r="F61" s="176" t="n">
        <f aca="false">$C$13</f>
        <v>0.091525</v>
      </c>
      <c r="G61" s="176" t="n">
        <f aca="false">F61+0.005</f>
        <v>0.096525</v>
      </c>
      <c r="H61" s="177" t="n">
        <f aca="false">F61+0.01</f>
        <v>0.101525</v>
      </c>
      <c r="I61" s="134"/>
      <c r="J61" s="134"/>
      <c r="K61" s="134"/>
      <c r="L61" s="134"/>
      <c r="M61" s="134"/>
      <c r="N61" s="134"/>
      <c r="O61" s="134"/>
      <c r="P61" s="134"/>
      <c r="Q61" s="134"/>
    </row>
    <row r="62" customFormat="false" ht="15.75" hidden="false" customHeight="true" outlineLevel="0" collapsed="false">
      <c r="A62" s="134"/>
      <c r="B62" s="178" t="n">
        <f aca="false">B64-0.01</f>
        <v>0.025</v>
      </c>
      <c r="C62" s="134"/>
      <c r="D62" s="179" t="n">
        <f aca="false" t="array" ref="D62:D62">IFERROR((SUMPRODUCT($D$24:$M$24/(1+D$61)^$D$29:$M$29)+($M$24*(1+$B62)/(D$61-$B62))/(1+D$61)^$M$29-$C$48)/$C$50,"")</f>
        <v>469.455902379349</v>
      </c>
      <c r="E62" s="179" t="n">
        <f aca="false" t="array" ref="E62:E62">IFERROR((SUMPRODUCT($D$24:$M$24/(1+E$61)^$D$29:$M$29)+($M$24*(1+$B62)/(E$61-$B62))/(1+E$61)^$M$29-$C$48)/$C$50,"")</f>
        <v>420.343883558864</v>
      </c>
      <c r="F62" s="179" t="n">
        <f aca="false" t="array" ref="F62:F62">IFERROR((SUMPRODUCT($D$24:$M$24/(1+F$61)^$D$29:$M$29)+($M$24*(1+$B62)/(F$61-$B62))/(1+F$61)^$M$29-$C$48)/$C$50,"")</f>
        <v>378.732322870902</v>
      </c>
      <c r="G62" s="179" t="n">
        <f aca="false" t="array" ref="G62:G62">IFERROR((SUMPRODUCT($D$24:$M$24/(1+G$61)^$D$29:$M$29)+($M$24*(1+$B62)/(G$61-$B62))/(1+G$61)^$M$29-$C$48)/$C$50,"")</f>
        <v>343.044719035721</v>
      </c>
      <c r="H62" s="180" t="n">
        <f aca="false" t="array" ref="H62:H62">IFERROR((SUMPRODUCT($D$24:$M$24/(1+H$61)^$D$29:$M$29)+($M$24*(1+$B62)/(H$61-$B62))/(1+H$61)^$M$29-$C$48)/$C$50,"")</f>
        <v>312.116718015054</v>
      </c>
      <c r="I62" s="134"/>
      <c r="J62" s="134"/>
      <c r="K62" s="134"/>
      <c r="L62" s="134"/>
      <c r="M62" s="134"/>
      <c r="N62" s="134"/>
      <c r="O62" s="134"/>
      <c r="P62" s="134"/>
      <c r="Q62" s="134"/>
    </row>
    <row r="63" customFormat="false" ht="15.75" hidden="false" customHeight="true" outlineLevel="0" collapsed="false">
      <c r="A63" s="134"/>
      <c r="B63" s="178" t="n">
        <f aca="false">B64-0.005</f>
        <v>0.03</v>
      </c>
      <c r="C63" s="134"/>
      <c r="D63" s="179" t="n">
        <f aca="false" t="array" ref="D63:D63">IFERROR((SUMPRODUCT($D$24:$M$24/(1+D$61)^$D$29:$M$29)+($M$24*(1+$B63)/(D$61-$B63))/(1+D$61)^$M$29-$C$48)/$C$50,"")</f>
        <v>507.849279858947</v>
      </c>
      <c r="E63" s="179" t="n">
        <f aca="false" t="array" ref="E63:E63">IFERROR((SUMPRODUCT($D$24:$M$24/(1+E$61)^$D$29:$M$29)+($M$24*(1+$B63)/(E$61-$B63))/(1+E$61)^$M$29-$C$48)/$C$50,"")</f>
        <v>451.298621238311</v>
      </c>
      <c r="F63" s="179" t="n">
        <f aca="false" t="array" ref="F63:F63">IFERROR((SUMPRODUCT($D$24:$M$24/(1+F$61)^$D$29:$M$29)+($M$24*(1+$B63)/(F$61-$B63))/(1+F$61)^$M$29-$C$48)/$C$50,"")</f>
        <v>404.058111777338</v>
      </c>
      <c r="G63" s="179" t="n">
        <f aca="false" t="array" ref="G63:G63">IFERROR((SUMPRODUCT($D$24:$M$24/(1+G$61)^$D$29:$M$29)+($M$24*(1+$B63)/(G$61-$B63))/(1+G$61)^$M$29-$C$48)/$C$50,"")</f>
        <v>364.025031352402</v>
      </c>
      <c r="H63" s="180" t="n">
        <f aca="false" t="array" ref="H63:H63">IFERROR((SUMPRODUCT($D$24:$M$24/(1+H$61)^$D$29:$M$29)+($M$24*(1+$B63)/(H$61-$B63))/(1+H$61)^$M$29-$C$48)/$C$50,"")</f>
        <v>329.684748033529</v>
      </c>
      <c r="I63" s="134"/>
      <c r="J63" s="134"/>
      <c r="K63" s="134"/>
      <c r="L63" s="134"/>
      <c r="M63" s="134"/>
      <c r="N63" s="134"/>
      <c r="O63" s="134"/>
      <c r="P63" s="134"/>
      <c r="Q63" s="134"/>
    </row>
    <row r="64" customFormat="false" ht="15.75" hidden="false" customHeight="true" outlineLevel="0" collapsed="false">
      <c r="A64" s="134"/>
      <c r="B64" s="178" t="n">
        <f aca="false">$C$27</f>
        <v>0.035</v>
      </c>
      <c r="C64" s="134"/>
      <c r="D64" s="179" t="n">
        <f aca="false" t="array" ref="D64:D64">IFERROR((SUMPRODUCT($D$24:$M$24/(1+D$61)^$D$29:$M$29)+($M$24*(1+$B64)/(D$61-$B64))/(1+D$61)^$M$29-$C$48)/$C$50,"")</f>
        <v>554.494860988109</v>
      </c>
      <c r="E64" s="179" t="n">
        <f aca="false" t="array" ref="E64:E64">IFERROR((SUMPRODUCT($D$24:$M$24/(1+E$61)^$D$29:$M$29)+($M$24*(1+$B64)/(E$61-$B64))/(1+E$61)^$M$29-$C$48)/$C$50,"")</f>
        <v>488.261071228179</v>
      </c>
      <c r="F64" s="181" t="n">
        <f aca="false" t="array" ref="F64:F64">IFERROR((SUMPRODUCT($D$24:$M$24/(1+F$61)^$D$29:$M$29)+($M$24*(1+$B64)/(F$61-$B64))/(1+F$61)^$M$29-$C$48)/$C$50,"")</f>
        <v>433.864358694642</v>
      </c>
      <c r="G64" s="179" t="n">
        <f aca="false" t="array" ref="G64:G64">IFERROR((SUMPRODUCT($D$24:$M$24/(1+G$61)^$D$29:$M$29)+($M$24*(1+$B64)/(G$61-$B64))/(1+G$61)^$M$29-$C$48)/$C$50,"")</f>
        <v>388.415390368259</v>
      </c>
      <c r="H64" s="180" t="n">
        <f aca="false" t="array" ref="H64:H64">IFERROR((SUMPRODUCT($D$24:$M$24/(1+H$61)^$D$29:$M$29)+($M$24*(1+$B64)/(H$61-$B64))/(1+H$61)^$M$29-$C$48)/$C$50,"")</f>
        <v>349.893594289279</v>
      </c>
      <c r="I64" s="134"/>
      <c r="J64" s="134"/>
      <c r="K64" s="134"/>
      <c r="L64" s="134"/>
      <c r="M64" s="134"/>
      <c r="N64" s="134"/>
      <c r="O64" s="134"/>
      <c r="P64" s="134"/>
      <c r="Q64" s="134"/>
    </row>
    <row r="65" customFormat="false" ht="15.75" hidden="false" customHeight="true" outlineLevel="0" collapsed="false">
      <c r="A65" s="134"/>
      <c r="B65" s="178" t="n">
        <f aca="false">B64+0.005</f>
        <v>0.04</v>
      </c>
      <c r="C65" s="134"/>
      <c r="D65" s="179" t="n">
        <f aca="false" t="array" ref="D65:D65">IFERROR((SUMPRODUCT($D$24:$M$24/(1+D$61)^$D$29:$M$29)+($M$24*(1+$B65)/(D$61-$B65))/(1+D$61)^$M$29-$C$48)/$C$50,"")</f>
        <v>612.373574237479</v>
      </c>
      <c r="E65" s="179" t="n">
        <f aca="false" t="array" ref="E65:E65">IFERROR((SUMPRODUCT($D$24:$M$24/(1+E$61)^$D$29:$M$29)+($M$24*(1+$B65)/(E$61-$B65))/(1+E$61)^$M$29-$C$48)/$C$50,"")</f>
        <v>533.168163881104</v>
      </c>
      <c r="F65" s="179" t="n">
        <f aca="false" t="array" ref="F65:F65">IFERROR((SUMPRODUCT($D$24:$M$24/(1+F$61)^$D$29:$M$29)+($M$24*(1+$B65)/(F$61-$B65))/(1+F$61)^$M$29-$C$48)/$C$50,"")</f>
        <v>469.455418211133</v>
      </c>
      <c r="G65" s="179" t="n">
        <f aca="false" t="array" ref="G65:G65">IFERROR((SUMPRODUCT($D$24:$M$24/(1+G$61)^$D$29:$M$29)+($M$24*(1+$B65)/(G$61-$B65))/(1+G$61)^$M$29-$C$48)/$C$50,"")</f>
        <v>417.120717807975</v>
      </c>
      <c r="H65" s="180" t="n">
        <f aca="false" t="array" ref="H65:H65">IFERROR((SUMPRODUCT($D$24:$M$24/(1+H$61)^$D$29:$M$29)+($M$24*(1+$B65)/(H$61-$B65))/(1+H$61)^$M$29-$C$48)/$C$50,"")</f>
        <v>373.387096580097</v>
      </c>
      <c r="I65" s="134"/>
      <c r="J65" s="134"/>
      <c r="K65" s="134"/>
      <c r="L65" s="134"/>
      <c r="M65" s="134"/>
      <c r="N65" s="134"/>
      <c r="O65" s="134"/>
      <c r="P65" s="134"/>
      <c r="Q65" s="134"/>
    </row>
    <row r="66" customFormat="false" ht="15.75" hidden="false" customHeight="true" outlineLevel="0" collapsed="false">
      <c r="A66" s="134"/>
      <c r="B66" s="182" t="n">
        <f aca="false">B64+0.01</f>
        <v>0.045</v>
      </c>
      <c r="C66" s="183"/>
      <c r="D66" s="184" t="n">
        <f aca="false" t="array" ref="D66:D66">IFERROR((SUMPRODUCT($D$24:$M$24/(1+D$61)^$D$29:$M$29)+($M$24*(1+$B66)/(D$61-$B66))/(1+D$61)^$M$29-$C$48)/$C$50,"")</f>
        <v>686.098615549646</v>
      </c>
      <c r="E66" s="184" t="n">
        <f aca="false" t="array" ref="E66:E66">IFERROR((SUMPRODUCT($D$24:$M$24/(1+E$61)^$D$29:$M$29)+($M$24*(1+$B66)/(E$61-$B66))/(1+E$61)^$M$29-$C$48)/$C$50,"")</f>
        <v>588.889727973625</v>
      </c>
      <c r="F66" s="184" t="n">
        <f aca="false" t="array" ref="F66:F66">IFERROR((SUMPRODUCT($D$24:$M$24/(1+F$61)^$D$29:$M$29)+($M$24*(1+$B66)/(F$61-$B66))/(1+F$61)^$M$29-$C$48)/$C$50,"")</f>
        <v>512.696356183613</v>
      </c>
      <c r="G66" s="184" t="n">
        <f aca="false" t="array" ref="G66:G66">IFERROR((SUMPRODUCT($D$24:$M$24/(1+G$61)^$D$29:$M$29)+($M$24*(1+$B66)/(G$61-$B66))/(1+G$61)^$M$29-$C$48)/$C$50,"")</f>
        <v>451.397190796398</v>
      </c>
      <c r="H66" s="185" t="n">
        <f aca="false" t="array" ref="H66:H66">IFERROR((SUMPRODUCT($D$24:$M$24/(1+H$61)^$D$29:$M$29)+($M$24*(1+$B66)/(H$61-$B66))/(1+H$61)^$M$29-$C$48)/$C$50,"")</f>
        <v>401.036901797199</v>
      </c>
      <c r="I66" s="134"/>
      <c r="J66" s="134"/>
      <c r="K66" s="134"/>
      <c r="L66" s="134"/>
      <c r="M66" s="134"/>
      <c r="N66" s="134"/>
      <c r="O66" s="134"/>
      <c r="P66" s="134"/>
      <c r="Q66" s="134"/>
    </row>
    <row r="67" customFormat="false" ht="15" hidden="false" customHeight="true" outlineLevel="0" collapsed="false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</row>
    <row r="68" customFormat="false" ht="15" hidden="false" customHeight="true" outlineLevel="0" collapsed="false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</row>
    <row r="69" customFormat="false" ht="15.75" hidden="false" customHeight="true" outlineLevel="0" collapsed="false">
      <c r="A69" s="134"/>
      <c r="B69" s="13" t="s">
        <v>728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4"/>
      <c r="P69" s="134"/>
      <c r="Q69" s="134"/>
    </row>
    <row r="70" customFormat="false" ht="15" hidden="false" customHeight="true" outlineLevel="0" collapsed="false">
      <c r="A70" s="134"/>
      <c r="B70" s="138" t="s">
        <v>729</v>
      </c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</row>
    <row r="71" customFormat="false" ht="15" hidden="false" customHeight="true" outlineLevel="0" collapsed="false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</row>
    <row r="72" customFormat="false" ht="15.75" hidden="false" customHeight="true" outlineLevel="0" collapsed="false">
      <c r="A72" s="134"/>
      <c r="B72" s="13" t="s">
        <v>730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4"/>
      <c r="P72" s="134"/>
      <c r="Q72" s="134"/>
    </row>
    <row r="73" customFormat="false" ht="15" hidden="false" customHeight="true" outlineLevel="0" collapsed="false">
      <c r="A73" s="134"/>
      <c r="B73" s="138" t="s">
        <v>731</v>
      </c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</row>
    <row r="74" customFormat="false" ht="15" hidden="false" customHeight="true" outlineLevel="0" collapsed="false">
      <c r="A74" s="134"/>
      <c r="B74" s="138" t="s">
        <v>732</v>
      </c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</row>
    <row r="75" customFormat="false" ht="15" hidden="false" customHeight="true" outlineLevel="0" collapsed="false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</row>
    <row r="76" customFormat="false" ht="15.75" hidden="false" customHeight="true" outlineLevel="0" collapsed="false">
      <c r="A76" s="134"/>
      <c r="B76" s="13" t="s">
        <v>733</v>
      </c>
      <c r="C76" s="186" t="s">
        <v>734</v>
      </c>
      <c r="D76" s="13" t="s">
        <v>735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4"/>
      <c r="P76" s="134"/>
      <c r="Q76" s="134"/>
    </row>
    <row r="77" customFormat="false" ht="15.75" hidden="false" customHeight="true" outlineLevel="0" collapsed="false">
      <c r="A77" s="134"/>
      <c r="B77" s="136" t="s">
        <v>736</v>
      </c>
      <c r="C77" s="187" t="n">
        <f aca="false">$C$13</f>
        <v>0.091525</v>
      </c>
      <c r="D77" s="138" t="s">
        <v>737</v>
      </c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</row>
    <row r="78" customFormat="false" ht="15.75" hidden="false" customHeight="true" outlineLevel="0" collapsed="false">
      <c r="A78" s="134"/>
      <c r="B78" s="136" t="s">
        <v>738</v>
      </c>
      <c r="C78" s="188" t="n">
        <v>0.09</v>
      </c>
      <c r="D78" s="138" t="s">
        <v>739</v>
      </c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</row>
    <row r="79" customFormat="false" ht="15.75" hidden="false" customHeight="true" outlineLevel="0" collapsed="false">
      <c r="A79" s="134"/>
      <c r="B79" s="136" t="s">
        <v>740</v>
      </c>
      <c r="C79" s="188" t="n">
        <v>0.14</v>
      </c>
      <c r="D79" s="138" t="s">
        <v>741</v>
      </c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</row>
    <row r="80" customFormat="false" ht="15.75" hidden="false" customHeight="true" outlineLevel="0" collapsed="false">
      <c r="A80" s="134"/>
      <c r="B80" s="136" t="s">
        <v>742</v>
      </c>
      <c r="C80" s="189" t="n">
        <v>15</v>
      </c>
      <c r="D80" s="138" t="s">
        <v>743</v>
      </c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</row>
    <row r="81" customFormat="false" ht="15" hidden="false" customHeight="true" outlineLevel="0" collapsed="false">
      <c r="A81" s="134"/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</row>
    <row r="82" customFormat="false" ht="15.75" hidden="false" customHeight="true" outlineLevel="0" collapsed="false">
      <c r="A82" s="134"/>
      <c r="B82" s="13" t="s">
        <v>744</v>
      </c>
      <c r="C82" s="186" t="s">
        <v>734</v>
      </c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</row>
    <row r="83" customFormat="false" ht="15.75" hidden="false" customHeight="true" outlineLevel="0" collapsed="false">
      <c r="A83" s="134"/>
      <c r="B83" s="136" t="s">
        <v>745</v>
      </c>
      <c r="C83" s="190" t="n">
        <f aca="false">1/C77</f>
        <v>10.9259765091505</v>
      </c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</row>
    <row r="84" customFormat="false" ht="15.75" hidden="false" customHeight="true" outlineLevel="0" collapsed="false">
      <c r="A84" s="134"/>
      <c r="B84" s="136" t="s">
        <v>746</v>
      </c>
      <c r="C84" s="191" t="n">
        <f aca="false">1-C77/C79</f>
        <v>0.34625</v>
      </c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</row>
    <row r="85" customFormat="false" ht="15.75" hidden="false" customHeight="true" outlineLevel="0" collapsed="false">
      <c r="A85" s="134"/>
      <c r="B85" s="136" t="s">
        <v>747</v>
      </c>
      <c r="C85" s="191" t="n">
        <f aca="false">C78*C84/(C77*(C77-C78))</f>
        <v>223.266060961574</v>
      </c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</row>
    <row r="86" customFormat="false" ht="15.75" hidden="false" customHeight="true" outlineLevel="0" collapsed="false">
      <c r="A86" s="134"/>
      <c r="B86" s="136" t="s">
        <v>748</v>
      </c>
      <c r="C86" s="192" t="n">
        <f aca="false">1-((1+C78)/(1+C77))^C80</f>
        <v>0.0207531972796673</v>
      </c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</row>
    <row r="87" customFormat="false" ht="15.75" hidden="false" customHeight="true" outlineLevel="0" collapsed="false">
      <c r="A87" s="134"/>
      <c r="B87" s="136" t="s">
        <v>749</v>
      </c>
      <c r="C87" s="190" t="n">
        <f aca="false">C85*C86</f>
        <v>4.63348460898976</v>
      </c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</row>
    <row r="88" customFormat="false" ht="15.75" hidden="false" customHeight="true" outlineLevel="0" collapsed="false">
      <c r="A88" s="134"/>
      <c r="B88" s="11" t="s">
        <v>750</v>
      </c>
      <c r="C88" s="193" t="n">
        <f aca="false">C83+C87</f>
        <v>15.5594611181403</v>
      </c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</row>
    <row r="89" customFormat="false" ht="15" hidden="false" customHeight="true" outlineLevel="0" collapsed="false">
      <c r="A89" s="134"/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</row>
    <row r="90" customFormat="false" ht="15.75" hidden="false" customHeight="true" outlineLevel="0" collapsed="false">
      <c r="A90" s="134"/>
      <c r="B90" s="13" t="s">
        <v>751</v>
      </c>
      <c r="C90" s="186" t="s">
        <v>752</v>
      </c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</row>
    <row r="91" customFormat="false" ht="15.75" hidden="false" customHeight="true" outlineLevel="0" collapsed="false">
      <c r="A91" s="134"/>
      <c r="B91" s="136" t="s">
        <v>753</v>
      </c>
      <c r="C91" s="194" t="n">
        <f aca="false">Model!CC196-Model!CC181-Model!CC143</f>
        <v>12795.2004990892</v>
      </c>
      <c r="D91" s="134"/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</row>
    <row r="92" customFormat="false" ht="15.75" hidden="false" customHeight="true" outlineLevel="0" collapsed="false">
      <c r="A92" s="134"/>
      <c r="B92" s="136" t="s">
        <v>754</v>
      </c>
      <c r="C92" s="195" t="n">
        <f aca="false">$C$10</f>
        <v>0.13</v>
      </c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</row>
    <row r="93" customFormat="false" ht="15.75" hidden="false" customHeight="true" outlineLevel="0" collapsed="false">
      <c r="A93" s="134"/>
      <c r="B93" s="136" t="s">
        <v>755</v>
      </c>
      <c r="C93" s="61" t="n">
        <f aca="false">C91*(1-C92)</f>
        <v>11131.8244342076</v>
      </c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</row>
    <row r="94" customFormat="false" ht="15.75" hidden="false" customHeight="true" outlineLevel="0" collapsed="false">
      <c r="A94" s="134"/>
      <c r="B94" s="136" t="s">
        <v>756</v>
      </c>
      <c r="C94" s="196" t="n">
        <f aca="false">C88</f>
        <v>15.5594611181403</v>
      </c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</row>
    <row r="95" customFormat="false" ht="15.75" hidden="false" customHeight="true" outlineLevel="0" collapsed="false">
      <c r="A95" s="134"/>
      <c r="B95" s="136" t="s">
        <v>757</v>
      </c>
      <c r="C95" s="61" t="n">
        <f aca="false">C93*C94</f>
        <v>173205.189458017</v>
      </c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</row>
    <row r="96" customFormat="false" ht="15.75" hidden="false" customHeight="true" outlineLevel="0" collapsed="false">
      <c r="A96" s="134"/>
      <c r="B96" s="136" t="s">
        <v>758</v>
      </c>
      <c r="C96" s="194" t="n">
        <f aca="false">Model!CB395+Model!CB404</f>
        <v>33789.7953167458</v>
      </c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</row>
    <row r="97" customFormat="false" ht="15.75" hidden="false" customHeight="true" outlineLevel="0" collapsed="false">
      <c r="A97" s="134"/>
      <c r="B97" s="136" t="s">
        <v>759</v>
      </c>
      <c r="C97" s="61" t="n">
        <f aca="false">C95-C96</f>
        <v>139415.394141272</v>
      </c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</row>
    <row r="98" customFormat="false" ht="15.75" hidden="false" customHeight="true" outlineLevel="0" collapsed="false">
      <c r="A98" s="134"/>
      <c r="B98" s="136" t="s">
        <v>760</v>
      </c>
      <c r="C98" s="197" t="n">
        <f aca="false">Model!CC401</f>
        <v>358.655231734089</v>
      </c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</row>
    <row r="99" customFormat="false" ht="15.75" hidden="false" customHeight="true" outlineLevel="0" collapsed="false">
      <c r="A99" s="134"/>
      <c r="B99" s="11" t="s">
        <v>761</v>
      </c>
      <c r="C99" s="198" t="n">
        <f aca="false">C97/C98</f>
        <v>388.717023496916</v>
      </c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</row>
    <row r="100" customFormat="false" ht="15" hidden="false" customHeight="true" outlineLevel="0" collapsed="false">
      <c r="A100" s="134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</row>
    <row r="101" customFormat="false" ht="15.75" hidden="false" customHeight="true" outlineLevel="0" collapsed="false">
      <c r="A101" s="134"/>
      <c r="B101" s="136" t="s">
        <v>718</v>
      </c>
      <c r="C101" s="199" t="n">
        <f aca="false">C52</f>
        <v>676.76</v>
      </c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</row>
    <row r="102" customFormat="false" ht="15.75" hidden="false" customHeight="true" outlineLevel="0" collapsed="false">
      <c r="A102" s="134"/>
      <c r="B102" s="141" t="s">
        <v>719</v>
      </c>
      <c r="C102" s="200" t="n">
        <f aca="false">C99/C101-1</f>
        <v>-0.425620569334896</v>
      </c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</row>
    <row r="103" customFormat="false" ht="15" hidden="false" customHeight="true" outlineLevel="0" collapsed="false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</row>
    <row r="104" customFormat="false" ht="15.75" hidden="false" customHeight="true" outlineLevel="0" collapsed="false">
      <c r="A104" s="134"/>
      <c r="B104" s="13" t="s">
        <v>762</v>
      </c>
      <c r="C104" s="186" t="s">
        <v>752</v>
      </c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</row>
    <row r="105" customFormat="false" ht="15.75" hidden="false" customHeight="true" outlineLevel="0" collapsed="false">
      <c r="A105" s="134"/>
      <c r="B105" s="136" t="s">
        <v>763</v>
      </c>
      <c r="C105" s="61" t="n">
        <f aca="false">C52*C50</f>
        <v>250568.55327336</v>
      </c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</row>
    <row r="106" customFormat="false" ht="15.75" hidden="false" customHeight="true" outlineLevel="0" collapsed="false">
      <c r="A106" s="134"/>
      <c r="B106" s="136" t="s">
        <v>764</v>
      </c>
      <c r="C106" s="61" t="n">
        <f aca="false">C48</f>
        <v>33300.74</v>
      </c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</row>
    <row r="107" customFormat="false" ht="15.75" hidden="false" customHeight="true" outlineLevel="0" collapsed="false">
      <c r="A107" s="134"/>
      <c r="B107" s="136" t="s">
        <v>765</v>
      </c>
      <c r="C107" s="61" t="n">
        <f aca="false">C105+C106</f>
        <v>283869.29327336</v>
      </c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</row>
    <row r="108" customFormat="false" ht="15.75" hidden="false" customHeight="true" outlineLevel="0" collapsed="false">
      <c r="A108" s="134"/>
      <c r="B108" s="11" t="s">
        <v>766</v>
      </c>
      <c r="C108" s="201" t="n">
        <f aca="false">C107/C93</f>
        <v>25.5006980168535</v>
      </c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</row>
    <row r="109" customFormat="false" ht="15" hidden="false" customHeight="true" outlineLevel="0" collapsed="false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</row>
    <row r="110" customFormat="false" ht="15.75" hidden="false" customHeight="true" outlineLevel="0" collapsed="false">
      <c r="A110" s="134"/>
      <c r="B110" s="141" t="s">
        <v>767</v>
      </c>
      <c r="C110" s="202" t="n">
        <f aca="false">C88-C108</f>
        <v>-9.94123689871324</v>
      </c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</row>
    <row r="111" customFormat="false" ht="15.75" hidden="false" customHeight="true" outlineLevel="0" collapsed="false">
      <c r="A111" s="134"/>
      <c r="B111" s="136" t="s">
        <v>768</v>
      </c>
      <c r="C111" s="80" t="n">
        <f aca="false">C88/C108-1</f>
        <v>-0.389841756180283</v>
      </c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</row>
    <row r="112" customFormat="false" ht="15" hidden="false" customHeight="true" outlineLevel="0" collapsed="false">
      <c r="A112" s="134"/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</row>
    <row r="113" customFormat="false" ht="15" hidden="false" customHeight="true" outlineLevel="0" collapsed="false">
      <c r="A113" s="134"/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</row>
    <row r="114" customFormat="false" ht="15" hidden="false" customHeight="true" outlineLevel="0" collapsed="false">
      <c r="A114" s="134"/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</row>
    <row r="115" customFormat="false" ht="15" hidden="false" customHeight="true" outlineLevel="0" collapsed="false">
      <c r="A115" s="134"/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</row>
    <row r="116" customFormat="false" ht="15" hidden="false" customHeight="false" outlineLevel="0" collapsed="false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</row>
    <row r="117" customFormat="false" ht="15" hidden="false" customHeight="true" outlineLevel="0" collapsed="false">
      <c r="A117" s="134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</row>
    <row r="118" customFormat="false" ht="15" hidden="false" customHeight="true" outlineLevel="0" collapsed="false">
      <c r="A118" s="134"/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</row>
    <row r="119" customFormat="false" ht="15" hidden="false" customHeight="false" outlineLevel="0" collapsed="false">
      <c r="A119" s="134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</row>
    <row r="120" customFormat="false" ht="15" hidden="false" customHeight="false" outlineLevel="0" collapsed="false">
      <c r="A120" s="134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</row>
    <row r="121" customFormat="false" ht="15" hidden="false" customHeight="false" outlineLevel="0" collapsed="false">
      <c r="A121" s="134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</row>
    <row r="122" customFormat="false" ht="15" hidden="false" customHeight="false" outlineLevel="0" collapsed="false">
      <c r="A122" s="134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</row>
    <row r="123" customFormat="false" ht="15" hidden="false" customHeight="false" outlineLevel="0" collapsed="false">
      <c r="A123" s="134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</row>
    <row r="124" customFormat="false" ht="15" hidden="false" customHeight="false" outlineLevel="0" collapsed="false">
      <c r="A124" s="134"/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</row>
    <row r="125" customFormat="false" ht="15" hidden="false" customHeight="false" outlineLevel="0" collapsed="false">
      <c r="A125" s="134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</row>
    <row r="126" customFormat="false" ht="15" hidden="false" customHeight="false" outlineLevel="0" collapsed="false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</row>
    <row r="127" customFormat="false" ht="15" hidden="false" customHeight="false" outlineLevel="0" collapsed="false">
      <c r="A127" s="134"/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</row>
    <row r="128" customFormat="false" ht="15" hidden="false" customHeight="false" outlineLevel="0" collapsed="false">
      <c r="A128" s="134"/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</row>
    <row r="129" customFormat="false" ht="15" hidden="false" customHeight="false" outlineLevel="0" collapsed="false">
      <c r="A129" s="134"/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</row>
    <row r="130" customFormat="false" ht="15" hidden="false" customHeight="false" outlineLevel="0" collapsed="false">
      <c r="A130" s="134"/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</row>
  </sheetData>
  <mergeCells count="1">
    <mergeCell ref="D60:H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</cols>
  <sheetData>
    <row r="2" customFormat="false" ht="17.25" hidden="false" customHeight="true" outlineLevel="0" collapsed="false">
      <c r="B2" s="203" t="s">
        <v>769</v>
      </c>
    </row>
    <row r="3" customFormat="false" ht="15" hidden="false" customHeight="true" outlineLevel="0" collapsed="false">
      <c r="B3" s="93" t="s">
        <v>770</v>
      </c>
    </row>
    <row r="7" customFormat="false" ht="15" hidden="false" customHeight="true" outlineLevel="0" collapsed="false">
      <c r="C7" s="204" t="s">
        <v>771</v>
      </c>
      <c r="D7" s="204" t="s">
        <v>772</v>
      </c>
      <c r="E7" s="204" t="s">
        <v>773</v>
      </c>
      <c r="F7" s="204" t="s">
        <v>774</v>
      </c>
      <c r="G7" s="204" t="s">
        <v>775</v>
      </c>
      <c r="H7" s="204" t="s">
        <v>776</v>
      </c>
      <c r="I7" s="204" t="s">
        <v>777</v>
      </c>
      <c r="J7" s="204" t="s">
        <v>778</v>
      </c>
      <c r="K7" s="204" t="s">
        <v>779</v>
      </c>
      <c r="L7" s="204" t="s">
        <v>780</v>
      </c>
      <c r="M7" s="204" t="s">
        <v>781</v>
      </c>
      <c r="N7" s="204" t="s">
        <v>782</v>
      </c>
      <c r="O7" s="204" t="s">
        <v>783</v>
      </c>
      <c r="P7" s="204" t="s">
        <v>784</v>
      </c>
      <c r="Q7" s="204" t="s">
        <v>785</v>
      </c>
      <c r="R7" s="204" t="s">
        <v>786</v>
      </c>
      <c r="S7" s="204" t="s">
        <v>787</v>
      </c>
      <c r="T7" s="204" t="s">
        <v>788</v>
      </c>
      <c r="U7" s="204" t="s">
        <v>789</v>
      </c>
      <c r="V7" s="204" t="s">
        <v>790</v>
      </c>
    </row>
    <row r="8" customFormat="false" ht="15" hidden="false" customHeight="true" outlineLevel="0" collapsed="false">
      <c r="B8" s="205" t="s">
        <v>791</v>
      </c>
      <c r="C8" s="206" t="n">
        <f aca="false">IFERROR(Model!C109+0,0)</f>
        <v>0</v>
      </c>
      <c r="D8" s="206" t="n">
        <f aca="false">IFERROR(Model!D109+0,0)</f>
        <v>0</v>
      </c>
      <c r="E8" s="206" t="n">
        <f aca="false">IFERROR(Model!E109+0,0)</f>
        <v>0</v>
      </c>
      <c r="F8" s="206" t="n">
        <f aca="false">IFERROR(Model!F109+0,0)</f>
        <v>0</v>
      </c>
      <c r="G8" s="206" t="n">
        <f aca="false">IFERROR(Model!G109+0,0)</f>
        <v>0</v>
      </c>
      <c r="H8" s="206" t="n">
        <f aca="false">IFERROR(Model!H109+0,0)</f>
        <v>0</v>
      </c>
      <c r="I8" s="206" t="n">
        <f aca="false">IFERROR(Model!I109+0,0)</f>
        <v>0.04</v>
      </c>
      <c r="J8" s="206" t="n">
        <f aca="false">IFERROR(Model!N109+0,0)</f>
        <v>0.03</v>
      </c>
      <c r="K8" s="206" t="n">
        <f aca="false">IFERROR(Model!S109+0,0)</f>
        <v>0.04</v>
      </c>
      <c r="L8" s="206" t="n">
        <f aca="false">IFERROR(Model!X109+0,0)</f>
        <v>0.05</v>
      </c>
      <c r="M8" s="206" t="n">
        <f aca="false">IFERROR(Model!AC109+0,0)</f>
        <v>0.04</v>
      </c>
      <c r="N8" s="206" t="n">
        <f aca="false">IFERROR(Model!AH109+0,0)</f>
        <v>0.05</v>
      </c>
      <c r="O8" s="206" t="n">
        <f aca="false">IFERROR(Model!AM109+0,0)</f>
        <v>0.08</v>
      </c>
      <c r="P8" s="206" t="n">
        <f aca="false">IFERROR(Model!AR109+0,0)</f>
        <v>0.06</v>
      </c>
      <c r="Q8" s="206" t="n">
        <f aca="false">IFERROR(Model!AW109+0,0)</f>
        <v>0.25</v>
      </c>
      <c r="R8" s="206" t="n">
        <f aca="false">IFERROR(Model!BB109+0,0)</f>
        <v>0.17</v>
      </c>
      <c r="S8" s="206" t="n">
        <f aca="false">IFERROR(Model!BG109+0,0)</f>
        <v>0</v>
      </c>
      <c r="T8" s="206" t="n">
        <f aca="false">IFERROR(Model!BL109+0,0)</f>
        <v>-0.05</v>
      </c>
      <c r="U8" s="206" t="n">
        <f aca="false">IFERROR(Model!BQ109+0,0)</f>
        <v>0</v>
      </c>
      <c r="V8" s="206" t="n">
        <f aca="false">IFERROR(Model!BV109+0,0)</f>
        <v>0.02</v>
      </c>
    </row>
    <row r="9" customFormat="false" ht="15" hidden="false" customHeight="true" outlineLevel="0" collapsed="false">
      <c r="B9" s="205" t="s">
        <v>792</v>
      </c>
      <c r="C9" s="206" t="n">
        <f aca="false">IFERROR(Model!C110+0,0)</f>
        <v>0</v>
      </c>
      <c r="D9" s="206" t="n">
        <f aca="false">IFERROR(Model!D110+0,0)</f>
        <v>0</v>
      </c>
      <c r="E9" s="206" t="n">
        <f aca="false">IFERROR(Model!E110+0,0)</f>
        <v>0</v>
      </c>
      <c r="F9" s="206" t="n">
        <f aca="false">IFERROR(Model!F110+0,0)</f>
        <v>0</v>
      </c>
      <c r="G9" s="206" t="n">
        <f aca="false">IFERROR(Model!G110+0,0)</f>
        <v>0</v>
      </c>
      <c r="H9" s="206" t="n">
        <f aca="false">IFERROR(Model!H110+0,0)</f>
        <v>0</v>
      </c>
      <c r="I9" s="206" t="n">
        <f aca="false">IFERROR(Model!I110+0,0)</f>
        <v>0</v>
      </c>
      <c r="J9" s="206" t="n">
        <f aca="false">IFERROR(Model!N110+0,0)</f>
        <v>0.02</v>
      </c>
      <c r="K9" s="206" t="n">
        <f aca="false">IFERROR(Model!S110+0,0)</f>
        <v>0.25</v>
      </c>
      <c r="L9" s="206" t="n">
        <f aca="false">IFERROR(Model!X110+0,0)</f>
        <v>0.01</v>
      </c>
      <c r="M9" s="206" t="n">
        <f aca="false">IFERROR(Model!AC110+0,0)</f>
        <v>0.04</v>
      </c>
      <c r="N9" s="206" t="n">
        <f aca="false">IFERROR(Model!AH110+0,0)</f>
        <v>0.09</v>
      </c>
      <c r="O9" s="206" t="n">
        <f aca="false">IFERROR(Model!AM110+0,0)</f>
        <v>0.07</v>
      </c>
      <c r="P9" s="206" t="n">
        <f aca="false">IFERROR(Model!AR110+0,0)</f>
        <v>0</v>
      </c>
      <c r="Q9" s="206" t="n">
        <f aca="false">IFERROR(Model!AW110+0,0)</f>
        <v>0</v>
      </c>
      <c r="R9" s="206" t="n">
        <f aca="false">IFERROR(Model!BB110+0,0)</f>
        <v>0.02</v>
      </c>
      <c r="S9" s="206" t="n">
        <f aca="false">IFERROR(Model!BG110+0,0)</f>
        <v>0.18</v>
      </c>
      <c r="T9" s="206" t="n">
        <f aca="false">IFERROR(Model!BL110+0,0)</f>
        <v>0.01</v>
      </c>
      <c r="U9" s="206" t="n">
        <f aca="false">IFERROR(Model!BQ110+0,0)</f>
        <v>0</v>
      </c>
      <c r="V9" s="206" t="n">
        <f aca="false">IFERROR(Model!BV110+0,0)</f>
        <v>0.01</v>
      </c>
    </row>
    <row r="10" customFormat="false" ht="15" hidden="false" customHeight="false" outlineLevel="0" collapsed="false">
      <c r="B10" s="205" t="s">
        <v>793</v>
      </c>
      <c r="C10" s="206" t="n">
        <f aca="false">IFERROR(Model!C111+0,0)</f>
        <v>0</v>
      </c>
      <c r="D10" s="206" t="n">
        <f aca="false">IFERROR(Model!D111+0,0)</f>
        <v>0</v>
      </c>
      <c r="E10" s="206" t="n">
        <f aca="false">IFERROR(Model!E111+0,0)</f>
        <v>0</v>
      </c>
      <c r="F10" s="206" t="n">
        <f aca="false">IFERROR(Model!F111+0,0)</f>
        <v>0</v>
      </c>
      <c r="G10" s="206" t="n">
        <f aca="false">IFERROR(Model!G111+0,0)</f>
        <v>0</v>
      </c>
      <c r="H10" s="206" t="n">
        <f aca="false">IFERROR(Model!H111+0,0)</f>
        <v>0</v>
      </c>
      <c r="I10" s="206" t="n">
        <f aca="false">IFERROR(Model!I111+0,0)</f>
        <v>-0.02</v>
      </c>
      <c r="J10" s="206" t="n">
        <f aca="false">IFERROR(Model!N111+0,0)</f>
        <v>0</v>
      </c>
      <c r="K10" s="206" t="n">
        <f aca="false">IFERROR(Model!S111+0,0)</f>
        <v>0</v>
      </c>
      <c r="L10" s="206" t="n">
        <f aca="false">IFERROR(Model!X111+0,0)</f>
        <v>-0.06</v>
      </c>
      <c r="M10" s="206" t="n">
        <f aca="false">IFERROR(Model!AC111+0,0)</f>
        <v>-0.01</v>
      </c>
      <c r="N10" s="206" t="n">
        <f aca="false">IFERROR(Model!AH111+0,0)</f>
        <v>0</v>
      </c>
      <c r="O10" s="206" t="n">
        <f aca="false">IFERROR(Model!AM111+0,0)</f>
        <v>0.01</v>
      </c>
      <c r="P10" s="206" t="n">
        <f aca="false">IFERROR(Model!AR111+0,0)</f>
        <v>-0.02</v>
      </c>
      <c r="Q10" s="206" t="n">
        <f aca="false">IFERROR(Model!AW111+0,0)</f>
        <v>0.01</v>
      </c>
      <c r="R10" s="206" t="n">
        <f aca="false">IFERROR(Model!BB111+0,0)</f>
        <v>0.02</v>
      </c>
      <c r="S10" s="206" t="n">
        <f aca="false">IFERROR(Model!BG111+0,0)</f>
        <v>-0.03</v>
      </c>
      <c r="T10" s="206" t="n">
        <f aca="false">IFERROR(Model!BL111+0,0)</f>
        <v>0</v>
      </c>
      <c r="U10" s="206" t="n">
        <f aca="false">IFERROR(Model!BQ111+0,0)</f>
        <v>0</v>
      </c>
      <c r="V10" s="206" t="n">
        <f aca="false">IFERROR(Model!BV111+0,0)</f>
        <v>0.01</v>
      </c>
    </row>
    <row r="11" customFormat="false" ht="15" hidden="false" customHeight="true" outlineLevel="0" collapsed="false">
      <c r="C11" s="204" t="str">
        <f aca="false">C7</f>
        <v>2006</v>
      </c>
      <c r="D11" s="204" t="str">
        <f aca="false">D7</f>
        <v>2007</v>
      </c>
      <c r="E11" s="204" t="str">
        <f aca="false">E7</f>
        <v>2008</v>
      </c>
      <c r="F11" s="204" t="str">
        <f aca="false">F7</f>
        <v>2009</v>
      </c>
      <c r="G11" s="204" t="str">
        <f aca="false">G7</f>
        <v>2010</v>
      </c>
      <c r="H11" s="204" t="str">
        <f aca="false">H7</f>
        <v>2011</v>
      </c>
      <c r="I11" s="204" t="str">
        <f aca="false">I7</f>
        <v>2012</v>
      </c>
      <c r="J11" s="204" t="str">
        <f aca="false">J7</f>
        <v>2013</v>
      </c>
      <c r="K11" s="204" t="str">
        <f aca="false">K7</f>
        <v>2014</v>
      </c>
      <c r="L11" s="204" t="str">
        <f aca="false">L7</f>
        <v>2015</v>
      </c>
      <c r="M11" s="204" t="str">
        <f aca="false">M7</f>
        <v>2016</v>
      </c>
      <c r="N11" s="204" t="str">
        <f aca="false">N7</f>
        <v>2017</v>
      </c>
      <c r="O11" s="204" t="str">
        <f aca="false">O7</f>
        <v>2018</v>
      </c>
      <c r="P11" s="204" t="str">
        <f aca="false">P7</f>
        <v>2019</v>
      </c>
      <c r="Q11" s="204" t="str">
        <f aca="false">Q7</f>
        <v>2020</v>
      </c>
      <c r="R11" s="204" t="str">
        <f aca="false">R7</f>
        <v>2021</v>
      </c>
      <c r="S11" s="204" t="str">
        <f aca="false">S7</f>
        <v>2022</v>
      </c>
      <c r="T11" s="204" t="str">
        <f aca="false">T7</f>
        <v>2023</v>
      </c>
      <c r="U11" s="204" t="str">
        <f aca="false">U7</f>
        <v>2024</v>
      </c>
      <c r="V11" s="204" t="str">
        <f aca="false">V7</f>
        <v>2025</v>
      </c>
    </row>
    <row r="12" customFormat="false" ht="15" hidden="false" customHeight="true" outlineLevel="0" collapsed="false">
      <c r="B12" s="205" t="s">
        <v>794</v>
      </c>
      <c r="C12" s="207" t="n">
        <f aca="false">Model!C186</f>
        <v>572.869</v>
      </c>
      <c r="D12" s="207" t="n">
        <f aca="false">Model!D186</f>
        <v>1636.9</v>
      </c>
      <c r="E12" s="207" t="n">
        <f aca="false">Model!E186</f>
        <v>1869.1</v>
      </c>
      <c r="F12" s="207" t="n">
        <f aca="false">Model!F186</f>
        <v>1714.9</v>
      </c>
      <c r="G12" s="207" t="n">
        <f aca="false">Model!G186</f>
        <v>1916</v>
      </c>
      <c r="H12" s="207" t="n">
        <f aca="false">Model!H186</f>
        <v>2127.8</v>
      </c>
      <c r="I12" s="207" t="n">
        <f aca="false">Model!I186</f>
        <v>2379.9</v>
      </c>
      <c r="J12" s="207" t="n">
        <f aca="false">Model!N186</f>
        <v>2552.5</v>
      </c>
      <c r="K12" s="207" t="n">
        <f aca="false">Model!S186</f>
        <v>3694.8</v>
      </c>
      <c r="L12" s="207" t="n">
        <f aca="false">Model!X186</f>
        <v>3821.7</v>
      </c>
      <c r="M12" s="207" t="n">
        <f aca="false">Model!AC186</f>
        <v>4221.8</v>
      </c>
      <c r="N12" s="207" t="n">
        <f aca="false">Model!AH186</f>
        <v>4860</v>
      </c>
      <c r="O12" s="207" t="n">
        <f aca="false">Model!AM186</f>
        <v>5615</v>
      </c>
      <c r="P12" s="207" t="n">
        <f aca="false">Model!AR186</f>
        <v>5973</v>
      </c>
      <c r="Q12" s="207" t="n">
        <f aca="false">Model!AW186</f>
        <v>9556</v>
      </c>
      <c r="R12" s="207" t="n">
        <f aca="false">Model!BB186</f>
        <v>12138</v>
      </c>
      <c r="S12" s="207" t="n">
        <f aca="false">Model!BG186</f>
        <v>10985</v>
      </c>
      <c r="T12" s="207" t="n">
        <f aca="false">Model!BL186</f>
        <v>9810</v>
      </c>
      <c r="U12" s="207" t="n">
        <f aca="false">Model!BQ186</f>
        <v>9707</v>
      </c>
      <c r="V12" s="207" t="n">
        <f aca="false">Model!BV186</f>
        <v>10110</v>
      </c>
    </row>
    <row r="13" customFormat="false" ht="15" hidden="false" customHeight="true" outlineLevel="0" collapsed="false">
      <c r="B13" s="205" t="s">
        <v>795</v>
      </c>
      <c r="C13" s="207" t="n">
        <f aca="false">Model!C145</f>
        <v>241.959</v>
      </c>
      <c r="D13" s="207" t="n">
        <f aca="false">Model!D145</f>
        <v>974.399999999998</v>
      </c>
      <c r="E13" s="207" t="n">
        <f aca="false">Model!E145</f>
        <v>1229.4</v>
      </c>
      <c r="F13" s="207" t="n">
        <f aca="false">Model!F145</f>
        <v>1048.9</v>
      </c>
      <c r="G13" s="207" t="n">
        <f aca="false">Model!G145</f>
        <v>1264.9</v>
      </c>
      <c r="H13" s="207" t="n">
        <f aca="false">Model!H145</f>
        <v>1245.2</v>
      </c>
      <c r="I13" s="207" t="n">
        <f aca="false">Model!I145</f>
        <v>1482.1</v>
      </c>
      <c r="J13" s="207" t="n">
        <f aca="false">Model!N145</f>
        <v>1609.6</v>
      </c>
      <c r="K13" s="207" t="n">
        <f aca="false">Model!S145</f>
        <v>2503</v>
      </c>
      <c r="L13" s="207" t="n">
        <f aca="false">Model!X145</f>
        <v>2336.2</v>
      </c>
      <c r="M13" s="207" t="n">
        <f aca="false">Model!AC145</f>
        <v>2449.2</v>
      </c>
      <c r="N13" s="207" t="n">
        <f aca="false">Model!AH145</f>
        <v>2968</v>
      </c>
      <c r="O13" s="207" t="n">
        <f aca="false">Model!AM145</f>
        <v>3783</v>
      </c>
      <c r="P13" s="207" t="n">
        <f aca="false">Model!AR145</f>
        <v>4594</v>
      </c>
      <c r="Q13" s="207" t="n">
        <f aca="false">Model!AW145</f>
        <v>7794</v>
      </c>
      <c r="R13" s="207" t="n">
        <f aca="false">Model!BB145</f>
        <v>10028</v>
      </c>
      <c r="S13" s="207" t="n">
        <f aca="false">Model!BG145</f>
        <v>8393</v>
      </c>
      <c r="T13" s="207" t="n">
        <f aca="false">Model!BL145</f>
        <v>6859</v>
      </c>
      <c r="U13" s="207" t="n">
        <f aca="false">Model!BQ145</f>
        <v>7337</v>
      </c>
      <c r="V13" s="207" t="n">
        <f aca="false">Model!BV145</f>
        <v>7747</v>
      </c>
    </row>
    <row r="14" customFormat="false" ht="15" hidden="false" customHeight="true" outlineLevel="0" collapsed="false">
      <c r="B14" s="205" t="s">
        <v>796</v>
      </c>
      <c r="C14" s="206" t="n">
        <f aca="false">Model!C187</f>
        <v>0.151088308761143</v>
      </c>
      <c r="D14" s="206" t="n">
        <f aca="false">Model!D187</f>
        <v>0.167949191496347</v>
      </c>
      <c r="E14" s="206" t="n">
        <f aca="false">Model!E187</f>
        <v>0.178043436845113</v>
      </c>
      <c r="F14" s="206" t="n">
        <f aca="false">Model!F187</f>
        <v>0.169629168026747</v>
      </c>
      <c r="G14" s="206" t="n">
        <f aca="false">Model!G187</f>
        <v>0.177593222538397</v>
      </c>
      <c r="H14" s="206" t="n">
        <f aca="false">Model!H187</f>
        <v>0.181461550925729</v>
      </c>
      <c r="I14" s="206" t="n">
        <f aca="false">Model!I187</f>
        <v>0.190241328867537</v>
      </c>
      <c r="J14" s="206" t="n">
        <f aca="false">Model!N187</f>
        <v>0.194991711419906</v>
      </c>
      <c r="K14" s="206" t="n">
        <f aca="false">Model!S187</f>
        <v>0.218761841606669</v>
      </c>
      <c r="L14" s="206" t="n">
        <f aca="false">Model!X187</f>
        <v>0.225264361582987</v>
      </c>
      <c r="M14" s="206" t="n">
        <f aca="false">Model!AC187</f>
        <v>0.231026425377994</v>
      </c>
      <c r="N14" s="206" t="n">
        <f aca="false">Model!AH187</f>
        <v>0.232335787360168</v>
      </c>
      <c r="O14" s="206" t="n">
        <f aca="false">Model!AM187</f>
        <v>0.230519747105674</v>
      </c>
      <c r="P14" s="206" t="n">
        <f aca="false">Model!AR187</f>
        <v>0.233850129198966</v>
      </c>
      <c r="Q14" s="206" t="n">
        <f aca="false">Model!AW187</f>
        <v>0.296604382643243</v>
      </c>
      <c r="R14" s="206" t="n">
        <f aca="false">Model!BB187</f>
        <v>0.309555991941037</v>
      </c>
      <c r="S14" s="206" t="n">
        <f aca="false">Model!BG187</f>
        <v>0.244573082489146</v>
      </c>
      <c r="T14" s="206" t="n">
        <f aca="false">Model!BL187</f>
        <v>0.228900763002543</v>
      </c>
      <c r="U14" s="206" t="n">
        <f aca="false">Model!BQ187</f>
        <v>0.22638121224842</v>
      </c>
      <c r="V14" s="206" t="n">
        <f aca="false">Model!BV187</f>
        <v>0.226905467277134</v>
      </c>
    </row>
    <row r="15" customFormat="false" ht="15" hidden="false" customHeight="true" outlineLevel="0" collapsed="false">
      <c r="B15" s="205" t="s">
        <v>797</v>
      </c>
      <c r="C15" s="206" t="n">
        <f aca="false">Model!C147</f>
        <v>0.063814198533238</v>
      </c>
      <c r="D15" s="206" t="n">
        <f aca="false">Model!D147</f>
        <v>0.0999753755232699</v>
      </c>
      <c r="E15" s="206" t="n">
        <f aca="false">Model!E147</f>
        <v>0.117108020575348</v>
      </c>
      <c r="F15" s="206" t="n">
        <f aca="false">Model!F147</f>
        <v>0.103751842290078</v>
      </c>
      <c r="G15" s="206" t="n">
        <f aca="false">Model!G147</f>
        <v>0.117243041330281</v>
      </c>
      <c r="H15" s="206" t="n">
        <f aca="false">Model!H147</f>
        <v>0.106192275219813</v>
      </c>
      <c r="I15" s="206" t="n">
        <f aca="false">Model!I147</f>
        <v>0.118474168458581</v>
      </c>
      <c r="J15" s="206" t="n">
        <f aca="false">Model!N147</f>
        <v>0.122961276670512</v>
      </c>
      <c r="K15" s="206" t="n">
        <f aca="false">Model!S147</f>
        <v>0.148197707464949</v>
      </c>
      <c r="L15" s="206" t="n">
        <f aca="false">Model!X147</f>
        <v>0.137703797140062</v>
      </c>
      <c r="M15" s="206" t="n">
        <f aca="false">Model!AC147</f>
        <v>0.13402575229423</v>
      </c>
      <c r="N15" s="206" t="n">
        <f aca="false">Model!AH147</f>
        <v>0.14188736972942</v>
      </c>
      <c r="O15" s="206" t="n">
        <f aca="false">Model!AM147</f>
        <v>0.155308317595862</v>
      </c>
      <c r="P15" s="206" t="n">
        <f aca="false">Model!AR147</f>
        <v>0.179860621721087</v>
      </c>
      <c r="Q15" s="206" t="n">
        <f aca="false">Model!AW147</f>
        <v>0.241914457756534</v>
      </c>
      <c r="R15" s="206" t="n">
        <f aca="false">Model!BB147</f>
        <v>0.255744561475096</v>
      </c>
      <c r="S15" s="206" t="n">
        <f aca="false">Model!BG147</f>
        <v>0.186864076589113</v>
      </c>
      <c r="T15" s="206" t="n">
        <f aca="false">Model!BL147</f>
        <v>0.160043866812889</v>
      </c>
      <c r="U15" s="206" t="n">
        <f aca="false">Model!BQ147</f>
        <v>0.171109400872222</v>
      </c>
      <c r="V15" s="206" t="n">
        <f aca="false">Model!BV147</f>
        <v>0.173871083580214</v>
      </c>
    </row>
    <row r="17" customFormat="false" ht="15" hidden="false" customHeight="true" outlineLevel="0" collapsed="false">
      <c r="C17" s="204" t="str">
        <f aca="false">C7</f>
        <v>2006</v>
      </c>
      <c r="D17" s="204" t="str">
        <f aca="false">D7</f>
        <v>2007</v>
      </c>
      <c r="E17" s="204" t="str">
        <f aca="false">E7</f>
        <v>2008</v>
      </c>
      <c r="F17" s="204" t="str">
        <f aca="false">F7</f>
        <v>2009</v>
      </c>
      <c r="G17" s="204" t="str">
        <f aca="false">G7</f>
        <v>2010</v>
      </c>
      <c r="H17" s="204" t="str">
        <f aca="false">H7</f>
        <v>2011</v>
      </c>
      <c r="I17" s="204" t="str">
        <f aca="false">I7</f>
        <v>2012</v>
      </c>
      <c r="J17" s="204" t="str">
        <f aca="false">J7</f>
        <v>2013</v>
      </c>
      <c r="K17" s="204" t="str">
        <f aca="false">K7</f>
        <v>2014</v>
      </c>
      <c r="L17" s="204" t="str">
        <f aca="false">L7</f>
        <v>2015</v>
      </c>
      <c r="M17" s="204" t="str">
        <f aca="false">M7</f>
        <v>2016</v>
      </c>
      <c r="N17" s="204" t="str">
        <f aca="false">N7</f>
        <v>2017</v>
      </c>
      <c r="O17" s="204" t="str">
        <f aca="false">O7</f>
        <v>2018</v>
      </c>
      <c r="P17" s="204" t="str">
        <f aca="false">P7</f>
        <v>2019</v>
      </c>
      <c r="Q17" s="204" t="str">
        <f aca="false">Q7</f>
        <v>2020</v>
      </c>
      <c r="R17" s="204" t="str">
        <f aca="false">R7</f>
        <v>2021</v>
      </c>
      <c r="S17" s="204" t="str">
        <f aca="false">S7</f>
        <v>2022</v>
      </c>
      <c r="T17" s="204" t="str">
        <f aca="false">T7</f>
        <v>2023</v>
      </c>
      <c r="U17" s="204" t="str">
        <f aca="false">U7</f>
        <v>2024</v>
      </c>
      <c r="V17" s="204" t="str">
        <f aca="false">V7</f>
        <v>2025</v>
      </c>
    </row>
    <row r="18" customFormat="false" ht="15" hidden="false" customHeight="true" outlineLevel="0" collapsed="false">
      <c r="B18" s="205" t="s">
        <v>650</v>
      </c>
      <c r="C18" s="206" t="n">
        <f aca="false">IFERROR(Model!C378+0,NA())</f>
        <v>0.0258320899879023</v>
      </c>
      <c r="D18" s="206" t="n">
        <f aca="false">IFERROR(Model!D378+0,NA())</f>
        <v>0.0775384678645455</v>
      </c>
      <c r="E18" s="206" t="n">
        <f aca="false">IFERROR(Model!E378+0,NA())</f>
        <v>0.0916445387009979</v>
      </c>
      <c r="F18" s="206" t="n">
        <f aca="false">IFERROR(Model!F378+0,NA())</f>
        <v>0.0854809679472825</v>
      </c>
      <c r="G18" s="206" t="n">
        <f aca="false">IFERROR(Model!G378+0,NA())</f>
        <v>0.0916282914919507</v>
      </c>
      <c r="H18" s="206" t="n">
        <f aca="false">IFERROR(Model!H378+0,NA())</f>
        <v>0.081760610747603</v>
      </c>
      <c r="I18" s="206" t="n">
        <f aca="false">IFERROR(Model!I378+0,NA())</f>
        <v>0.0911807309992861</v>
      </c>
      <c r="J18" s="206" t="n">
        <f aca="false">IFERROR(Model!N378+0,NA())</f>
        <v>0.101208167191265</v>
      </c>
      <c r="K18" s="206" t="n">
        <f aca="false">IFERROR(Model!S378+0,NA())</f>
        <v>0.0935737809811851</v>
      </c>
      <c r="L18" s="206" t="n">
        <f aca="false">IFERROR(Model!X378+0,NA())</f>
        <v>0.0985388082927385</v>
      </c>
      <c r="M18" s="206" t="n">
        <f aca="false">IFERROR(Model!AC378+0,NA())</f>
        <v>0.097302557421008</v>
      </c>
      <c r="N18" s="206" t="n">
        <f aca="false">IFERROR(Model!AH378+0,NA())</f>
        <v>0.0937609046592166</v>
      </c>
      <c r="O18" s="206" t="n">
        <f aca="false">IFERROR(Model!AM378+0,NA())</f>
        <v>0.111260506236288</v>
      </c>
      <c r="P18" s="206" t="n">
        <f aca="false">IFERROR(Model!AR378+0,NA())</f>
        <v>0.117993510714775</v>
      </c>
      <c r="Q18" s="206" t="n">
        <f aca="false">IFERROR(Model!AW378+0,NA())</f>
        <v>0.178455791741011</v>
      </c>
      <c r="R18" s="206" t="n">
        <f aca="false">IFERROR(Model!BB378+0,NA())</f>
        <v>0.145295149212288</v>
      </c>
      <c r="S18" s="206" t="n">
        <f aca="false">IFERROR(Model!BG378+0,NA())</f>
        <v>0.136246163140926</v>
      </c>
      <c r="T18" s="206" t="n">
        <f aca="false">IFERROR(Model!BL378+0,NA())</f>
        <v>0.119838623502767</v>
      </c>
      <c r="U18" s="206" t="n">
        <f aca="false">IFERROR(Model!BQ378+0,NA())</f>
        <v>0.115253939070505</v>
      </c>
      <c r="V18" s="206" t="n">
        <f aca="false">IFERROR(Model!BV378+0,NA())</f>
        <v>0.109385096196742</v>
      </c>
    </row>
    <row r="19" customFormat="false" ht="15" hidden="false" customHeight="true" outlineLevel="0" collapsed="false">
      <c r="B19" s="205" t="s">
        <v>651</v>
      </c>
      <c r="C19" s="206" t="n">
        <f aca="false">IFERROR(Model!C389+0,NA())</f>
        <v>0.115370173723743</v>
      </c>
      <c r="D19" s="206" t="n">
        <f aca="false">IFERROR(Model!D389+0,NA())</f>
        <v>0.347823222809533</v>
      </c>
      <c r="E19" s="206" t="n">
        <f aca="false">IFERROR(Model!E389+0,NA())</f>
        <v>0.322274158105539</v>
      </c>
      <c r="F19" s="206" t="n">
        <f aca="false">IFERROR(Model!F389+0,NA())</f>
        <v>0.288125339462492</v>
      </c>
      <c r="G19" s="206" t="n">
        <f aca="false">IFERROR(Model!G389+0,NA())</f>
        <v>0.342114049664021</v>
      </c>
      <c r="H19" s="206" t="n">
        <f aca="false">IFERROR(Model!H389+0,NA())</f>
        <v>0.3300519686747</v>
      </c>
      <c r="I19" s="206" t="n">
        <f aca="false">IFERROR(Model!I389+0,NA())</f>
        <v>0.392407012399593</v>
      </c>
      <c r="J19" s="206" t="n">
        <f aca="false">IFERROR(Model!N389+0,NA())</f>
        <v>0.214046517889203</v>
      </c>
      <c r="K19" s="206" t="n">
        <f aca="false">IFERROR(Model!S389+0,NA())</f>
        <v>0.486413359298942</v>
      </c>
      <c r="L19" s="206" t="n">
        <f aca="false">IFERROR(Model!X389+0,NA())</f>
        <v>0.518155473734658</v>
      </c>
      <c r="M19" s="206" t="n">
        <f aca="false">IFERROR(Model!AC389+0,NA())</f>
        <v>0.518542840293497</v>
      </c>
      <c r="N19" s="206" t="n">
        <f aca="false">IFERROR(Model!AH389+0,NA())</f>
        <v>0.433391854363896</v>
      </c>
      <c r="O19" s="206" t="n">
        <f aca="false">IFERROR(Model!AM389+0,NA())</f>
        <v>0.453786545657232</v>
      </c>
      <c r="P19" s="206" t="n">
        <f aca="false">IFERROR(Model!AR389+0,NA())</f>
        <v>0.410715197933277</v>
      </c>
      <c r="Q19" s="206" t="n">
        <f aca="false">IFERROR(Model!AW389+0,NA())</f>
        <v>0.361772829552847</v>
      </c>
      <c r="R19" s="206" t="n">
        <f aca="false">IFERROR(Model!BB389+0,NA())</f>
        <v>0.472467413854611</v>
      </c>
      <c r="S19" s="206" t="n">
        <f aca="false">IFERROR(Model!BG389+0,NA())</f>
        <v>0.352269461597395</v>
      </c>
      <c r="T19" s="206" t="n">
        <f aca="false">IFERROR(Model!BL389+0,NA())</f>
        <v>0.319543641911152</v>
      </c>
      <c r="U19" s="206" t="n">
        <f aca="false">IFERROR(Model!BQ389+0,NA())</f>
        <v>0.350048197490427</v>
      </c>
      <c r="V19" s="206" t="n">
        <f aca="false">IFERROR(Model!BV389+0,NA())</f>
        <v>0.270509917780382</v>
      </c>
    </row>
    <row r="20" customFormat="false" ht="15" hidden="false" customHeight="true" outlineLevel="0" collapsed="false">
      <c r="B20" s="205" t="s">
        <v>796</v>
      </c>
      <c r="C20" s="206" t="n">
        <f aca="false">IFERROR(Model!C187+0,NA())</f>
        <v>0.151088308761143</v>
      </c>
      <c r="D20" s="206" t="n">
        <f aca="false">IFERROR(Model!D187+0,NA())</f>
        <v>0.167949191496347</v>
      </c>
      <c r="E20" s="206" t="n">
        <f aca="false">IFERROR(Model!E187+0,NA())</f>
        <v>0.178043436845113</v>
      </c>
      <c r="F20" s="206" t="n">
        <f aca="false">IFERROR(Model!F187+0,NA())</f>
        <v>0.169629168026747</v>
      </c>
      <c r="G20" s="206" t="n">
        <f aca="false">IFERROR(Model!G187+0,NA())</f>
        <v>0.177593222538397</v>
      </c>
      <c r="H20" s="206" t="n">
        <f aca="false">IFERROR(Model!H187+0,NA())</f>
        <v>0.181461550925729</v>
      </c>
      <c r="I20" s="206" t="n">
        <f aca="false">IFERROR(Model!I187+0,NA())</f>
        <v>0.190241328867537</v>
      </c>
      <c r="J20" s="206" t="n">
        <f aca="false">IFERROR(Model!N187+0,NA())</f>
        <v>0.194991711419906</v>
      </c>
      <c r="K20" s="206" t="n">
        <f aca="false">IFERROR(Model!S187+0,NA())</f>
        <v>0.218761841606669</v>
      </c>
      <c r="L20" s="206" t="n">
        <f aca="false">IFERROR(Model!X187+0,NA())</f>
        <v>0.225264361582987</v>
      </c>
      <c r="M20" s="206" t="n">
        <f aca="false">IFERROR(Model!AC187+0,NA())</f>
        <v>0.231026425377994</v>
      </c>
      <c r="N20" s="206" t="n">
        <f aca="false">IFERROR(Model!AH187+0,NA())</f>
        <v>0.232335787360168</v>
      </c>
      <c r="O20" s="206" t="n">
        <f aca="false">IFERROR(Model!AM187+0,NA())</f>
        <v>0.230519747105674</v>
      </c>
      <c r="P20" s="206" t="n">
        <f aca="false">IFERROR(Model!AR187+0,NA())</f>
        <v>0.233850129198966</v>
      </c>
      <c r="Q20" s="206" t="n">
        <f aca="false">IFERROR(Model!AW187+0,NA())</f>
        <v>0.296604382643243</v>
      </c>
      <c r="R20" s="206" t="n">
        <f aca="false">IFERROR(Model!BB187+0,NA())</f>
        <v>0.309555991941037</v>
      </c>
      <c r="S20" s="206" t="n">
        <f aca="false">IFERROR(Model!BG187+0,NA())</f>
        <v>0.244573082489146</v>
      </c>
      <c r="T20" s="206" t="n">
        <f aca="false">IFERROR(Model!BL187+0,NA())</f>
        <v>0.228900763002543</v>
      </c>
      <c r="U20" s="206" t="n">
        <f aca="false">IFERROR(Model!BQ187+0,NA())</f>
        <v>0.22638121224842</v>
      </c>
      <c r="V20" s="206" t="n">
        <f aca="false">IFERROR(Model!BV187+0,NA())</f>
        <v>0.226905467277134</v>
      </c>
    </row>
    <row r="21" customFormat="false" ht="15" hidden="false" customHeight="true" outlineLevel="0" collapsed="false">
      <c r="B21" s="205" t="s">
        <v>798</v>
      </c>
      <c r="C21" s="206" t="n">
        <f aca="false">IFERROR(Model!C273+0,NA())</f>
        <v>0.0887484152539668</v>
      </c>
      <c r="D21" s="206" t="n">
        <f aca="false">IFERROR(Model!D273+0,NA())</f>
        <v>0.136347779693015</v>
      </c>
      <c r="E21" s="206" t="n">
        <f aca="false">IFERROR(Model!E273+0,NA())</f>
        <v>0.111716517431892</v>
      </c>
      <c r="F21" s="206" t="n">
        <f aca="false">IFERROR(Model!F273+0,NA())</f>
        <v>0.14502903152418</v>
      </c>
      <c r="G21" s="206" t="n">
        <f aca="false">IFERROR(Model!G273+0,NA())</f>
        <v>0.115231677588588</v>
      </c>
      <c r="H21" s="206" t="n">
        <f aca="false">IFERROR(Model!H273+0,NA())</f>
        <v>0.121107974654398</v>
      </c>
      <c r="I21" s="206" t="n">
        <f aca="false">IFERROR(Model!I273+0,NA())</f>
        <v>0.14113622011367</v>
      </c>
      <c r="J21" s="206" t="n">
        <f aca="false">IFERROR(Model!N273+0,NA())</f>
        <v>0.13398470623286</v>
      </c>
      <c r="K21" s="206" t="n">
        <f aca="false">IFERROR(Model!S273+0,NA())</f>
        <v>0.132957559681698</v>
      </c>
      <c r="L21" s="206" t="n">
        <f aca="false">IFERROR(Model!X273+0,NA())</f>
        <v>0.142690416966296</v>
      </c>
      <c r="M21" s="206" t="n">
        <f aca="false">IFERROR(Model!AC273+0,NA())</f>
        <v>0.149949929134677</v>
      </c>
      <c r="N21" s="206" t="n">
        <f aca="false">IFERROR(Model!AH273+0,NA())</f>
        <v>0.167559040061191</v>
      </c>
      <c r="O21" s="206" t="n">
        <f aca="false">IFERROR(Model!AM273+0,NA())</f>
        <v>0.157443139830856</v>
      </c>
      <c r="P21" s="206" t="n">
        <f aca="false">IFERROR(Model!AR273+0,NA())</f>
        <v>0.159854357528776</v>
      </c>
      <c r="Q21" s="206" t="n">
        <f aca="false">IFERROR(Model!AW273+0,NA())</f>
        <v>0.211776025824074</v>
      </c>
      <c r="R21" s="206" t="n">
        <f aca="false">IFERROR(Model!BB273+0,NA())</f>
        <v>0.179541455203897</v>
      </c>
      <c r="S21" s="206" t="n">
        <f aca="false">IFERROR(Model!BG273+0,NA())</f>
        <v>0.154402760770344</v>
      </c>
      <c r="T21" s="206" t="n">
        <f aca="false">IFERROR(Model!BL273+0,NA())</f>
        <v>0.163660545535152</v>
      </c>
      <c r="U21" s="206" t="n">
        <f aca="false">IFERROR(Model!BQ273+0,NA())</f>
        <v>0.170806222160032</v>
      </c>
      <c r="V21" s="206" t="n">
        <f aca="false">IFERROR(Model!BV273+0,NA())</f>
        <v>0.142225513959961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2026-10-06T18:19:25Z</dcterms:created>
  <dc:creator>openpyxl</dc:creator>
  <dc:description/>
  <dc:language>en-US</dc:language>
  <cp:lastModifiedBy/>
  <dcterms:modified xsi:type="dcterms:W3CDTF">2026-10-06T18:22:45Z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